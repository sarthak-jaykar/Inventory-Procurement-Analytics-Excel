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Excel adv\Inventory-Procurement-Analytics\Excel Workbook\"/>
    </mc:Choice>
  </mc:AlternateContent>
  <xr:revisionPtr revIDLastSave="0" documentId="13_ncr:1_{46440665-477D-4BB2-8359-F895836B9D2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shboard" sheetId="1" r:id="rId1"/>
    <sheet name="KPI_Calculations" sheetId="2" r:id="rId2"/>
    <sheet name="Supplier_Analysis" sheetId="3" r:id="rId3"/>
    <sheet name="Inventory_Analysis" sheetId="4" r:id="rId4"/>
    <sheet name="Cleaned_Inventory" sheetId="5" r:id="rId5"/>
    <sheet name="Cleaned_POs" sheetId="6" r:id="rId6"/>
    <sheet name="Lookups" sheetId="7" r:id="rId7"/>
    <sheet name="Methodology_QA" sheetId="8" r:id="rId8"/>
  </sheets>
  <definedNames>
    <definedName name="_xlnm._FilterDatabase" localSheetId="4" hidden="1">Cleaned_Inventory!$A$1:$J$161</definedName>
    <definedName name="_xlnm._FilterDatabase" localSheetId="5" hidden="1">Cleaned_POs!$A$1:$V$3501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3501" i="6" l="1"/>
  <c r="T3501" i="6"/>
  <c r="S3501" i="6"/>
  <c r="R3501" i="6"/>
  <c r="Q3501" i="6"/>
  <c r="P3501" i="6"/>
  <c r="O3501" i="6"/>
  <c r="U3501" i="6" s="1"/>
  <c r="N3501" i="6"/>
  <c r="V3500" i="6"/>
  <c r="T3500" i="6"/>
  <c r="S3500" i="6"/>
  <c r="R3500" i="6"/>
  <c r="Q3500" i="6"/>
  <c r="P3500" i="6"/>
  <c r="O3500" i="6"/>
  <c r="U3500" i="6" s="1"/>
  <c r="N3500" i="6"/>
  <c r="V3499" i="6"/>
  <c r="T3499" i="6"/>
  <c r="S3499" i="6"/>
  <c r="R3499" i="6"/>
  <c r="Q3499" i="6"/>
  <c r="P3499" i="6"/>
  <c r="O3499" i="6"/>
  <c r="U3499" i="6" s="1"/>
  <c r="N3499" i="6"/>
  <c r="V3498" i="6"/>
  <c r="T3498" i="6"/>
  <c r="S3498" i="6"/>
  <c r="R3498" i="6"/>
  <c r="Q3498" i="6"/>
  <c r="P3498" i="6"/>
  <c r="O3498" i="6"/>
  <c r="U3498" i="6" s="1"/>
  <c r="N3498" i="6"/>
  <c r="V3497" i="6"/>
  <c r="T3497" i="6"/>
  <c r="S3497" i="6"/>
  <c r="R3497" i="6"/>
  <c r="Q3497" i="6"/>
  <c r="P3497" i="6"/>
  <c r="O3497" i="6"/>
  <c r="U3497" i="6" s="1"/>
  <c r="N3497" i="6"/>
  <c r="V3496" i="6"/>
  <c r="T3496" i="6"/>
  <c r="S3496" i="6"/>
  <c r="R3496" i="6"/>
  <c r="Q3496" i="6"/>
  <c r="P3496" i="6"/>
  <c r="O3496" i="6"/>
  <c r="U3496" i="6" s="1"/>
  <c r="N3496" i="6"/>
  <c r="V3495" i="6"/>
  <c r="T3495" i="6"/>
  <c r="S3495" i="6"/>
  <c r="R3495" i="6"/>
  <c r="Q3495" i="6"/>
  <c r="P3495" i="6"/>
  <c r="O3495" i="6"/>
  <c r="U3495" i="6" s="1"/>
  <c r="N3495" i="6"/>
  <c r="V3494" i="6"/>
  <c r="T3494" i="6"/>
  <c r="S3494" i="6"/>
  <c r="R3494" i="6"/>
  <c r="Q3494" i="6"/>
  <c r="P3494" i="6"/>
  <c r="O3494" i="6"/>
  <c r="U3494" i="6" s="1"/>
  <c r="N3494" i="6"/>
  <c r="V3493" i="6"/>
  <c r="T3493" i="6"/>
  <c r="S3493" i="6"/>
  <c r="R3493" i="6"/>
  <c r="Q3493" i="6"/>
  <c r="P3493" i="6"/>
  <c r="O3493" i="6"/>
  <c r="U3493" i="6" s="1"/>
  <c r="N3493" i="6"/>
  <c r="V3492" i="6"/>
  <c r="T3492" i="6"/>
  <c r="S3492" i="6"/>
  <c r="R3492" i="6"/>
  <c r="Q3492" i="6"/>
  <c r="P3492" i="6"/>
  <c r="O3492" i="6"/>
  <c r="U3492" i="6" s="1"/>
  <c r="N3492" i="6"/>
  <c r="V3491" i="6"/>
  <c r="T3491" i="6"/>
  <c r="S3491" i="6"/>
  <c r="R3491" i="6"/>
  <c r="Q3491" i="6"/>
  <c r="P3491" i="6"/>
  <c r="O3491" i="6"/>
  <c r="U3491" i="6" s="1"/>
  <c r="N3491" i="6"/>
  <c r="V3490" i="6"/>
  <c r="T3490" i="6"/>
  <c r="S3490" i="6"/>
  <c r="R3490" i="6"/>
  <c r="Q3490" i="6"/>
  <c r="P3490" i="6"/>
  <c r="O3490" i="6"/>
  <c r="U3490" i="6" s="1"/>
  <c r="N3490" i="6"/>
  <c r="V3489" i="6"/>
  <c r="T3489" i="6"/>
  <c r="S3489" i="6"/>
  <c r="R3489" i="6"/>
  <c r="Q3489" i="6"/>
  <c r="P3489" i="6"/>
  <c r="O3489" i="6"/>
  <c r="U3489" i="6" s="1"/>
  <c r="N3489" i="6"/>
  <c r="V3488" i="6"/>
  <c r="T3488" i="6"/>
  <c r="S3488" i="6"/>
  <c r="R3488" i="6"/>
  <c r="Q3488" i="6"/>
  <c r="P3488" i="6"/>
  <c r="O3488" i="6"/>
  <c r="U3488" i="6" s="1"/>
  <c r="N3488" i="6"/>
  <c r="V3487" i="6"/>
  <c r="T3487" i="6"/>
  <c r="S3487" i="6"/>
  <c r="R3487" i="6"/>
  <c r="Q3487" i="6"/>
  <c r="P3487" i="6"/>
  <c r="O3487" i="6"/>
  <c r="U3487" i="6" s="1"/>
  <c r="N3487" i="6"/>
  <c r="V3486" i="6"/>
  <c r="T3486" i="6"/>
  <c r="S3486" i="6"/>
  <c r="R3486" i="6"/>
  <c r="Q3486" i="6"/>
  <c r="P3486" i="6"/>
  <c r="O3486" i="6"/>
  <c r="U3486" i="6" s="1"/>
  <c r="N3486" i="6"/>
  <c r="V3485" i="6"/>
  <c r="T3485" i="6"/>
  <c r="S3485" i="6"/>
  <c r="R3485" i="6"/>
  <c r="Q3485" i="6"/>
  <c r="P3485" i="6"/>
  <c r="O3485" i="6"/>
  <c r="U3485" i="6" s="1"/>
  <c r="N3485" i="6"/>
  <c r="V3484" i="6"/>
  <c r="T3484" i="6"/>
  <c r="S3484" i="6"/>
  <c r="R3484" i="6"/>
  <c r="Q3484" i="6"/>
  <c r="P3484" i="6"/>
  <c r="O3484" i="6"/>
  <c r="U3484" i="6" s="1"/>
  <c r="N3484" i="6"/>
  <c r="V3483" i="6"/>
  <c r="T3483" i="6"/>
  <c r="S3483" i="6"/>
  <c r="R3483" i="6"/>
  <c r="Q3483" i="6"/>
  <c r="P3483" i="6"/>
  <c r="O3483" i="6"/>
  <c r="U3483" i="6" s="1"/>
  <c r="N3483" i="6"/>
  <c r="V3482" i="6"/>
  <c r="T3482" i="6"/>
  <c r="S3482" i="6"/>
  <c r="R3482" i="6"/>
  <c r="Q3482" i="6"/>
  <c r="P3482" i="6"/>
  <c r="O3482" i="6"/>
  <c r="U3482" i="6" s="1"/>
  <c r="N3482" i="6"/>
  <c r="V3481" i="6"/>
  <c r="T3481" i="6"/>
  <c r="S3481" i="6"/>
  <c r="R3481" i="6"/>
  <c r="Q3481" i="6"/>
  <c r="P3481" i="6"/>
  <c r="O3481" i="6"/>
  <c r="U3481" i="6" s="1"/>
  <c r="N3481" i="6"/>
  <c r="V3480" i="6"/>
  <c r="T3480" i="6"/>
  <c r="S3480" i="6"/>
  <c r="R3480" i="6"/>
  <c r="Q3480" i="6"/>
  <c r="P3480" i="6"/>
  <c r="O3480" i="6"/>
  <c r="U3480" i="6" s="1"/>
  <c r="N3480" i="6"/>
  <c r="V3479" i="6"/>
  <c r="T3479" i="6"/>
  <c r="S3479" i="6"/>
  <c r="R3479" i="6"/>
  <c r="Q3479" i="6"/>
  <c r="P3479" i="6"/>
  <c r="O3479" i="6"/>
  <c r="U3479" i="6" s="1"/>
  <c r="N3479" i="6"/>
  <c r="V3478" i="6"/>
  <c r="T3478" i="6"/>
  <c r="S3478" i="6"/>
  <c r="R3478" i="6"/>
  <c r="Q3478" i="6"/>
  <c r="P3478" i="6"/>
  <c r="O3478" i="6"/>
  <c r="U3478" i="6" s="1"/>
  <c r="N3478" i="6"/>
  <c r="V3477" i="6"/>
  <c r="T3477" i="6"/>
  <c r="S3477" i="6"/>
  <c r="R3477" i="6"/>
  <c r="Q3477" i="6"/>
  <c r="P3477" i="6"/>
  <c r="O3477" i="6"/>
  <c r="U3477" i="6" s="1"/>
  <c r="N3477" i="6"/>
  <c r="V3476" i="6"/>
  <c r="T3476" i="6"/>
  <c r="S3476" i="6"/>
  <c r="R3476" i="6"/>
  <c r="Q3476" i="6"/>
  <c r="P3476" i="6"/>
  <c r="O3476" i="6"/>
  <c r="U3476" i="6" s="1"/>
  <c r="N3476" i="6"/>
  <c r="V3475" i="6"/>
  <c r="T3475" i="6"/>
  <c r="S3475" i="6"/>
  <c r="R3475" i="6"/>
  <c r="Q3475" i="6"/>
  <c r="P3475" i="6"/>
  <c r="O3475" i="6"/>
  <c r="U3475" i="6" s="1"/>
  <c r="N3475" i="6"/>
  <c r="V3474" i="6"/>
  <c r="T3474" i="6"/>
  <c r="S3474" i="6"/>
  <c r="R3474" i="6"/>
  <c r="Q3474" i="6"/>
  <c r="P3474" i="6"/>
  <c r="O3474" i="6"/>
  <c r="U3474" i="6" s="1"/>
  <c r="N3474" i="6"/>
  <c r="V3473" i="6"/>
  <c r="T3473" i="6"/>
  <c r="S3473" i="6"/>
  <c r="R3473" i="6"/>
  <c r="Q3473" i="6"/>
  <c r="P3473" i="6"/>
  <c r="O3473" i="6"/>
  <c r="U3473" i="6" s="1"/>
  <c r="N3473" i="6"/>
  <c r="V3472" i="6"/>
  <c r="T3472" i="6"/>
  <c r="S3472" i="6"/>
  <c r="R3472" i="6"/>
  <c r="Q3472" i="6"/>
  <c r="P3472" i="6"/>
  <c r="O3472" i="6"/>
  <c r="U3472" i="6" s="1"/>
  <c r="N3472" i="6"/>
  <c r="V3471" i="6"/>
  <c r="T3471" i="6"/>
  <c r="S3471" i="6"/>
  <c r="R3471" i="6"/>
  <c r="Q3471" i="6"/>
  <c r="P3471" i="6"/>
  <c r="O3471" i="6"/>
  <c r="U3471" i="6" s="1"/>
  <c r="N3471" i="6"/>
  <c r="V3470" i="6"/>
  <c r="T3470" i="6"/>
  <c r="S3470" i="6"/>
  <c r="R3470" i="6"/>
  <c r="Q3470" i="6"/>
  <c r="P3470" i="6"/>
  <c r="O3470" i="6"/>
  <c r="U3470" i="6" s="1"/>
  <c r="N3470" i="6"/>
  <c r="V3469" i="6"/>
  <c r="T3469" i="6"/>
  <c r="S3469" i="6"/>
  <c r="R3469" i="6"/>
  <c r="Q3469" i="6"/>
  <c r="P3469" i="6"/>
  <c r="O3469" i="6"/>
  <c r="U3469" i="6" s="1"/>
  <c r="N3469" i="6"/>
  <c r="V3468" i="6"/>
  <c r="T3468" i="6"/>
  <c r="S3468" i="6"/>
  <c r="R3468" i="6"/>
  <c r="Q3468" i="6"/>
  <c r="P3468" i="6"/>
  <c r="O3468" i="6"/>
  <c r="U3468" i="6" s="1"/>
  <c r="N3468" i="6"/>
  <c r="V3467" i="6"/>
  <c r="T3467" i="6"/>
  <c r="S3467" i="6"/>
  <c r="R3467" i="6"/>
  <c r="Q3467" i="6"/>
  <c r="P3467" i="6"/>
  <c r="O3467" i="6"/>
  <c r="U3467" i="6" s="1"/>
  <c r="N3467" i="6"/>
  <c r="V3466" i="6"/>
  <c r="T3466" i="6"/>
  <c r="S3466" i="6"/>
  <c r="R3466" i="6"/>
  <c r="Q3466" i="6"/>
  <c r="P3466" i="6"/>
  <c r="O3466" i="6"/>
  <c r="U3466" i="6" s="1"/>
  <c r="N3466" i="6"/>
  <c r="V3465" i="6"/>
  <c r="T3465" i="6"/>
  <c r="S3465" i="6"/>
  <c r="R3465" i="6"/>
  <c r="Q3465" i="6"/>
  <c r="P3465" i="6"/>
  <c r="O3465" i="6"/>
  <c r="U3465" i="6" s="1"/>
  <c r="N3465" i="6"/>
  <c r="V3464" i="6"/>
  <c r="T3464" i="6"/>
  <c r="S3464" i="6"/>
  <c r="R3464" i="6"/>
  <c r="Q3464" i="6"/>
  <c r="P3464" i="6"/>
  <c r="O3464" i="6"/>
  <c r="U3464" i="6" s="1"/>
  <c r="N3464" i="6"/>
  <c r="V3463" i="6"/>
  <c r="T3463" i="6"/>
  <c r="S3463" i="6"/>
  <c r="R3463" i="6"/>
  <c r="Q3463" i="6"/>
  <c r="P3463" i="6"/>
  <c r="O3463" i="6"/>
  <c r="U3463" i="6" s="1"/>
  <c r="N3463" i="6"/>
  <c r="V3462" i="6"/>
  <c r="T3462" i="6"/>
  <c r="S3462" i="6"/>
  <c r="R3462" i="6"/>
  <c r="Q3462" i="6"/>
  <c r="P3462" i="6"/>
  <c r="O3462" i="6"/>
  <c r="U3462" i="6" s="1"/>
  <c r="N3462" i="6"/>
  <c r="V3461" i="6"/>
  <c r="T3461" i="6"/>
  <c r="S3461" i="6"/>
  <c r="R3461" i="6"/>
  <c r="Q3461" i="6"/>
  <c r="P3461" i="6"/>
  <c r="O3461" i="6"/>
  <c r="U3461" i="6" s="1"/>
  <c r="N3461" i="6"/>
  <c r="V3460" i="6"/>
  <c r="T3460" i="6"/>
  <c r="S3460" i="6"/>
  <c r="R3460" i="6"/>
  <c r="Q3460" i="6"/>
  <c r="P3460" i="6"/>
  <c r="O3460" i="6"/>
  <c r="U3460" i="6" s="1"/>
  <c r="N3460" i="6"/>
  <c r="V3459" i="6"/>
  <c r="T3459" i="6"/>
  <c r="S3459" i="6"/>
  <c r="R3459" i="6"/>
  <c r="Q3459" i="6"/>
  <c r="P3459" i="6"/>
  <c r="O3459" i="6"/>
  <c r="U3459" i="6" s="1"/>
  <c r="N3459" i="6"/>
  <c r="V3458" i="6"/>
  <c r="T3458" i="6"/>
  <c r="S3458" i="6"/>
  <c r="R3458" i="6"/>
  <c r="Q3458" i="6"/>
  <c r="P3458" i="6"/>
  <c r="O3458" i="6"/>
  <c r="U3458" i="6" s="1"/>
  <c r="N3458" i="6"/>
  <c r="V3457" i="6"/>
  <c r="T3457" i="6"/>
  <c r="S3457" i="6"/>
  <c r="R3457" i="6"/>
  <c r="Q3457" i="6"/>
  <c r="P3457" i="6"/>
  <c r="O3457" i="6"/>
  <c r="U3457" i="6" s="1"/>
  <c r="N3457" i="6"/>
  <c r="V3456" i="6"/>
  <c r="T3456" i="6"/>
  <c r="S3456" i="6"/>
  <c r="R3456" i="6"/>
  <c r="Q3456" i="6"/>
  <c r="P3456" i="6"/>
  <c r="O3456" i="6"/>
  <c r="U3456" i="6" s="1"/>
  <c r="N3456" i="6"/>
  <c r="V3455" i="6"/>
  <c r="T3455" i="6"/>
  <c r="S3455" i="6"/>
  <c r="R3455" i="6"/>
  <c r="Q3455" i="6"/>
  <c r="P3455" i="6"/>
  <c r="O3455" i="6"/>
  <c r="U3455" i="6" s="1"/>
  <c r="N3455" i="6"/>
  <c r="V3454" i="6"/>
  <c r="T3454" i="6"/>
  <c r="S3454" i="6"/>
  <c r="R3454" i="6"/>
  <c r="Q3454" i="6"/>
  <c r="P3454" i="6"/>
  <c r="O3454" i="6"/>
  <c r="U3454" i="6" s="1"/>
  <c r="N3454" i="6"/>
  <c r="V3453" i="6"/>
  <c r="T3453" i="6"/>
  <c r="S3453" i="6"/>
  <c r="R3453" i="6"/>
  <c r="Q3453" i="6"/>
  <c r="P3453" i="6"/>
  <c r="O3453" i="6"/>
  <c r="U3453" i="6" s="1"/>
  <c r="N3453" i="6"/>
  <c r="V3452" i="6"/>
  <c r="T3452" i="6"/>
  <c r="S3452" i="6"/>
  <c r="R3452" i="6"/>
  <c r="Q3452" i="6"/>
  <c r="P3452" i="6"/>
  <c r="O3452" i="6"/>
  <c r="U3452" i="6" s="1"/>
  <c r="N3452" i="6"/>
  <c r="V3451" i="6"/>
  <c r="T3451" i="6"/>
  <c r="S3451" i="6"/>
  <c r="R3451" i="6"/>
  <c r="Q3451" i="6"/>
  <c r="P3451" i="6"/>
  <c r="O3451" i="6"/>
  <c r="U3451" i="6" s="1"/>
  <c r="N3451" i="6"/>
  <c r="V3450" i="6"/>
  <c r="T3450" i="6"/>
  <c r="S3450" i="6"/>
  <c r="R3450" i="6"/>
  <c r="Q3450" i="6"/>
  <c r="P3450" i="6"/>
  <c r="O3450" i="6"/>
  <c r="U3450" i="6" s="1"/>
  <c r="N3450" i="6"/>
  <c r="V3449" i="6"/>
  <c r="T3449" i="6"/>
  <c r="S3449" i="6"/>
  <c r="R3449" i="6"/>
  <c r="Q3449" i="6"/>
  <c r="P3449" i="6"/>
  <c r="O3449" i="6"/>
  <c r="U3449" i="6" s="1"/>
  <c r="N3449" i="6"/>
  <c r="V3448" i="6"/>
  <c r="T3448" i="6"/>
  <c r="S3448" i="6"/>
  <c r="R3448" i="6"/>
  <c r="Q3448" i="6"/>
  <c r="P3448" i="6"/>
  <c r="O3448" i="6"/>
  <c r="U3448" i="6" s="1"/>
  <c r="N3448" i="6"/>
  <c r="V3447" i="6"/>
  <c r="T3447" i="6"/>
  <c r="S3447" i="6"/>
  <c r="R3447" i="6"/>
  <c r="Q3447" i="6"/>
  <c r="P3447" i="6"/>
  <c r="O3447" i="6"/>
  <c r="U3447" i="6" s="1"/>
  <c r="N3447" i="6"/>
  <c r="V3446" i="6"/>
  <c r="T3446" i="6"/>
  <c r="S3446" i="6"/>
  <c r="R3446" i="6"/>
  <c r="Q3446" i="6"/>
  <c r="P3446" i="6"/>
  <c r="O3446" i="6"/>
  <c r="U3446" i="6" s="1"/>
  <c r="N3446" i="6"/>
  <c r="V3445" i="6"/>
  <c r="T3445" i="6"/>
  <c r="S3445" i="6"/>
  <c r="R3445" i="6"/>
  <c r="Q3445" i="6"/>
  <c r="P3445" i="6"/>
  <c r="O3445" i="6"/>
  <c r="U3445" i="6" s="1"/>
  <c r="N3445" i="6"/>
  <c r="V3444" i="6"/>
  <c r="T3444" i="6"/>
  <c r="S3444" i="6"/>
  <c r="R3444" i="6"/>
  <c r="Q3444" i="6"/>
  <c r="P3444" i="6"/>
  <c r="O3444" i="6"/>
  <c r="U3444" i="6" s="1"/>
  <c r="N3444" i="6"/>
  <c r="V3443" i="6"/>
  <c r="T3443" i="6"/>
  <c r="S3443" i="6"/>
  <c r="R3443" i="6"/>
  <c r="Q3443" i="6"/>
  <c r="P3443" i="6"/>
  <c r="O3443" i="6"/>
  <c r="U3443" i="6" s="1"/>
  <c r="N3443" i="6"/>
  <c r="V3442" i="6"/>
  <c r="T3442" i="6"/>
  <c r="S3442" i="6"/>
  <c r="R3442" i="6"/>
  <c r="Q3442" i="6"/>
  <c r="P3442" i="6"/>
  <c r="O3442" i="6"/>
  <c r="U3442" i="6" s="1"/>
  <c r="N3442" i="6"/>
  <c r="V3441" i="6"/>
  <c r="T3441" i="6"/>
  <c r="S3441" i="6"/>
  <c r="R3441" i="6"/>
  <c r="Q3441" i="6"/>
  <c r="P3441" i="6"/>
  <c r="O3441" i="6"/>
  <c r="U3441" i="6" s="1"/>
  <c r="N3441" i="6"/>
  <c r="V3440" i="6"/>
  <c r="T3440" i="6"/>
  <c r="S3440" i="6"/>
  <c r="R3440" i="6"/>
  <c r="Q3440" i="6"/>
  <c r="P3440" i="6"/>
  <c r="O3440" i="6"/>
  <c r="U3440" i="6" s="1"/>
  <c r="N3440" i="6"/>
  <c r="V3439" i="6"/>
  <c r="T3439" i="6"/>
  <c r="S3439" i="6"/>
  <c r="R3439" i="6"/>
  <c r="Q3439" i="6"/>
  <c r="P3439" i="6"/>
  <c r="O3439" i="6"/>
  <c r="U3439" i="6" s="1"/>
  <c r="N3439" i="6"/>
  <c r="V3438" i="6"/>
  <c r="T3438" i="6"/>
  <c r="S3438" i="6"/>
  <c r="R3438" i="6"/>
  <c r="Q3438" i="6"/>
  <c r="P3438" i="6"/>
  <c r="O3438" i="6"/>
  <c r="U3438" i="6" s="1"/>
  <c r="N3438" i="6"/>
  <c r="V3437" i="6"/>
  <c r="T3437" i="6"/>
  <c r="S3437" i="6"/>
  <c r="R3437" i="6"/>
  <c r="Q3437" i="6"/>
  <c r="P3437" i="6"/>
  <c r="O3437" i="6"/>
  <c r="U3437" i="6" s="1"/>
  <c r="N3437" i="6"/>
  <c r="V3436" i="6"/>
  <c r="T3436" i="6"/>
  <c r="S3436" i="6"/>
  <c r="R3436" i="6"/>
  <c r="Q3436" i="6"/>
  <c r="P3436" i="6"/>
  <c r="O3436" i="6"/>
  <c r="U3436" i="6" s="1"/>
  <c r="N3436" i="6"/>
  <c r="V3435" i="6"/>
  <c r="T3435" i="6"/>
  <c r="S3435" i="6"/>
  <c r="R3435" i="6"/>
  <c r="Q3435" i="6"/>
  <c r="P3435" i="6"/>
  <c r="O3435" i="6"/>
  <c r="U3435" i="6" s="1"/>
  <c r="N3435" i="6"/>
  <c r="V3434" i="6"/>
  <c r="T3434" i="6"/>
  <c r="S3434" i="6"/>
  <c r="R3434" i="6"/>
  <c r="Q3434" i="6"/>
  <c r="P3434" i="6"/>
  <c r="O3434" i="6"/>
  <c r="U3434" i="6" s="1"/>
  <c r="N3434" i="6"/>
  <c r="V3433" i="6"/>
  <c r="T3433" i="6"/>
  <c r="S3433" i="6"/>
  <c r="R3433" i="6"/>
  <c r="Q3433" i="6"/>
  <c r="P3433" i="6"/>
  <c r="O3433" i="6"/>
  <c r="U3433" i="6" s="1"/>
  <c r="N3433" i="6"/>
  <c r="V3432" i="6"/>
  <c r="T3432" i="6"/>
  <c r="S3432" i="6"/>
  <c r="R3432" i="6"/>
  <c r="Q3432" i="6"/>
  <c r="P3432" i="6"/>
  <c r="O3432" i="6"/>
  <c r="U3432" i="6" s="1"/>
  <c r="N3432" i="6"/>
  <c r="V3431" i="6"/>
  <c r="T3431" i="6"/>
  <c r="S3431" i="6"/>
  <c r="R3431" i="6"/>
  <c r="Q3431" i="6"/>
  <c r="P3431" i="6"/>
  <c r="O3431" i="6"/>
  <c r="U3431" i="6" s="1"/>
  <c r="N3431" i="6"/>
  <c r="V3430" i="6"/>
  <c r="T3430" i="6"/>
  <c r="S3430" i="6"/>
  <c r="R3430" i="6"/>
  <c r="Q3430" i="6"/>
  <c r="P3430" i="6"/>
  <c r="O3430" i="6"/>
  <c r="U3430" i="6" s="1"/>
  <c r="N3430" i="6"/>
  <c r="V3429" i="6"/>
  <c r="T3429" i="6"/>
  <c r="S3429" i="6"/>
  <c r="R3429" i="6"/>
  <c r="Q3429" i="6"/>
  <c r="P3429" i="6"/>
  <c r="O3429" i="6"/>
  <c r="U3429" i="6" s="1"/>
  <c r="N3429" i="6"/>
  <c r="V3428" i="6"/>
  <c r="T3428" i="6"/>
  <c r="S3428" i="6"/>
  <c r="R3428" i="6"/>
  <c r="Q3428" i="6"/>
  <c r="P3428" i="6"/>
  <c r="O3428" i="6"/>
  <c r="U3428" i="6" s="1"/>
  <c r="N3428" i="6"/>
  <c r="V3427" i="6"/>
  <c r="T3427" i="6"/>
  <c r="S3427" i="6"/>
  <c r="R3427" i="6"/>
  <c r="Q3427" i="6"/>
  <c r="P3427" i="6"/>
  <c r="O3427" i="6"/>
  <c r="U3427" i="6" s="1"/>
  <c r="N3427" i="6"/>
  <c r="V3426" i="6"/>
  <c r="T3426" i="6"/>
  <c r="S3426" i="6"/>
  <c r="R3426" i="6"/>
  <c r="Q3426" i="6"/>
  <c r="P3426" i="6"/>
  <c r="O3426" i="6"/>
  <c r="U3426" i="6" s="1"/>
  <c r="N3426" i="6"/>
  <c r="V3425" i="6"/>
  <c r="T3425" i="6"/>
  <c r="S3425" i="6"/>
  <c r="R3425" i="6"/>
  <c r="Q3425" i="6"/>
  <c r="P3425" i="6"/>
  <c r="O3425" i="6"/>
  <c r="U3425" i="6" s="1"/>
  <c r="N3425" i="6"/>
  <c r="V3424" i="6"/>
  <c r="T3424" i="6"/>
  <c r="S3424" i="6"/>
  <c r="R3424" i="6"/>
  <c r="Q3424" i="6"/>
  <c r="P3424" i="6"/>
  <c r="O3424" i="6"/>
  <c r="U3424" i="6" s="1"/>
  <c r="N3424" i="6"/>
  <c r="V3423" i="6"/>
  <c r="T3423" i="6"/>
  <c r="S3423" i="6"/>
  <c r="R3423" i="6"/>
  <c r="Q3423" i="6"/>
  <c r="P3423" i="6"/>
  <c r="O3423" i="6"/>
  <c r="U3423" i="6" s="1"/>
  <c r="N3423" i="6"/>
  <c r="V3422" i="6"/>
  <c r="T3422" i="6"/>
  <c r="S3422" i="6"/>
  <c r="R3422" i="6"/>
  <c r="Q3422" i="6"/>
  <c r="P3422" i="6"/>
  <c r="O3422" i="6"/>
  <c r="U3422" i="6" s="1"/>
  <c r="N3422" i="6"/>
  <c r="V3421" i="6"/>
  <c r="T3421" i="6"/>
  <c r="S3421" i="6"/>
  <c r="R3421" i="6"/>
  <c r="Q3421" i="6"/>
  <c r="P3421" i="6"/>
  <c r="O3421" i="6"/>
  <c r="U3421" i="6" s="1"/>
  <c r="N3421" i="6"/>
  <c r="V3420" i="6"/>
  <c r="T3420" i="6"/>
  <c r="S3420" i="6"/>
  <c r="R3420" i="6"/>
  <c r="Q3420" i="6"/>
  <c r="P3420" i="6"/>
  <c r="O3420" i="6"/>
  <c r="U3420" i="6" s="1"/>
  <c r="N3420" i="6"/>
  <c r="V3419" i="6"/>
  <c r="T3419" i="6"/>
  <c r="S3419" i="6"/>
  <c r="R3419" i="6"/>
  <c r="Q3419" i="6"/>
  <c r="P3419" i="6"/>
  <c r="O3419" i="6"/>
  <c r="U3419" i="6" s="1"/>
  <c r="N3419" i="6"/>
  <c r="V3418" i="6"/>
  <c r="T3418" i="6"/>
  <c r="S3418" i="6"/>
  <c r="R3418" i="6"/>
  <c r="Q3418" i="6"/>
  <c r="P3418" i="6"/>
  <c r="O3418" i="6"/>
  <c r="U3418" i="6" s="1"/>
  <c r="N3418" i="6"/>
  <c r="V3417" i="6"/>
  <c r="T3417" i="6"/>
  <c r="S3417" i="6"/>
  <c r="R3417" i="6"/>
  <c r="Q3417" i="6"/>
  <c r="P3417" i="6"/>
  <c r="O3417" i="6"/>
  <c r="U3417" i="6" s="1"/>
  <c r="N3417" i="6"/>
  <c r="V3416" i="6"/>
  <c r="T3416" i="6"/>
  <c r="S3416" i="6"/>
  <c r="R3416" i="6"/>
  <c r="Q3416" i="6"/>
  <c r="P3416" i="6"/>
  <c r="O3416" i="6"/>
  <c r="U3416" i="6" s="1"/>
  <c r="N3416" i="6"/>
  <c r="V3415" i="6"/>
  <c r="T3415" i="6"/>
  <c r="S3415" i="6"/>
  <c r="R3415" i="6"/>
  <c r="Q3415" i="6"/>
  <c r="P3415" i="6"/>
  <c r="O3415" i="6"/>
  <c r="U3415" i="6" s="1"/>
  <c r="N3415" i="6"/>
  <c r="V3414" i="6"/>
  <c r="T3414" i="6"/>
  <c r="S3414" i="6"/>
  <c r="R3414" i="6"/>
  <c r="Q3414" i="6"/>
  <c r="P3414" i="6"/>
  <c r="O3414" i="6"/>
  <c r="U3414" i="6" s="1"/>
  <c r="N3414" i="6"/>
  <c r="V3413" i="6"/>
  <c r="T3413" i="6"/>
  <c r="S3413" i="6"/>
  <c r="R3413" i="6"/>
  <c r="Q3413" i="6"/>
  <c r="P3413" i="6"/>
  <c r="O3413" i="6"/>
  <c r="U3413" i="6" s="1"/>
  <c r="N3413" i="6"/>
  <c r="V3412" i="6"/>
  <c r="T3412" i="6"/>
  <c r="S3412" i="6"/>
  <c r="R3412" i="6"/>
  <c r="Q3412" i="6"/>
  <c r="P3412" i="6"/>
  <c r="O3412" i="6"/>
  <c r="U3412" i="6" s="1"/>
  <c r="N3412" i="6"/>
  <c r="V3411" i="6"/>
  <c r="T3411" i="6"/>
  <c r="S3411" i="6"/>
  <c r="R3411" i="6"/>
  <c r="Q3411" i="6"/>
  <c r="P3411" i="6"/>
  <c r="O3411" i="6"/>
  <c r="U3411" i="6" s="1"/>
  <c r="N3411" i="6"/>
  <c r="V3410" i="6"/>
  <c r="T3410" i="6"/>
  <c r="S3410" i="6"/>
  <c r="R3410" i="6"/>
  <c r="Q3410" i="6"/>
  <c r="P3410" i="6"/>
  <c r="O3410" i="6"/>
  <c r="U3410" i="6" s="1"/>
  <c r="N3410" i="6"/>
  <c r="V3409" i="6"/>
  <c r="T3409" i="6"/>
  <c r="S3409" i="6"/>
  <c r="R3409" i="6"/>
  <c r="Q3409" i="6"/>
  <c r="P3409" i="6"/>
  <c r="O3409" i="6"/>
  <c r="U3409" i="6" s="1"/>
  <c r="N3409" i="6"/>
  <c r="V3408" i="6"/>
  <c r="T3408" i="6"/>
  <c r="S3408" i="6"/>
  <c r="R3408" i="6"/>
  <c r="Q3408" i="6"/>
  <c r="P3408" i="6"/>
  <c r="O3408" i="6"/>
  <c r="U3408" i="6" s="1"/>
  <c r="N3408" i="6"/>
  <c r="V3407" i="6"/>
  <c r="T3407" i="6"/>
  <c r="S3407" i="6"/>
  <c r="R3407" i="6"/>
  <c r="Q3407" i="6"/>
  <c r="P3407" i="6"/>
  <c r="O3407" i="6"/>
  <c r="U3407" i="6" s="1"/>
  <c r="N3407" i="6"/>
  <c r="V3406" i="6"/>
  <c r="T3406" i="6"/>
  <c r="S3406" i="6"/>
  <c r="R3406" i="6"/>
  <c r="Q3406" i="6"/>
  <c r="P3406" i="6"/>
  <c r="O3406" i="6"/>
  <c r="U3406" i="6" s="1"/>
  <c r="N3406" i="6"/>
  <c r="V3405" i="6"/>
  <c r="T3405" i="6"/>
  <c r="S3405" i="6"/>
  <c r="R3405" i="6"/>
  <c r="Q3405" i="6"/>
  <c r="P3405" i="6"/>
  <c r="O3405" i="6"/>
  <c r="U3405" i="6" s="1"/>
  <c r="N3405" i="6"/>
  <c r="V3404" i="6"/>
  <c r="T3404" i="6"/>
  <c r="S3404" i="6"/>
  <c r="R3404" i="6"/>
  <c r="Q3404" i="6"/>
  <c r="P3404" i="6"/>
  <c r="O3404" i="6"/>
  <c r="U3404" i="6" s="1"/>
  <c r="N3404" i="6"/>
  <c r="V3403" i="6"/>
  <c r="T3403" i="6"/>
  <c r="S3403" i="6"/>
  <c r="R3403" i="6"/>
  <c r="Q3403" i="6"/>
  <c r="P3403" i="6"/>
  <c r="O3403" i="6"/>
  <c r="U3403" i="6" s="1"/>
  <c r="N3403" i="6"/>
  <c r="V3402" i="6"/>
  <c r="T3402" i="6"/>
  <c r="S3402" i="6"/>
  <c r="R3402" i="6"/>
  <c r="Q3402" i="6"/>
  <c r="P3402" i="6"/>
  <c r="O3402" i="6"/>
  <c r="U3402" i="6" s="1"/>
  <c r="N3402" i="6"/>
  <c r="V3401" i="6"/>
  <c r="T3401" i="6"/>
  <c r="S3401" i="6"/>
  <c r="R3401" i="6"/>
  <c r="Q3401" i="6"/>
  <c r="P3401" i="6"/>
  <c r="O3401" i="6"/>
  <c r="U3401" i="6" s="1"/>
  <c r="N3401" i="6"/>
  <c r="V3400" i="6"/>
  <c r="T3400" i="6"/>
  <c r="S3400" i="6"/>
  <c r="R3400" i="6"/>
  <c r="Q3400" i="6"/>
  <c r="P3400" i="6"/>
  <c r="O3400" i="6"/>
  <c r="U3400" i="6" s="1"/>
  <c r="N3400" i="6"/>
  <c r="V3399" i="6"/>
  <c r="T3399" i="6"/>
  <c r="S3399" i="6"/>
  <c r="R3399" i="6"/>
  <c r="Q3399" i="6"/>
  <c r="P3399" i="6"/>
  <c r="O3399" i="6"/>
  <c r="U3399" i="6" s="1"/>
  <c r="N3399" i="6"/>
  <c r="V3398" i="6"/>
  <c r="T3398" i="6"/>
  <c r="S3398" i="6"/>
  <c r="R3398" i="6"/>
  <c r="Q3398" i="6"/>
  <c r="P3398" i="6"/>
  <c r="O3398" i="6"/>
  <c r="U3398" i="6" s="1"/>
  <c r="N3398" i="6"/>
  <c r="V3397" i="6"/>
  <c r="T3397" i="6"/>
  <c r="S3397" i="6"/>
  <c r="R3397" i="6"/>
  <c r="Q3397" i="6"/>
  <c r="P3397" i="6"/>
  <c r="O3397" i="6"/>
  <c r="U3397" i="6" s="1"/>
  <c r="N3397" i="6"/>
  <c r="V3396" i="6"/>
  <c r="T3396" i="6"/>
  <c r="S3396" i="6"/>
  <c r="R3396" i="6"/>
  <c r="Q3396" i="6"/>
  <c r="P3396" i="6"/>
  <c r="O3396" i="6"/>
  <c r="U3396" i="6" s="1"/>
  <c r="N3396" i="6"/>
  <c r="V3395" i="6"/>
  <c r="T3395" i="6"/>
  <c r="S3395" i="6"/>
  <c r="R3395" i="6"/>
  <c r="Q3395" i="6"/>
  <c r="P3395" i="6"/>
  <c r="O3395" i="6"/>
  <c r="U3395" i="6" s="1"/>
  <c r="N3395" i="6"/>
  <c r="V3394" i="6"/>
  <c r="T3394" i="6"/>
  <c r="S3394" i="6"/>
  <c r="R3394" i="6"/>
  <c r="Q3394" i="6"/>
  <c r="P3394" i="6"/>
  <c r="O3394" i="6"/>
  <c r="U3394" i="6" s="1"/>
  <c r="N3394" i="6"/>
  <c r="V3393" i="6"/>
  <c r="T3393" i="6"/>
  <c r="S3393" i="6"/>
  <c r="R3393" i="6"/>
  <c r="Q3393" i="6"/>
  <c r="P3393" i="6"/>
  <c r="O3393" i="6"/>
  <c r="U3393" i="6" s="1"/>
  <c r="N3393" i="6"/>
  <c r="V3392" i="6"/>
  <c r="T3392" i="6"/>
  <c r="S3392" i="6"/>
  <c r="R3392" i="6"/>
  <c r="Q3392" i="6"/>
  <c r="P3392" i="6"/>
  <c r="O3392" i="6"/>
  <c r="U3392" i="6" s="1"/>
  <c r="N3392" i="6"/>
  <c r="V3391" i="6"/>
  <c r="T3391" i="6"/>
  <c r="S3391" i="6"/>
  <c r="R3391" i="6"/>
  <c r="Q3391" i="6"/>
  <c r="P3391" i="6"/>
  <c r="O3391" i="6"/>
  <c r="U3391" i="6" s="1"/>
  <c r="N3391" i="6"/>
  <c r="V3390" i="6"/>
  <c r="T3390" i="6"/>
  <c r="S3390" i="6"/>
  <c r="R3390" i="6"/>
  <c r="Q3390" i="6"/>
  <c r="P3390" i="6"/>
  <c r="O3390" i="6"/>
  <c r="U3390" i="6" s="1"/>
  <c r="N3390" i="6"/>
  <c r="V3389" i="6"/>
  <c r="T3389" i="6"/>
  <c r="S3389" i="6"/>
  <c r="R3389" i="6"/>
  <c r="Q3389" i="6"/>
  <c r="P3389" i="6"/>
  <c r="O3389" i="6"/>
  <c r="U3389" i="6" s="1"/>
  <c r="N3389" i="6"/>
  <c r="V3388" i="6"/>
  <c r="T3388" i="6"/>
  <c r="S3388" i="6"/>
  <c r="R3388" i="6"/>
  <c r="Q3388" i="6"/>
  <c r="P3388" i="6"/>
  <c r="O3388" i="6"/>
  <c r="U3388" i="6" s="1"/>
  <c r="N3388" i="6"/>
  <c r="V3387" i="6"/>
  <c r="T3387" i="6"/>
  <c r="S3387" i="6"/>
  <c r="R3387" i="6"/>
  <c r="Q3387" i="6"/>
  <c r="P3387" i="6"/>
  <c r="O3387" i="6"/>
  <c r="U3387" i="6" s="1"/>
  <c r="N3387" i="6"/>
  <c r="V3386" i="6"/>
  <c r="T3386" i="6"/>
  <c r="S3386" i="6"/>
  <c r="R3386" i="6"/>
  <c r="Q3386" i="6"/>
  <c r="P3386" i="6"/>
  <c r="O3386" i="6"/>
  <c r="U3386" i="6" s="1"/>
  <c r="N3386" i="6"/>
  <c r="V3385" i="6"/>
  <c r="T3385" i="6"/>
  <c r="S3385" i="6"/>
  <c r="R3385" i="6"/>
  <c r="Q3385" i="6"/>
  <c r="P3385" i="6"/>
  <c r="O3385" i="6"/>
  <c r="U3385" i="6" s="1"/>
  <c r="N3385" i="6"/>
  <c r="V3384" i="6"/>
  <c r="T3384" i="6"/>
  <c r="S3384" i="6"/>
  <c r="R3384" i="6"/>
  <c r="Q3384" i="6"/>
  <c r="P3384" i="6"/>
  <c r="O3384" i="6"/>
  <c r="U3384" i="6" s="1"/>
  <c r="N3384" i="6"/>
  <c r="V3383" i="6"/>
  <c r="T3383" i="6"/>
  <c r="S3383" i="6"/>
  <c r="R3383" i="6"/>
  <c r="Q3383" i="6"/>
  <c r="P3383" i="6"/>
  <c r="O3383" i="6"/>
  <c r="U3383" i="6" s="1"/>
  <c r="N3383" i="6"/>
  <c r="V3382" i="6"/>
  <c r="T3382" i="6"/>
  <c r="S3382" i="6"/>
  <c r="R3382" i="6"/>
  <c r="Q3382" i="6"/>
  <c r="P3382" i="6"/>
  <c r="O3382" i="6"/>
  <c r="U3382" i="6" s="1"/>
  <c r="N3382" i="6"/>
  <c r="V3381" i="6"/>
  <c r="T3381" i="6"/>
  <c r="S3381" i="6"/>
  <c r="R3381" i="6"/>
  <c r="Q3381" i="6"/>
  <c r="P3381" i="6"/>
  <c r="O3381" i="6"/>
  <c r="U3381" i="6" s="1"/>
  <c r="N3381" i="6"/>
  <c r="V3380" i="6"/>
  <c r="T3380" i="6"/>
  <c r="S3380" i="6"/>
  <c r="R3380" i="6"/>
  <c r="Q3380" i="6"/>
  <c r="P3380" i="6"/>
  <c r="O3380" i="6"/>
  <c r="U3380" i="6" s="1"/>
  <c r="N3380" i="6"/>
  <c r="V3379" i="6"/>
  <c r="T3379" i="6"/>
  <c r="S3379" i="6"/>
  <c r="R3379" i="6"/>
  <c r="Q3379" i="6"/>
  <c r="P3379" i="6"/>
  <c r="O3379" i="6"/>
  <c r="U3379" i="6" s="1"/>
  <c r="N3379" i="6"/>
  <c r="V3378" i="6"/>
  <c r="T3378" i="6"/>
  <c r="S3378" i="6"/>
  <c r="R3378" i="6"/>
  <c r="Q3378" i="6"/>
  <c r="P3378" i="6"/>
  <c r="O3378" i="6"/>
  <c r="U3378" i="6" s="1"/>
  <c r="N3378" i="6"/>
  <c r="V3377" i="6"/>
  <c r="T3377" i="6"/>
  <c r="S3377" i="6"/>
  <c r="R3377" i="6"/>
  <c r="Q3377" i="6"/>
  <c r="P3377" i="6"/>
  <c r="O3377" i="6"/>
  <c r="U3377" i="6" s="1"/>
  <c r="N3377" i="6"/>
  <c r="V3376" i="6"/>
  <c r="T3376" i="6"/>
  <c r="S3376" i="6"/>
  <c r="R3376" i="6"/>
  <c r="Q3376" i="6"/>
  <c r="P3376" i="6"/>
  <c r="O3376" i="6"/>
  <c r="U3376" i="6" s="1"/>
  <c r="N3376" i="6"/>
  <c r="V3375" i="6"/>
  <c r="T3375" i="6"/>
  <c r="S3375" i="6"/>
  <c r="R3375" i="6"/>
  <c r="Q3375" i="6"/>
  <c r="P3375" i="6"/>
  <c r="O3375" i="6"/>
  <c r="U3375" i="6" s="1"/>
  <c r="N3375" i="6"/>
  <c r="V3374" i="6"/>
  <c r="T3374" i="6"/>
  <c r="S3374" i="6"/>
  <c r="R3374" i="6"/>
  <c r="Q3374" i="6"/>
  <c r="P3374" i="6"/>
  <c r="O3374" i="6"/>
  <c r="U3374" i="6" s="1"/>
  <c r="N3374" i="6"/>
  <c r="V3373" i="6"/>
  <c r="T3373" i="6"/>
  <c r="S3373" i="6"/>
  <c r="R3373" i="6"/>
  <c r="Q3373" i="6"/>
  <c r="P3373" i="6"/>
  <c r="O3373" i="6"/>
  <c r="U3373" i="6" s="1"/>
  <c r="N3373" i="6"/>
  <c r="V3372" i="6"/>
  <c r="T3372" i="6"/>
  <c r="S3372" i="6"/>
  <c r="R3372" i="6"/>
  <c r="Q3372" i="6"/>
  <c r="P3372" i="6"/>
  <c r="O3372" i="6"/>
  <c r="U3372" i="6" s="1"/>
  <c r="N3372" i="6"/>
  <c r="V3371" i="6"/>
  <c r="T3371" i="6"/>
  <c r="S3371" i="6"/>
  <c r="R3371" i="6"/>
  <c r="Q3371" i="6"/>
  <c r="P3371" i="6"/>
  <c r="O3371" i="6"/>
  <c r="U3371" i="6" s="1"/>
  <c r="N3371" i="6"/>
  <c r="V3370" i="6"/>
  <c r="T3370" i="6"/>
  <c r="S3370" i="6"/>
  <c r="R3370" i="6"/>
  <c r="Q3370" i="6"/>
  <c r="P3370" i="6"/>
  <c r="O3370" i="6"/>
  <c r="U3370" i="6" s="1"/>
  <c r="N3370" i="6"/>
  <c r="V3369" i="6"/>
  <c r="T3369" i="6"/>
  <c r="S3369" i="6"/>
  <c r="R3369" i="6"/>
  <c r="Q3369" i="6"/>
  <c r="P3369" i="6"/>
  <c r="O3369" i="6"/>
  <c r="U3369" i="6" s="1"/>
  <c r="N3369" i="6"/>
  <c r="V3368" i="6"/>
  <c r="T3368" i="6"/>
  <c r="S3368" i="6"/>
  <c r="R3368" i="6"/>
  <c r="Q3368" i="6"/>
  <c r="P3368" i="6"/>
  <c r="O3368" i="6"/>
  <c r="U3368" i="6" s="1"/>
  <c r="N3368" i="6"/>
  <c r="V3367" i="6"/>
  <c r="T3367" i="6"/>
  <c r="S3367" i="6"/>
  <c r="R3367" i="6"/>
  <c r="Q3367" i="6"/>
  <c r="P3367" i="6"/>
  <c r="O3367" i="6"/>
  <c r="U3367" i="6" s="1"/>
  <c r="N3367" i="6"/>
  <c r="V3366" i="6"/>
  <c r="T3366" i="6"/>
  <c r="S3366" i="6"/>
  <c r="R3366" i="6"/>
  <c r="Q3366" i="6"/>
  <c r="P3366" i="6"/>
  <c r="O3366" i="6"/>
  <c r="U3366" i="6" s="1"/>
  <c r="N3366" i="6"/>
  <c r="V3365" i="6"/>
  <c r="T3365" i="6"/>
  <c r="S3365" i="6"/>
  <c r="R3365" i="6"/>
  <c r="Q3365" i="6"/>
  <c r="P3365" i="6"/>
  <c r="O3365" i="6"/>
  <c r="U3365" i="6" s="1"/>
  <c r="N3365" i="6"/>
  <c r="V3364" i="6"/>
  <c r="T3364" i="6"/>
  <c r="S3364" i="6"/>
  <c r="R3364" i="6"/>
  <c r="Q3364" i="6"/>
  <c r="P3364" i="6"/>
  <c r="O3364" i="6"/>
  <c r="U3364" i="6" s="1"/>
  <c r="N3364" i="6"/>
  <c r="V3363" i="6"/>
  <c r="T3363" i="6"/>
  <c r="S3363" i="6"/>
  <c r="R3363" i="6"/>
  <c r="Q3363" i="6"/>
  <c r="P3363" i="6"/>
  <c r="O3363" i="6"/>
  <c r="U3363" i="6" s="1"/>
  <c r="N3363" i="6"/>
  <c r="V3362" i="6"/>
  <c r="T3362" i="6"/>
  <c r="S3362" i="6"/>
  <c r="R3362" i="6"/>
  <c r="Q3362" i="6"/>
  <c r="P3362" i="6"/>
  <c r="O3362" i="6"/>
  <c r="U3362" i="6" s="1"/>
  <c r="N3362" i="6"/>
  <c r="V3361" i="6"/>
  <c r="T3361" i="6"/>
  <c r="S3361" i="6"/>
  <c r="R3361" i="6"/>
  <c r="Q3361" i="6"/>
  <c r="P3361" i="6"/>
  <c r="O3361" i="6"/>
  <c r="U3361" i="6" s="1"/>
  <c r="N3361" i="6"/>
  <c r="V3360" i="6"/>
  <c r="T3360" i="6"/>
  <c r="S3360" i="6"/>
  <c r="R3360" i="6"/>
  <c r="Q3360" i="6"/>
  <c r="P3360" i="6"/>
  <c r="O3360" i="6"/>
  <c r="U3360" i="6" s="1"/>
  <c r="N3360" i="6"/>
  <c r="V3359" i="6"/>
  <c r="T3359" i="6"/>
  <c r="S3359" i="6"/>
  <c r="R3359" i="6"/>
  <c r="Q3359" i="6"/>
  <c r="P3359" i="6"/>
  <c r="O3359" i="6"/>
  <c r="U3359" i="6" s="1"/>
  <c r="N3359" i="6"/>
  <c r="V3358" i="6"/>
  <c r="T3358" i="6"/>
  <c r="S3358" i="6"/>
  <c r="R3358" i="6"/>
  <c r="Q3358" i="6"/>
  <c r="P3358" i="6"/>
  <c r="O3358" i="6"/>
  <c r="U3358" i="6" s="1"/>
  <c r="N3358" i="6"/>
  <c r="V3357" i="6"/>
  <c r="T3357" i="6"/>
  <c r="S3357" i="6"/>
  <c r="R3357" i="6"/>
  <c r="Q3357" i="6"/>
  <c r="P3357" i="6"/>
  <c r="O3357" i="6"/>
  <c r="U3357" i="6" s="1"/>
  <c r="N3357" i="6"/>
  <c r="V3356" i="6"/>
  <c r="T3356" i="6"/>
  <c r="S3356" i="6"/>
  <c r="R3356" i="6"/>
  <c r="Q3356" i="6"/>
  <c r="P3356" i="6"/>
  <c r="O3356" i="6"/>
  <c r="U3356" i="6" s="1"/>
  <c r="N3356" i="6"/>
  <c r="V3355" i="6"/>
  <c r="T3355" i="6"/>
  <c r="S3355" i="6"/>
  <c r="R3355" i="6"/>
  <c r="Q3355" i="6"/>
  <c r="P3355" i="6"/>
  <c r="O3355" i="6"/>
  <c r="U3355" i="6" s="1"/>
  <c r="N3355" i="6"/>
  <c r="V3354" i="6"/>
  <c r="T3354" i="6"/>
  <c r="S3354" i="6"/>
  <c r="R3354" i="6"/>
  <c r="Q3354" i="6"/>
  <c r="P3354" i="6"/>
  <c r="O3354" i="6"/>
  <c r="U3354" i="6" s="1"/>
  <c r="N3354" i="6"/>
  <c r="V3353" i="6"/>
  <c r="T3353" i="6"/>
  <c r="S3353" i="6"/>
  <c r="R3353" i="6"/>
  <c r="Q3353" i="6"/>
  <c r="P3353" i="6"/>
  <c r="O3353" i="6"/>
  <c r="U3353" i="6" s="1"/>
  <c r="N3353" i="6"/>
  <c r="V3352" i="6"/>
  <c r="T3352" i="6"/>
  <c r="S3352" i="6"/>
  <c r="R3352" i="6"/>
  <c r="Q3352" i="6"/>
  <c r="P3352" i="6"/>
  <c r="O3352" i="6"/>
  <c r="U3352" i="6" s="1"/>
  <c r="N3352" i="6"/>
  <c r="V3351" i="6"/>
  <c r="T3351" i="6"/>
  <c r="S3351" i="6"/>
  <c r="R3351" i="6"/>
  <c r="Q3351" i="6"/>
  <c r="P3351" i="6"/>
  <c r="O3351" i="6"/>
  <c r="U3351" i="6" s="1"/>
  <c r="N3351" i="6"/>
  <c r="V3350" i="6"/>
  <c r="T3350" i="6"/>
  <c r="S3350" i="6"/>
  <c r="R3350" i="6"/>
  <c r="Q3350" i="6"/>
  <c r="P3350" i="6"/>
  <c r="O3350" i="6"/>
  <c r="U3350" i="6" s="1"/>
  <c r="N3350" i="6"/>
  <c r="V3349" i="6"/>
  <c r="T3349" i="6"/>
  <c r="S3349" i="6"/>
  <c r="R3349" i="6"/>
  <c r="Q3349" i="6"/>
  <c r="P3349" i="6"/>
  <c r="O3349" i="6"/>
  <c r="U3349" i="6" s="1"/>
  <c r="N3349" i="6"/>
  <c r="V3348" i="6"/>
  <c r="T3348" i="6"/>
  <c r="S3348" i="6"/>
  <c r="R3348" i="6"/>
  <c r="Q3348" i="6"/>
  <c r="P3348" i="6"/>
  <c r="O3348" i="6"/>
  <c r="U3348" i="6" s="1"/>
  <c r="N3348" i="6"/>
  <c r="V3347" i="6"/>
  <c r="T3347" i="6"/>
  <c r="S3347" i="6"/>
  <c r="R3347" i="6"/>
  <c r="Q3347" i="6"/>
  <c r="P3347" i="6"/>
  <c r="O3347" i="6"/>
  <c r="U3347" i="6" s="1"/>
  <c r="N3347" i="6"/>
  <c r="V3346" i="6"/>
  <c r="T3346" i="6"/>
  <c r="S3346" i="6"/>
  <c r="R3346" i="6"/>
  <c r="Q3346" i="6"/>
  <c r="P3346" i="6"/>
  <c r="O3346" i="6"/>
  <c r="U3346" i="6" s="1"/>
  <c r="N3346" i="6"/>
  <c r="V3345" i="6"/>
  <c r="T3345" i="6"/>
  <c r="S3345" i="6"/>
  <c r="R3345" i="6"/>
  <c r="Q3345" i="6"/>
  <c r="P3345" i="6"/>
  <c r="O3345" i="6"/>
  <c r="U3345" i="6" s="1"/>
  <c r="N3345" i="6"/>
  <c r="V3344" i="6"/>
  <c r="T3344" i="6"/>
  <c r="S3344" i="6"/>
  <c r="R3344" i="6"/>
  <c r="Q3344" i="6"/>
  <c r="P3344" i="6"/>
  <c r="O3344" i="6"/>
  <c r="U3344" i="6" s="1"/>
  <c r="N3344" i="6"/>
  <c r="V3343" i="6"/>
  <c r="T3343" i="6"/>
  <c r="S3343" i="6"/>
  <c r="R3343" i="6"/>
  <c r="Q3343" i="6"/>
  <c r="P3343" i="6"/>
  <c r="O3343" i="6"/>
  <c r="U3343" i="6" s="1"/>
  <c r="N3343" i="6"/>
  <c r="V3342" i="6"/>
  <c r="T3342" i="6"/>
  <c r="S3342" i="6"/>
  <c r="R3342" i="6"/>
  <c r="Q3342" i="6"/>
  <c r="P3342" i="6"/>
  <c r="O3342" i="6"/>
  <c r="U3342" i="6" s="1"/>
  <c r="N3342" i="6"/>
  <c r="V3341" i="6"/>
  <c r="T3341" i="6"/>
  <c r="S3341" i="6"/>
  <c r="R3341" i="6"/>
  <c r="Q3341" i="6"/>
  <c r="P3341" i="6"/>
  <c r="O3341" i="6"/>
  <c r="U3341" i="6" s="1"/>
  <c r="N3341" i="6"/>
  <c r="V3340" i="6"/>
  <c r="T3340" i="6"/>
  <c r="S3340" i="6"/>
  <c r="R3340" i="6"/>
  <c r="Q3340" i="6"/>
  <c r="P3340" i="6"/>
  <c r="O3340" i="6"/>
  <c r="U3340" i="6" s="1"/>
  <c r="N3340" i="6"/>
  <c r="V3339" i="6"/>
  <c r="T3339" i="6"/>
  <c r="S3339" i="6"/>
  <c r="R3339" i="6"/>
  <c r="Q3339" i="6"/>
  <c r="P3339" i="6"/>
  <c r="O3339" i="6"/>
  <c r="U3339" i="6" s="1"/>
  <c r="N3339" i="6"/>
  <c r="V3338" i="6"/>
  <c r="T3338" i="6"/>
  <c r="S3338" i="6"/>
  <c r="R3338" i="6"/>
  <c r="Q3338" i="6"/>
  <c r="P3338" i="6"/>
  <c r="O3338" i="6"/>
  <c r="U3338" i="6" s="1"/>
  <c r="N3338" i="6"/>
  <c r="V3337" i="6"/>
  <c r="T3337" i="6"/>
  <c r="S3337" i="6"/>
  <c r="R3337" i="6"/>
  <c r="Q3337" i="6"/>
  <c r="P3337" i="6"/>
  <c r="O3337" i="6"/>
  <c r="U3337" i="6" s="1"/>
  <c r="N3337" i="6"/>
  <c r="V3336" i="6"/>
  <c r="T3336" i="6"/>
  <c r="S3336" i="6"/>
  <c r="R3336" i="6"/>
  <c r="Q3336" i="6"/>
  <c r="P3336" i="6"/>
  <c r="O3336" i="6"/>
  <c r="U3336" i="6" s="1"/>
  <c r="N3336" i="6"/>
  <c r="V3335" i="6"/>
  <c r="T3335" i="6"/>
  <c r="S3335" i="6"/>
  <c r="R3335" i="6"/>
  <c r="Q3335" i="6"/>
  <c r="P3335" i="6"/>
  <c r="O3335" i="6"/>
  <c r="U3335" i="6" s="1"/>
  <c r="N3335" i="6"/>
  <c r="V3334" i="6"/>
  <c r="T3334" i="6"/>
  <c r="S3334" i="6"/>
  <c r="R3334" i="6"/>
  <c r="Q3334" i="6"/>
  <c r="P3334" i="6"/>
  <c r="O3334" i="6"/>
  <c r="U3334" i="6" s="1"/>
  <c r="N3334" i="6"/>
  <c r="V3333" i="6"/>
  <c r="T3333" i="6"/>
  <c r="S3333" i="6"/>
  <c r="R3333" i="6"/>
  <c r="Q3333" i="6"/>
  <c r="P3333" i="6"/>
  <c r="O3333" i="6"/>
  <c r="U3333" i="6" s="1"/>
  <c r="N3333" i="6"/>
  <c r="V3332" i="6"/>
  <c r="T3332" i="6"/>
  <c r="S3332" i="6"/>
  <c r="R3332" i="6"/>
  <c r="Q3332" i="6"/>
  <c r="P3332" i="6"/>
  <c r="O3332" i="6"/>
  <c r="U3332" i="6" s="1"/>
  <c r="N3332" i="6"/>
  <c r="V3331" i="6"/>
  <c r="T3331" i="6"/>
  <c r="S3331" i="6"/>
  <c r="R3331" i="6"/>
  <c r="Q3331" i="6"/>
  <c r="P3331" i="6"/>
  <c r="O3331" i="6"/>
  <c r="U3331" i="6" s="1"/>
  <c r="N3331" i="6"/>
  <c r="V3330" i="6"/>
  <c r="T3330" i="6"/>
  <c r="S3330" i="6"/>
  <c r="R3330" i="6"/>
  <c r="Q3330" i="6"/>
  <c r="P3330" i="6"/>
  <c r="O3330" i="6"/>
  <c r="U3330" i="6" s="1"/>
  <c r="N3330" i="6"/>
  <c r="V3329" i="6"/>
  <c r="T3329" i="6"/>
  <c r="S3329" i="6"/>
  <c r="R3329" i="6"/>
  <c r="Q3329" i="6"/>
  <c r="P3329" i="6"/>
  <c r="O3329" i="6"/>
  <c r="U3329" i="6" s="1"/>
  <c r="N3329" i="6"/>
  <c r="V3328" i="6"/>
  <c r="T3328" i="6"/>
  <c r="S3328" i="6"/>
  <c r="R3328" i="6"/>
  <c r="Q3328" i="6"/>
  <c r="P3328" i="6"/>
  <c r="O3328" i="6"/>
  <c r="U3328" i="6" s="1"/>
  <c r="N3328" i="6"/>
  <c r="V3327" i="6"/>
  <c r="T3327" i="6"/>
  <c r="S3327" i="6"/>
  <c r="R3327" i="6"/>
  <c r="Q3327" i="6"/>
  <c r="P3327" i="6"/>
  <c r="O3327" i="6"/>
  <c r="U3327" i="6" s="1"/>
  <c r="N3327" i="6"/>
  <c r="V3326" i="6"/>
  <c r="T3326" i="6"/>
  <c r="S3326" i="6"/>
  <c r="R3326" i="6"/>
  <c r="Q3326" i="6"/>
  <c r="P3326" i="6"/>
  <c r="O3326" i="6"/>
  <c r="U3326" i="6" s="1"/>
  <c r="N3326" i="6"/>
  <c r="V3325" i="6"/>
  <c r="T3325" i="6"/>
  <c r="S3325" i="6"/>
  <c r="R3325" i="6"/>
  <c r="Q3325" i="6"/>
  <c r="P3325" i="6"/>
  <c r="O3325" i="6"/>
  <c r="U3325" i="6" s="1"/>
  <c r="N3325" i="6"/>
  <c r="V3324" i="6"/>
  <c r="T3324" i="6"/>
  <c r="S3324" i="6"/>
  <c r="R3324" i="6"/>
  <c r="Q3324" i="6"/>
  <c r="P3324" i="6"/>
  <c r="O3324" i="6"/>
  <c r="U3324" i="6" s="1"/>
  <c r="N3324" i="6"/>
  <c r="V3323" i="6"/>
  <c r="T3323" i="6"/>
  <c r="S3323" i="6"/>
  <c r="R3323" i="6"/>
  <c r="Q3323" i="6"/>
  <c r="P3323" i="6"/>
  <c r="O3323" i="6"/>
  <c r="U3323" i="6" s="1"/>
  <c r="N3323" i="6"/>
  <c r="V3322" i="6"/>
  <c r="T3322" i="6"/>
  <c r="S3322" i="6"/>
  <c r="R3322" i="6"/>
  <c r="Q3322" i="6"/>
  <c r="P3322" i="6"/>
  <c r="O3322" i="6"/>
  <c r="U3322" i="6" s="1"/>
  <c r="N3322" i="6"/>
  <c r="V3321" i="6"/>
  <c r="T3321" i="6"/>
  <c r="S3321" i="6"/>
  <c r="R3321" i="6"/>
  <c r="Q3321" i="6"/>
  <c r="P3321" i="6"/>
  <c r="O3321" i="6"/>
  <c r="U3321" i="6" s="1"/>
  <c r="N3321" i="6"/>
  <c r="V3320" i="6"/>
  <c r="T3320" i="6"/>
  <c r="S3320" i="6"/>
  <c r="R3320" i="6"/>
  <c r="Q3320" i="6"/>
  <c r="P3320" i="6"/>
  <c r="O3320" i="6"/>
  <c r="U3320" i="6" s="1"/>
  <c r="N3320" i="6"/>
  <c r="V3319" i="6"/>
  <c r="T3319" i="6"/>
  <c r="S3319" i="6"/>
  <c r="R3319" i="6"/>
  <c r="Q3319" i="6"/>
  <c r="P3319" i="6"/>
  <c r="O3319" i="6"/>
  <c r="U3319" i="6" s="1"/>
  <c r="N3319" i="6"/>
  <c r="V3318" i="6"/>
  <c r="T3318" i="6"/>
  <c r="S3318" i="6"/>
  <c r="R3318" i="6"/>
  <c r="Q3318" i="6"/>
  <c r="P3318" i="6"/>
  <c r="O3318" i="6"/>
  <c r="U3318" i="6" s="1"/>
  <c r="N3318" i="6"/>
  <c r="V3317" i="6"/>
  <c r="T3317" i="6"/>
  <c r="S3317" i="6"/>
  <c r="R3317" i="6"/>
  <c r="Q3317" i="6"/>
  <c r="P3317" i="6"/>
  <c r="O3317" i="6"/>
  <c r="U3317" i="6" s="1"/>
  <c r="N3317" i="6"/>
  <c r="V3316" i="6"/>
  <c r="T3316" i="6"/>
  <c r="S3316" i="6"/>
  <c r="R3316" i="6"/>
  <c r="Q3316" i="6"/>
  <c r="P3316" i="6"/>
  <c r="O3316" i="6"/>
  <c r="U3316" i="6" s="1"/>
  <c r="N3316" i="6"/>
  <c r="V3315" i="6"/>
  <c r="T3315" i="6"/>
  <c r="S3315" i="6"/>
  <c r="R3315" i="6"/>
  <c r="Q3315" i="6"/>
  <c r="P3315" i="6"/>
  <c r="O3315" i="6"/>
  <c r="U3315" i="6" s="1"/>
  <c r="N3315" i="6"/>
  <c r="V3314" i="6"/>
  <c r="T3314" i="6"/>
  <c r="S3314" i="6"/>
  <c r="R3314" i="6"/>
  <c r="Q3314" i="6"/>
  <c r="P3314" i="6"/>
  <c r="O3314" i="6"/>
  <c r="U3314" i="6" s="1"/>
  <c r="N3314" i="6"/>
  <c r="V3313" i="6"/>
  <c r="T3313" i="6"/>
  <c r="S3313" i="6"/>
  <c r="R3313" i="6"/>
  <c r="Q3313" i="6"/>
  <c r="P3313" i="6"/>
  <c r="O3313" i="6"/>
  <c r="U3313" i="6" s="1"/>
  <c r="N3313" i="6"/>
  <c r="V3312" i="6"/>
  <c r="T3312" i="6"/>
  <c r="S3312" i="6"/>
  <c r="R3312" i="6"/>
  <c r="Q3312" i="6"/>
  <c r="P3312" i="6"/>
  <c r="O3312" i="6"/>
  <c r="U3312" i="6" s="1"/>
  <c r="N3312" i="6"/>
  <c r="V3311" i="6"/>
  <c r="T3311" i="6"/>
  <c r="S3311" i="6"/>
  <c r="R3311" i="6"/>
  <c r="Q3311" i="6"/>
  <c r="P3311" i="6"/>
  <c r="O3311" i="6"/>
  <c r="U3311" i="6" s="1"/>
  <c r="N3311" i="6"/>
  <c r="V3310" i="6"/>
  <c r="T3310" i="6"/>
  <c r="S3310" i="6"/>
  <c r="R3310" i="6"/>
  <c r="Q3310" i="6"/>
  <c r="P3310" i="6"/>
  <c r="O3310" i="6"/>
  <c r="U3310" i="6" s="1"/>
  <c r="N3310" i="6"/>
  <c r="V3309" i="6"/>
  <c r="T3309" i="6"/>
  <c r="S3309" i="6"/>
  <c r="R3309" i="6"/>
  <c r="Q3309" i="6"/>
  <c r="P3309" i="6"/>
  <c r="O3309" i="6"/>
  <c r="U3309" i="6" s="1"/>
  <c r="N3309" i="6"/>
  <c r="V3308" i="6"/>
  <c r="T3308" i="6"/>
  <c r="S3308" i="6"/>
  <c r="R3308" i="6"/>
  <c r="Q3308" i="6"/>
  <c r="P3308" i="6"/>
  <c r="O3308" i="6"/>
  <c r="U3308" i="6" s="1"/>
  <c r="N3308" i="6"/>
  <c r="V3307" i="6"/>
  <c r="T3307" i="6"/>
  <c r="S3307" i="6"/>
  <c r="R3307" i="6"/>
  <c r="Q3307" i="6"/>
  <c r="P3307" i="6"/>
  <c r="O3307" i="6"/>
  <c r="U3307" i="6" s="1"/>
  <c r="N3307" i="6"/>
  <c r="V3306" i="6"/>
  <c r="T3306" i="6"/>
  <c r="S3306" i="6"/>
  <c r="R3306" i="6"/>
  <c r="Q3306" i="6"/>
  <c r="P3306" i="6"/>
  <c r="O3306" i="6"/>
  <c r="U3306" i="6" s="1"/>
  <c r="N3306" i="6"/>
  <c r="V3305" i="6"/>
  <c r="T3305" i="6"/>
  <c r="S3305" i="6"/>
  <c r="R3305" i="6"/>
  <c r="Q3305" i="6"/>
  <c r="P3305" i="6"/>
  <c r="O3305" i="6"/>
  <c r="U3305" i="6" s="1"/>
  <c r="N3305" i="6"/>
  <c r="V3304" i="6"/>
  <c r="T3304" i="6"/>
  <c r="S3304" i="6"/>
  <c r="R3304" i="6"/>
  <c r="Q3304" i="6"/>
  <c r="P3304" i="6"/>
  <c r="O3304" i="6"/>
  <c r="U3304" i="6" s="1"/>
  <c r="N3304" i="6"/>
  <c r="V3303" i="6"/>
  <c r="T3303" i="6"/>
  <c r="S3303" i="6"/>
  <c r="R3303" i="6"/>
  <c r="Q3303" i="6"/>
  <c r="P3303" i="6"/>
  <c r="O3303" i="6"/>
  <c r="U3303" i="6" s="1"/>
  <c r="N3303" i="6"/>
  <c r="V3302" i="6"/>
  <c r="T3302" i="6"/>
  <c r="S3302" i="6"/>
  <c r="R3302" i="6"/>
  <c r="Q3302" i="6"/>
  <c r="P3302" i="6"/>
  <c r="O3302" i="6"/>
  <c r="U3302" i="6" s="1"/>
  <c r="N3302" i="6"/>
  <c r="V3301" i="6"/>
  <c r="T3301" i="6"/>
  <c r="S3301" i="6"/>
  <c r="R3301" i="6"/>
  <c r="Q3301" i="6"/>
  <c r="P3301" i="6"/>
  <c r="O3301" i="6"/>
  <c r="U3301" i="6" s="1"/>
  <c r="N3301" i="6"/>
  <c r="V3300" i="6"/>
  <c r="T3300" i="6"/>
  <c r="S3300" i="6"/>
  <c r="R3300" i="6"/>
  <c r="Q3300" i="6"/>
  <c r="P3300" i="6"/>
  <c r="O3300" i="6"/>
  <c r="U3300" i="6" s="1"/>
  <c r="N3300" i="6"/>
  <c r="V3299" i="6"/>
  <c r="T3299" i="6"/>
  <c r="S3299" i="6"/>
  <c r="R3299" i="6"/>
  <c r="Q3299" i="6"/>
  <c r="P3299" i="6"/>
  <c r="O3299" i="6"/>
  <c r="U3299" i="6" s="1"/>
  <c r="N3299" i="6"/>
  <c r="V3298" i="6"/>
  <c r="T3298" i="6"/>
  <c r="S3298" i="6"/>
  <c r="R3298" i="6"/>
  <c r="Q3298" i="6"/>
  <c r="P3298" i="6"/>
  <c r="O3298" i="6"/>
  <c r="U3298" i="6" s="1"/>
  <c r="N3298" i="6"/>
  <c r="V3297" i="6"/>
  <c r="T3297" i="6"/>
  <c r="S3297" i="6"/>
  <c r="R3297" i="6"/>
  <c r="Q3297" i="6"/>
  <c r="P3297" i="6"/>
  <c r="O3297" i="6"/>
  <c r="U3297" i="6" s="1"/>
  <c r="N3297" i="6"/>
  <c r="V3296" i="6"/>
  <c r="T3296" i="6"/>
  <c r="S3296" i="6"/>
  <c r="R3296" i="6"/>
  <c r="Q3296" i="6"/>
  <c r="P3296" i="6"/>
  <c r="O3296" i="6"/>
  <c r="U3296" i="6" s="1"/>
  <c r="N3296" i="6"/>
  <c r="V3295" i="6"/>
  <c r="T3295" i="6"/>
  <c r="S3295" i="6"/>
  <c r="R3295" i="6"/>
  <c r="Q3295" i="6"/>
  <c r="P3295" i="6"/>
  <c r="O3295" i="6"/>
  <c r="U3295" i="6" s="1"/>
  <c r="N3295" i="6"/>
  <c r="V3294" i="6"/>
  <c r="T3294" i="6"/>
  <c r="S3294" i="6"/>
  <c r="R3294" i="6"/>
  <c r="Q3294" i="6"/>
  <c r="P3294" i="6"/>
  <c r="O3294" i="6"/>
  <c r="U3294" i="6" s="1"/>
  <c r="N3294" i="6"/>
  <c r="V3293" i="6"/>
  <c r="T3293" i="6"/>
  <c r="S3293" i="6"/>
  <c r="R3293" i="6"/>
  <c r="Q3293" i="6"/>
  <c r="P3293" i="6"/>
  <c r="O3293" i="6"/>
  <c r="U3293" i="6" s="1"/>
  <c r="N3293" i="6"/>
  <c r="V3292" i="6"/>
  <c r="T3292" i="6"/>
  <c r="S3292" i="6"/>
  <c r="R3292" i="6"/>
  <c r="Q3292" i="6"/>
  <c r="P3292" i="6"/>
  <c r="O3292" i="6"/>
  <c r="U3292" i="6" s="1"/>
  <c r="N3292" i="6"/>
  <c r="V3291" i="6"/>
  <c r="T3291" i="6"/>
  <c r="S3291" i="6"/>
  <c r="R3291" i="6"/>
  <c r="Q3291" i="6"/>
  <c r="P3291" i="6"/>
  <c r="O3291" i="6"/>
  <c r="U3291" i="6" s="1"/>
  <c r="N3291" i="6"/>
  <c r="V3290" i="6"/>
  <c r="T3290" i="6"/>
  <c r="S3290" i="6"/>
  <c r="R3290" i="6"/>
  <c r="Q3290" i="6"/>
  <c r="P3290" i="6"/>
  <c r="O3290" i="6"/>
  <c r="U3290" i="6" s="1"/>
  <c r="N3290" i="6"/>
  <c r="V3289" i="6"/>
  <c r="T3289" i="6"/>
  <c r="S3289" i="6"/>
  <c r="R3289" i="6"/>
  <c r="Q3289" i="6"/>
  <c r="P3289" i="6"/>
  <c r="O3289" i="6"/>
  <c r="U3289" i="6" s="1"/>
  <c r="N3289" i="6"/>
  <c r="V3288" i="6"/>
  <c r="T3288" i="6"/>
  <c r="S3288" i="6"/>
  <c r="R3288" i="6"/>
  <c r="Q3288" i="6"/>
  <c r="P3288" i="6"/>
  <c r="O3288" i="6"/>
  <c r="U3288" i="6" s="1"/>
  <c r="N3288" i="6"/>
  <c r="V3287" i="6"/>
  <c r="T3287" i="6"/>
  <c r="S3287" i="6"/>
  <c r="R3287" i="6"/>
  <c r="Q3287" i="6"/>
  <c r="P3287" i="6"/>
  <c r="O3287" i="6"/>
  <c r="U3287" i="6" s="1"/>
  <c r="N3287" i="6"/>
  <c r="V3286" i="6"/>
  <c r="T3286" i="6"/>
  <c r="S3286" i="6"/>
  <c r="R3286" i="6"/>
  <c r="Q3286" i="6"/>
  <c r="P3286" i="6"/>
  <c r="O3286" i="6"/>
  <c r="U3286" i="6" s="1"/>
  <c r="N3286" i="6"/>
  <c r="V3285" i="6"/>
  <c r="T3285" i="6"/>
  <c r="S3285" i="6"/>
  <c r="R3285" i="6"/>
  <c r="Q3285" i="6"/>
  <c r="P3285" i="6"/>
  <c r="O3285" i="6"/>
  <c r="U3285" i="6" s="1"/>
  <c r="N3285" i="6"/>
  <c r="V3284" i="6"/>
  <c r="T3284" i="6"/>
  <c r="S3284" i="6"/>
  <c r="R3284" i="6"/>
  <c r="Q3284" i="6"/>
  <c r="P3284" i="6"/>
  <c r="O3284" i="6"/>
  <c r="U3284" i="6" s="1"/>
  <c r="N3284" i="6"/>
  <c r="V3283" i="6"/>
  <c r="T3283" i="6"/>
  <c r="S3283" i="6"/>
  <c r="R3283" i="6"/>
  <c r="Q3283" i="6"/>
  <c r="P3283" i="6"/>
  <c r="O3283" i="6"/>
  <c r="U3283" i="6" s="1"/>
  <c r="N3283" i="6"/>
  <c r="V3282" i="6"/>
  <c r="T3282" i="6"/>
  <c r="S3282" i="6"/>
  <c r="R3282" i="6"/>
  <c r="Q3282" i="6"/>
  <c r="P3282" i="6"/>
  <c r="O3282" i="6"/>
  <c r="U3282" i="6" s="1"/>
  <c r="N3282" i="6"/>
  <c r="V3281" i="6"/>
  <c r="T3281" i="6"/>
  <c r="S3281" i="6"/>
  <c r="R3281" i="6"/>
  <c r="Q3281" i="6"/>
  <c r="P3281" i="6"/>
  <c r="O3281" i="6"/>
  <c r="U3281" i="6" s="1"/>
  <c r="N3281" i="6"/>
  <c r="V3280" i="6"/>
  <c r="T3280" i="6"/>
  <c r="S3280" i="6"/>
  <c r="R3280" i="6"/>
  <c r="Q3280" i="6"/>
  <c r="P3280" i="6"/>
  <c r="O3280" i="6"/>
  <c r="U3280" i="6" s="1"/>
  <c r="N3280" i="6"/>
  <c r="V3279" i="6"/>
  <c r="T3279" i="6"/>
  <c r="S3279" i="6"/>
  <c r="R3279" i="6"/>
  <c r="Q3279" i="6"/>
  <c r="P3279" i="6"/>
  <c r="O3279" i="6"/>
  <c r="U3279" i="6" s="1"/>
  <c r="N3279" i="6"/>
  <c r="V3278" i="6"/>
  <c r="T3278" i="6"/>
  <c r="S3278" i="6"/>
  <c r="R3278" i="6"/>
  <c r="Q3278" i="6"/>
  <c r="P3278" i="6"/>
  <c r="O3278" i="6"/>
  <c r="U3278" i="6" s="1"/>
  <c r="N3278" i="6"/>
  <c r="V3277" i="6"/>
  <c r="T3277" i="6"/>
  <c r="S3277" i="6"/>
  <c r="R3277" i="6"/>
  <c r="Q3277" i="6"/>
  <c r="P3277" i="6"/>
  <c r="O3277" i="6"/>
  <c r="U3277" i="6" s="1"/>
  <c r="N3277" i="6"/>
  <c r="V3276" i="6"/>
  <c r="T3276" i="6"/>
  <c r="S3276" i="6"/>
  <c r="R3276" i="6"/>
  <c r="Q3276" i="6"/>
  <c r="P3276" i="6"/>
  <c r="O3276" i="6"/>
  <c r="U3276" i="6" s="1"/>
  <c r="N3276" i="6"/>
  <c r="V3275" i="6"/>
  <c r="T3275" i="6"/>
  <c r="S3275" i="6"/>
  <c r="R3275" i="6"/>
  <c r="Q3275" i="6"/>
  <c r="P3275" i="6"/>
  <c r="O3275" i="6"/>
  <c r="U3275" i="6" s="1"/>
  <c r="N3275" i="6"/>
  <c r="V3274" i="6"/>
  <c r="T3274" i="6"/>
  <c r="S3274" i="6"/>
  <c r="R3274" i="6"/>
  <c r="Q3274" i="6"/>
  <c r="P3274" i="6"/>
  <c r="O3274" i="6"/>
  <c r="U3274" i="6" s="1"/>
  <c r="N3274" i="6"/>
  <c r="V3273" i="6"/>
  <c r="T3273" i="6"/>
  <c r="S3273" i="6"/>
  <c r="R3273" i="6"/>
  <c r="Q3273" i="6"/>
  <c r="P3273" i="6"/>
  <c r="O3273" i="6"/>
  <c r="U3273" i="6" s="1"/>
  <c r="N3273" i="6"/>
  <c r="V3272" i="6"/>
  <c r="T3272" i="6"/>
  <c r="S3272" i="6"/>
  <c r="R3272" i="6"/>
  <c r="Q3272" i="6"/>
  <c r="P3272" i="6"/>
  <c r="O3272" i="6"/>
  <c r="U3272" i="6" s="1"/>
  <c r="N3272" i="6"/>
  <c r="V3271" i="6"/>
  <c r="T3271" i="6"/>
  <c r="S3271" i="6"/>
  <c r="R3271" i="6"/>
  <c r="Q3271" i="6"/>
  <c r="P3271" i="6"/>
  <c r="O3271" i="6"/>
  <c r="U3271" i="6" s="1"/>
  <c r="N3271" i="6"/>
  <c r="V3270" i="6"/>
  <c r="T3270" i="6"/>
  <c r="S3270" i="6"/>
  <c r="R3270" i="6"/>
  <c r="Q3270" i="6"/>
  <c r="P3270" i="6"/>
  <c r="O3270" i="6"/>
  <c r="U3270" i="6" s="1"/>
  <c r="N3270" i="6"/>
  <c r="V3269" i="6"/>
  <c r="T3269" i="6"/>
  <c r="S3269" i="6"/>
  <c r="R3269" i="6"/>
  <c r="Q3269" i="6"/>
  <c r="P3269" i="6"/>
  <c r="O3269" i="6"/>
  <c r="U3269" i="6" s="1"/>
  <c r="N3269" i="6"/>
  <c r="V3268" i="6"/>
  <c r="T3268" i="6"/>
  <c r="S3268" i="6"/>
  <c r="R3268" i="6"/>
  <c r="Q3268" i="6"/>
  <c r="P3268" i="6"/>
  <c r="O3268" i="6"/>
  <c r="U3268" i="6" s="1"/>
  <c r="N3268" i="6"/>
  <c r="V3267" i="6"/>
  <c r="T3267" i="6"/>
  <c r="S3267" i="6"/>
  <c r="R3267" i="6"/>
  <c r="Q3267" i="6"/>
  <c r="P3267" i="6"/>
  <c r="O3267" i="6"/>
  <c r="U3267" i="6" s="1"/>
  <c r="N3267" i="6"/>
  <c r="V3266" i="6"/>
  <c r="T3266" i="6"/>
  <c r="S3266" i="6"/>
  <c r="R3266" i="6"/>
  <c r="Q3266" i="6"/>
  <c r="P3266" i="6"/>
  <c r="O3266" i="6"/>
  <c r="U3266" i="6" s="1"/>
  <c r="N3266" i="6"/>
  <c r="V3265" i="6"/>
  <c r="T3265" i="6"/>
  <c r="S3265" i="6"/>
  <c r="R3265" i="6"/>
  <c r="Q3265" i="6"/>
  <c r="P3265" i="6"/>
  <c r="O3265" i="6"/>
  <c r="U3265" i="6" s="1"/>
  <c r="N3265" i="6"/>
  <c r="V3264" i="6"/>
  <c r="T3264" i="6"/>
  <c r="S3264" i="6"/>
  <c r="R3264" i="6"/>
  <c r="Q3264" i="6"/>
  <c r="P3264" i="6"/>
  <c r="O3264" i="6"/>
  <c r="U3264" i="6" s="1"/>
  <c r="N3264" i="6"/>
  <c r="V3263" i="6"/>
  <c r="T3263" i="6"/>
  <c r="S3263" i="6"/>
  <c r="R3263" i="6"/>
  <c r="Q3263" i="6"/>
  <c r="P3263" i="6"/>
  <c r="O3263" i="6"/>
  <c r="U3263" i="6" s="1"/>
  <c r="N3263" i="6"/>
  <c r="V3262" i="6"/>
  <c r="T3262" i="6"/>
  <c r="S3262" i="6"/>
  <c r="R3262" i="6"/>
  <c r="Q3262" i="6"/>
  <c r="P3262" i="6"/>
  <c r="O3262" i="6"/>
  <c r="U3262" i="6" s="1"/>
  <c r="N3262" i="6"/>
  <c r="V3261" i="6"/>
  <c r="T3261" i="6"/>
  <c r="S3261" i="6"/>
  <c r="R3261" i="6"/>
  <c r="Q3261" i="6"/>
  <c r="P3261" i="6"/>
  <c r="O3261" i="6"/>
  <c r="U3261" i="6" s="1"/>
  <c r="N3261" i="6"/>
  <c r="V3260" i="6"/>
  <c r="T3260" i="6"/>
  <c r="S3260" i="6"/>
  <c r="R3260" i="6"/>
  <c r="Q3260" i="6"/>
  <c r="P3260" i="6"/>
  <c r="O3260" i="6"/>
  <c r="U3260" i="6" s="1"/>
  <c r="N3260" i="6"/>
  <c r="V3259" i="6"/>
  <c r="T3259" i="6"/>
  <c r="S3259" i="6"/>
  <c r="R3259" i="6"/>
  <c r="Q3259" i="6"/>
  <c r="P3259" i="6"/>
  <c r="O3259" i="6"/>
  <c r="U3259" i="6" s="1"/>
  <c r="N3259" i="6"/>
  <c r="V3258" i="6"/>
  <c r="T3258" i="6"/>
  <c r="S3258" i="6"/>
  <c r="R3258" i="6"/>
  <c r="Q3258" i="6"/>
  <c r="P3258" i="6"/>
  <c r="O3258" i="6"/>
  <c r="U3258" i="6" s="1"/>
  <c r="N3258" i="6"/>
  <c r="V3257" i="6"/>
  <c r="T3257" i="6"/>
  <c r="S3257" i="6"/>
  <c r="R3257" i="6"/>
  <c r="Q3257" i="6"/>
  <c r="P3257" i="6"/>
  <c r="O3257" i="6"/>
  <c r="U3257" i="6" s="1"/>
  <c r="N3257" i="6"/>
  <c r="V3256" i="6"/>
  <c r="T3256" i="6"/>
  <c r="S3256" i="6"/>
  <c r="R3256" i="6"/>
  <c r="Q3256" i="6"/>
  <c r="P3256" i="6"/>
  <c r="O3256" i="6"/>
  <c r="U3256" i="6" s="1"/>
  <c r="N3256" i="6"/>
  <c r="V3255" i="6"/>
  <c r="T3255" i="6"/>
  <c r="S3255" i="6"/>
  <c r="R3255" i="6"/>
  <c r="Q3255" i="6"/>
  <c r="P3255" i="6"/>
  <c r="O3255" i="6"/>
  <c r="U3255" i="6" s="1"/>
  <c r="N3255" i="6"/>
  <c r="V3254" i="6"/>
  <c r="T3254" i="6"/>
  <c r="S3254" i="6"/>
  <c r="R3254" i="6"/>
  <c r="Q3254" i="6"/>
  <c r="P3254" i="6"/>
  <c r="O3254" i="6"/>
  <c r="U3254" i="6" s="1"/>
  <c r="N3254" i="6"/>
  <c r="V3253" i="6"/>
  <c r="T3253" i="6"/>
  <c r="S3253" i="6"/>
  <c r="R3253" i="6"/>
  <c r="Q3253" i="6"/>
  <c r="P3253" i="6"/>
  <c r="O3253" i="6"/>
  <c r="U3253" i="6" s="1"/>
  <c r="N3253" i="6"/>
  <c r="V3252" i="6"/>
  <c r="T3252" i="6"/>
  <c r="S3252" i="6"/>
  <c r="R3252" i="6"/>
  <c r="Q3252" i="6"/>
  <c r="P3252" i="6"/>
  <c r="O3252" i="6"/>
  <c r="U3252" i="6" s="1"/>
  <c r="N3252" i="6"/>
  <c r="V3251" i="6"/>
  <c r="T3251" i="6"/>
  <c r="S3251" i="6"/>
  <c r="R3251" i="6"/>
  <c r="Q3251" i="6"/>
  <c r="P3251" i="6"/>
  <c r="O3251" i="6"/>
  <c r="U3251" i="6" s="1"/>
  <c r="N3251" i="6"/>
  <c r="V3250" i="6"/>
  <c r="T3250" i="6"/>
  <c r="S3250" i="6"/>
  <c r="R3250" i="6"/>
  <c r="Q3250" i="6"/>
  <c r="P3250" i="6"/>
  <c r="O3250" i="6"/>
  <c r="U3250" i="6" s="1"/>
  <c r="N3250" i="6"/>
  <c r="V3249" i="6"/>
  <c r="T3249" i="6"/>
  <c r="S3249" i="6"/>
  <c r="R3249" i="6"/>
  <c r="Q3249" i="6"/>
  <c r="P3249" i="6"/>
  <c r="O3249" i="6"/>
  <c r="U3249" i="6" s="1"/>
  <c r="N3249" i="6"/>
  <c r="V3248" i="6"/>
  <c r="T3248" i="6"/>
  <c r="S3248" i="6"/>
  <c r="R3248" i="6"/>
  <c r="Q3248" i="6"/>
  <c r="P3248" i="6"/>
  <c r="O3248" i="6"/>
  <c r="U3248" i="6" s="1"/>
  <c r="N3248" i="6"/>
  <c r="V3247" i="6"/>
  <c r="T3247" i="6"/>
  <c r="S3247" i="6"/>
  <c r="R3247" i="6"/>
  <c r="Q3247" i="6"/>
  <c r="P3247" i="6"/>
  <c r="O3247" i="6"/>
  <c r="U3247" i="6" s="1"/>
  <c r="N3247" i="6"/>
  <c r="V3246" i="6"/>
  <c r="T3246" i="6"/>
  <c r="S3246" i="6"/>
  <c r="R3246" i="6"/>
  <c r="Q3246" i="6"/>
  <c r="P3246" i="6"/>
  <c r="O3246" i="6"/>
  <c r="U3246" i="6" s="1"/>
  <c r="N3246" i="6"/>
  <c r="V3245" i="6"/>
  <c r="T3245" i="6"/>
  <c r="S3245" i="6"/>
  <c r="R3245" i="6"/>
  <c r="Q3245" i="6"/>
  <c r="P3245" i="6"/>
  <c r="O3245" i="6"/>
  <c r="U3245" i="6" s="1"/>
  <c r="N3245" i="6"/>
  <c r="V3244" i="6"/>
  <c r="T3244" i="6"/>
  <c r="S3244" i="6"/>
  <c r="R3244" i="6"/>
  <c r="Q3244" i="6"/>
  <c r="P3244" i="6"/>
  <c r="O3244" i="6"/>
  <c r="U3244" i="6" s="1"/>
  <c r="N3244" i="6"/>
  <c r="V3243" i="6"/>
  <c r="T3243" i="6"/>
  <c r="S3243" i="6"/>
  <c r="R3243" i="6"/>
  <c r="Q3243" i="6"/>
  <c r="P3243" i="6"/>
  <c r="O3243" i="6"/>
  <c r="U3243" i="6" s="1"/>
  <c r="N3243" i="6"/>
  <c r="V3242" i="6"/>
  <c r="T3242" i="6"/>
  <c r="S3242" i="6"/>
  <c r="R3242" i="6"/>
  <c r="Q3242" i="6"/>
  <c r="P3242" i="6"/>
  <c r="O3242" i="6"/>
  <c r="U3242" i="6" s="1"/>
  <c r="N3242" i="6"/>
  <c r="V3241" i="6"/>
  <c r="T3241" i="6"/>
  <c r="S3241" i="6"/>
  <c r="R3241" i="6"/>
  <c r="Q3241" i="6"/>
  <c r="P3241" i="6"/>
  <c r="O3241" i="6"/>
  <c r="U3241" i="6" s="1"/>
  <c r="N3241" i="6"/>
  <c r="V3240" i="6"/>
  <c r="T3240" i="6"/>
  <c r="S3240" i="6"/>
  <c r="R3240" i="6"/>
  <c r="Q3240" i="6"/>
  <c r="P3240" i="6"/>
  <c r="O3240" i="6"/>
  <c r="U3240" i="6" s="1"/>
  <c r="N3240" i="6"/>
  <c r="V3239" i="6"/>
  <c r="T3239" i="6"/>
  <c r="S3239" i="6"/>
  <c r="R3239" i="6"/>
  <c r="Q3239" i="6"/>
  <c r="P3239" i="6"/>
  <c r="O3239" i="6"/>
  <c r="U3239" i="6" s="1"/>
  <c r="N3239" i="6"/>
  <c r="V3238" i="6"/>
  <c r="T3238" i="6"/>
  <c r="S3238" i="6"/>
  <c r="R3238" i="6"/>
  <c r="Q3238" i="6"/>
  <c r="P3238" i="6"/>
  <c r="O3238" i="6"/>
  <c r="U3238" i="6" s="1"/>
  <c r="N3238" i="6"/>
  <c r="V3237" i="6"/>
  <c r="T3237" i="6"/>
  <c r="S3237" i="6"/>
  <c r="R3237" i="6"/>
  <c r="Q3237" i="6"/>
  <c r="P3237" i="6"/>
  <c r="O3237" i="6"/>
  <c r="U3237" i="6" s="1"/>
  <c r="N3237" i="6"/>
  <c r="V3236" i="6"/>
  <c r="T3236" i="6"/>
  <c r="S3236" i="6"/>
  <c r="R3236" i="6"/>
  <c r="Q3236" i="6"/>
  <c r="P3236" i="6"/>
  <c r="O3236" i="6"/>
  <c r="U3236" i="6" s="1"/>
  <c r="N3236" i="6"/>
  <c r="V3235" i="6"/>
  <c r="T3235" i="6"/>
  <c r="S3235" i="6"/>
  <c r="R3235" i="6"/>
  <c r="Q3235" i="6"/>
  <c r="P3235" i="6"/>
  <c r="O3235" i="6"/>
  <c r="U3235" i="6" s="1"/>
  <c r="N3235" i="6"/>
  <c r="V3234" i="6"/>
  <c r="T3234" i="6"/>
  <c r="S3234" i="6"/>
  <c r="R3234" i="6"/>
  <c r="Q3234" i="6"/>
  <c r="P3234" i="6"/>
  <c r="O3234" i="6"/>
  <c r="U3234" i="6" s="1"/>
  <c r="N3234" i="6"/>
  <c r="V3233" i="6"/>
  <c r="T3233" i="6"/>
  <c r="S3233" i="6"/>
  <c r="R3233" i="6"/>
  <c r="Q3233" i="6"/>
  <c r="P3233" i="6"/>
  <c r="O3233" i="6"/>
  <c r="U3233" i="6" s="1"/>
  <c r="N3233" i="6"/>
  <c r="V3232" i="6"/>
  <c r="T3232" i="6"/>
  <c r="S3232" i="6"/>
  <c r="R3232" i="6"/>
  <c r="Q3232" i="6"/>
  <c r="P3232" i="6"/>
  <c r="O3232" i="6"/>
  <c r="U3232" i="6" s="1"/>
  <c r="N3232" i="6"/>
  <c r="V3231" i="6"/>
  <c r="T3231" i="6"/>
  <c r="S3231" i="6"/>
  <c r="R3231" i="6"/>
  <c r="Q3231" i="6"/>
  <c r="P3231" i="6"/>
  <c r="O3231" i="6"/>
  <c r="U3231" i="6" s="1"/>
  <c r="N3231" i="6"/>
  <c r="V3230" i="6"/>
  <c r="T3230" i="6"/>
  <c r="S3230" i="6"/>
  <c r="R3230" i="6"/>
  <c r="Q3230" i="6"/>
  <c r="P3230" i="6"/>
  <c r="O3230" i="6"/>
  <c r="U3230" i="6" s="1"/>
  <c r="N3230" i="6"/>
  <c r="V3229" i="6"/>
  <c r="T3229" i="6"/>
  <c r="S3229" i="6"/>
  <c r="R3229" i="6"/>
  <c r="Q3229" i="6"/>
  <c r="P3229" i="6"/>
  <c r="O3229" i="6"/>
  <c r="U3229" i="6" s="1"/>
  <c r="N3229" i="6"/>
  <c r="V3228" i="6"/>
  <c r="T3228" i="6"/>
  <c r="S3228" i="6"/>
  <c r="R3228" i="6"/>
  <c r="Q3228" i="6"/>
  <c r="P3228" i="6"/>
  <c r="O3228" i="6"/>
  <c r="U3228" i="6" s="1"/>
  <c r="N3228" i="6"/>
  <c r="V3227" i="6"/>
  <c r="T3227" i="6"/>
  <c r="S3227" i="6"/>
  <c r="R3227" i="6"/>
  <c r="Q3227" i="6"/>
  <c r="P3227" i="6"/>
  <c r="O3227" i="6"/>
  <c r="U3227" i="6" s="1"/>
  <c r="N3227" i="6"/>
  <c r="V3226" i="6"/>
  <c r="T3226" i="6"/>
  <c r="S3226" i="6"/>
  <c r="R3226" i="6"/>
  <c r="Q3226" i="6"/>
  <c r="P3226" i="6"/>
  <c r="O3226" i="6"/>
  <c r="U3226" i="6" s="1"/>
  <c r="N3226" i="6"/>
  <c r="V3225" i="6"/>
  <c r="T3225" i="6"/>
  <c r="S3225" i="6"/>
  <c r="R3225" i="6"/>
  <c r="Q3225" i="6"/>
  <c r="P3225" i="6"/>
  <c r="O3225" i="6"/>
  <c r="U3225" i="6" s="1"/>
  <c r="N3225" i="6"/>
  <c r="V3224" i="6"/>
  <c r="T3224" i="6"/>
  <c r="S3224" i="6"/>
  <c r="R3224" i="6"/>
  <c r="Q3224" i="6"/>
  <c r="P3224" i="6"/>
  <c r="O3224" i="6"/>
  <c r="U3224" i="6" s="1"/>
  <c r="N3224" i="6"/>
  <c r="V3223" i="6"/>
  <c r="T3223" i="6"/>
  <c r="S3223" i="6"/>
  <c r="R3223" i="6"/>
  <c r="Q3223" i="6"/>
  <c r="P3223" i="6"/>
  <c r="O3223" i="6"/>
  <c r="U3223" i="6" s="1"/>
  <c r="N3223" i="6"/>
  <c r="V3222" i="6"/>
  <c r="T3222" i="6"/>
  <c r="S3222" i="6"/>
  <c r="R3222" i="6"/>
  <c r="Q3222" i="6"/>
  <c r="P3222" i="6"/>
  <c r="O3222" i="6"/>
  <c r="U3222" i="6" s="1"/>
  <c r="N3222" i="6"/>
  <c r="V3221" i="6"/>
  <c r="T3221" i="6"/>
  <c r="S3221" i="6"/>
  <c r="R3221" i="6"/>
  <c r="Q3221" i="6"/>
  <c r="P3221" i="6"/>
  <c r="O3221" i="6"/>
  <c r="U3221" i="6" s="1"/>
  <c r="N3221" i="6"/>
  <c r="V3220" i="6"/>
  <c r="T3220" i="6"/>
  <c r="S3220" i="6"/>
  <c r="R3220" i="6"/>
  <c r="Q3220" i="6"/>
  <c r="P3220" i="6"/>
  <c r="O3220" i="6"/>
  <c r="U3220" i="6" s="1"/>
  <c r="N3220" i="6"/>
  <c r="V3219" i="6"/>
  <c r="T3219" i="6"/>
  <c r="S3219" i="6"/>
  <c r="R3219" i="6"/>
  <c r="Q3219" i="6"/>
  <c r="P3219" i="6"/>
  <c r="O3219" i="6"/>
  <c r="U3219" i="6" s="1"/>
  <c r="N3219" i="6"/>
  <c r="V3218" i="6"/>
  <c r="T3218" i="6"/>
  <c r="S3218" i="6"/>
  <c r="R3218" i="6"/>
  <c r="Q3218" i="6"/>
  <c r="P3218" i="6"/>
  <c r="O3218" i="6"/>
  <c r="U3218" i="6" s="1"/>
  <c r="N3218" i="6"/>
  <c r="V3217" i="6"/>
  <c r="T3217" i="6"/>
  <c r="S3217" i="6"/>
  <c r="R3217" i="6"/>
  <c r="Q3217" i="6"/>
  <c r="P3217" i="6"/>
  <c r="O3217" i="6"/>
  <c r="U3217" i="6" s="1"/>
  <c r="N3217" i="6"/>
  <c r="V3216" i="6"/>
  <c r="T3216" i="6"/>
  <c r="S3216" i="6"/>
  <c r="R3216" i="6"/>
  <c r="Q3216" i="6"/>
  <c r="P3216" i="6"/>
  <c r="O3216" i="6"/>
  <c r="U3216" i="6" s="1"/>
  <c r="N3216" i="6"/>
  <c r="V3215" i="6"/>
  <c r="T3215" i="6"/>
  <c r="S3215" i="6"/>
  <c r="R3215" i="6"/>
  <c r="Q3215" i="6"/>
  <c r="P3215" i="6"/>
  <c r="O3215" i="6"/>
  <c r="U3215" i="6" s="1"/>
  <c r="N3215" i="6"/>
  <c r="V3214" i="6"/>
  <c r="T3214" i="6"/>
  <c r="S3214" i="6"/>
  <c r="R3214" i="6"/>
  <c r="Q3214" i="6"/>
  <c r="P3214" i="6"/>
  <c r="O3214" i="6"/>
  <c r="U3214" i="6" s="1"/>
  <c r="N3214" i="6"/>
  <c r="V3213" i="6"/>
  <c r="T3213" i="6"/>
  <c r="S3213" i="6"/>
  <c r="R3213" i="6"/>
  <c r="Q3213" i="6"/>
  <c r="P3213" i="6"/>
  <c r="O3213" i="6"/>
  <c r="U3213" i="6" s="1"/>
  <c r="N3213" i="6"/>
  <c r="V3212" i="6"/>
  <c r="T3212" i="6"/>
  <c r="S3212" i="6"/>
  <c r="R3212" i="6"/>
  <c r="Q3212" i="6"/>
  <c r="P3212" i="6"/>
  <c r="O3212" i="6"/>
  <c r="U3212" i="6" s="1"/>
  <c r="N3212" i="6"/>
  <c r="V3211" i="6"/>
  <c r="T3211" i="6"/>
  <c r="S3211" i="6"/>
  <c r="R3211" i="6"/>
  <c r="Q3211" i="6"/>
  <c r="P3211" i="6"/>
  <c r="O3211" i="6"/>
  <c r="U3211" i="6" s="1"/>
  <c r="N3211" i="6"/>
  <c r="V3210" i="6"/>
  <c r="T3210" i="6"/>
  <c r="S3210" i="6"/>
  <c r="R3210" i="6"/>
  <c r="Q3210" i="6"/>
  <c r="P3210" i="6"/>
  <c r="O3210" i="6"/>
  <c r="U3210" i="6" s="1"/>
  <c r="N3210" i="6"/>
  <c r="V3209" i="6"/>
  <c r="T3209" i="6"/>
  <c r="S3209" i="6"/>
  <c r="R3209" i="6"/>
  <c r="Q3209" i="6"/>
  <c r="P3209" i="6"/>
  <c r="O3209" i="6"/>
  <c r="U3209" i="6" s="1"/>
  <c r="N3209" i="6"/>
  <c r="V3208" i="6"/>
  <c r="T3208" i="6"/>
  <c r="S3208" i="6"/>
  <c r="R3208" i="6"/>
  <c r="Q3208" i="6"/>
  <c r="P3208" i="6"/>
  <c r="O3208" i="6"/>
  <c r="U3208" i="6" s="1"/>
  <c r="N3208" i="6"/>
  <c r="V3207" i="6"/>
  <c r="T3207" i="6"/>
  <c r="S3207" i="6"/>
  <c r="R3207" i="6"/>
  <c r="Q3207" i="6"/>
  <c r="P3207" i="6"/>
  <c r="O3207" i="6"/>
  <c r="U3207" i="6" s="1"/>
  <c r="N3207" i="6"/>
  <c r="V3206" i="6"/>
  <c r="T3206" i="6"/>
  <c r="S3206" i="6"/>
  <c r="R3206" i="6"/>
  <c r="Q3206" i="6"/>
  <c r="P3206" i="6"/>
  <c r="O3206" i="6"/>
  <c r="U3206" i="6" s="1"/>
  <c r="N3206" i="6"/>
  <c r="V3205" i="6"/>
  <c r="T3205" i="6"/>
  <c r="S3205" i="6"/>
  <c r="R3205" i="6"/>
  <c r="Q3205" i="6"/>
  <c r="P3205" i="6"/>
  <c r="O3205" i="6"/>
  <c r="U3205" i="6" s="1"/>
  <c r="N3205" i="6"/>
  <c r="V3204" i="6"/>
  <c r="T3204" i="6"/>
  <c r="S3204" i="6"/>
  <c r="R3204" i="6"/>
  <c r="Q3204" i="6"/>
  <c r="P3204" i="6"/>
  <c r="O3204" i="6"/>
  <c r="U3204" i="6" s="1"/>
  <c r="N3204" i="6"/>
  <c r="V3203" i="6"/>
  <c r="T3203" i="6"/>
  <c r="S3203" i="6"/>
  <c r="R3203" i="6"/>
  <c r="Q3203" i="6"/>
  <c r="P3203" i="6"/>
  <c r="O3203" i="6"/>
  <c r="U3203" i="6" s="1"/>
  <c r="N3203" i="6"/>
  <c r="V3202" i="6"/>
  <c r="T3202" i="6"/>
  <c r="S3202" i="6"/>
  <c r="R3202" i="6"/>
  <c r="Q3202" i="6"/>
  <c r="P3202" i="6"/>
  <c r="O3202" i="6"/>
  <c r="U3202" i="6" s="1"/>
  <c r="N3202" i="6"/>
  <c r="V3201" i="6"/>
  <c r="T3201" i="6"/>
  <c r="S3201" i="6"/>
  <c r="R3201" i="6"/>
  <c r="Q3201" i="6"/>
  <c r="P3201" i="6"/>
  <c r="O3201" i="6"/>
  <c r="U3201" i="6" s="1"/>
  <c r="N3201" i="6"/>
  <c r="V3200" i="6"/>
  <c r="T3200" i="6"/>
  <c r="S3200" i="6"/>
  <c r="R3200" i="6"/>
  <c r="Q3200" i="6"/>
  <c r="P3200" i="6"/>
  <c r="O3200" i="6"/>
  <c r="U3200" i="6" s="1"/>
  <c r="N3200" i="6"/>
  <c r="V3199" i="6"/>
  <c r="T3199" i="6"/>
  <c r="S3199" i="6"/>
  <c r="R3199" i="6"/>
  <c r="Q3199" i="6"/>
  <c r="P3199" i="6"/>
  <c r="O3199" i="6"/>
  <c r="U3199" i="6" s="1"/>
  <c r="N3199" i="6"/>
  <c r="V3198" i="6"/>
  <c r="T3198" i="6"/>
  <c r="S3198" i="6"/>
  <c r="R3198" i="6"/>
  <c r="Q3198" i="6"/>
  <c r="P3198" i="6"/>
  <c r="O3198" i="6"/>
  <c r="U3198" i="6" s="1"/>
  <c r="N3198" i="6"/>
  <c r="V3197" i="6"/>
  <c r="T3197" i="6"/>
  <c r="S3197" i="6"/>
  <c r="R3197" i="6"/>
  <c r="Q3197" i="6"/>
  <c r="P3197" i="6"/>
  <c r="O3197" i="6"/>
  <c r="U3197" i="6" s="1"/>
  <c r="N3197" i="6"/>
  <c r="V3196" i="6"/>
  <c r="T3196" i="6"/>
  <c r="S3196" i="6"/>
  <c r="R3196" i="6"/>
  <c r="Q3196" i="6"/>
  <c r="P3196" i="6"/>
  <c r="O3196" i="6"/>
  <c r="U3196" i="6" s="1"/>
  <c r="N3196" i="6"/>
  <c r="V3195" i="6"/>
  <c r="T3195" i="6"/>
  <c r="S3195" i="6"/>
  <c r="R3195" i="6"/>
  <c r="Q3195" i="6"/>
  <c r="P3195" i="6"/>
  <c r="O3195" i="6"/>
  <c r="U3195" i="6" s="1"/>
  <c r="N3195" i="6"/>
  <c r="V3194" i="6"/>
  <c r="T3194" i="6"/>
  <c r="S3194" i="6"/>
  <c r="R3194" i="6"/>
  <c r="Q3194" i="6"/>
  <c r="P3194" i="6"/>
  <c r="O3194" i="6"/>
  <c r="U3194" i="6" s="1"/>
  <c r="N3194" i="6"/>
  <c r="V3193" i="6"/>
  <c r="T3193" i="6"/>
  <c r="S3193" i="6"/>
  <c r="R3193" i="6"/>
  <c r="Q3193" i="6"/>
  <c r="P3193" i="6"/>
  <c r="O3193" i="6"/>
  <c r="U3193" i="6" s="1"/>
  <c r="N3193" i="6"/>
  <c r="V3192" i="6"/>
  <c r="T3192" i="6"/>
  <c r="S3192" i="6"/>
  <c r="R3192" i="6"/>
  <c r="Q3192" i="6"/>
  <c r="P3192" i="6"/>
  <c r="O3192" i="6"/>
  <c r="U3192" i="6" s="1"/>
  <c r="N3192" i="6"/>
  <c r="V3191" i="6"/>
  <c r="T3191" i="6"/>
  <c r="S3191" i="6"/>
  <c r="R3191" i="6"/>
  <c r="Q3191" i="6"/>
  <c r="P3191" i="6"/>
  <c r="O3191" i="6"/>
  <c r="U3191" i="6" s="1"/>
  <c r="N3191" i="6"/>
  <c r="V3190" i="6"/>
  <c r="T3190" i="6"/>
  <c r="S3190" i="6"/>
  <c r="R3190" i="6"/>
  <c r="Q3190" i="6"/>
  <c r="P3190" i="6"/>
  <c r="O3190" i="6"/>
  <c r="U3190" i="6" s="1"/>
  <c r="N3190" i="6"/>
  <c r="V3189" i="6"/>
  <c r="T3189" i="6"/>
  <c r="S3189" i="6"/>
  <c r="R3189" i="6"/>
  <c r="Q3189" i="6"/>
  <c r="P3189" i="6"/>
  <c r="O3189" i="6"/>
  <c r="U3189" i="6" s="1"/>
  <c r="N3189" i="6"/>
  <c r="V3188" i="6"/>
  <c r="T3188" i="6"/>
  <c r="S3188" i="6"/>
  <c r="R3188" i="6"/>
  <c r="Q3188" i="6"/>
  <c r="P3188" i="6"/>
  <c r="O3188" i="6"/>
  <c r="U3188" i="6" s="1"/>
  <c r="N3188" i="6"/>
  <c r="V3187" i="6"/>
  <c r="T3187" i="6"/>
  <c r="S3187" i="6"/>
  <c r="R3187" i="6"/>
  <c r="Q3187" i="6"/>
  <c r="P3187" i="6"/>
  <c r="O3187" i="6"/>
  <c r="U3187" i="6" s="1"/>
  <c r="N3187" i="6"/>
  <c r="V3186" i="6"/>
  <c r="T3186" i="6"/>
  <c r="S3186" i="6"/>
  <c r="R3186" i="6"/>
  <c r="Q3186" i="6"/>
  <c r="P3186" i="6"/>
  <c r="O3186" i="6"/>
  <c r="U3186" i="6" s="1"/>
  <c r="N3186" i="6"/>
  <c r="V3185" i="6"/>
  <c r="T3185" i="6"/>
  <c r="S3185" i="6"/>
  <c r="R3185" i="6"/>
  <c r="Q3185" i="6"/>
  <c r="P3185" i="6"/>
  <c r="O3185" i="6"/>
  <c r="U3185" i="6" s="1"/>
  <c r="N3185" i="6"/>
  <c r="V3184" i="6"/>
  <c r="T3184" i="6"/>
  <c r="S3184" i="6"/>
  <c r="R3184" i="6"/>
  <c r="Q3184" i="6"/>
  <c r="P3184" i="6"/>
  <c r="O3184" i="6"/>
  <c r="U3184" i="6" s="1"/>
  <c r="N3184" i="6"/>
  <c r="V3183" i="6"/>
  <c r="T3183" i="6"/>
  <c r="S3183" i="6"/>
  <c r="R3183" i="6"/>
  <c r="Q3183" i="6"/>
  <c r="P3183" i="6"/>
  <c r="O3183" i="6"/>
  <c r="U3183" i="6" s="1"/>
  <c r="N3183" i="6"/>
  <c r="V3182" i="6"/>
  <c r="T3182" i="6"/>
  <c r="S3182" i="6"/>
  <c r="R3182" i="6"/>
  <c r="Q3182" i="6"/>
  <c r="P3182" i="6"/>
  <c r="O3182" i="6"/>
  <c r="U3182" i="6" s="1"/>
  <c r="N3182" i="6"/>
  <c r="V3181" i="6"/>
  <c r="T3181" i="6"/>
  <c r="S3181" i="6"/>
  <c r="R3181" i="6"/>
  <c r="Q3181" i="6"/>
  <c r="P3181" i="6"/>
  <c r="O3181" i="6"/>
  <c r="U3181" i="6" s="1"/>
  <c r="N3181" i="6"/>
  <c r="V3180" i="6"/>
  <c r="T3180" i="6"/>
  <c r="S3180" i="6"/>
  <c r="R3180" i="6"/>
  <c r="Q3180" i="6"/>
  <c r="P3180" i="6"/>
  <c r="O3180" i="6"/>
  <c r="U3180" i="6" s="1"/>
  <c r="N3180" i="6"/>
  <c r="V3179" i="6"/>
  <c r="T3179" i="6"/>
  <c r="S3179" i="6"/>
  <c r="R3179" i="6"/>
  <c r="Q3179" i="6"/>
  <c r="P3179" i="6"/>
  <c r="O3179" i="6"/>
  <c r="U3179" i="6" s="1"/>
  <c r="N3179" i="6"/>
  <c r="V3178" i="6"/>
  <c r="T3178" i="6"/>
  <c r="S3178" i="6"/>
  <c r="R3178" i="6"/>
  <c r="Q3178" i="6"/>
  <c r="P3178" i="6"/>
  <c r="O3178" i="6"/>
  <c r="U3178" i="6" s="1"/>
  <c r="N3178" i="6"/>
  <c r="V3177" i="6"/>
  <c r="T3177" i="6"/>
  <c r="S3177" i="6"/>
  <c r="R3177" i="6"/>
  <c r="Q3177" i="6"/>
  <c r="P3177" i="6"/>
  <c r="O3177" i="6"/>
  <c r="U3177" i="6" s="1"/>
  <c r="N3177" i="6"/>
  <c r="V3176" i="6"/>
  <c r="T3176" i="6"/>
  <c r="S3176" i="6"/>
  <c r="R3176" i="6"/>
  <c r="Q3176" i="6"/>
  <c r="P3176" i="6"/>
  <c r="O3176" i="6"/>
  <c r="U3176" i="6" s="1"/>
  <c r="N3176" i="6"/>
  <c r="V3175" i="6"/>
  <c r="T3175" i="6"/>
  <c r="S3175" i="6"/>
  <c r="R3175" i="6"/>
  <c r="Q3175" i="6"/>
  <c r="P3175" i="6"/>
  <c r="O3175" i="6"/>
  <c r="U3175" i="6" s="1"/>
  <c r="N3175" i="6"/>
  <c r="V3174" i="6"/>
  <c r="T3174" i="6"/>
  <c r="S3174" i="6"/>
  <c r="R3174" i="6"/>
  <c r="Q3174" i="6"/>
  <c r="P3174" i="6"/>
  <c r="O3174" i="6"/>
  <c r="U3174" i="6" s="1"/>
  <c r="N3174" i="6"/>
  <c r="V3173" i="6"/>
  <c r="T3173" i="6"/>
  <c r="S3173" i="6"/>
  <c r="R3173" i="6"/>
  <c r="Q3173" i="6"/>
  <c r="P3173" i="6"/>
  <c r="O3173" i="6"/>
  <c r="U3173" i="6" s="1"/>
  <c r="N3173" i="6"/>
  <c r="V3172" i="6"/>
  <c r="T3172" i="6"/>
  <c r="S3172" i="6"/>
  <c r="R3172" i="6"/>
  <c r="Q3172" i="6"/>
  <c r="P3172" i="6"/>
  <c r="O3172" i="6"/>
  <c r="U3172" i="6" s="1"/>
  <c r="N3172" i="6"/>
  <c r="V3171" i="6"/>
  <c r="T3171" i="6"/>
  <c r="S3171" i="6"/>
  <c r="R3171" i="6"/>
  <c r="Q3171" i="6"/>
  <c r="P3171" i="6"/>
  <c r="O3171" i="6"/>
  <c r="U3171" i="6" s="1"/>
  <c r="N3171" i="6"/>
  <c r="V3170" i="6"/>
  <c r="T3170" i="6"/>
  <c r="S3170" i="6"/>
  <c r="R3170" i="6"/>
  <c r="Q3170" i="6"/>
  <c r="P3170" i="6"/>
  <c r="O3170" i="6"/>
  <c r="U3170" i="6" s="1"/>
  <c r="N3170" i="6"/>
  <c r="V3169" i="6"/>
  <c r="T3169" i="6"/>
  <c r="S3169" i="6"/>
  <c r="R3169" i="6"/>
  <c r="Q3169" i="6"/>
  <c r="P3169" i="6"/>
  <c r="O3169" i="6"/>
  <c r="U3169" i="6" s="1"/>
  <c r="N3169" i="6"/>
  <c r="V3168" i="6"/>
  <c r="T3168" i="6"/>
  <c r="S3168" i="6"/>
  <c r="R3168" i="6"/>
  <c r="Q3168" i="6"/>
  <c r="P3168" i="6"/>
  <c r="O3168" i="6"/>
  <c r="U3168" i="6" s="1"/>
  <c r="N3168" i="6"/>
  <c r="V3167" i="6"/>
  <c r="T3167" i="6"/>
  <c r="S3167" i="6"/>
  <c r="R3167" i="6"/>
  <c r="Q3167" i="6"/>
  <c r="P3167" i="6"/>
  <c r="O3167" i="6"/>
  <c r="U3167" i="6" s="1"/>
  <c r="N3167" i="6"/>
  <c r="V3166" i="6"/>
  <c r="T3166" i="6"/>
  <c r="S3166" i="6"/>
  <c r="R3166" i="6"/>
  <c r="Q3166" i="6"/>
  <c r="P3166" i="6"/>
  <c r="O3166" i="6"/>
  <c r="U3166" i="6" s="1"/>
  <c r="N3166" i="6"/>
  <c r="V3165" i="6"/>
  <c r="T3165" i="6"/>
  <c r="S3165" i="6"/>
  <c r="R3165" i="6"/>
  <c r="Q3165" i="6"/>
  <c r="P3165" i="6"/>
  <c r="O3165" i="6"/>
  <c r="U3165" i="6" s="1"/>
  <c r="N3165" i="6"/>
  <c r="V3164" i="6"/>
  <c r="T3164" i="6"/>
  <c r="S3164" i="6"/>
  <c r="R3164" i="6"/>
  <c r="Q3164" i="6"/>
  <c r="P3164" i="6"/>
  <c r="O3164" i="6"/>
  <c r="U3164" i="6" s="1"/>
  <c r="N3164" i="6"/>
  <c r="V3163" i="6"/>
  <c r="T3163" i="6"/>
  <c r="S3163" i="6"/>
  <c r="R3163" i="6"/>
  <c r="Q3163" i="6"/>
  <c r="P3163" i="6"/>
  <c r="O3163" i="6"/>
  <c r="U3163" i="6" s="1"/>
  <c r="N3163" i="6"/>
  <c r="V3162" i="6"/>
  <c r="T3162" i="6"/>
  <c r="S3162" i="6"/>
  <c r="R3162" i="6"/>
  <c r="Q3162" i="6"/>
  <c r="P3162" i="6"/>
  <c r="O3162" i="6"/>
  <c r="U3162" i="6" s="1"/>
  <c r="N3162" i="6"/>
  <c r="V3161" i="6"/>
  <c r="T3161" i="6"/>
  <c r="S3161" i="6"/>
  <c r="R3161" i="6"/>
  <c r="Q3161" i="6"/>
  <c r="P3161" i="6"/>
  <c r="O3161" i="6"/>
  <c r="U3161" i="6" s="1"/>
  <c r="N3161" i="6"/>
  <c r="V3160" i="6"/>
  <c r="T3160" i="6"/>
  <c r="S3160" i="6"/>
  <c r="R3160" i="6"/>
  <c r="Q3160" i="6"/>
  <c r="P3160" i="6"/>
  <c r="O3160" i="6"/>
  <c r="U3160" i="6" s="1"/>
  <c r="N3160" i="6"/>
  <c r="V3159" i="6"/>
  <c r="T3159" i="6"/>
  <c r="S3159" i="6"/>
  <c r="R3159" i="6"/>
  <c r="Q3159" i="6"/>
  <c r="P3159" i="6"/>
  <c r="O3159" i="6"/>
  <c r="U3159" i="6" s="1"/>
  <c r="N3159" i="6"/>
  <c r="V3158" i="6"/>
  <c r="T3158" i="6"/>
  <c r="S3158" i="6"/>
  <c r="R3158" i="6"/>
  <c r="Q3158" i="6"/>
  <c r="P3158" i="6"/>
  <c r="O3158" i="6"/>
  <c r="U3158" i="6" s="1"/>
  <c r="N3158" i="6"/>
  <c r="V3157" i="6"/>
  <c r="T3157" i="6"/>
  <c r="S3157" i="6"/>
  <c r="R3157" i="6"/>
  <c r="Q3157" i="6"/>
  <c r="P3157" i="6"/>
  <c r="O3157" i="6"/>
  <c r="U3157" i="6" s="1"/>
  <c r="N3157" i="6"/>
  <c r="V3156" i="6"/>
  <c r="T3156" i="6"/>
  <c r="S3156" i="6"/>
  <c r="R3156" i="6"/>
  <c r="Q3156" i="6"/>
  <c r="P3156" i="6"/>
  <c r="O3156" i="6"/>
  <c r="U3156" i="6" s="1"/>
  <c r="N3156" i="6"/>
  <c r="V3155" i="6"/>
  <c r="T3155" i="6"/>
  <c r="S3155" i="6"/>
  <c r="R3155" i="6"/>
  <c r="Q3155" i="6"/>
  <c r="P3155" i="6"/>
  <c r="O3155" i="6"/>
  <c r="U3155" i="6" s="1"/>
  <c r="N3155" i="6"/>
  <c r="V3154" i="6"/>
  <c r="T3154" i="6"/>
  <c r="S3154" i="6"/>
  <c r="R3154" i="6"/>
  <c r="Q3154" i="6"/>
  <c r="P3154" i="6"/>
  <c r="O3154" i="6"/>
  <c r="U3154" i="6" s="1"/>
  <c r="N3154" i="6"/>
  <c r="V3153" i="6"/>
  <c r="T3153" i="6"/>
  <c r="S3153" i="6"/>
  <c r="R3153" i="6"/>
  <c r="Q3153" i="6"/>
  <c r="P3153" i="6"/>
  <c r="O3153" i="6"/>
  <c r="U3153" i="6" s="1"/>
  <c r="N3153" i="6"/>
  <c r="V3152" i="6"/>
  <c r="T3152" i="6"/>
  <c r="S3152" i="6"/>
  <c r="R3152" i="6"/>
  <c r="Q3152" i="6"/>
  <c r="P3152" i="6"/>
  <c r="O3152" i="6"/>
  <c r="U3152" i="6" s="1"/>
  <c r="N3152" i="6"/>
  <c r="V3151" i="6"/>
  <c r="T3151" i="6"/>
  <c r="S3151" i="6"/>
  <c r="R3151" i="6"/>
  <c r="Q3151" i="6"/>
  <c r="P3151" i="6"/>
  <c r="O3151" i="6"/>
  <c r="U3151" i="6" s="1"/>
  <c r="N3151" i="6"/>
  <c r="V3150" i="6"/>
  <c r="T3150" i="6"/>
  <c r="S3150" i="6"/>
  <c r="R3150" i="6"/>
  <c r="Q3150" i="6"/>
  <c r="P3150" i="6"/>
  <c r="O3150" i="6"/>
  <c r="U3150" i="6" s="1"/>
  <c r="N3150" i="6"/>
  <c r="V3149" i="6"/>
  <c r="T3149" i="6"/>
  <c r="S3149" i="6"/>
  <c r="R3149" i="6"/>
  <c r="Q3149" i="6"/>
  <c r="P3149" i="6"/>
  <c r="O3149" i="6"/>
  <c r="U3149" i="6" s="1"/>
  <c r="N3149" i="6"/>
  <c r="V3148" i="6"/>
  <c r="T3148" i="6"/>
  <c r="S3148" i="6"/>
  <c r="R3148" i="6"/>
  <c r="Q3148" i="6"/>
  <c r="P3148" i="6"/>
  <c r="O3148" i="6"/>
  <c r="U3148" i="6" s="1"/>
  <c r="N3148" i="6"/>
  <c r="V3147" i="6"/>
  <c r="T3147" i="6"/>
  <c r="S3147" i="6"/>
  <c r="R3147" i="6"/>
  <c r="Q3147" i="6"/>
  <c r="P3147" i="6"/>
  <c r="O3147" i="6"/>
  <c r="U3147" i="6" s="1"/>
  <c r="N3147" i="6"/>
  <c r="V3146" i="6"/>
  <c r="T3146" i="6"/>
  <c r="S3146" i="6"/>
  <c r="R3146" i="6"/>
  <c r="Q3146" i="6"/>
  <c r="P3146" i="6"/>
  <c r="O3146" i="6"/>
  <c r="U3146" i="6" s="1"/>
  <c r="N3146" i="6"/>
  <c r="V3145" i="6"/>
  <c r="T3145" i="6"/>
  <c r="S3145" i="6"/>
  <c r="R3145" i="6"/>
  <c r="Q3145" i="6"/>
  <c r="P3145" i="6"/>
  <c r="O3145" i="6"/>
  <c r="U3145" i="6" s="1"/>
  <c r="N3145" i="6"/>
  <c r="V3144" i="6"/>
  <c r="T3144" i="6"/>
  <c r="S3144" i="6"/>
  <c r="R3144" i="6"/>
  <c r="Q3144" i="6"/>
  <c r="P3144" i="6"/>
  <c r="O3144" i="6"/>
  <c r="U3144" i="6" s="1"/>
  <c r="N3144" i="6"/>
  <c r="V3143" i="6"/>
  <c r="T3143" i="6"/>
  <c r="S3143" i="6"/>
  <c r="R3143" i="6"/>
  <c r="Q3143" i="6"/>
  <c r="P3143" i="6"/>
  <c r="O3143" i="6"/>
  <c r="U3143" i="6" s="1"/>
  <c r="N3143" i="6"/>
  <c r="V3142" i="6"/>
  <c r="T3142" i="6"/>
  <c r="S3142" i="6"/>
  <c r="R3142" i="6"/>
  <c r="Q3142" i="6"/>
  <c r="P3142" i="6"/>
  <c r="O3142" i="6"/>
  <c r="U3142" i="6" s="1"/>
  <c r="N3142" i="6"/>
  <c r="V3141" i="6"/>
  <c r="T3141" i="6"/>
  <c r="S3141" i="6"/>
  <c r="R3141" i="6"/>
  <c r="Q3141" i="6"/>
  <c r="P3141" i="6"/>
  <c r="O3141" i="6"/>
  <c r="U3141" i="6" s="1"/>
  <c r="N3141" i="6"/>
  <c r="V3140" i="6"/>
  <c r="T3140" i="6"/>
  <c r="S3140" i="6"/>
  <c r="R3140" i="6"/>
  <c r="Q3140" i="6"/>
  <c r="P3140" i="6"/>
  <c r="O3140" i="6"/>
  <c r="U3140" i="6" s="1"/>
  <c r="N3140" i="6"/>
  <c r="V3139" i="6"/>
  <c r="T3139" i="6"/>
  <c r="S3139" i="6"/>
  <c r="R3139" i="6"/>
  <c r="Q3139" i="6"/>
  <c r="P3139" i="6"/>
  <c r="O3139" i="6"/>
  <c r="U3139" i="6" s="1"/>
  <c r="N3139" i="6"/>
  <c r="V3138" i="6"/>
  <c r="T3138" i="6"/>
  <c r="S3138" i="6"/>
  <c r="R3138" i="6"/>
  <c r="Q3138" i="6"/>
  <c r="P3138" i="6"/>
  <c r="O3138" i="6"/>
  <c r="U3138" i="6" s="1"/>
  <c r="N3138" i="6"/>
  <c r="V3137" i="6"/>
  <c r="T3137" i="6"/>
  <c r="S3137" i="6"/>
  <c r="R3137" i="6"/>
  <c r="Q3137" i="6"/>
  <c r="P3137" i="6"/>
  <c r="O3137" i="6"/>
  <c r="U3137" i="6" s="1"/>
  <c r="N3137" i="6"/>
  <c r="V3136" i="6"/>
  <c r="T3136" i="6"/>
  <c r="S3136" i="6"/>
  <c r="R3136" i="6"/>
  <c r="Q3136" i="6"/>
  <c r="P3136" i="6"/>
  <c r="O3136" i="6"/>
  <c r="U3136" i="6" s="1"/>
  <c r="N3136" i="6"/>
  <c r="V3135" i="6"/>
  <c r="T3135" i="6"/>
  <c r="S3135" i="6"/>
  <c r="R3135" i="6"/>
  <c r="Q3135" i="6"/>
  <c r="P3135" i="6"/>
  <c r="O3135" i="6"/>
  <c r="U3135" i="6" s="1"/>
  <c r="N3135" i="6"/>
  <c r="V3134" i="6"/>
  <c r="T3134" i="6"/>
  <c r="S3134" i="6"/>
  <c r="R3134" i="6"/>
  <c r="Q3134" i="6"/>
  <c r="P3134" i="6"/>
  <c r="O3134" i="6"/>
  <c r="U3134" i="6" s="1"/>
  <c r="N3134" i="6"/>
  <c r="V3133" i="6"/>
  <c r="T3133" i="6"/>
  <c r="S3133" i="6"/>
  <c r="R3133" i="6"/>
  <c r="Q3133" i="6"/>
  <c r="P3133" i="6"/>
  <c r="O3133" i="6"/>
  <c r="U3133" i="6" s="1"/>
  <c r="N3133" i="6"/>
  <c r="V3132" i="6"/>
  <c r="T3132" i="6"/>
  <c r="S3132" i="6"/>
  <c r="R3132" i="6"/>
  <c r="Q3132" i="6"/>
  <c r="P3132" i="6"/>
  <c r="O3132" i="6"/>
  <c r="U3132" i="6" s="1"/>
  <c r="N3132" i="6"/>
  <c r="V3131" i="6"/>
  <c r="T3131" i="6"/>
  <c r="S3131" i="6"/>
  <c r="R3131" i="6"/>
  <c r="Q3131" i="6"/>
  <c r="P3131" i="6"/>
  <c r="O3131" i="6"/>
  <c r="U3131" i="6" s="1"/>
  <c r="N3131" i="6"/>
  <c r="V3130" i="6"/>
  <c r="T3130" i="6"/>
  <c r="S3130" i="6"/>
  <c r="R3130" i="6"/>
  <c r="Q3130" i="6"/>
  <c r="P3130" i="6"/>
  <c r="O3130" i="6"/>
  <c r="U3130" i="6" s="1"/>
  <c r="N3130" i="6"/>
  <c r="V3129" i="6"/>
  <c r="T3129" i="6"/>
  <c r="S3129" i="6"/>
  <c r="R3129" i="6"/>
  <c r="Q3129" i="6"/>
  <c r="P3129" i="6"/>
  <c r="O3129" i="6"/>
  <c r="U3129" i="6" s="1"/>
  <c r="N3129" i="6"/>
  <c r="V3128" i="6"/>
  <c r="T3128" i="6"/>
  <c r="S3128" i="6"/>
  <c r="R3128" i="6"/>
  <c r="Q3128" i="6"/>
  <c r="P3128" i="6"/>
  <c r="O3128" i="6"/>
  <c r="U3128" i="6" s="1"/>
  <c r="N3128" i="6"/>
  <c r="V3127" i="6"/>
  <c r="T3127" i="6"/>
  <c r="S3127" i="6"/>
  <c r="R3127" i="6"/>
  <c r="Q3127" i="6"/>
  <c r="P3127" i="6"/>
  <c r="O3127" i="6"/>
  <c r="U3127" i="6" s="1"/>
  <c r="N3127" i="6"/>
  <c r="V3126" i="6"/>
  <c r="T3126" i="6"/>
  <c r="S3126" i="6"/>
  <c r="R3126" i="6"/>
  <c r="Q3126" i="6"/>
  <c r="P3126" i="6"/>
  <c r="O3126" i="6"/>
  <c r="U3126" i="6" s="1"/>
  <c r="N3126" i="6"/>
  <c r="V3125" i="6"/>
  <c r="T3125" i="6"/>
  <c r="S3125" i="6"/>
  <c r="R3125" i="6"/>
  <c r="Q3125" i="6"/>
  <c r="P3125" i="6"/>
  <c r="O3125" i="6"/>
  <c r="U3125" i="6" s="1"/>
  <c r="N3125" i="6"/>
  <c r="V3124" i="6"/>
  <c r="T3124" i="6"/>
  <c r="S3124" i="6"/>
  <c r="R3124" i="6"/>
  <c r="Q3124" i="6"/>
  <c r="P3124" i="6"/>
  <c r="O3124" i="6"/>
  <c r="U3124" i="6" s="1"/>
  <c r="N3124" i="6"/>
  <c r="V3123" i="6"/>
  <c r="T3123" i="6"/>
  <c r="S3123" i="6"/>
  <c r="R3123" i="6"/>
  <c r="Q3123" i="6"/>
  <c r="P3123" i="6"/>
  <c r="O3123" i="6"/>
  <c r="U3123" i="6" s="1"/>
  <c r="N3123" i="6"/>
  <c r="V3122" i="6"/>
  <c r="T3122" i="6"/>
  <c r="S3122" i="6"/>
  <c r="R3122" i="6"/>
  <c r="Q3122" i="6"/>
  <c r="P3122" i="6"/>
  <c r="O3122" i="6"/>
  <c r="U3122" i="6" s="1"/>
  <c r="N3122" i="6"/>
  <c r="V3121" i="6"/>
  <c r="T3121" i="6"/>
  <c r="S3121" i="6"/>
  <c r="R3121" i="6"/>
  <c r="Q3121" i="6"/>
  <c r="P3121" i="6"/>
  <c r="O3121" i="6"/>
  <c r="U3121" i="6" s="1"/>
  <c r="N3121" i="6"/>
  <c r="V3120" i="6"/>
  <c r="T3120" i="6"/>
  <c r="S3120" i="6"/>
  <c r="R3120" i="6"/>
  <c r="Q3120" i="6"/>
  <c r="P3120" i="6"/>
  <c r="O3120" i="6"/>
  <c r="U3120" i="6" s="1"/>
  <c r="N3120" i="6"/>
  <c r="V3119" i="6"/>
  <c r="T3119" i="6"/>
  <c r="S3119" i="6"/>
  <c r="R3119" i="6"/>
  <c r="Q3119" i="6"/>
  <c r="P3119" i="6"/>
  <c r="O3119" i="6"/>
  <c r="U3119" i="6" s="1"/>
  <c r="N3119" i="6"/>
  <c r="V3118" i="6"/>
  <c r="T3118" i="6"/>
  <c r="S3118" i="6"/>
  <c r="R3118" i="6"/>
  <c r="Q3118" i="6"/>
  <c r="P3118" i="6"/>
  <c r="O3118" i="6"/>
  <c r="U3118" i="6" s="1"/>
  <c r="N3118" i="6"/>
  <c r="V3117" i="6"/>
  <c r="T3117" i="6"/>
  <c r="S3117" i="6"/>
  <c r="R3117" i="6"/>
  <c r="Q3117" i="6"/>
  <c r="P3117" i="6"/>
  <c r="O3117" i="6"/>
  <c r="U3117" i="6" s="1"/>
  <c r="N3117" i="6"/>
  <c r="V3116" i="6"/>
  <c r="T3116" i="6"/>
  <c r="S3116" i="6"/>
  <c r="R3116" i="6"/>
  <c r="Q3116" i="6"/>
  <c r="P3116" i="6"/>
  <c r="O3116" i="6"/>
  <c r="U3116" i="6" s="1"/>
  <c r="N3116" i="6"/>
  <c r="V3115" i="6"/>
  <c r="T3115" i="6"/>
  <c r="S3115" i="6"/>
  <c r="R3115" i="6"/>
  <c r="Q3115" i="6"/>
  <c r="P3115" i="6"/>
  <c r="O3115" i="6"/>
  <c r="U3115" i="6" s="1"/>
  <c r="N3115" i="6"/>
  <c r="V3114" i="6"/>
  <c r="T3114" i="6"/>
  <c r="S3114" i="6"/>
  <c r="R3114" i="6"/>
  <c r="Q3114" i="6"/>
  <c r="P3114" i="6"/>
  <c r="O3114" i="6"/>
  <c r="U3114" i="6" s="1"/>
  <c r="N3114" i="6"/>
  <c r="V3113" i="6"/>
  <c r="T3113" i="6"/>
  <c r="S3113" i="6"/>
  <c r="R3113" i="6"/>
  <c r="Q3113" i="6"/>
  <c r="P3113" i="6"/>
  <c r="O3113" i="6"/>
  <c r="U3113" i="6" s="1"/>
  <c r="N3113" i="6"/>
  <c r="V3112" i="6"/>
  <c r="T3112" i="6"/>
  <c r="S3112" i="6"/>
  <c r="R3112" i="6"/>
  <c r="Q3112" i="6"/>
  <c r="P3112" i="6"/>
  <c r="O3112" i="6"/>
  <c r="U3112" i="6" s="1"/>
  <c r="N3112" i="6"/>
  <c r="V3111" i="6"/>
  <c r="T3111" i="6"/>
  <c r="S3111" i="6"/>
  <c r="R3111" i="6"/>
  <c r="Q3111" i="6"/>
  <c r="P3111" i="6"/>
  <c r="O3111" i="6"/>
  <c r="U3111" i="6" s="1"/>
  <c r="N3111" i="6"/>
  <c r="V3110" i="6"/>
  <c r="T3110" i="6"/>
  <c r="S3110" i="6"/>
  <c r="R3110" i="6"/>
  <c r="Q3110" i="6"/>
  <c r="P3110" i="6"/>
  <c r="O3110" i="6"/>
  <c r="U3110" i="6" s="1"/>
  <c r="N3110" i="6"/>
  <c r="V3109" i="6"/>
  <c r="T3109" i="6"/>
  <c r="S3109" i="6"/>
  <c r="R3109" i="6"/>
  <c r="Q3109" i="6"/>
  <c r="P3109" i="6"/>
  <c r="O3109" i="6"/>
  <c r="U3109" i="6" s="1"/>
  <c r="N3109" i="6"/>
  <c r="V3108" i="6"/>
  <c r="T3108" i="6"/>
  <c r="S3108" i="6"/>
  <c r="R3108" i="6"/>
  <c r="Q3108" i="6"/>
  <c r="P3108" i="6"/>
  <c r="O3108" i="6"/>
  <c r="U3108" i="6" s="1"/>
  <c r="N3108" i="6"/>
  <c r="V3107" i="6"/>
  <c r="T3107" i="6"/>
  <c r="S3107" i="6"/>
  <c r="R3107" i="6"/>
  <c r="Q3107" i="6"/>
  <c r="P3107" i="6"/>
  <c r="O3107" i="6"/>
  <c r="U3107" i="6" s="1"/>
  <c r="N3107" i="6"/>
  <c r="V3106" i="6"/>
  <c r="T3106" i="6"/>
  <c r="S3106" i="6"/>
  <c r="R3106" i="6"/>
  <c r="Q3106" i="6"/>
  <c r="P3106" i="6"/>
  <c r="O3106" i="6"/>
  <c r="U3106" i="6" s="1"/>
  <c r="N3106" i="6"/>
  <c r="V3105" i="6"/>
  <c r="T3105" i="6"/>
  <c r="S3105" i="6"/>
  <c r="R3105" i="6"/>
  <c r="Q3105" i="6"/>
  <c r="P3105" i="6"/>
  <c r="O3105" i="6"/>
  <c r="U3105" i="6" s="1"/>
  <c r="N3105" i="6"/>
  <c r="V3104" i="6"/>
  <c r="T3104" i="6"/>
  <c r="S3104" i="6"/>
  <c r="R3104" i="6"/>
  <c r="Q3104" i="6"/>
  <c r="P3104" i="6"/>
  <c r="O3104" i="6"/>
  <c r="U3104" i="6" s="1"/>
  <c r="N3104" i="6"/>
  <c r="V3103" i="6"/>
  <c r="T3103" i="6"/>
  <c r="S3103" i="6"/>
  <c r="R3103" i="6"/>
  <c r="Q3103" i="6"/>
  <c r="P3103" i="6"/>
  <c r="O3103" i="6"/>
  <c r="U3103" i="6" s="1"/>
  <c r="N3103" i="6"/>
  <c r="V3102" i="6"/>
  <c r="T3102" i="6"/>
  <c r="S3102" i="6"/>
  <c r="R3102" i="6"/>
  <c r="Q3102" i="6"/>
  <c r="P3102" i="6"/>
  <c r="O3102" i="6"/>
  <c r="U3102" i="6" s="1"/>
  <c r="N3102" i="6"/>
  <c r="V3101" i="6"/>
  <c r="T3101" i="6"/>
  <c r="S3101" i="6"/>
  <c r="R3101" i="6"/>
  <c r="Q3101" i="6"/>
  <c r="P3101" i="6"/>
  <c r="O3101" i="6"/>
  <c r="U3101" i="6" s="1"/>
  <c r="N3101" i="6"/>
  <c r="V3100" i="6"/>
  <c r="T3100" i="6"/>
  <c r="S3100" i="6"/>
  <c r="R3100" i="6"/>
  <c r="Q3100" i="6"/>
  <c r="P3100" i="6"/>
  <c r="O3100" i="6"/>
  <c r="U3100" i="6" s="1"/>
  <c r="N3100" i="6"/>
  <c r="V3099" i="6"/>
  <c r="T3099" i="6"/>
  <c r="S3099" i="6"/>
  <c r="R3099" i="6"/>
  <c r="Q3099" i="6"/>
  <c r="P3099" i="6"/>
  <c r="O3099" i="6"/>
  <c r="U3099" i="6" s="1"/>
  <c r="N3099" i="6"/>
  <c r="V3098" i="6"/>
  <c r="T3098" i="6"/>
  <c r="S3098" i="6"/>
  <c r="R3098" i="6"/>
  <c r="Q3098" i="6"/>
  <c r="P3098" i="6"/>
  <c r="O3098" i="6"/>
  <c r="U3098" i="6" s="1"/>
  <c r="N3098" i="6"/>
  <c r="V3097" i="6"/>
  <c r="T3097" i="6"/>
  <c r="S3097" i="6"/>
  <c r="R3097" i="6"/>
  <c r="Q3097" i="6"/>
  <c r="P3097" i="6"/>
  <c r="O3097" i="6"/>
  <c r="U3097" i="6" s="1"/>
  <c r="N3097" i="6"/>
  <c r="V3096" i="6"/>
  <c r="T3096" i="6"/>
  <c r="S3096" i="6"/>
  <c r="R3096" i="6"/>
  <c r="Q3096" i="6"/>
  <c r="P3096" i="6"/>
  <c r="O3096" i="6"/>
  <c r="U3096" i="6" s="1"/>
  <c r="N3096" i="6"/>
  <c r="V3095" i="6"/>
  <c r="T3095" i="6"/>
  <c r="S3095" i="6"/>
  <c r="R3095" i="6"/>
  <c r="Q3095" i="6"/>
  <c r="P3095" i="6"/>
  <c r="O3095" i="6"/>
  <c r="U3095" i="6" s="1"/>
  <c r="N3095" i="6"/>
  <c r="V3094" i="6"/>
  <c r="T3094" i="6"/>
  <c r="S3094" i="6"/>
  <c r="R3094" i="6"/>
  <c r="Q3094" i="6"/>
  <c r="P3094" i="6"/>
  <c r="O3094" i="6"/>
  <c r="U3094" i="6" s="1"/>
  <c r="N3094" i="6"/>
  <c r="V3093" i="6"/>
  <c r="T3093" i="6"/>
  <c r="S3093" i="6"/>
  <c r="R3093" i="6"/>
  <c r="Q3093" i="6"/>
  <c r="P3093" i="6"/>
  <c r="O3093" i="6"/>
  <c r="U3093" i="6" s="1"/>
  <c r="N3093" i="6"/>
  <c r="V3092" i="6"/>
  <c r="T3092" i="6"/>
  <c r="S3092" i="6"/>
  <c r="R3092" i="6"/>
  <c r="Q3092" i="6"/>
  <c r="P3092" i="6"/>
  <c r="O3092" i="6"/>
  <c r="U3092" i="6" s="1"/>
  <c r="N3092" i="6"/>
  <c r="V3091" i="6"/>
  <c r="T3091" i="6"/>
  <c r="S3091" i="6"/>
  <c r="R3091" i="6"/>
  <c r="Q3091" i="6"/>
  <c r="P3091" i="6"/>
  <c r="O3091" i="6"/>
  <c r="U3091" i="6" s="1"/>
  <c r="N3091" i="6"/>
  <c r="V3090" i="6"/>
  <c r="T3090" i="6"/>
  <c r="S3090" i="6"/>
  <c r="R3090" i="6"/>
  <c r="Q3090" i="6"/>
  <c r="P3090" i="6"/>
  <c r="O3090" i="6"/>
  <c r="U3090" i="6" s="1"/>
  <c r="N3090" i="6"/>
  <c r="V3089" i="6"/>
  <c r="T3089" i="6"/>
  <c r="S3089" i="6"/>
  <c r="R3089" i="6"/>
  <c r="Q3089" i="6"/>
  <c r="P3089" i="6"/>
  <c r="O3089" i="6"/>
  <c r="U3089" i="6" s="1"/>
  <c r="N3089" i="6"/>
  <c r="V3088" i="6"/>
  <c r="T3088" i="6"/>
  <c r="S3088" i="6"/>
  <c r="R3088" i="6"/>
  <c r="Q3088" i="6"/>
  <c r="P3088" i="6"/>
  <c r="O3088" i="6"/>
  <c r="U3088" i="6" s="1"/>
  <c r="N3088" i="6"/>
  <c r="V3087" i="6"/>
  <c r="T3087" i="6"/>
  <c r="S3087" i="6"/>
  <c r="R3087" i="6"/>
  <c r="Q3087" i="6"/>
  <c r="P3087" i="6"/>
  <c r="O3087" i="6"/>
  <c r="U3087" i="6" s="1"/>
  <c r="N3087" i="6"/>
  <c r="V3086" i="6"/>
  <c r="T3086" i="6"/>
  <c r="S3086" i="6"/>
  <c r="R3086" i="6"/>
  <c r="Q3086" i="6"/>
  <c r="P3086" i="6"/>
  <c r="O3086" i="6"/>
  <c r="U3086" i="6" s="1"/>
  <c r="N3086" i="6"/>
  <c r="V3085" i="6"/>
  <c r="T3085" i="6"/>
  <c r="S3085" i="6"/>
  <c r="R3085" i="6"/>
  <c r="Q3085" i="6"/>
  <c r="P3085" i="6"/>
  <c r="O3085" i="6"/>
  <c r="U3085" i="6" s="1"/>
  <c r="N3085" i="6"/>
  <c r="V3084" i="6"/>
  <c r="T3084" i="6"/>
  <c r="S3084" i="6"/>
  <c r="R3084" i="6"/>
  <c r="Q3084" i="6"/>
  <c r="P3084" i="6"/>
  <c r="O3084" i="6"/>
  <c r="U3084" i="6" s="1"/>
  <c r="N3084" i="6"/>
  <c r="V3083" i="6"/>
  <c r="T3083" i="6"/>
  <c r="S3083" i="6"/>
  <c r="R3083" i="6"/>
  <c r="Q3083" i="6"/>
  <c r="P3083" i="6"/>
  <c r="O3083" i="6"/>
  <c r="U3083" i="6" s="1"/>
  <c r="N3083" i="6"/>
  <c r="V3082" i="6"/>
  <c r="T3082" i="6"/>
  <c r="S3082" i="6"/>
  <c r="R3082" i="6"/>
  <c r="Q3082" i="6"/>
  <c r="P3082" i="6"/>
  <c r="O3082" i="6"/>
  <c r="U3082" i="6" s="1"/>
  <c r="N3082" i="6"/>
  <c r="V3081" i="6"/>
  <c r="T3081" i="6"/>
  <c r="S3081" i="6"/>
  <c r="R3081" i="6"/>
  <c r="Q3081" i="6"/>
  <c r="P3081" i="6"/>
  <c r="O3081" i="6"/>
  <c r="U3081" i="6" s="1"/>
  <c r="N3081" i="6"/>
  <c r="V3080" i="6"/>
  <c r="T3080" i="6"/>
  <c r="S3080" i="6"/>
  <c r="R3080" i="6"/>
  <c r="Q3080" i="6"/>
  <c r="P3080" i="6"/>
  <c r="O3080" i="6"/>
  <c r="U3080" i="6" s="1"/>
  <c r="N3080" i="6"/>
  <c r="V3079" i="6"/>
  <c r="T3079" i="6"/>
  <c r="S3079" i="6"/>
  <c r="R3079" i="6"/>
  <c r="Q3079" i="6"/>
  <c r="P3079" i="6"/>
  <c r="O3079" i="6"/>
  <c r="U3079" i="6" s="1"/>
  <c r="N3079" i="6"/>
  <c r="V3078" i="6"/>
  <c r="T3078" i="6"/>
  <c r="S3078" i="6"/>
  <c r="R3078" i="6"/>
  <c r="Q3078" i="6"/>
  <c r="P3078" i="6"/>
  <c r="O3078" i="6"/>
  <c r="U3078" i="6" s="1"/>
  <c r="N3078" i="6"/>
  <c r="V3077" i="6"/>
  <c r="T3077" i="6"/>
  <c r="S3077" i="6"/>
  <c r="R3077" i="6"/>
  <c r="Q3077" i="6"/>
  <c r="P3077" i="6"/>
  <c r="O3077" i="6"/>
  <c r="U3077" i="6" s="1"/>
  <c r="N3077" i="6"/>
  <c r="V3076" i="6"/>
  <c r="T3076" i="6"/>
  <c r="S3076" i="6"/>
  <c r="R3076" i="6"/>
  <c r="Q3076" i="6"/>
  <c r="P3076" i="6"/>
  <c r="O3076" i="6"/>
  <c r="U3076" i="6" s="1"/>
  <c r="N3076" i="6"/>
  <c r="V3075" i="6"/>
  <c r="T3075" i="6"/>
  <c r="S3075" i="6"/>
  <c r="R3075" i="6"/>
  <c r="Q3075" i="6"/>
  <c r="P3075" i="6"/>
  <c r="O3075" i="6"/>
  <c r="U3075" i="6" s="1"/>
  <c r="N3075" i="6"/>
  <c r="V3074" i="6"/>
  <c r="T3074" i="6"/>
  <c r="S3074" i="6"/>
  <c r="R3074" i="6"/>
  <c r="Q3074" i="6"/>
  <c r="P3074" i="6"/>
  <c r="O3074" i="6"/>
  <c r="U3074" i="6" s="1"/>
  <c r="N3074" i="6"/>
  <c r="V3073" i="6"/>
  <c r="T3073" i="6"/>
  <c r="S3073" i="6"/>
  <c r="R3073" i="6"/>
  <c r="Q3073" i="6"/>
  <c r="P3073" i="6"/>
  <c r="O3073" i="6"/>
  <c r="U3073" i="6" s="1"/>
  <c r="N3073" i="6"/>
  <c r="V3072" i="6"/>
  <c r="T3072" i="6"/>
  <c r="S3072" i="6"/>
  <c r="R3072" i="6"/>
  <c r="Q3072" i="6"/>
  <c r="P3072" i="6"/>
  <c r="O3072" i="6"/>
  <c r="U3072" i="6" s="1"/>
  <c r="N3072" i="6"/>
  <c r="V3071" i="6"/>
  <c r="T3071" i="6"/>
  <c r="S3071" i="6"/>
  <c r="R3071" i="6"/>
  <c r="Q3071" i="6"/>
  <c r="P3071" i="6"/>
  <c r="O3071" i="6"/>
  <c r="U3071" i="6" s="1"/>
  <c r="N3071" i="6"/>
  <c r="V3070" i="6"/>
  <c r="T3070" i="6"/>
  <c r="S3070" i="6"/>
  <c r="R3070" i="6"/>
  <c r="Q3070" i="6"/>
  <c r="P3070" i="6"/>
  <c r="O3070" i="6"/>
  <c r="U3070" i="6" s="1"/>
  <c r="N3070" i="6"/>
  <c r="V3069" i="6"/>
  <c r="T3069" i="6"/>
  <c r="S3069" i="6"/>
  <c r="R3069" i="6"/>
  <c r="Q3069" i="6"/>
  <c r="P3069" i="6"/>
  <c r="O3069" i="6"/>
  <c r="U3069" i="6" s="1"/>
  <c r="N3069" i="6"/>
  <c r="V3068" i="6"/>
  <c r="T3068" i="6"/>
  <c r="S3068" i="6"/>
  <c r="R3068" i="6"/>
  <c r="Q3068" i="6"/>
  <c r="P3068" i="6"/>
  <c r="O3068" i="6"/>
  <c r="U3068" i="6" s="1"/>
  <c r="N3068" i="6"/>
  <c r="V3067" i="6"/>
  <c r="T3067" i="6"/>
  <c r="S3067" i="6"/>
  <c r="R3067" i="6"/>
  <c r="Q3067" i="6"/>
  <c r="P3067" i="6"/>
  <c r="O3067" i="6"/>
  <c r="U3067" i="6" s="1"/>
  <c r="N3067" i="6"/>
  <c r="V3066" i="6"/>
  <c r="T3066" i="6"/>
  <c r="S3066" i="6"/>
  <c r="R3066" i="6"/>
  <c r="Q3066" i="6"/>
  <c r="P3066" i="6"/>
  <c r="O3066" i="6"/>
  <c r="U3066" i="6" s="1"/>
  <c r="N3066" i="6"/>
  <c r="V3065" i="6"/>
  <c r="T3065" i="6"/>
  <c r="S3065" i="6"/>
  <c r="R3065" i="6"/>
  <c r="Q3065" i="6"/>
  <c r="P3065" i="6"/>
  <c r="O3065" i="6"/>
  <c r="U3065" i="6" s="1"/>
  <c r="N3065" i="6"/>
  <c r="V3064" i="6"/>
  <c r="T3064" i="6"/>
  <c r="S3064" i="6"/>
  <c r="R3064" i="6"/>
  <c r="Q3064" i="6"/>
  <c r="P3064" i="6"/>
  <c r="O3064" i="6"/>
  <c r="U3064" i="6" s="1"/>
  <c r="N3064" i="6"/>
  <c r="V3063" i="6"/>
  <c r="T3063" i="6"/>
  <c r="S3063" i="6"/>
  <c r="R3063" i="6"/>
  <c r="Q3063" i="6"/>
  <c r="P3063" i="6"/>
  <c r="O3063" i="6"/>
  <c r="U3063" i="6" s="1"/>
  <c r="N3063" i="6"/>
  <c r="V3062" i="6"/>
  <c r="T3062" i="6"/>
  <c r="S3062" i="6"/>
  <c r="R3062" i="6"/>
  <c r="Q3062" i="6"/>
  <c r="P3062" i="6"/>
  <c r="O3062" i="6"/>
  <c r="U3062" i="6" s="1"/>
  <c r="N3062" i="6"/>
  <c r="V3061" i="6"/>
  <c r="T3061" i="6"/>
  <c r="S3061" i="6"/>
  <c r="R3061" i="6"/>
  <c r="Q3061" i="6"/>
  <c r="P3061" i="6"/>
  <c r="O3061" i="6"/>
  <c r="U3061" i="6" s="1"/>
  <c r="N3061" i="6"/>
  <c r="V3060" i="6"/>
  <c r="T3060" i="6"/>
  <c r="S3060" i="6"/>
  <c r="R3060" i="6"/>
  <c r="Q3060" i="6"/>
  <c r="P3060" i="6"/>
  <c r="O3060" i="6"/>
  <c r="U3060" i="6" s="1"/>
  <c r="N3060" i="6"/>
  <c r="V3059" i="6"/>
  <c r="T3059" i="6"/>
  <c r="S3059" i="6"/>
  <c r="R3059" i="6"/>
  <c r="Q3059" i="6"/>
  <c r="P3059" i="6"/>
  <c r="O3059" i="6"/>
  <c r="U3059" i="6" s="1"/>
  <c r="N3059" i="6"/>
  <c r="V3058" i="6"/>
  <c r="T3058" i="6"/>
  <c r="S3058" i="6"/>
  <c r="R3058" i="6"/>
  <c r="Q3058" i="6"/>
  <c r="P3058" i="6"/>
  <c r="O3058" i="6"/>
  <c r="U3058" i="6" s="1"/>
  <c r="N3058" i="6"/>
  <c r="V3057" i="6"/>
  <c r="T3057" i="6"/>
  <c r="S3057" i="6"/>
  <c r="R3057" i="6"/>
  <c r="Q3057" i="6"/>
  <c r="P3057" i="6"/>
  <c r="O3057" i="6"/>
  <c r="U3057" i="6" s="1"/>
  <c r="N3057" i="6"/>
  <c r="V3056" i="6"/>
  <c r="T3056" i="6"/>
  <c r="S3056" i="6"/>
  <c r="R3056" i="6"/>
  <c r="Q3056" i="6"/>
  <c r="P3056" i="6"/>
  <c r="O3056" i="6"/>
  <c r="U3056" i="6" s="1"/>
  <c r="N3056" i="6"/>
  <c r="V3055" i="6"/>
  <c r="T3055" i="6"/>
  <c r="S3055" i="6"/>
  <c r="R3055" i="6"/>
  <c r="Q3055" i="6"/>
  <c r="P3055" i="6"/>
  <c r="O3055" i="6"/>
  <c r="U3055" i="6" s="1"/>
  <c r="N3055" i="6"/>
  <c r="V3054" i="6"/>
  <c r="T3054" i="6"/>
  <c r="S3054" i="6"/>
  <c r="R3054" i="6"/>
  <c r="Q3054" i="6"/>
  <c r="P3054" i="6"/>
  <c r="O3054" i="6"/>
  <c r="U3054" i="6" s="1"/>
  <c r="N3054" i="6"/>
  <c r="V3053" i="6"/>
  <c r="T3053" i="6"/>
  <c r="S3053" i="6"/>
  <c r="R3053" i="6"/>
  <c r="Q3053" i="6"/>
  <c r="P3053" i="6"/>
  <c r="O3053" i="6"/>
  <c r="U3053" i="6" s="1"/>
  <c r="N3053" i="6"/>
  <c r="V3052" i="6"/>
  <c r="T3052" i="6"/>
  <c r="S3052" i="6"/>
  <c r="R3052" i="6"/>
  <c r="Q3052" i="6"/>
  <c r="P3052" i="6"/>
  <c r="O3052" i="6"/>
  <c r="U3052" i="6" s="1"/>
  <c r="N3052" i="6"/>
  <c r="V3051" i="6"/>
  <c r="T3051" i="6"/>
  <c r="S3051" i="6"/>
  <c r="R3051" i="6"/>
  <c r="Q3051" i="6"/>
  <c r="P3051" i="6"/>
  <c r="O3051" i="6"/>
  <c r="U3051" i="6" s="1"/>
  <c r="N3051" i="6"/>
  <c r="V3050" i="6"/>
  <c r="T3050" i="6"/>
  <c r="S3050" i="6"/>
  <c r="R3050" i="6"/>
  <c r="Q3050" i="6"/>
  <c r="P3050" i="6"/>
  <c r="O3050" i="6"/>
  <c r="U3050" i="6" s="1"/>
  <c r="N3050" i="6"/>
  <c r="V3049" i="6"/>
  <c r="T3049" i="6"/>
  <c r="S3049" i="6"/>
  <c r="R3049" i="6"/>
  <c r="Q3049" i="6"/>
  <c r="P3049" i="6"/>
  <c r="O3049" i="6"/>
  <c r="U3049" i="6" s="1"/>
  <c r="N3049" i="6"/>
  <c r="V3048" i="6"/>
  <c r="T3048" i="6"/>
  <c r="S3048" i="6"/>
  <c r="R3048" i="6"/>
  <c r="Q3048" i="6"/>
  <c r="P3048" i="6"/>
  <c r="O3048" i="6"/>
  <c r="U3048" i="6" s="1"/>
  <c r="N3048" i="6"/>
  <c r="V3047" i="6"/>
  <c r="T3047" i="6"/>
  <c r="S3047" i="6"/>
  <c r="R3047" i="6"/>
  <c r="Q3047" i="6"/>
  <c r="P3047" i="6"/>
  <c r="O3047" i="6"/>
  <c r="U3047" i="6" s="1"/>
  <c r="N3047" i="6"/>
  <c r="V3046" i="6"/>
  <c r="T3046" i="6"/>
  <c r="S3046" i="6"/>
  <c r="R3046" i="6"/>
  <c r="Q3046" i="6"/>
  <c r="P3046" i="6"/>
  <c r="O3046" i="6"/>
  <c r="U3046" i="6" s="1"/>
  <c r="N3046" i="6"/>
  <c r="V3045" i="6"/>
  <c r="T3045" i="6"/>
  <c r="S3045" i="6"/>
  <c r="R3045" i="6"/>
  <c r="Q3045" i="6"/>
  <c r="P3045" i="6"/>
  <c r="O3045" i="6"/>
  <c r="U3045" i="6" s="1"/>
  <c r="N3045" i="6"/>
  <c r="V3044" i="6"/>
  <c r="T3044" i="6"/>
  <c r="S3044" i="6"/>
  <c r="R3044" i="6"/>
  <c r="Q3044" i="6"/>
  <c r="P3044" i="6"/>
  <c r="O3044" i="6"/>
  <c r="U3044" i="6" s="1"/>
  <c r="N3044" i="6"/>
  <c r="V3043" i="6"/>
  <c r="T3043" i="6"/>
  <c r="S3043" i="6"/>
  <c r="R3043" i="6"/>
  <c r="Q3043" i="6"/>
  <c r="P3043" i="6"/>
  <c r="O3043" i="6"/>
  <c r="U3043" i="6" s="1"/>
  <c r="N3043" i="6"/>
  <c r="V3042" i="6"/>
  <c r="T3042" i="6"/>
  <c r="S3042" i="6"/>
  <c r="R3042" i="6"/>
  <c r="Q3042" i="6"/>
  <c r="P3042" i="6"/>
  <c r="O3042" i="6"/>
  <c r="U3042" i="6" s="1"/>
  <c r="N3042" i="6"/>
  <c r="V3041" i="6"/>
  <c r="T3041" i="6"/>
  <c r="S3041" i="6"/>
  <c r="R3041" i="6"/>
  <c r="Q3041" i="6"/>
  <c r="P3041" i="6"/>
  <c r="O3041" i="6"/>
  <c r="U3041" i="6" s="1"/>
  <c r="N3041" i="6"/>
  <c r="V3040" i="6"/>
  <c r="T3040" i="6"/>
  <c r="S3040" i="6"/>
  <c r="R3040" i="6"/>
  <c r="Q3040" i="6"/>
  <c r="P3040" i="6"/>
  <c r="O3040" i="6"/>
  <c r="U3040" i="6" s="1"/>
  <c r="N3040" i="6"/>
  <c r="V3039" i="6"/>
  <c r="T3039" i="6"/>
  <c r="S3039" i="6"/>
  <c r="U3039" i="6" s="1"/>
  <c r="R3039" i="6"/>
  <c r="Q3039" i="6"/>
  <c r="P3039" i="6"/>
  <c r="O3039" i="6"/>
  <c r="N3039" i="6"/>
  <c r="V3038" i="6"/>
  <c r="T3038" i="6"/>
  <c r="S3038" i="6"/>
  <c r="R3038" i="6"/>
  <c r="Q3038" i="6"/>
  <c r="P3038" i="6"/>
  <c r="O3038" i="6"/>
  <c r="U3038" i="6" s="1"/>
  <c r="N3038" i="6"/>
  <c r="V3037" i="6"/>
  <c r="T3037" i="6"/>
  <c r="S3037" i="6"/>
  <c r="R3037" i="6"/>
  <c r="Q3037" i="6"/>
  <c r="P3037" i="6"/>
  <c r="O3037" i="6"/>
  <c r="U3037" i="6" s="1"/>
  <c r="N3037" i="6"/>
  <c r="V3036" i="6"/>
  <c r="T3036" i="6"/>
  <c r="S3036" i="6"/>
  <c r="R3036" i="6"/>
  <c r="Q3036" i="6"/>
  <c r="P3036" i="6"/>
  <c r="O3036" i="6"/>
  <c r="U3036" i="6" s="1"/>
  <c r="N3036" i="6"/>
  <c r="V3035" i="6"/>
  <c r="T3035" i="6"/>
  <c r="S3035" i="6"/>
  <c r="R3035" i="6"/>
  <c r="Q3035" i="6"/>
  <c r="P3035" i="6"/>
  <c r="O3035" i="6"/>
  <c r="U3035" i="6" s="1"/>
  <c r="N3035" i="6"/>
  <c r="V3034" i="6"/>
  <c r="T3034" i="6"/>
  <c r="S3034" i="6"/>
  <c r="R3034" i="6"/>
  <c r="Q3034" i="6"/>
  <c r="P3034" i="6"/>
  <c r="O3034" i="6"/>
  <c r="U3034" i="6" s="1"/>
  <c r="N3034" i="6"/>
  <c r="V3033" i="6"/>
  <c r="T3033" i="6"/>
  <c r="S3033" i="6"/>
  <c r="R3033" i="6"/>
  <c r="Q3033" i="6"/>
  <c r="P3033" i="6"/>
  <c r="O3033" i="6"/>
  <c r="U3033" i="6" s="1"/>
  <c r="N3033" i="6"/>
  <c r="V3032" i="6"/>
  <c r="T3032" i="6"/>
  <c r="S3032" i="6"/>
  <c r="R3032" i="6"/>
  <c r="Q3032" i="6"/>
  <c r="P3032" i="6"/>
  <c r="O3032" i="6"/>
  <c r="U3032" i="6" s="1"/>
  <c r="N3032" i="6"/>
  <c r="V3031" i="6"/>
  <c r="T3031" i="6"/>
  <c r="S3031" i="6"/>
  <c r="R3031" i="6"/>
  <c r="Q3031" i="6"/>
  <c r="P3031" i="6"/>
  <c r="O3031" i="6"/>
  <c r="U3031" i="6" s="1"/>
  <c r="N3031" i="6"/>
  <c r="V3030" i="6"/>
  <c r="T3030" i="6"/>
  <c r="S3030" i="6"/>
  <c r="R3030" i="6"/>
  <c r="Q3030" i="6"/>
  <c r="P3030" i="6"/>
  <c r="O3030" i="6"/>
  <c r="U3030" i="6" s="1"/>
  <c r="N3030" i="6"/>
  <c r="V3029" i="6"/>
  <c r="T3029" i="6"/>
  <c r="S3029" i="6"/>
  <c r="R3029" i="6"/>
  <c r="Q3029" i="6"/>
  <c r="P3029" i="6"/>
  <c r="O3029" i="6"/>
  <c r="U3029" i="6" s="1"/>
  <c r="N3029" i="6"/>
  <c r="V3028" i="6"/>
  <c r="T3028" i="6"/>
  <c r="S3028" i="6"/>
  <c r="R3028" i="6"/>
  <c r="Q3028" i="6"/>
  <c r="P3028" i="6"/>
  <c r="O3028" i="6"/>
  <c r="U3028" i="6" s="1"/>
  <c r="N3028" i="6"/>
  <c r="V3027" i="6"/>
  <c r="T3027" i="6"/>
  <c r="S3027" i="6"/>
  <c r="R3027" i="6"/>
  <c r="Q3027" i="6"/>
  <c r="P3027" i="6"/>
  <c r="O3027" i="6"/>
  <c r="U3027" i="6" s="1"/>
  <c r="N3027" i="6"/>
  <c r="V3026" i="6"/>
  <c r="T3026" i="6"/>
  <c r="S3026" i="6"/>
  <c r="R3026" i="6"/>
  <c r="Q3026" i="6"/>
  <c r="P3026" i="6"/>
  <c r="O3026" i="6"/>
  <c r="U3026" i="6" s="1"/>
  <c r="N3026" i="6"/>
  <c r="V3025" i="6"/>
  <c r="T3025" i="6"/>
  <c r="S3025" i="6"/>
  <c r="R3025" i="6"/>
  <c r="Q3025" i="6"/>
  <c r="P3025" i="6"/>
  <c r="O3025" i="6"/>
  <c r="U3025" i="6" s="1"/>
  <c r="N3025" i="6"/>
  <c r="V3024" i="6"/>
  <c r="T3024" i="6"/>
  <c r="S3024" i="6"/>
  <c r="R3024" i="6"/>
  <c r="Q3024" i="6"/>
  <c r="P3024" i="6"/>
  <c r="O3024" i="6"/>
  <c r="U3024" i="6" s="1"/>
  <c r="N3024" i="6"/>
  <c r="V3023" i="6"/>
  <c r="T3023" i="6"/>
  <c r="S3023" i="6"/>
  <c r="R3023" i="6"/>
  <c r="Q3023" i="6"/>
  <c r="P3023" i="6"/>
  <c r="O3023" i="6"/>
  <c r="U3023" i="6" s="1"/>
  <c r="N3023" i="6"/>
  <c r="V3022" i="6"/>
  <c r="T3022" i="6"/>
  <c r="S3022" i="6"/>
  <c r="R3022" i="6"/>
  <c r="Q3022" i="6"/>
  <c r="P3022" i="6"/>
  <c r="O3022" i="6"/>
  <c r="U3022" i="6" s="1"/>
  <c r="N3022" i="6"/>
  <c r="V3021" i="6"/>
  <c r="T3021" i="6"/>
  <c r="S3021" i="6"/>
  <c r="R3021" i="6"/>
  <c r="Q3021" i="6"/>
  <c r="P3021" i="6"/>
  <c r="O3021" i="6"/>
  <c r="U3021" i="6" s="1"/>
  <c r="N3021" i="6"/>
  <c r="V3020" i="6"/>
  <c r="T3020" i="6"/>
  <c r="S3020" i="6"/>
  <c r="R3020" i="6"/>
  <c r="Q3020" i="6"/>
  <c r="P3020" i="6"/>
  <c r="O3020" i="6"/>
  <c r="U3020" i="6" s="1"/>
  <c r="N3020" i="6"/>
  <c r="V3019" i="6"/>
  <c r="T3019" i="6"/>
  <c r="S3019" i="6"/>
  <c r="R3019" i="6"/>
  <c r="Q3019" i="6"/>
  <c r="P3019" i="6"/>
  <c r="O3019" i="6"/>
  <c r="U3019" i="6" s="1"/>
  <c r="N3019" i="6"/>
  <c r="V3018" i="6"/>
  <c r="T3018" i="6"/>
  <c r="S3018" i="6"/>
  <c r="R3018" i="6"/>
  <c r="Q3018" i="6"/>
  <c r="P3018" i="6"/>
  <c r="O3018" i="6"/>
  <c r="U3018" i="6" s="1"/>
  <c r="N3018" i="6"/>
  <c r="V3017" i="6"/>
  <c r="T3017" i="6"/>
  <c r="S3017" i="6"/>
  <c r="R3017" i="6"/>
  <c r="Q3017" i="6"/>
  <c r="P3017" i="6"/>
  <c r="O3017" i="6"/>
  <c r="U3017" i="6" s="1"/>
  <c r="N3017" i="6"/>
  <c r="V3016" i="6"/>
  <c r="T3016" i="6"/>
  <c r="S3016" i="6"/>
  <c r="R3016" i="6"/>
  <c r="Q3016" i="6"/>
  <c r="P3016" i="6"/>
  <c r="O3016" i="6"/>
  <c r="U3016" i="6" s="1"/>
  <c r="N3016" i="6"/>
  <c r="V3015" i="6"/>
  <c r="T3015" i="6"/>
  <c r="S3015" i="6"/>
  <c r="R3015" i="6"/>
  <c r="Q3015" i="6"/>
  <c r="P3015" i="6"/>
  <c r="O3015" i="6"/>
  <c r="U3015" i="6" s="1"/>
  <c r="N3015" i="6"/>
  <c r="V3014" i="6"/>
  <c r="T3014" i="6"/>
  <c r="S3014" i="6"/>
  <c r="R3014" i="6"/>
  <c r="Q3014" i="6"/>
  <c r="P3014" i="6"/>
  <c r="O3014" i="6"/>
  <c r="U3014" i="6" s="1"/>
  <c r="N3014" i="6"/>
  <c r="V3013" i="6"/>
  <c r="T3013" i="6"/>
  <c r="S3013" i="6"/>
  <c r="R3013" i="6"/>
  <c r="Q3013" i="6"/>
  <c r="P3013" i="6"/>
  <c r="O3013" i="6"/>
  <c r="U3013" i="6" s="1"/>
  <c r="N3013" i="6"/>
  <c r="V3012" i="6"/>
  <c r="T3012" i="6"/>
  <c r="S3012" i="6"/>
  <c r="R3012" i="6"/>
  <c r="Q3012" i="6"/>
  <c r="P3012" i="6"/>
  <c r="O3012" i="6"/>
  <c r="U3012" i="6" s="1"/>
  <c r="N3012" i="6"/>
  <c r="V3011" i="6"/>
  <c r="T3011" i="6"/>
  <c r="S3011" i="6"/>
  <c r="R3011" i="6"/>
  <c r="Q3011" i="6"/>
  <c r="P3011" i="6"/>
  <c r="O3011" i="6"/>
  <c r="U3011" i="6" s="1"/>
  <c r="N3011" i="6"/>
  <c r="V3010" i="6"/>
  <c r="T3010" i="6"/>
  <c r="S3010" i="6"/>
  <c r="R3010" i="6"/>
  <c r="Q3010" i="6"/>
  <c r="P3010" i="6"/>
  <c r="O3010" i="6"/>
  <c r="U3010" i="6" s="1"/>
  <c r="N3010" i="6"/>
  <c r="V3009" i="6"/>
  <c r="T3009" i="6"/>
  <c r="S3009" i="6"/>
  <c r="R3009" i="6"/>
  <c r="Q3009" i="6"/>
  <c r="P3009" i="6"/>
  <c r="O3009" i="6"/>
  <c r="U3009" i="6" s="1"/>
  <c r="N3009" i="6"/>
  <c r="V3008" i="6"/>
  <c r="T3008" i="6"/>
  <c r="S3008" i="6"/>
  <c r="R3008" i="6"/>
  <c r="Q3008" i="6"/>
  <c r="P3008" i="6"/>
  <c r="O3008" i="6"/>
  <c r="U3008" i="6" s="1"/>
  <c r="N3008" i="6"/>
  <c r="V3007" i="6"/>
  <c r="T3007" i="6"/>
  <c r="S3007" i="6"/>
  <c r="R3007" i="6"/>
  <c r="Q3007" i="6"/>
  <c r="P3007" i="6"/>
  <c r="O3007" i="6"/>
  <c r="U3007" i="6" s="1"/>
  <c r="N3007" i="6"/>
  <c r="V3006" i="6"/>
  <c r="T3006" i="6"/>
  <c r="S3006" i="6"/>
  <c r="R3006" i="6"/>
  <c r="Q3006" i="6"/>
  <c r="P3006" i="6"/>
  <c r="O3006" i="6"/>
  <c r="U3006" i="6" s="1"/>
  <c r="N3006" i="6"/>
  <c r="V3005" i="6"/>
  <c r="T3005" i="6"/>
  <c r="S3005" i="6"/>
  <c r="R3005" i="6"/>
  <c r="Q3005" i="6"/>
  <c r="P3005" i="6"/>
  <c r="O3005" i="6"/>
  <c r="U3005" i="6" s="1"/>
  <c r="N3005" i="6"/>
  <c r="V3004" i="6"/>
  <c r="T3004" i="6"/>
  <c r="S3004" i="6"/>
  <c r="R3004" i="6"/>
  <c r="Q3004" i="6"/>
  <c r="P3004" i="6"/>
  <c r="O3004" i="6"/>
  <c r="U3004" i="6" s="1"/>
  <c r="N3004" i="6"/>
  <c r="V3003" i="6"/>
  <c r="T3003" i="6"/>
  <c r="S3003" i="6"/>
  <c r="R3003" i="6"/>
  <c r="Q3003" i="6"/>
  <c r="P3003" i="6"/>
  <c r="O3003" i="6"/>
  <c r="U3003" i="6" s="1"/>
  <c r="N3003" i="6"/>
  <c r="V3002" i="6"/>
  <c r="T3002" i="6"/>
  <c r="S3002" i="6"/>
  <c r="R3002" i="6"/>
  <c r="Q3002" i="6"/>
  <c r="P3002" i="6"/>
  <c r="O3002" i="6"/>
  <c r="U3002" i="6" s="1"/>
  <c r="N3002" i="6"/>
  <c r="V3001" i="6"/>
  <c r="T3001" i="6"/>
  <c r="S3001" i="6"/>
  <c r="R3001" i="6"/>
  <c r="Q3001" i="6"/>
  <c r="P3001" i="6"/>
  <c r="O3001" i="6"/>
  <c r="U3001" i="6" s="1"/>
  <c r="N3001" i="6"/>
  <c r="V3000" i="6"/>
  <c r="T3000" i="6"/>
  <c r="S3000" i="6"/>
  <c r="R3000" i="6"/>
  <c r="Q3000" i="6"/>
  <c r="P3000" i="6"/>
  <c r="O3000" i="6"/>
  <c r="U3000" i="6" s="1"/>
  <c r="N3000" i="6"/>
  <c r="V2999" i="6"/>
  <c r="T2999" i="6"/>
  <c r="S2999" i="6"/>
  <c r="R2999" i="6"/>
  <c r="Q2999" i="6"/>
  <c r="P2999" i="6"/>
  <c r="O2999" i="6"/>
  <c r="U2999" i="6" s="1"/>
  <c r="N2999" i="6"/>
  <c r="V2998" i="6"/>
  <c r="T2998" i="6"/>
  <c r="S2998" i="6"/>
  <c r="R2998" i="6"/>
  <c r="Q2998" i="6"/>
  <c r="P2998" i="6"/>
  <c r="O2998" i="6"/>
  <c r="U2998" i="6" s="1"/>
  <c r="N2998" i="6"/>
  <c r="V2997" i="6"/>
  <c r="T2997" i="6"/>
  <c r="S2997" i="6"/>
  <c r="R2997" i="6"/>
  <c r="Q2997" i="6"/>
  <c r="P2997" i="6"/>
  <c r="O2997" i="6"/>
  <c r="U2997" i="6" s="1"/>
  <c r="N2997" i="6"/>
  <c r="V2996" i="6"/>
  <c r="T2996" i="6"/>
  <c r="S2996" i="6"/>
  <c r="R2996" i="6"/>
  <c r="Q2996" i="6"/>
  <c r="P2996" i="6"/>
  <c r="O2996" i="6"/>
  <c r="U2996" i="6" s="1"/>
  <c r="N2996" i="6"/>
  <c r="V2995" i="6"/>
  <c r="T2995" i="6"/>
  <c r="S2995" i="6"/>
  <c r="R2995" i="6"/>
  <c r="Q2995" i="6"/>
  <c r="P2995" i="6"/>
  <c r="O2995" i="6"/>
  <c r="U2995" i="6" s="1"/>
  <c r="N2995" i="6"/>
  <c r="V2994" i="6"/>
  <c r="T2994" i="6"/>
  <c r="S2994" i="6"/>
  <c r="R2994" i="6"/>
  <c r="Q2994" i="6"/>
  <c r="P2994" i="6"/>
  <c r="O2994" i="6"/>
  <c r="U2994" i="6" s="1"/>
  <c r="N2994" i="6"/>
  <c r="V2993" i="6"/>
  <c r="T2993" i="6"/>
  <c r="S2993" i="6"/>
  <c r="R2993" i="6"/>
  <c r="Q2993" i="6"/>
  <c r="P2993" i="6"/>
  <c r="O2993" i="6"/>
  <c r="U2993" i="6" s="1"/>
  <c r="N2993" i="6"/>
  <c r="V2992" i="6"/>
  <c r="T2992" i="6"/>
  <c r="S2992" i="6"/>
  <c r="R2992" i="6"/>
  <c r="Q2992" i="6"/>
  <c r="P2992" i="6"/>
  <c r="O2992" i="6"/>
  <c r="U2992" i="6" s="1"/>
  <c r="N2992" i="6"/>
  <c r="V2991" i="6"/>
  <c r="T2991" i="6"/>
  <c r="S2991" i="6"/>
  <c r="R2991" i="6"/>
  <c r="Q2991" i="6"/>
  <c r="P2991" i="6"/>
  <c r="O2991" i="6"/>
  <c r="U2991" i="6" s="1"/>
  <c r="N2991" i="6"/>
  <c r="V2990" i="6"/>
  <c r="T2990" i="6"/>
  <c r="S2990" i="6"/>
  <c r="R2990" i="6"/>
  <c r="Q2990" i="6"/>
  <c r="P2990" i="6"/>
  <c r="O2990" i="6"/>
  <c r="U2990" i="6" s="1"/>
  <c r="N2990" i="6"/>
  <c r="V2989" i="6"/>
  <c r="T2989" i="6"/>
  <c r="S2989" i="6"/>
  <c r="R2989" i="6"/>
  <c r="Q2989" i="6"/>
  <c r="P2989" i="6"/>
  <c r="O2989" i="6"/>
  <c r="U2989" i="6" s="1"/>
  <c r="N2989" i="6"/>
  <c r="V2988" i="6"/>
  <c r="T2988" i="6"/>
  <c r="S2988" i="6"/>
  <c r="R2988" i="6"/>
  <c r="Q2988" i="6"/>
  <c r="P2988" i="6"/>
  <c r="O2988" i="6"/>
  <c r="U2988" i="6" s="1"/>
  <c r="N2988" i="6"/>
  <c r="V2987" i="6"/>
  <c r="T2987" i="6"/>
  <c r="S2987" i="6"/>
  <c r="R2987" i="6"/>
  <c r="Q2987" i="6"/>
  <c r="P2987" i="6"/>
  <c r="O2987" i="6"/>
  <c r="U2987" i="6" s="1"/>
  <c r="N2987" i="6"/>
  <c r="V2986" i="6"/>
  <c r="T2986" i="6"/>
  <c r="S2986" i="6"/>
  <c r="R2986" i="6"/>
  <c r="Q2986" i="6"/>
  <c r="P2986" i="6"/>
  <c r="O2986" i="6"/>
  <c r="U2986" i="6" s="1"/>
  <c r="N2986" i="6"/>
  <c r="V2985" i="6"/>
  <c r="T2985" i="6"/>
  <c r="S2985" i="6"/>
  <c r="R2985" i="6"/>
  <c r="Q2985" i="6"/>
  <c r="P2985" i="6"/>
  <c r="O2985" i="6"/>
  <c r="U2985" i="6" s="1"/>
  <c r="N2985" i="6"/>
  <c r="V2984" i="6"/>
  <c r="T2984" i="6"/>
  <c r="S2984" i="6"/>
  <c r="R2984" i="6"/>
  <c r="Q2984" i="6"/>
  <c r="P2984" i="6"/>
  <c r="O2984" i="6"/>
  <c r="U2984" i="6" s="1"/>
  <c r="N2984" i="6"/>
  <c r="V2983" i="6"/>
  <c r="T2983" i="6"/>
  <c r="S2983" i="6"/>
  <c r="R2983" i="6"/>
  <c r="Q2983" i="6"/>
  <c r="P2983" i="6"/>
  <c r="O2983" i="6"/>
  <c r="U2983" i="6" s="1"/>
  <c r="N2983" i="6"/>
  <c r="V2982" i="6"/>
  <c r="T2982" i="6"/>
  <c r="S2982" i="6"/>
  <c r="R2982" i="6"/>
  <c r="Q2982" i="6"/>
  <c r="P2982" i="6"/>
  <c r="O2982" i="6"/>
  <c r="U2982" i="6" s="1"/>
  <c r="N2982" i="6"/>
  <c r="V2981" i="6"/>
  <c r="T2981" i="6"/>
  <c r="S2981" i="6"/>
  <c r="R2981" i="6"/>
  <c r="Q2981" i="6"/>
  <c r="P2981" i="6"/>
  <c r="O2981" i="6"/>
  <c r="U2981" i="6" s="1"/>
  <c r="N2981" i="6"/>
  <c r="V2980" i="6"/>
  <c r="T2980" i="6"/>
  <c r="S2980" i="6"/>
  <c r="R2980" i="6"/>
  <c r="Q2980" i="6"/>
  <c r="P2980" i="6"/>
  <c r="O2980" i="6"/>
  <c r="U2980" i="6" s="1"/>
  <c r="N2980" i="6"/>
  <c r="V2979" i="6"/>
  <c r="T2979" i="6"/>
  <c r="S2979" i="6"/>
  <c r="R2979" i="6"/>
  <c r="Q2979" i="6"/>
  <c r="P2979" i="6"/>
  <c r="O2979" i="6"/>
  <c r="U2979" i="6" s="1"/>
  <c r="N2979" i="6"/>
  <c r="V2978" i="6"/>
  <c r="T2978" i="6"/>
  <c r="S2978" i="6"/>
  <c r="R2978" i="6"/>
  <c r="Q2978" i="6"/>
  <c r="P2978" i="6"/>
  <c r="O2978" i="6"/>
  <c r="U2978" i="6" s="1"/>
  <c r="N2978" i="6"/>
  <c r="V2977" i="6"/>
  <c r="T2977" i="6"/>
  <c r="S2977" i="6"/>
  <c r="R2977" i="6"/>
  <c r="Q2977" i="6"/>
  <c r="P2977" i="6"/>
  <c r="O2977" i="6"/>
  <c r="U2977" i="6" s="1"/>
  <c r="N2977" i="6"/>
  <c r="V2976" i="6"/>
  <c r="T2976" i="6"/>
  <c r="S2976" i="6"/>
  <c r="R2976" i="6"/>
  <c r="Q2976" i="6"/>
  <c r="P2976" i="6"/>
  <c r="O2976" i="6"/>
  <c r="U2976" i="6" s="1"/>
  <c r="N2976" i="6"/>
  <c r="V2975" i="6"/>
  <c r="T2975" i="6"/>
  <c r="S2975" i="6"/>
  <c r="R2975" i="6"/>
  <c r="Q2975" i="6"/>
  <c r="P2975" i="6"/>
  <c r="O2975" i="6"/>
  <c r="U2975" i="6" s="1"/>
  <c r="N2975" i="6"/>
  <c r="V2974" i="6"/>
  <c r="T2974" i="6"/>
  <c r="S2974" i="6"/>
  <c r="R2974" i="6"/>
  <c r="Q2974" i="6"/>
  <c r="P2974" i="6"/>
  <c r="O2974" i="6"/>
  <c r="U2974" i="6" s="1"/>
  <c r="N2974" i="6"/>
  <c r="V2973" i="6"/>
  <c r="T2973" i="6"/>
  <c r="S2973" i="6"/>
  <c r="R2973" i="6"/>
  <c r="Q2973" i="6"/>
  <c r="P2973" i="6"/>
  <c r="O2973" i="6"/>
  <c r="U2973" i="6" s="1"/>
  <c r="N2973" i="6"/>
  <c r="V2972" i="6"/>
  <c r="T2972" i="6"/>
  <c r="S2972" i="6"/>
  <c r="R2972" i="6"/>
  <c r="Q2972" i="6"/>
  <c r="P2972" i="6"/>
  <c r="O2972" i="6"/>
  <c r="U2972" i="6" s="1"/>
  <c r="N2972" i="6"/>
  <c r="V2971" i="6"/>
  <c r="T2971" i="6"/>
  <c r="S2971" i="6"/>
  <c r="R2971" i="6"/>
  <c r="Q2971" i="6"/>
  <c r="P2971" i="6"/>
  <c r="O2971" i="6"/>
  <c r="U2971" i="6" s="1"/>
  <c r="N2971" i="6"/>
  <c r="V2970" i="6"/>
  <c r="T2970" i="6"/>
  <c r="S2970" i="6"/>
  <c r="R2970" i="6"/>
  <c r="Q2970" i="6"/>
  <c r="P2970" i="6"/>
  <c r="O2970" i="6"/>
  <c r="U2970" i="6" s="1"/>
  <c r="N2970" i="6"/>
  <c r="V2969" i="6"/>
  <c r="T2969" i="6"/>
  <c r="S2969" i="6"/>
  <c r="R2969" i="6"/>
  <c r="Q2969" i="6"/>
  <c r="P2969" i="6"/>
  <c r="O2969" i="6"/>
  <c r="U2969" i="6" s="1"/>
  <c r="N2969" i="6"/>
  <c r="V2968" i="6"/>
  <c r="T2968" i="6"/>
  <c r="S2968" i="6"/>
  <c r="R2968" i="6"/>
  <c r="Q2968" i="6"/>
  <c r="P2968" i="6"/>
  <c r="O2968" i="6"/>
  <c r="U2968" i="6" s="1"/>
  <c r="N2968" i="6"/>
  <c r="V2967" i="6"/>
  <c r="T2967" i="6"/>
  <c r="S2967" i="6"/>
  <c r="R2967" i="6"/>
  <c r="Q2967" i="6"/>
  <c r="P2967" i="6"/>
  <c r="O2967" i="6"/>
  <c r="U2967" i="6" s="1"/>
  <c r="N2967" i="6"/>
  <c r="V2966" i="6"/>
  <c r="T2966" i="6"/>
  <c r="S2966" i="6"/>
  <c r="R2966" i="6"/>
  <c r="Q2966" i="6"/>
  <c r="P2966" i="6"/>
  <c r="O2966" i="6"/>
  <c r="U2966" i="6" s="1"/>
  <c r="N2966" i="6"/>
  <c r="V2965" i="6"/>
  <c r="T2965" i="6"/>
  <c r="S2965" i="6"/>
  <c r="R2965" i="6"/>
  <c r="Q2965" i="6"/>
  <c r="P2965" i="6"/>
  <c r="O2965" i="6"/>
  <c r="U2965" i="6" s="1"/>
  <c r="N2965" i="6"/>
  <c r="V2964" i="6"/>
  <c r="T2964" i="6"/>
  <c r="S2964" i="6"/>
  <c r="R2964" i="6"/>
  <c r="Q2964" i="6"/>
  <c r="P2964" i="6"/>
  <c r="O2964" i="6"/>
  <c r="U2964" i="6" s="1"/>
  <c r="N2964" i="6"/>
  <c r="V2963" i="6"/>
  <c r="T2963" i="6"/>
  <c r="S2963" i="6"/>
  <c r="R2963" i="6"/>
  <c r="Q2963" i="6"/>
  <c r="P2963" i="6"/>
  <c r="O2963" i="6"/>
  <c r="U2963" i="6" s="1"/>
  <c r="N2963" i="6"/>
  <c r="V2962" i="6"/>
  <c r="T2962" i="6"/>
  <c r="S2962" i="6"/>
  <c r="R2962" i="6"/>
  <c r="Q2962" i="6"/>
  <c r="P2962" i="6"/>
  <c r="O2962" i="6"/>
  <c r="U2962" i="6" s="1"/>
  <c r="N2962" i="6"/>
  <c r="V2961" i="6"/>
  <c r="T2961" i="6"/>
  <c r="S2961" i="6"/>
  <c r="R2961" i="6"/>
  <c r="Q2961" i="6"/>
  <c r="P2961" i="6"/>
  <c r="O2961" i="6"/>
  <c r="U2961" i="6" s="1"/>
  <c r="N2961" i="6"/>
  <c r="V2960" i="6"/>
  <c r="T2960" i="6"/>
  <c r="S2960" i="6"/>
  <c r="R2960" i="6"/>
  <c r="Q2960" i="6"/>
  <c r="P2960" i="6"/>
  <c r="O2960" i="6"/>
  <c r="U2960" i="6" s="1"/>
  <c r="N2960" i="6"/>
  <c r="V2959" i="6"/>
  <c r="T2959" i="6"/>
  <c r="S2959" i="6"/>
  <c r="R2959" i="6"/>
  <c r="Q2959" i="6"/>
  <c r="P2959" i="6"/>
  <c r="O2959" i="6"/>
  <c r="U2959" i="6" s="1"/>
  <c r="N2959" i="6"/>
  <c r="V2958" i="6"/>
  <c r="T2958" i="6"/>
  <c r="S2958" i="6"/>
  <c r="R2958" i="6"/>
  <c r="Q2958" i="6"/>
  <c r="P2958" i="6"/>
  <c r="O2958" i="6"/>
  <c r="U2958" i="6" s="1"/>
  <c r="N2958" i="6"/>
  <c r="V2957" i="6"/>
  <c r="T2957" i="6"/>
  <c r="S2957" i="6"/>
  <c r="R2957" i="6"/>
  <c r="Q2957" i="6"/>
  <c r="P2957" i="6"/>
  <c r="O2957" i="6"/>
  <c r="U2957" i="6" s="1"/>
  <c r="N2957" i="6"/>
  <c r="V2956" i="6"/>
  <c r="T2956" i="6"/>
  <c r="S2956" i="6"/>
  <c r="R2956" i="6"/>
  <c r="Q2956" i="6"/>
  <c r="P2956" i="6"/>
  <c r="O2956" i="6"/>
  <c r="U2956" i="6" s="1"/>
  <c r="N2956" i="6"/>
  <c r="V2955" i="6"/>
  <c r="T2955" i="6"/>
  <c r="S2955" i="6"/>
  <c r="R2955" i="6"/>
  <c r="Q2955" i="6"/>
  <c r="P2955" i="6"/>
  <c r="O2955" i="6"/>
  <c r="U2955" i="6" s="1"/>
  <c r="N2955" i="6"/>
  <c r="V2954" i="6"/>
  <c r="T2954" i="6"/>
  <c r="S2954" i="6"/>
  <c r="R2954" i="6"/>
  <c r="Q2954" i="6"/>
  <c r="P2954" i="6"/>
  <c r="O2954" i="6"/>
  <c r="U2954" i="6" s="1"/>
  <c r="N2954" i="6"/>
  <c r="V2953" i="6"/>
  <c r="T2953" i="6"/>
  <c r="S2953" i="6"/>
  <c r="R2953" i="6"/>
  <c r="Q2953" i="6"/>
  <c r="P2953" i="6"/>
  <c r="O2953" i="6"/>
  <c r="U2953" i="6" s="1"/>
  <c r="N2953" i="6"/>
  <c r="V2952" i="6"/>
  <c r="T2952" i="6"/>
  <c r="S2952" i="6"/>
  <c r="R2952" i="6"/>
  <c r="Q2952" i="6"/>
  <c r="P2952" i="6"/>
  <c r="O2952" i="6"/>
  <c r="U2952" i="6" s="1"/>
  <c r="N2952" i="6"/>
  <c r="V2951" i="6"/>
  <c r="T2951" i="6"/>
  <c r="S2951" i="6"/>
  <c r="R2951" i="6"/>
  <c r="Q2951" i="6"/>
  <c r="P2951" i="6"/>
  <c r="O2951" i="6"/>
  <c r="U2951" i="6" s="1"/>
  <c r="N2951" i="6"/>
  <c r="V2950" i="6"/>
  <c r="T2950" i="6"/>
  <c r="S2950" i="6"/>
  <c r="R2950" i="6"/>
  <c r="Q2950" i="6"/>
  <c r="P2950" i="6"/>
  <c r="O2950" i="6"/>
  <c r="U2950" i="6" s="1"/>
  <c r="N2950" i="6"/>
  <c r="V2949" i="6"/>
  <c r="T2949" i="6"/>
  <c r="S2949" i="6"/>
  <c r="R2949" i="6"/>
  <c r="Q2949" i="6"/>
  <c r="P2949" i="6"/>
  <c r="O2949" i="6"/>
  <c r="U2949" i="6" s="1"/>
  <c r="N2949" i="6"/>
  <c r="V2948" i="6"/>
  <c r="T2948" i="6"/>
  <c r="S2948" i="6"/>
  <c r="R2948" i="6"/>
  <c r="Q2948" i="6"/>
  <c r="P2948" i="6"/>
  <c r="O2948" i="6"/>
  <c r="U2948" i="6" s="1"/>
  <c r="N2948" i="6"/>
  <c r="V2947" i="6"/>
  <c r="T2947" i="6"/>
  <c r="S2947" i="6"/>
  <c r="R2947" i="6"/>
  <c r="Q2947" i="6"/>
  <c r="P2947" i="6"/>
  <c r="O2947" i="6"/>
  <c r="U2947" i="6" s="1"/>
  <c r="N2947" i="6"/>
  <c r="V2946" i="6"/>
  <c r="T2946" i="6"/>
  <c r="S2946" i="6"/>
  <c r="R2946" i="6"/>
  <c r="Q2946" i="6"/>
  <c r="P2946" i="6"/>
  <c r="O2946" i="6"/>
  <c r="U2946" i="6" s="1"/>
  <c r="N2946" i="6"/>
  <c r="V2945" i="6"/>
  <c r="T2945" i="6"/>
  <c r="S2945" i="6"/>
  <c r="R2945" i="6"/>
  <c r="Q2945" i="6"/>
  <c r="P2945" i="6"/>
  <c r="O2945" i="6"/>
  <c r="U2945" i="6" s="1"/>
  <c r="N2945" i="6"/>
  <c r="V2944" i="6"/>
  <c r="T2944" i="6"/>
  <c r="S2944" i="6"/>
  <c r="R2944" i="6"/>
  <c r="Q2944" i="6"/>
  <c r="P2944" i="6"/>
  <c r="O2944" i="6"/>
  <c r="U2944" i="6" s="1"/>
  <c r="N2944" i="6"/>
  <c r="V2943" i="6"/>
  <c r="T2943" i="6"/>
  <c r="S2943" i="6"/>
  <c r="R2943" i="6"/>
  <c r="Q2943" i="6"/>
  <c r="P2943" i="6"/>
  <c r="O2943" i="6"/>
  <c r="U2943" i="6" s="1"/>
  <c r="N2943" i="6"/>
  <c r="V2942" i="6"/>
  <c r="T2942" i="6"/>
  <c r="S2942" i="6"/>
  <c r="R2942" i="6"/>
  <c r="Q2942" i="6"/>
  <c r="P2942" i="6"/>
  <c r="O2942" i="6"/>
  <c r="U2942" i="6" s="1"/>
  <c r="N2942" i="6"/>
  <c r="V2941" i="6"/>
  <c r="T2941" i="6"/>
  <c r="S2941" i="6"/>
  <c r="R2941" i="6"/>
  <c r="Q2941" i="6"/>
  <c r="P2941" i="6"/>
  <c r="O2941" i="6"/>
  <c r="U2941" i="6" s="1"/>
  <c r="N2941" i="6"/>
  <c r="V2940" i="6"/>
  <c r="T2940" i="6"/>
  <c r="S2940" i="6"/>
  <c r="R2940" i="6"/>
  <c r="Q2940" i="6"/>
  <c r="P2940" i="6"/>
  <c r="O2940" i="6"/>
  <c r="U2940" i="6" s="1"/>
  <c r="N2940" i="6"/>
  <c r="V2939" i="6"/>
  <c r="T2939" i="6"/>
  <c r="S2939" i="6"/>
  <c r="R2939" i="6"/>
  <c r="Q2939" i="6"/>
  <c r="P2939" i="6"/>
  <c r="O2939" i="6"/>
  <c r="U2939" i="6" s="1"/>
  <c r="N2939" i="6"/>
  <c r="V2938" i="6"/>
  <c r="T2938" i="6"/>
  <c r="S2938" i="6"/>
  <c r="R2938" i="6"/>
  <c r="Q2938" i="6"/>
  <c r="P2938" i="6"/>
  <c r="O2938" i="6"/>
  <c r="U2938" i="6" s="1"/>
  <c r="N2938" i="6"/>
  <c r="V2937" i="6"/>
  <c r="T2937" i="6"/>
  <c r="S2937" i="6"/>
  <c r="R2937" i="6"/>
  <c r="Q2937" i="6"/>
  <c r="P2937" i="6"/>
  <c r="O2937" i="6"/>
  <c r="U2937" i="6" s="1"/>
  <c r="N2937" i="6"/>
  <c r="V2936" i="6"/>
  <c r="T2936" i="6"/>
  <c r="S2936" i="6"/>
  <c r="R2936" i="6"/>
  <c r="Q2936" i="6"/>
  <c r="P2936" i="6"/>
  <c r="O2936" i="6"/>
  <c r="U2936" i="6" s="1"/>
  <c r="N2936" i="6"/>
  <c r="V2935" i="6"/>
  <c r="T2935" i="6"/>
  <c r="S2935" i="6"/>
  <c r="R2935" i="6"/>
  <c r="Q2935" i="6"/>
  <c r="P2935" i="6"/>
  <c r="O2935" i="6"/>
  <c r="U2935" i="6" s="1"/>
  <c r="N2935" i="6"/>
  <c r="V2934" i="6"/>
  <c r="T2934" i="6"/>
  <c r="S2934" i="6"/>
  <c r="R2934" i="6"/>
  <c r="Q2934" i="6"/>
  <c r="P2934" i="6"/>
  <c r="O2934" i="6"/>
  <c r="U2934" i="6" s="1"/>
  <c r="N2934" i="6"/>
  <c r="V2933" i="6"/>
  <c r="T2933" i="6"/>
  <c r="S2933" i="6"/>
  <c r="R2933" i="6"/>
  <c r="Q2933" i="6"/>
  <c r="P2933" i="6"/>
  <c r="O2933" i="6"/>
  <c r="U2933" i="6" s="1"/>
  <c r="N2933" i="6"/>
  <c r="V2932" i="6"/>
  <c r="T2932" i="6"/>
  <c r="S2932" i="6"/>
  <c r="R2932" i="6"/>
  <c r="Q2932" i="6"/>
  <c r="P2932" i="6"/>
  <c r="O2932" i="6"/>
  <c r="U2932" i="6" s="1"/>
  <c r="N2932" i="6"/>
  <c r="V2931" i="6"/>
  <c r="T2931" i="6"/>
  <c r="S2931" i="6"/>
  <c r="R2931" i="6"/>
  <c r="Q2931" i="6"/>
  <c r="P2931" i="6"/>
  <c r="O2931" i="6"/>
  <c r="U2931" i="6" s="1"/>
  <c r="N2931" i="6"/>
  <c r="V2930" i="6"/>
  <c r="T2930" i="6"/>
  <c r="S2930" i="6"/>
  <c r="R2930" i="6"/>
  <c r="Q2930" i="6"/>
  <c r="P2930" i="6"/>
  <c r="O2930" i="6"/>
  <c r="U2930" i="6" s="1"/>
  <c r="N2930" i="6"/>
  <c r="V2929" i="6"/>
  <c r="T2929" i="6"/>
  <c r="S2929" i="6"/>
  <c r="R2929" i="6"/>
  <c r="Q2929" i="6"/>
  <c r="P2929" i="6"/>
  <c r="O2929" i="6"/>
  <c r="U2929" i="6" s="1"/>
  <c r="N2929" i="6"/>
  <c r="V2928" i="6"/>
  <c r="T2928" i="6"/>
  <c r="S2928" i="6"/>
  <c r="R2928" i="6"/>
  <c r="Q2928" i="6"/>
  <c r="P2928" i="6"/>
  <c r="O2928" i="6"/>
  <c r="U2928" i="6" s="1"/>
  <c r="N2928" i="6"/>
  <c r="V2927" i="6"/>
  <c r="T2927" i="6"/>
  <c r="S2927" i="6"/>
  <c r="R2927" i="6"/>
  <c r="Q2927" i="6"/>
  <c r="P2927" i="6"/>
  <c r="O2927" i="6"/>
  <c r="U2927" i="6" s="1"/>
  <c r="N2927" i="6"/>
  <c r="V2926" i="6"/>
  <c r="T2926" i="6"/>
  <c r="S2926" i="6"/>
  <c r="R2926" i="6"/>
  <c r="Q2926" i="6"/>
  <c r="P2926" i="6"/>
  <c r="O2926" i="6"/>
  <c r="U2926" i="6" s="1"/>
  <c r="N2926" i="6"/>
  <c r="V2925" i="6"/>
  <c r="T2925" i="6"/>
  <c r="S2925" i="6"/>
  <c r="R2925" i="6"/>
  <c r="Q2925" i="6"/>
  <c r="P2925" i="6"/>
  <c r="O2925" i="6"/>
  <c r="U2925" i="6" s="1"/>
  <c r="N2925" i="6"/>
  <c r="V2924" i="6"/>
  <c r="T2924" i="6"/>
  <c r="S2924" i="6"/>
  <c r="R2924" i="6"/>
  <c r="Q2924" i="6"/>
  <c r="P2924" i="6"/>
  <c r="O2924" i="6"/>
  <c r="U2924" i="6" s="1"/>
  <c r="N2924" i="6"/>
  <c r="V2923" i="6"/>
  <c r="T2923" i="6"/>
  <c r="S2923" i="6"/>
  <c r="R2923" i="6"/>
  <c r="Q2923" i="6"/>
  <c r="P2923" i="6"/>
  <c r="O2923" i="6"/>
  <c r="U2923" i="6" s="1"/>
  <c r="N2923" i="6"/>
  <c r="V2922" i="6"/>
  <c r="T2922" i="6"/>
  <c r="S2922" i="6"/>
  <c r="R2922" i="6"/>
  <c r="Q2922" i="6"/>
  <c r="P2922" i="6"/>
  <c r="O2922" i="6"/>
  <c r="U2922" i="6" s="1"/>
  <c r="N2922" i="6"/>
  <c r="V2921" i="6"/>
  <c r="T2921" i="6"/>
  <c r="S2921" i="6"/>
  <c r="R2921" i="6"/>
  <c r="Q2921" i="6"/>
  <c r="P2921" i="6"/>
  <c r="O2921" i="6"/>
  <c r="U2921" i="6" s="1"/>
  <c r="N2921" i="6"/>
  <c r="V2920" i="6"/>
  <c r="T2920" i="6"/>
  <c r="S2920" i="6"/>
  <c r="R2920" i="6"/>
  <c r="Q2920" i="6"/>
  <c r="P2920" i="6"/>
  <c r="O2920" i="6"/>
  <c r="U2920" i="6" s="1"/>
  <c r="N2920" i="6"/>
  <c r="V2919" i="6"/>
  <c r="T2919" i="6"/>
  <c r="S2919" i="6"/>
  <c r="R2919" i="6"/>
  <c r="Q2919" i="6"/>
  <c r="P2919" i="6"/>
  <c r="O2919" i="6"/>
  <c r="U2919" i="6" s="1"/>
  <c r="N2919" i="6"/>
  <c r="V2918" i="6"/>
  <c r="T2918" i="6"/>
  <c r="S2918" i="6"/>
  <c r="R2918" i="6"/>
  <c r="Q2918" i="6"/>
  <c r="P2918" i="6"/>
  <c r="O2918" i="6"/>
  <c r="U2918" i="6" s="1"/>
  <c r="N2918" i="6"/>
  <c r="V2917" i="6"/>
  <c r="T2917" i="6"/>
  <c r="S2917" i="6"/>
  <c r="R2917" i="6"/>
  <c r="Q2917" i="6"/>
  <c r="P2917" i="6"/>
  <c r="O2917" i="6"/>
  <c r="U2917" i="6" s="1"/>
  <c r="N2917" i="6"/>
  <c r="V2916" i="6"/>
  <c r="T2916" i="6"/>
  <c r="S2916" i="6"/>
  <c r="R2916" i="6"/>
  <c r="Q2916" i="6"/>
  <c r="P2916" i="6"/>
  <c r="O2916" i="6"/>
  <c r="U2916" i="6" s="1"/>
  <c r="N2916" i="6"/>
  <c r="V2915" i="6"/>
  <c r="T2915" i="6"/>
  <c r="S2915" i="6"/>
  <c r="R2915" i="6"/>
  <c r="Q2915" i="6"/>
  <c r="P2915" i="6"/>
  <c r="O2915" i="6"/>
  <c r="U2915" i="6" s="1"/>
  <c r="N2915" i="6"/>
  <c r="V2914" i="6"/>
  <c r="T2914" i="6"/>
  <c r="S2914" i="6"/>
  <c r="R2914" i="6"/>
  <c r="Q2914" i="6"/>
  <c r="P2914" i="6"/>
  <c r="O2914" i="6"/>
  <c r="U2914" i="6" s="1"/>
  <c r="N2914" i="6"/>
  <c r="V2913" i="6"/>
  <c r="T2913" i="6"/>
  <c r="S2913" i="6"/>
  <c r="R2913" i="6"/>
  <c r="Q2913" i="6"/>
  <c r="P2913" i="6"/>
  <c r="O2913" i="6"/>
  <c r="U2913" i="6" s="1"/>
  <c r="N2913" i="6"/>
  <c r="V2912" i="6"/>
  <c r="T2912" i="6"/>
  <c r="S2912" i="6"/>
  <c r="R2912" i="6"/>
  <c r="Q2912" i="6"/>
  <c r="P2912" i="6"/>
  <c r="O2912" i="6"/>
  <c r="U2912" i="6" s="1"/>
  <c r="N2912" i="6"/>
  <c r="V2911" i="6"/>
  <c r="T2911" i="6"/>
  <c r="S2911" i="6"/>
  <c r="R2911" i="6"/>
  <c r="Q2911" i="6"/>
  <c r="P2911" i="6"/>
  <c r="O2911" i="6"/>
  <c r="U2911" i="6" s="1"/>
  <c r="N2911" i="6"/>
  <c r="V2910" i="6"/>
  <c r="T2910" i="6"/>
  <c r="S2910" i="6"/>
  <c r="R2910" i="6"/>
  <c r="Q2910" i="6"/>
  <c r="P2910" i="6"/>
  <c r="O2910" i="6"/>
  <c r="U2910" i="6" s="1"/>
  <c r="N2910" i="6"/>
  <c r="V2909" i="6"/>
  <c r="T2909" i="6"/>
  <c r="S2909" i="6"/>
  <c r="R2909" i="6"/>
  <c r="Q2909" i="6"/>
  <c r="P2909" i="6"/>
  <c r="O2909" i="6"/>
  <c r="U2909" i="6" s="1"/>
  <c r="N2909" i="6"/>
  <c r="V2908" i="6"/>
  <c r="T2908" i="6"/>
  <c r="S2908" i="6"/>
  <c r="R2908" i="6"/>
  <c r="Q2908" i="6"/>
  <c r="P2908" i="6"/>
  <c r="O2908" i="6"/>
  <c r="U2908" i="6" s="1"/>
  <c r="N2908" i="6"/>
  <c r="V2907" i="6"/>
  <c r="T2907" i="6"/>
  <c r="S2907" i="6"/>
  <c r="R2907" i="6"/>
  <c r="Q2907" i="6"/>
  <c r="P2907" i="6"/>
  <c r="O2907" i="6"/>
  <c r="U2907" i="6" s="1"/>
  <c r="N2907" i="6"/>
  <c r="V2906" i="6"/>
  <c r="T2906" i="6"/>
  <c r="S2906" i="6"/>
  <c r="R2906" i="6"/>
  <c r="Q2906" i="6"/>
  <c r="P2906" i="6"/>
  <c r="O2906" i="6"/>
  <c r="U2906" i="6" s="1"/>
  <c r="N2906" i="6"/>
  <c r="V2905" i="6"/>
  <c r="T2905" i="6"/>
  <c r="S2905" i="6"/>
  <c r="R2905" i="6"/>
  <c r="Q2905" i="6"/>
  <c r="P2905" i="6"/>
  <c r="O2905" i="6"/>
  <c r="U2905" i="6" s="1"/>
  <c r="N2905" i="6"/>
  <c r="V2904" i="6"/>
  <c r="T2904" i="6"/>
  <c r="S2904" i="6"/>
  <c r="R2904" i="6"/>
  <c r="Q2904" i="6"/>
  <c r="P2904" i="6"/>
  <c r="O2904" i="6"/>
  <c r="U2904" i="6" s="1"/>
  <c r="N2904" i="6"/>
  <c r="V2903" i="6"/>
  <c r="T2903" i="6"/>
  <c r="S2903" i="6"/>
  <c r="R2903" i="6"/>
  <c r="Q2903" i="6"/>
  <c r="P2903" i="6"/>
  <c r="O2903" i="6"/>
  <c r="U2903" i="6" s="1"/>
  <c r="N2903" i="6"/>
  <c r="V2902" i="6"/>
  <c r="T2902" i="6"/>
  <c r="S2902" i="6"/>
  <c r="R2902" i="6"/>
  <c r="Q2902" i="6"/>
  <c r="P2902" i="6"/>
  <c r="O2902" i="6"/>
  <c r="U2902" i="6" s="1"/>
  <c r="N2902" i="6"/>
  <c r="V2901" i="6"/>
  <c r="T2901" i="6"/>
  <c r="S2901" i="6"/>
  <c r="R2901" i="6"/>
  <c r="Q2901" i="6"/>
  <c r="P2901" i="6"/>
  <c r="O2901" i="6"/>
  <c r="U2901" i="6" s="1"/>
  <c r="N2901" i="6"/>
  <c r="V2900" i="6"/>
  <c r="T2900" i="6"/>
  <c r="S2900" i="6"/>
  <c r="R2900" i="6"/>
  <c r="Q2900" i="6"/>
  <c r="P2900" i="6"/>
  <c r="O2900" i="6"/>
  <c r="U2900" i="6" s="1"/>
  <c r="N2900" i="6"/>
  <c r="V2899" i="6"/>
  <c r="T2899" i="6"/>
  <c r="S2899" i="6"/>
  <c r="R2899" i="6"/>
  <c r="Q2899" i="6"/>
  <c r="P2899" i="6"/>
  <c r="O2899" i="6"/>
  <c r="U2899" i="6" s="1"/>
  <c r="N2899" i="6"/>
  <c r="V2898" i="6"/>
  <c r="T2898" i="6"/>
  <c r="S2898" i="6"/>
  <c r="R2898" i="6"/>
  <c r="Q2898" i="6"/>
  <c r="P2898" i="6"/>
  <c r="O2898" i="6"/>
  <c r="U2898" i="6" s="1"/>
  <c r="N2898" i="6"/>
  <c r="V2897" i="6"/>
  <c r="T2897" i="6"/>
  <c r="S2897" i="6"/>
  <c r="R2897" i="6"/>
  <c r="Q2897" i="6"/>
  <c r="P2897" i="6"/>
  <c r="O2897" i="6"/>
  <c r="U2897" i="6" s="1"/>
  <c r="N2897" i="6"/>
  <c r="V2896" i="6"/>
  <c r="T2896" i="6"/>
  <c r="S2896" i="6"/>
  <c r="R2896" i="6"/>
  <c r="Q2896" i="6"/>
  <c r="P2896" i="6"/>
  <c r="O2896" i="6"/>
  <c r="U2896" i="6" s="1"/>
  <c r="N2896" i="6"/>
  <c r="V2895" i="6"/>
  <c r="T2895" i="6"/>
  <c r="S2895" i="6"/>
  <c r="R2895" i="6"/>
  <c r="Q2895" i="6"/>
  <c r="P2895" i="6"/>
  <c r="O2895" i="6"/>
  <c r="U2895" i="6" s="1"/>
  <c r="N2895" i="6"/>
  <c r="V2894" i="6"/>
  <c r="T2894" i="6"/>
  <c r="S2894" i="6"/>
  <c r="R2894" i="6"/>
  <c r="Q2894" i="6"/>
  <c r="P2894" i="6"/>
  <c r="O2894" i="6"/>
  <c r="U2894" i="6" s="1"/>
  <c r="N2894" i="6"/>
  <c r="V2893" i="6"/>
  <c r="T2893" i="6"/>
  <c r="S2893" i="6"/>
  <c r="R2893" i="6"/>
  <c r="Q2893" i="6"/>
  <c r="P2893" i="6"/>
  <c r="O2893" i="6"/>
  <c r="U2893" i="6" s="1"/>
  <c r="N2893" i="6"/>
  <c r="V2892" i="6"/>
  <c r="T2892" i="6"/>
  <c r="S2892" i="6"/>
  <c r="R2892" i="6"/>
  <c r="Q2892" i="6"/>
  <c r="P2892" i="6"/>
  <c r="O2892" i="6"/>
  <c r="U2892" i="6" s="1"/>
  <c r="N2892" i="6"/>
  <c r="V2891" i="6"/>
  <c r="T2891" i="6"/>
  <c r="S2891" i="6"/>
  <c r="R2891" i="6"/>
  <c r="Q2891" i="6"/>
  <c r="P2891" i="6"/>
  <c r="O2891" i="6"/>
  <c r="U2891" i="6" s="1"/>
  <c r="N2891" i="6"/>
  <c r="V2890" i="6"/>
  <c r="T2890" i="6"/>
  <c r="S2890" i="6"/>
  <c r="R2890" i="6"/>
  <c r="Q2890" i="6"/>
  <c r="P2890" i="6"/>
  <c r="O2890" i="6"/>
  <c r="U2890" i="6" s="1"/>
  <c r="N2890" i="6"/>
  <c r="V2889" i="6"/>
  <c r="T2889" i="6"/>
  <c r="S2889" i="6"/>
  <c r="R2889" i="6"/>
  <c r="Q2889" i="6"/>
  <c r="P2889" i="6"/>
  <c r="O2889" i="6"/>
  <c r="U2889" i="6" s="1"/>
  <c r="N2889" i="6"/>
  <c r="V2888" i="6"/>
  <c r="T2888" i="6"/>
  <c r="S2888" i="6"/>
  <c r="R2888" i="6"/>
  <c r="Q2888" i="6"/>
  <c r="P2888" i="6"/>
  <c r="O2888" i="6"/>
  <c r="U2888" i="6" s="1"/>
  <c r="N2888" i="6"/>
  <c r="V2887" i="6"/>
  <c r="T2887" i="6"/>
  <c r="S2887" i="6"/>
  <c r="R2887" i="6"/>
  <c r="Q2887" i="6"/>
  <c r="P2887" i="6"/>
  <c r="O2887" i="6"/>
  <c r="U2887" i="6" s="1"/>
  <c r="N2887" i="6"/>
  <c r="V2886" i="6"/>
  <c r="T2886" i="6"/>
  <c r="S2886" i="6"/>
  <c r="R2886" i="6"/>
  <c r="Q2886" i="6"/>
  <c r="P2886" i="6"/>
  <c r="O2886" i="6"/>
  <c r="U2886" i="6" s="1"/>
  <c r="N2886" i="6"/>
  <c r="V2885" i="6"/>
  <c r="T2885" i="6"/>
  <c r="S2885" i="6"/>
  <c r="R2885" i="6"/>
  <c r="Q2885" i="6"/>
  <c r="P2885" i="6"/>
  <c r="O2885" i="6"/>
  <c r="U2885" i="6" s="1"/>
  <c r="N2885" i="6"/>
  <c r="V2884" i="6"/>
  <c r="T2884" i="6"/>
  <c r="S2884" i="6"/>
  <c r="R2884" i="6"/>
  <c r="Q2884" i="6"/>
  <c r="P2884" i="6"/>
  <c r="O2884" i="6"/>
  <c r="U2884" i="6" s="1"/>
  <c r="N2884" i="6"/>
  <c r="V2883" i="6"/>
  <c r="T2883" i="6"/>
  <c r="S2883" i="6"/>
  <c r="R2883" i="6"/>
  <c r="Q2883" i="6"/>
  <c r="P2883" i="6"/>
  <c r="O2883" i="6"/>
  <c r="U2883" i="6" s="1"/>
  <c r="N2883" i="6"/>
  <c r="V2882" i="6"/>
  <c r="T2882" i="6"/>
  <c r="S2882" i="6"/>
  <c r="R2882" i="6"/>
  <c r="Q2882" i="6"/>
  <c r="P2882" i="6"/>
  <c r="O2882" i="6"/>
  <c r="U2882" i="6" s="1"/>
  <c r="N2882" i="6"/>
  <c r="V2881" i="6"/>
  <c r="T2881" i="6"/>
  <c r="S2881" i="6"/>
  <c r="R2881" i="6"/>
  <c r="Q2881" i="6"/>
  <c r="P2881" i="6"/>
  <c r="O2881" i="6"/>
  <c r="U2881" i="6" s="1"/>
  <c r="N2881" i="6"/>
  <c r="V2880" i="6"/>
  <c r="T2880" i="6"/>
  <c r="S2880" i="6"/>
  <c r="R2880" i="6"/>
  <c r="Q2880" i="6"/>
  <c r="P2880" i="6"/>
  <c r="O2880" i="6"/>
  <c r="U2880" i="6" s="1"/>
  <c r="N2880" i="6"/>
  <c r="V2879" i="6"/>
  <c r="T2879" i="6"/>
  <c r="S2879" i="6"/>
  <c r="R2879" i="6"/>
  <c r="Q2879" i="6"/>
  <c r="P2879" i="6"/>
  <c r="O2879" i="6"/>
  <c r="U2879" i="6" s="1"/>
  <c r="N2879" i="6"/>
  <c r="V2878" i="6"/>
  <c r="T2878" i="6"/>
  <c r="S2878" i="6"/>
  <c r="R2878" i="6"/>
  <c r="Q2878" i="6"/>
  <c r="P2878" i="6"/>
  <c r="O2878" i="6"/>
  <c r="U2878" i="6" s="1"/>
  <c r="N2878" i="6"/>
  <c r="V2877" i="6"/>
  <c r="T2877" i="6"/>
  <c r="S2877" i="6"/>
  <c r="R2877" i="6"/>
  <c r="Q2877" i="6"/>
  <c r="P2877" i="6"/>
  <c r="O2877" i="6"/>
  <c r="U2877" i="6" s="1"/>
  <c r="N2877" i="6"/>
  <c r="V2876" i="6"/>
  <c r="T2876" i="6"/>
  <c r="S2876" i="6"/>
  <c r="R2876" i="6"/>
  <c r="Q2876" i="6"/>
  <c r="P2876" i="6"/>
  <c r="O2876" i="6"/>
  <c r="U2876" i="6" s="1"/>
  <c r="N2876" i="6"/>
  <c r="V2875" i="6"/>
  <c r="T2875" i="6"/>
  <c r="S2875" i="6"/>
  <c r="R2875" i="6"/>
  <c r="Q2875" i="6"/>
  <c r="P2875" i="6"/>
  <c r="O2875" i="6"/>
  <c r="U2875" i="6" s="1"/>
  <c r="N2875" i="6"/>
  <c r="V2874" i="6"/>
  <c r="T2874" i="6"/>
  <c r="S2874" i="6"/>
  <c r="R2874" i="6"/>
  <c r="Q2874" i="6"/>
  <c r="P2874" i="6"/>
  <c r="O2874" i="6"/>
  <c r="U2874" i="6" s="1"/>
  <c r="N2874" i="6"/>
  <c r="V2873" i="6"/>
  <c r="T2873" i="6"/>
  <c r="S2873" i="6"/>
  <c r="R2873" i="6"/>
  <c r="Q2873" i="6"/>
  <c r="P2873" i="6"/>
  <c r="O2873" i="6"/>
  <c r="U2873" i="6" s="1"/>
  <c r="N2873" i="6"/>
  <c r="V2872" i="6"/>
  <c r="T2872" i="6"/>
  <c r="S2872" i="6"/>
  <c r="R2872" i="6"/>
  <c r="Q2872" i="6"/>
  <c r="P2872" i="6"/>
  <c r="O2872" i="6"/>
  <c r="U2872" i="6" s="1"/>
  <c r="N2872" i="6"/>
  <c r="V2871" i="6"/>
  <c r="T2871" i="6"/>
  <c r="S2871" i="6"/>
  <c r="R2871" i="6"/>
  <c r="Q2871" i="6"/>
  <c r="P2871" i="6"/>
  <c r="O2871" i="6"/>
  <c r="U2871" i="6" s="1"/>
  <c r="N2871" i="6"/>
  <c r="V2870" i="6"/>
  <c r="T2870" i="6"/>
  <c r="S2870" i="6"/>
  <c r="R2870" i="6"/>
  <c r="Q2870" i="6"/>
  <c r="P2870" i="6"/>
  <c r="O2870" i="6"/>
  <c r="U2870" i="6" s="1"/>
  <c r="N2870" i="6"/>
  <c r="V2869" i="6"/>
  <c r="T2869" i="6"/>
  <c r="S2869" i="6"/>
  <c r="R2869" i="6"/>
  <c r="Q2869" i="6"/>
  <c r="P2869" i="6"/>
  <c r="O2869" i="6"/>
  <c r="U2869" i="6" s="1"/>
  <c r="N2869" i="6"/>
  <c r="V2868" i="6"/>
  <c r="T2868" i="6"/>
  <c r="S2868" i="6"/>
  <c r="R2868" i="6"/>
  <c r="Q2868" i="6"/>
  <c r="P2868" i="6"/>
  <c r="O2868" i="6"/>
  <c r="U2868" i="6" s="1"/>
  <c r="N2868" i="6"/>
  <c r="V2867" i="6"/>
  <c r="T2867" i="6"/>
  <c r="S2867" i="6"/>
  <c r="R2867" i="6"/>
  <c r="Q2867" i="6"/>
  <c r="P2867" i="6"/>
  <c r="O2867" i="6"/>
  <c r="U2867" i="6" s="1"/>
  <c r="N2867" i="6"/>
  <c r="V2866" i="6"/>
  <c r="T2866" i="6"/>
  <c r="S2866" i="6"/>
  <c r="R2866" i="6"/>
  <c r="Q2866" i="6"/>
  <c r="P2866" i="6"/>
  <c r="O2866" i="6"/>
  <c r="U2866" i="6" s="1"/>
  <c r="N2866" i="6"/>
  <c r="V2865" i="6"/>
  <c r="T2865" i="6"/>
  <c r="S2865" i="6"/>
  <c r="R2865" i="6"/>
  <c r="Q2865" i="6"/>
  <c r="P2865" i="6"/>
  <c r="O2865" i="6"/>
  <c r="U2865" i="6" s="1"/>
  <c r="N2865" i="6"/>
  <c r="V2864" i="6"/>
  <c r="T2864" i="6"/>
  <c r="S2864" i="6"/>
  <c r="R2864" i="6"/>
  <c r="Q2864" i="6"/>
  <c r="P2864" i="6"/>
  <c r="O2864" i="6"/>
  <c r="U2864" i="6" s="1"/>
  <c r="N2864" i="6"/>
  <c r="V2863" i="6"/>
  <c r="T2863" i="6"/>
  <c r="S2863" i="6"/>
  <c r="R2863" i="6"/>
  <c r="Q2863" i="6"/>
  <c r="P2863" i="6"/>
  <c r="O2863" i="6"/>
  <c r="U2863" i="6" s="1"/>
  <c r="N2863" i="6"/>
  <c r="V2862" i="6"/>
  <c r="T2862" i="6"/>
  <c r="S2862" i="6"/>
  <c r="R2862" i="6"/>
  <c r="Q2862" i="6"/>
  <c r="P2862" i="6"/>
  <c r="O2862" i="6"/>
  <c r="U2862" i="6" s="1"/>
  <c r="N2862" i="6"/>
  <c r="V2861" i="6"/>
  <c r="T2861" i="6"/>
  <c r="S2861" i="6"/>
  <c r="R2861" i="6"/>
  <c r="Q2861" i="6"/>
  <c r="P2861" i="6"/>
  <c r="O2861" i="6"/>
  <c r="U2861" i="6" s="1"/>
  <c r="N2861" i="6"/>
  <c r="V2860" i="6"/>
  <c r="T2860" i="6"/>
  <c r="S2860" i="6"/>
  <c r="R2860" i="6"/>
  <c r="Q2860" i="6"/>
  <c r="P2860" i="6"/>
  <c r="O2860" i="6"/>
  <c r="U2860" i="6" s="1"/>
  <c r="N2860" i="6"/>
  <c r="V2859" i="6"/>
  <c r="T2859" i="6"/>
  <c r="S2859" i="6"/>
  <c r="R2859" i="6"/>
  <c r="Q2859" i="6"/>
  <c r="P2859" i="6"/>
  <c r="O2859" i="6"/>
  <c r="U2859" i="6" s="1"/>
  <c r="N2859" i="6"/>
  <c r="V2858" i="6"/>
  <c r="T2858" i="6"/>
  <c r="S2858" i="6"/>
  <c r="R2858" i="6"/>
  <c r="Q2858" i="6"/>
  <c r="P2858" i="6"/>
  <c r="O2858" i="6"/>
  <c r="U2858" i="6" s="1"/>
  <c r="N2858" i="6"/>
  <c r="V2857" i="6"/>
  <c r="T2857" i="6"/>
  <c r="S2857" i="6"/>
  <c r="R2857" i="6"/>
  <c r="Q2857" i="6"/>
  <c r="P2857" i="6"/>
  <c r="O2857" i="6"/>
  <c r="U2857" i="6" s="1"/>
  <c r="N2857" i="6"/>
  <c r="V2856" i="6"/>
  <c r="T2856" i="6"/>
  <c r="S2856" i="6"/>
  <c r="R2856" i="6"/>
  <c r="Q2856" i="6"/>
  <c r="P2856" i="6"/>
  <c r="O2856" i="6"/>
  <c r="U2856" i="6" s="1"/>
  <c r="N2856" i="6"/>
  <c r="V2855" i="6"/>
  <c r="T2855" i="6"/>
  <c r="S2855" i="6"/>
  <c r="R2855" i="6"/>
  <c r="Q2855" i="6"/>
  <c r="P2855" i="6"/>
  <c r="O2855" i="6"/>
  <c r="U2855" i="6" s="1"/>
  <c r="N2855" i="6"/>
  <c r="V2854" i="6"/>
  <c r="T2854" i="6"/>
  <c r="S2854" i="6"/>
  <c r="R2854" i="6"/>
  <c r="Q2854" i="6"/>
  <c r="P2854" i="6"/>
  <c r="O2854" i="6"/>
  <c r="U2854" i="6" s="1"/>
  <c r="N2854" i="6"/>
  <c r="V2853" i="6"/>
  <c r="T2853" i="6"/>
  <c r="S2853" i="6"/>
  <c r="R2853" i="6"/>
  <c r="Q2853" i="6"/>
  <c r="P2853" i="6"/>
  <c r="O2853" i="6"/>
  <c r="U2853" i="6" s="1"/>
  <c r="N2853" i="6"/>
  <c r="V2852" i="6"/>
  <c r="T2852" i="6"/>
  <c r="S2852" i="6"/>
  <c r="R2852" i="6"/>
  <c r="Q2852" i="6"/>
  <c r="P2852" i="6"/>
  <c r="O2852" i="6"/>
  <c r="U2852" i="6" s="1"/>
  <c r="N2852" i="6"/>
  <c r="V2851" i="6"/>
  <c r="T2851" i="6"/>
  <c r="S2851" i="6"/>
  <c r="R2851" i="6"/>
  <c r="Q2851" i="6"/>
  <c r="P2851" i="6"/>
  <c r="O2851" i="6"/>
  <c r="U2851" i="6" s="1"/>
  <c r="N2851" i="6"/>
  <c r="V2850" i="6"/>
  <c r="T2850" i="6"/>
  <c r="S2850" i="6"/>
  <c r="R2850" i="6"/>
  <c r="Q2850" i="6"/>
  <c r="P2850" i="6"/>
  <c r="O2850" i="6"/>
  <c r="U2850" i="6" s="1"/>
  <c r="N2850" i="6"/>
  <c r="V2849" i="6"/>
  <c r="T2849" i="6"/>
  <c r="S2849" i="6"/>
  <c r="R2849" i="6"/>
  <c r="Q2849" i="6"/>
  <c r="P2849" i="6"/>
  <c r="O2849" i="6"/>
  <c r="U2849" i="6" s="1"/>
  <c r="N2849" i="6"/>
  <c r="V2848" i="6"/>
  <c r="T2848" i="6"/>
  <c r="S2848" i="6"/>
  <c r="R2848" i="6"/>
  <c r="Q2848" i="6"/>
  <c r="P2848" i="6"/>
  <c r="O2848" i="6"/>
  <c r="U2848" i="6" s="1"/>
  <c r="N2848" i="6"/>
  <c r="V2847" i="6"/>
  <c r="T2847" i="6"/>
  <c r="S2847" i="6"/>
  <c r="R2847" i="6"/>
  <c r="Q2847" i="6"/>
  <c r="P2847" i="6"/>
  <c r="O2847" i="6"/>
  <c r="U2847" i="6" s="1"/>
  <c r="N2847" i="6"/>
  <c r="V2846" i="6"/>
  <c r="T2846" i="6"/>
  <c r="S2846" i="6"/>
  <c r="R2846" i="6"/>
  <c r="Q2846" i="6"/>
  <c r="P2846" i="6"/>
  <c r="O2846" i="6"/>
  <c r="U2846" i="6" s="1"/>
  <c r="N2846" i="6"/>
  <c r="V2845" i="6"/>
  <c r="T2845" i="6"/>
  <c r="S2845" i="6"/>
  <c r="R2845" i="6"/>
  <c r="Q2845" i="6"/>
  <c r="P2845" i="6"/>
  <c r="O2845" i="6"/>
  <c r="U2845" i="6" s="1"/>
  <c r="N2845" i="6"/>
  <c r="V2844" i="6"/>
  <c r="T2844" i="6"/>
  <c r="S2844" i="6"/>
  <c r="R2844" i="6"/>
  <c r="Q2844" i="6"/>
  <c r="P2844" i="6"/>
  <c r="O2844" i="6"/>
  <c r="U2844" i="6" s="1"/>
  <c r="N2844" i="6"/>
  <c r="V2843" i="6"/>
  <c r="T2843" i="6"/>
  <c r="S2843" i="6"/>
  <c r="R2843" i="6"/>
  <c r="Q2843" i="6"/>
  <c r="P2843" i="6"/>
  <c r="O2843" i="6"/>
  <c r="U2843" i="6" s="1"/>
  <c r="N2843" i="6"/>
  <c r="V2842" i="6"/>
  <c r="T2842" i="6"/>
  <c r="S2842" i="6"/>
  <c r="R2842" i="6"/>
  <c r="Q2842" i="6"/>
  <c r="P2842" i="6"/>
  <c r="O2842" i="6"/>
  <c r="U2842" i="6" s="1"/>
  <c r="N2842" i="6"/>
  <c r="V2841" i="6"/>
  <c r="T2841" i="6"/>
  <c r="S2841" i="6"/>
  <c r="R2841" i="6"/>
  <c r="Q2841" i="6"/>
  <c r="P2841" i="6"/>
  <c r="O2841" i="6"/>
  <c r="U2841" i="6" s="1"/>
  <c r="N2841" i="6"/>
  <c r="V2840" i="6"/>
  <c r="T2840" i="6"/>
  <c r="S2840" i="6"/>
  <c r="R2840" i="6"/>
  <c r="Q2840" i="6"/>
  <c r="P2840" i="6"/>
  <c r="O2840" i="6"/>
  <c r="U2840" i="6" s="1"/>
  <c r="N2840" i="6"/>
  <c r="V2839" i="6"/>
  <c r="T2839" i="6"/>
  <c r="S2839" i="6"/>
  <c r="R2839" i="6"/>
  <c r="Q2839" i="6"/>
  <c r="P2839" i="6"/>
  <c r="O2839" i="6"/>
  <c r="U2839" i="6" s="1"/>
  <c r="N2839" i="6"/>
  <c r="V2838" i="6"/>
  <c r="T2838" i="6"/>
  <c r="S2838" i="6"/>
  <c r="R2838" i="6"/>
  <c r="Q2838" i="6"/>
  <c r="P2838" i="6"/>
  <c r="O2838" i="6"/>
  <c r="U2838" i="6" s="1"/>
  <c r="N2838" i="6"/>
  <c r="V2837" i="6"/>
  <c r="T2837" i="6"/>
  <c r="S2837" i="6"/>
  <c r="R2837" i="6"/>
  <c r="Q2837" i="6"/>
  <c r="P2837" i="6"/>
  <c r="O2837" i="6"/>
  <c r="U2837" i="6" s="1"/>
  <c r="N2837" i="6"/>
  <c r="V2836" i="6"/>
  <c r="T2836" i="6"/>
  <c r="S2836" i="6"/>
  <c r="R2836" i="6"/>
  <c r="Q2836" i="6"/>
  <c r="P2836" i="6"/>
  <c r="O2836" i="6"/>
  <c r="U2836" i="6" s="1"/>
  <c r="N2836" i="6"/>
  <c r="V2835" i="6"/>
  <c r="T2835" i="6"/>
  <c r="S2835" i="6"/>
  <c r="R2835" i="6"/>
  <c r="Q2835" i="6"/>
  <c r="P2835" i="6"/>
  <c r="O2835" i="6"/>
  <c r="U2835" i="6" s="1"/>
  <c r="N2835" i="6"/>
  <c r="V2834" i="6"/>
  <c r="T2834" i="6"/>
  <c r="S2834" i="6"/>
  <c r="R2834" i="6"/>
  <c r="Q2834" i="6"/>
  <c r="P2834" i="6"/>
  <c r="O2834" i="6"/>
  <c r="U2834" i="6" s="1"/>
  <c r="N2834" i="6"/>
  <c r="V2833" i="6"/>
  <c r="T2833" i="6"/>
  <c r="S2833" i="6"/>
  <c r="R2833" i="6"/>
  <c r="Q2833" i="6"/>
  <c r="P2833" i="6"/>
  <c r="O2833" i="6"/>
  <c r="U2833" i="6" s="1"/>
  <c r="N2833" i="6"/>
  <c r="V2832" i="6"/>
  <c r="T2832" i="6"/>
  <c r="S2832" i="6"/>
  <c r="R2832" i="6"/>
  <c r="Q2832" i="6"/>
  <c r="P2832" i="6"/>
  <c r="O2832" i="6"/>
  <c r="U2832" i="6" s="1"/>
  <c r="N2832" i="6"/>
  <c r="V2831" i="6"/>
  <c r="T2831" i="6"/>
  <c r="S2831" i="6"/>
  <c r="R2831" i="6"/>
  <c r="Q2831" i="6"/>
  <c r="P2831" i="6"/>
  <c r="O2831" i="6"/>
  <c r="U2831" i="6" s="1"/>
  <c r="N2831" i="6"/>
  <c r="V2830" i="6"/>
  <c r="T2830" i="6"/>
  <c r="S2830" i="6"/>
  <c r="R2830" i="6"/>
  <c r="Q2830" i="6"/>
  <c r="P2830" i="6"/>
  <c r="O2830" i="6"/>
  <c r="U2830" i="6" s="1"/>
  <c r="N2830" i="6"/>
  <c r="V2829" i="6"/>
  <c r="T2829" i="6"/>
  <c r="S2829" i="6"/>
  <c r="R2829" i="6"/>
  <c r="Q2829" i="6"/>
  <c r="P2829" i="6"/>
  <c r="O2829" i="6"/>
  <c r="U2829" i="6" s="1"/>
  <c r="N2829" i="6"/>
  <c r="V2828" i="6"/>
  <c r="T2828" i="6"/>
  <c r="S2828" i="6"/>
  <c r="R2828" i="6"/>
  <c r="Q2828" i="6"/>
  <c r="P2828" i="6"/>
  <c r="O2828" i="6"/>
  <c r="U2828" i="6" s="1"/>
  <c r="N2828" i="6"/>
  <c r="V2827" i="6"/>
  <c r="T2827" i="6"/>
  <c r="S2827" i="6"/>
  <c r="R2827" i="6"/>
  <c r="Q2827" i="6"/>
  <c r="P2827" i="6"/>
  <c r="O2827" i="6"/>
  <c r="U2827" i="6" s="1"/>
  <c r="N2827" i="6"/>
  <c r="V2826" i="6"/>
  <c r="T2826" i="6"/>
  <c r="S2826" i="6"/>
  <c r="R2826" i="6"/>
  <c r="Q2826" i="6"/>
  <c r="P2826" i="6"/>
  <c r="O2826" i="6"/>
  <c r="U2826" i="6" s="1"/>
  <c r="N2826" i="6"/>
  <c r="V2825" i="6"/>
  <c r="T2825" i="6"/>
  <c r="S2825" i="6"/>
  <c r="R2825" i="6"/>
  <c r="Q2825" i="6"/>
  <c r="P2825" i="6"/>
  <c r="O2825" i="6"/>
  <c r="U2825" i="6" s="1"/>
  <c r="N2825" i="6"/>
  <c r="V2824" i="6"/>
  <c r="T2824" i="6"/>
  <c r="S2824" i="6"/>
  <c r="R2824" i="6"/>
  <c r="Q2824" i="6"/>
  <c r="P2824" i="6"/>
  <c r="O2824" i="6"/>
  <c r="U2824" i="6" s="1"/>
  <c r="N2824" i="6"/>
  <c r="V2823" i="6"/>
  <c r="T2823" i="6"/>
  <c r="S2823" i="6"/>
  <c r="R2823" i="6"/>
  <c r="Q2823" i="6"/>
  <c r="P2823" i="6"/>
  <c r="O2823" i="6"/>
  <c r="U2823" i="6" s="1"/>
  <c r="N2823" i="6"/>
  <c r="V2822" i="6"/>
  <c r="T2822" i="6"/>
  <c r="S2822" i="6"/>
  <c r="R2822" i="6"/>
  <c r="Q2822" i="6"/>
  <c r="P2822" i="6"/>
  <c r="O2822" i="6"/>
  <c r="U2822" i="6" s="1"/>
  <c r="N2822" i="6"/>
  <c r="V2821" i="6"/>
  <c r="T2821" i="6"/>
  <c r="S2821" i="6"/>
  <c r="R2821" i="6"/>
  <c r="Q2821" i="6"/>
  <c r="P2821" i="6"/>
  <c r="O2821" i="6"/>
  <c r="U2821" i="6" s="1"/>
  <c r="N2821" i="6"/>
  <c r="V2820" i="6"/>
  <c r="T2820" i="6"/>
  <c r="S2820" i="6"/>
  <c r="R2820" i="6"/>
  <c r="Q2820" i="6"/>
  <c r="P2820" i="6"/>
  <c r="O2820" i="6"/>
  <c r="U2820" i="6" s="1"/>
  <c r="N2820" i="6"/>
  <c r="V2819" i="6"/>
  <c r="T2819" i="6"/>
  <c r="S2819" i="6"/>
  <c r="R2819" i="6"/>
  <c r="Q2819" i="6"/>
  <c r="P2819" i="6"/>
  <c r="O2819" i="6"/>
  <c r="U2819" i="6" s="1"/>
  <c r="N2819" i="6"/>
  <c r="V2818" i="6"/>
  <c r="T2818" i="6"/>
  <c r="S2818" i="6"/>
  <c r="R2818" i="6"/>
  <c r="Q2818" i="6"/>
  <c r="P2818" i="6"/>
  <c r="O2818" i="6"/>
  <c r="U2818" i="6" s="1"/>
  <c r="N2818" i="6"/>
  <c r="V2817" i="6"/>
  <c r="T2817" i="6"/>
  <c r="S2817" i="6"/>
  <c r="R2817" i="6"/>
  <c r="Q2817" i="6"/>
  <c r="P2817" i="6"/>
  <c r="O2817" i="6"/>
  <c r="U2817" i="6" s="1"/>
  <c r="N2817" i="6"/>
  <c r="V2816" i="6"/>
  <c r="T2816" i="6"/>
  <c r="S2816" i="6"/>
  <c r="R2816" i="6"/>
  <c r="Q2816" i="6"/>
  <c r="P2816" i="6"/>
  <c r="O2816" i="6"/>
  <c r="U2816" i="6" s="1"/>
  <c r="N2816" i="6"/>
  <c r="V2815" i="6"/>
  <c r="T2815" i="6"/>
  <c r="S2815" i="6"/>
  <c r="R2815" i="6"/>
  <c r="Q2815" i="6"/>
  <c r="P2815" i="6"/>
  <c r="O2815" i="6"/>
  <c r="U2815" i="6" s="1"/>
  <c r="N2815" i="6"/>
  <c r="V2814" i="6"/>
  <c r="T2814" i="6"/>
  <c r="S2814" i="6"/>
  <c r="R2814" i="6"/>
  <c r="Q2814" i="6"/>
  <c r="P2814" i="6"/>
  <c r="O2814" i="6"/>
  <c r="U2814" i="6" s="1"/>
  <c r="N2814" i="6"/>
  <c r="V2813" i="6"/>
  <c r="T2813" i="6"/>
  <c r="S2813" i="6"/>
  <c r="R2813" i="6"/>
  <c r="Q2813" i="6"/>
  <c r="P2813" i="6"/>
  <c r="O2813" i="6"/>
  <c r="U2813" i="6" s="1"/>
  <c r="N2813" i="6"/>
  <c r="V2812" i="6"/>
  <c r="T2812" i="6"/>
  <c r="S2812" i="6"/>
  <c r="R2812" i="6"/>
  <c r="Q2812" i="6"/>
  <c r="P2812" i="6"/>
  <c r="O2812" i="6"/>
  <c r="U2812" i="6" s="1"/>
  <c r="N2812" i="6"/>
  <c r="V2811" i="6"/>
  <c r="T2811" i="6"/>
  <c r="S2811" i="6"/>
  <c r="R2811" i="6"/>
  <c r="Q2811" i="6"/>
  <c r="P2811" i="6"/>
  <c r="O2811" i="6"/>
  <c r="U2811" i="6" s="1"/>
  <c r="N2811" i="6"/>
  <c r="V2810" i="6"/>
  <c r="T2810" i="6"/>
  <c r="S2810" i="6"/>
  <c r="R2810" i="6"/>
  <c r="Q2810" i="6"/>
  <c r="P2810" i="6"/>
  <c r="O2810" i="6"/>
  <c r="U2810" i="6" s="1"/>
  <c r="N2810" i="6"/>
  <c r="V2809" i="6"/>
  <c r="T2809" i="6"/>
  <c r="S2809" i="6"/>
  <c r="R2809" i="6"/>
  <c r="Q2809" i="6"/>
  <c r="P2809" i="6"/>
  <c r="O2809" i="6"/>
  <c r="U2809" i="6" s="1"/>
  <c r="N2809" i="6"/>
  <c r="V2808" i="6"/>
  <c r="T2808" i="6"/>
  <c r="S2808" i="6"/>
  <c r="R2808" i="6"/>
  <c r="Q2808" i="6"/>
  <c r="P2808" i="6"/>
  <c r="O2808" i="6"/>
  <c r="U2808" i="6" s="1"/>
  <c r="N2808" i="6"/>
  <c r="V2807" i="6"/>
  <c r="T2807" i="6"/>
  <c r="S2807" i="6"/>
  <c r="R2807" i="6"/>
  <c r="Q2807" i="6"/>
  <c r="P2807" i="6"/>
  <c r="O2807" i="6"/>
  <c r="U2807" i="6" s="1"/>
  <c r="N2807" i="6"/>
  <c r="V2806" i="6"/>
  <c r="T2806" i="6"/>
  <c r="S2806" i="6"/>
  <c r="R2806" i="6"/>
  <c r="Q2806" i="6"/>
  <c r="P2806" i="6"/>
  <c r="O2806" i="6"/>
  <c r="U2806" i="6" s="1"/>
  <c r="N2806" i="6"/>
  <c r="V2805" i="6"/>
  <c r="T2805" i="6"/>
  <c r="S2805" i="6"/>
  <c r="R2805" i="6"/>
  <c r="Q2805" i="6"/>
  <c r="P2805" i="6"/>
  <c r="O2805" i="6"/>
  <c r="U2805" i="6" s="1"/>
  <c r="N2805" i="6"/>
  <c r="V2804" i="6"/>
  <c r="T2804" i="6"/>
  <c r="S2804" i="6"/>
  <c r="R2804" i="6"/>
  <c r="Q2804" i="6"/>
  <c r="P2804" i="6"/>
  <c r="O2804" i="6"/>
  <c r="U2804" i="6" s="1"/>
  <c r="N2804" i="6"/>
  <c r="V2803" i="6"/>
  <c r="T2803" i="6"/>
  <c r="S2803" i="6"/>
  <c r="R2803" i="6"/>
  <c r="Q2803" i="6"/>
  <c r="P2803" i="6"/>
  <c r="O2803" i="6"/>
  <c r="U2803" i="6" s="1"/>
  <c r="N2803" i="6"/>
  <c r="V2802" i="6"/>
  <c r="T2802" i="6"/>
  <c r="S2802" i="6"/>
  <c r="R2802" i="6"/>
  <c r="Q2802" i="6"/>
  <c r="P2802" i="6"/>
  <c r="O2802" i="6"/>
  <c r="U2802" i="6" s="1"/>
  <c r="N2802" i="6"/>
  <c r="V2801" i="6"/>
  <c r="T2801" i="6"/>
  <c r="S2801" i="6"/>
  <c r="R2801" i="6"/>
  <c r="Q2801" i="6"/>
  <c r="P2801" i="6"/>
  <c r="O2801" i="6"/>
  <c r="U2801" i="6" s="1"/>
  <c r="N2801" i="6"/>
  <c r="V2800" i="6"/>
  <c r="T2800" i="6"/>
  <c r="S2800" i="6"/>
  <c r="R2800" i="6"/>
  <c r="Q2800" i="6"/>
  <c r="P2800" i="6"/>
  <c r="O2800" i="6"/>
  <c r="U2800" i="6" s="1"/>
  <c r="N2800" i="6"/>
  <c r="V2799" i="6"/>
  <c r="T2799" i="6"/>
  <c r="S2799" i="6"/>
  <c r="R2799" i="6"/>
  <c r="Q2799" i="6"/>
  <c r="P2799" i="6"/>
  <c r="O2799" i="6"/>
  <c r="U2799" i="6" s="1"/>
  <c r="N2799" i="6"/>
  <c r="V2798" i="6"/>
  <c r="T2798" i="6"/>
  <c r="S2798" i="6"/>
  <c r="R2798" i="6"/>
  <c r="Q2798" i="6"/>
  <c r="P2798" i="6"/>
  <c r="O2798" i="6"/>
  <c r="U2798" i="6" s="1"/>
  <c r="N2798" i="6"/>
  <c r="V2797" i="6"/>
  <c r="T2797" i="6"/>
  <c r="S2797" i="6"/>
  <c r="R2797" i="6"/>
  <c r="Q2797" i="6"/>
  <c r="P2797" i="6"/>
  <c r="O2797" i="6"/>
  <c r="U2797" i="6" s="1"/>
  <c r="N2797" i="6"/>
  <c r="V2796" i="6"/>
  <c r="T2796" i="6"/>
  <c r="S2796" i="6"/>
  <c r="R2796" i="6"/>
  <c r="Q2796" i="6"/>
  <c r="P2796" i="6"/>
  <c r="O2796" i="6"/>
  <c r="U2796" i="6" s="1"/>
  <c r="N2796" i="6"/>
  <c r="V2795" i="6"/>
  <c r="T2795" i="6"/>
  <c r="S2795" i="6"/>
  <c r="R2795" i="6"/>
  <c r="Q2795" i="6"/>
  <c r="P2795" i="6"/>
  <c r="O2795" i="6"/>
  <c r="U2795" i="6" s="1"/>
  <c r="N2795" i="6"/>
  <c r="V2794" i="6"/>
  <c r="T2794" i="6"/>
  <c r="S2794" i="6"/>
  <c r="R2794" i="6"/>
  <c r="Q2794" i="6"/>
  <c r="P2794" i="6"/>
  <c r="O2794" i="6"/>
  <c r="U2794" i="6" s="1"/>
  <c r="N2794" i="6"/>
  <c r="V2793" i="6"/>
  <c r="T2793" i="6"/>
  <c r="S2793" i="6"/>
  <c r="R2793" i="6"/>
  <c r="Q2793" i="6"/>
  <c r="P2793" i="6"/>
  <c r="O2793" i="6"/>
  <c r="U2793" i="6" s="1"/>
  <c r="N2793" i="6"/>
  <c r="V2792" i="6"/>
  <c r="T2792" i="6"/>
  <c r="S2792" i="6"/>
  <c r="R2792" i="6"/>
  <c r="Q2792" i="6"/>
  <c r="P2792" i="6"/>
  <c r="O2792" i="6"/>
  <c r="U2792" i="6" s="1"/>
  <c r="N2792" i="6"/>
  <c r="V2791" i="6"/>
  <c r="T2791" i="6"/>
  <c r="S2791" i="6"/>
  <c r="R2791" i="6"/>
  <c r="Q2791" i="6"/>
  <c r="P2791" i="6"/>
  <c r="O2791" i="6"/>
  <c r="U2791" i="6" s="1"/>
  <c r="N2791" i="6"/>
  <c r="V2790" i="6"/>
  <c r="T2790" i="6"/>
  <c r="S2790" i="6"/>
  <c r="R2790" i="6"/>
  <c r="Q2790" i="6"/>
  <c r="P2790" i="6"/>
  <c r="O2790" i="6"/>
  <c r="U2790" i="6" s="1"/>
  <c r="N2790" i="6"/>
  <c r="V2789" i="6"/>
  <c r="T2789" i="6"/>
  <c r="S2789" i="6"/>
  <c r="R2789" i="6"/>
  <c r="Q2789" i="6"/>
  <c r="P2789" i="6"/>
  <c r="O2789" i="6"/>
  <c r="U2789" i="6" s="1"/>
  <c r="N2789" i="6"/>
  <c r="V2788" i="6"/>
  <c r="T2788" i="6"/>
  <c r="S2788" i="6"/>
  <c r="R2788" i="6"/>
  <c r="Q2788" i="6"/>
  <c r="P2788" i="6"/>
  <c r="O2788" i="6"/>
  <c r="U2788" i="6" s="1"/>
  <c r="N2788" i="6"/>
  <c r="V2787" i="6"/>
  <c r="T2787" i="6"/>
  <c r="S2787" i="6"/>
  <c r="R2787" i="6"/>
  <c r="Q2787" i="6"/>
  <c r="P2787" i="6"/>
  <c r="O2787" i="6"/>
  <c r="U2787" i="6" s="1"/>
  <c r="N2787" i="6"/>
  <c r="V2786" i="6"/>
  <c r="T2786" i="6"/>
  <c r="S2786" i="6"/>
  <c r="R2786" i="6"/>
  <c r="Q2786" i="6"/>
  <c r="P2786" i="6"/>
  <c r="O2786" i="6"/>
  <c r="U2786" i="6" s="1"/>
  <c r="N2786" i="6"/>
  <c r="V2785" i="6"/>
  <c r="T2785" i="6"/>
  <c r="S2785" i="6"/>
  <c r="R2785" i="6"/>
  <c r="Q2785" i="6"/>
  <c r="P2785" i="6"/>
  <c r="O2785" i="6"/>
  <c r="U2785" i="6" s="1"/>
  <c r="N2785" i="6"/>
  <c r="V2784" i="6"/>
  <c r="T2784" i="6"/>
  <c r="S2784" i="6"/>
  <c r="R2784" i="6"/>
  <c r="Q2784" i="6"/>
  <c r="P2784" i="6"/>
  <c r="O2784" i="6"/>
  <c r="U2784" i="6" s="1"/>
  <c r="N2784" i="6"/>
  <c r="V2783" i="6"/>
  <c r="T2783" i="6"/>
  <c r="S2783" i="6"/>
  <c r="R2783" i="6"/>
  <c r="Q2783" i="6"/>
  <c r="P2783" i="6"/>
  <c r="O2783" i="6"/>
  <c r="U2783" i="6" s="1"/>
  <c r="N2783" i="6"/>
  <c r="V2782" i="6"/>
  <c r="T2782" i="6"/>
  <c r="S2782" i="6"/>
  <c r="R2782" i="6"/>
  <c r="Q2782" i="6"/>
  <c r="P2782" i="6"/>
  <c r="O2782" i="6"/>
  <c r="U2782" i="6" s="1"/>
  <c r="N2782" i="6"/>
  <c r="V2781" i="6"/>
  <c r="T2781" i="6"/>
  <c r="S2781" i="6"/>
  <c r="R2781" i="6"/>
  <c r="Q2781" i="6"/>
  <c r="P2781" i="6"/>
  <c r="O2781" i="6"/>
  <c r="U2781" i="6" s="1"/>
  <c r="N2781" i="6"/>
  <c r="V2780" i="6"/>
  <c r="T2780" i="6"/>
  <c r="S2780" i="6"/>
  <c r="R2780" i="6"/>
  <c r="Q2780" i="6"/>
  <c r="P2780" i="6"/>
  <c r="O2780" i="6"/>
  <c r="U2780" i="6" s="1"/>
  <c r="N2780" i="6"/>
  <c r="V2779" i="6"/>
  <c r="T2779" i="6"/>
  <c r="S2779" i="6"/>
  <c r="R2779" i="6"/>
  <c r="Q2779" i="6"/>
  <c r="P2779" i="6"/>
  <c r="O2779" i="6"/>
  <c r="U2779" i="6" s="1"/>
  <c r="N2779" i="6"/>
  <c r="V2778" i="6"/>
  <c r="T2778" i="6"/>
  <c r="S2778" i="6"/>
  <c r="R2778" i="6"/>
  <c r="Q2778" i="6"/>
  <c r="P2778" i="6"/>
  <c r="O2778" i="6"/>
  <c r="U2778" i="6" s="1"/>
  <c r="N2778" i="6"/>
  <c r="V2777" i="6"/>
  <c r="T2777" i="6"/>
  <c r="S2777" i="6"/>
  <c r="R2777" i="6"/>
  <c r="Q2777" i="6"/>
  <c r="P2777" i="6"/>
  <c r="O2777" i="6"/>
  <c r="U2777" i="6" s="1"/>
  <c r="N2777" i="6"/>
  <c r="V2776" i="6"/>
  <c r="T2776" i="6"/>
  <c r="S2776" i="6"/>
  <c r="R2776" i="6"/>
  <c r="Q2776" i="6"/>
  <c r="P2776" i="6"/>
  <c r="O2776" i="6"/>
  <c r="U2776" i="6" s="1"/>
  <c r="N2776" i="6"/>
  <c r="V2775" i="6"/>
  <c r="T2775" i="6"/>
  <c r="S2775" i="6"/>
  <c r="R2775" i="6"/>
  <c r="Q2775" i="6"/>
  <c r="P2775" i="6"/>
  <c r="O2775" i="6"/>
  <c r="U2775" i="6" s="1"/>
  <c r="N2775" i="6"/>
  <c r="V2774" i="6"/>
  <c r="T2774" i="6"/>
  <c r="S2774" i="6"/>
  <c r="R2774" i="6"/>
  <c r="Q2774" i="6"/>
  <c r="P2774" i="6"/>
  <c r="O2774" i="6"/>
  <c r="U2774" i="6" s="1"/>
  <c r="N2774" i="6"/>
  <c r="V2773" i="6"/>
  <c r="T2773" i="6"/>
  <c r="S2773" i="6"/>
  <c r="R2773" i="6"/>
  <c r="Q2773" i="6"/>
  <c r="P2773" i="6"/>
  <c r="O2773" i="6"/>
  <c r="U2773" i="6" s="1"/>
  <c r="N2773" i="6"/>
  <c r="V2772" i="6"/>
  <c r="T2772" i="6"/>
  <c r="S2772" i="6"/>
  <c r="R2772" i="6"/>
  <c r="Q2772" i="6"/>
  <c r="P2772" i="6"/>
  <c r="O2772" i="6"/>
  <c r="U2772" i="6" s="1"/>
  <c r="N2772" i="6"/>
  <c r="V2771" i="6"/>
  <c r="T2771" i="6"/>
  <c r="S2771" i="6"/>
  <c r="R2771" i="6"/>
  <c r="Q2771" i="6"/>
  <c r="P2771" i="6"/>
  <c r="O2771" i="6"/>
  <c r="U2771" i="6" s="1"/>
  <c r="N2771" i="6"/>
  <c r="V2770" i="6"/>
  <c r="T2770" i="6"/>
  <c r="S2770" i="6"/>
  <c r="R2770" i="6"/>
  <c r="Q2770" i="6"/>
  <c r="P2770" i="6"/>
  <c r="O2770" i="6"/>
  <c r="U2770" i="6" s="1"/>
  <c r="N2770" i="6"/>
  <c r="V2769" i="6"/>
  <c r="T2769" i="6"/>
  <c r="S2769" i="6"/>
  <c r="R2769" i="6"/>
  <c r="Q2769" i="6"/>
  <c r="P2769" i="6"/>
  <c r="O2769" i="6"/>
  <c r="U2769" i="6" s="1"/>
  <c r="N2769" i="6"/>
  <c r="V2768" i="6"/>
  <c r="T2768" i="6"/>
  <c r="S2768" i="6"/>
  <c r="R2768" i="6"/>
  <c r="Q2768" i="6"/>
  <c r="P2768" i="6"/>
  <c r="O2768" i="6"/>
  <c r="U2768" i="6" s="1"/>
  <c r="N2768" i="6"/>
  <c r="V2767" i="6"/>
  <c r="T2767" i="6"/>
  <c r="S2767" i="6"/>
  <c r="R2767" i="6"/>
  <c r="Q2767" i="6"/>
  <c r="P2767" i="6"/>
  <c r="O2767" i="6"/>
  <c r="U2767" i="6" s="1"/>
  <c r="N2767" i="6"/>
  <c r="V2766" i="6"/>
  <c r="T2766" i="6"/>
  <c r="S2766" i="6"/>
  <c r="R2766" i="6"/>
  <c r="Q2766" i="6"/>
  <c r="P2766" i="6"/>
  <c r="O2766" i="6"/>
  <c r="U2766" i="6" s="1"/>
  <c r="N2766" i="6"/>
  <c r="V2765" i="6"/>
  <c r="T2765" i="6"/>
  <c r="S2765" i="6"/>
  <c r="R2765" i="6"/>
  <c r="Q2765" i="6"/>
  <c r="P2765" i="6"/>
  <c r="O2765" i="6"/>
  <c r="U2765" i="6" s="1"/>
  <c r="N2765" i="6"/>
  <c r="V2764" i="6"/>
  <c r="T2764" i="6"/>
  <c r="S2764" i="6"/>
  <c r="R2764" i="6"/>
  <c r="Q2764" i="6"/>
  <c r="P2764" i="6"/>
  <c r="O2764" i="6"/>
  <c r="U2764" i="6" s="1"/>
  <c r="N2764" i="6"/>
  <c r="V2763" i="6"/>
  <c r="T2763" i="6"/>
  <c r="S2763" i="6"/>
  <c r="R2763" i="6"/>
  <c r="Q2763" i="6"/>
  <c r="P2763" i="6"/>
  <c r="O2763" i="6"/>
  <c r="U2763" i="6" s="1"/>
  <c r="N2763" i="6"/>
  <c r="V2762" i="6"/>
  <c r="T2762" i="6"/>
  <c r="S2762" i="6"/>
  <c r="R2762" i="6"/>
  <c r="Q2762" i="6"/>
  <c r="P2762" i="6"/>
  <c r="O2762" i="6"/>
  <c r="U2762" i="6" s="1"/>
  <c r="N2762" i="6"/>
  <c r="V2761" i="6"/>
  <c r="T2761" i="6"/>
  <c r="S2761" i="6"/>
  <c r="R2761" i="6"/>
  <c r="Q2761" i="6"/>
  <c r="P2761" i="6"/>
  <c r="O2761" i="6"/>
  <c r="U2761" i="6" s="1"/>
  <c r="N2761" i="6"/>
  <c r="V2760" i="6"/>
  <c r="T2760" i="6"/>
  <c r="S2760" i="6"/>
  <c r="R2760" i="6"/>
  <c r="Q2760" i="6"/>
  <c r="P2760" i="6"/>
  <c r="O2760" i="6"/>
  <c r="U2760" i="6" s="1"/>
  <c r="N2760" i="6"/>
  <c r="V2759" i="6"/>
  <c r="T2759" i="6"/>
  <c r="S2759" i="6"/>
  <c r="R2759" i="6"/>
  <c r="Q2759" i="6"/>
  <c r="P2759" i="6"/>
  <c r="O2759" i="6"/>
  <c r="U2759" i="6" s="1"/>
  <c r="N2759" i="6"/>
  <c r="V2758" i="6"/>
  <c r="T2758" i="6"/>
  <c r="S2758" i="6"/>
  <c r="R2758" i="6"/>
  <c r="Q2758" i="6"/>
  <c r="P2758" i="6"/>
  <c r="O2758" i="6"/>
  <c r="U2758" i="6" s="1"/>
  <c r="N2758" i="6"/>
  <c r="V2757" i="6"/>
  <c r="T2757" i="6"/>
  <c r="S2757" i="6"/>
  <c r="R2757" i="6"/>
  <c r="Q2757" i="6"/>
  <c r="P2757" i="6"/>
  <c r="O2757" i="6"/>
  <c r="U2757" i="6" s="1"/>
  <c r="N2757" i="6"/>
  <c r="V2756" i="6"/>
  <c r="T2756" i="6"/>
  <c r="S2756" i="6"/>
  <c r="R2756" i="6"/>
  <c r="Q2756" i="6"/>
  <c r="P2756" i="6"/>
  <c r="O2756" i="6"/>
  <c r="U2756" i="6" s="1"/>
  <c r="N2756" i="6"/>
  <c r="V2755" i="6"/>
  <c r="T2755" i="6"/>
  <c r="S2755" i="6"/>
  <c r="R2755" i="6"/>
  <c r="Q2755" i="6"/>
  <c r="P2755" i="6"/>
  <c r="O2755" i="6"/>
  <c r="U2755" i="6" s="1"/>
  <c r="N2755" i="6"/>
  <c r="V2754" i="6"/>
  <c r="T2754" i="6"/>
  <c r="S2754" i="6"/>
  <c r="R2754" i="6"/>
  <c r="Q2754" i="6"/>
  <c r="P2754" i="6"/>
  <c r="O2754" i="6"/>
  <c r="U2754" i="6" s="1"/>
  <c r="N2754" i="6"/>
  <c r="V2753" i="6"/>
  <c r="T2753" i="6"/>
  <c r="S2753" i="6"/>
  <c r="R2753" i="6"/>
  <c r="Q2753" i="6"/>
  <c r="P2753" i="6"/>
  <c r="O2753" i="6"/>
  <c r="U2753" i="6" s="1"/>
  <c r="N2753" i="6"/>
  <c r="V2752" i="6"/>
  <c r="T2752" i="6"/>
  <c r="S2752" i="6"/>
  <c r="R2752" i="6"/>
  <c r="Q2752" i="6"/>
  <c r="P2752" i="6"/>
  <c r="O2752" i="6"/>
  <c r="U2752" i="6" s="1"/>
  <c r="N2752" i="6"/>
  <c r="V2751" i="6"/>
  <c r="T2751" i="6"/>
  <c r="S2751" i="6"/>
  <c r="R2751" i="6"/>
  <c r="Q2751" i="6"/>
  <c r="P2751" i="6"/>
  <c r="O2751" i="6"/>
  <c r="U2751" i="6" s="1"/>
  <c r="N2751" i="6"/>
  <c r="V2750" i="6"/>
  <c r="T2750" i="6"/>
  <c r="S2750" i="6"/>
  <c r="R2750" i="6"/>
  <c r="Q2750" i="6"/>
  <c r="P2750" i="6"/>
  <c r="O2750" i="6"/>
  <c r="U2750" i="6" s="1"/>
  <c r="N2750" i="6"/>
  <c r="V2749" i="6"/>
  <c r="T2749" i="6"/>
  <c r="S2749" i="6"/>
  <c r="R2749" i="6"/>
  <c r="Q2749" i="6"/>
  <c r="P2749" i="6"/>
  <c r="O2749" i="6"/>
  <c r="U2749" i="6" s="1"/>
  <c r="N2749" i="6"/>
  <c r="V2748" i="6"/>
  <c r="T2748" i="6"/>
  <c r="S2748" i="6"/>
  <c r="R2748" i="6"/>
  <c r="Q2748" i="6"/>
  <c r="P2748" i="6"/>
  <c r="O2748" i="6"/>
  <c r="U2748" i="6" s="1"/>
  <c r="N2748" i="6"/>
  <c r="V2747" i="6"/>
  <c r="T2747" i="6"/>
  <c r="S2747" i="6"/>
  <c r="R2747" i="6"/>
  <c r="Q2747" i="6"/>
  <c r="P2747" i="6"/>
  <c r="O2747" i="6"/>
  <c r="U2747" i="6" s="1"/>
  <c r="N2747" i="6"/>
  <c r="V2746" i="6"/>
  <c r="T2746" i="6"/>
  <c r="S2746" i="6"/>
  <c r="R2746" i="6"/>
  <c r="Q2746" i="6"/>
  <c r="P2746" i="6"/>
  <c r="O2746" i="6"/>
  <c r="U2746" i="6" s="1"/>
  <c r="N2746" i="6"/>
  <c r="V2745" i="6"/>
  <c r="T2745" i="6"/>
  <c r="S2745" i="6"/>
  <c r="R2745" i="6"/>
  <c r="Q2745" i="6"/>
  <c r="P2745" i="6"/>
  <c r="O2745" i="6"/>
  <c r="U2745" i="6" s="1"/>
  <c r="N2745" i="6"/>
  <c r="V2744" i="6"/>
  <c r="T2744" i="6"/>
  <c r="S2744" i="6"/>
  <c r="R2744" i="6"/>
  <c r="Q2744" i="6"/>
  <c r="P2744" i="6"/>
  <c r="O2744" i="6"/>
  <c r="U2744" i="6" s="1"/>
  <c r="N2744" i="6"/>
  <c r="V2743" i="6"/>
  <c r="T2743" i="6"/>
  <c r="S2743" i="6"/>
  <c r="R2743" i="6"/>
  <c r="Q2743" i="6"/>
  <c r="P2743" i="6"/>
  <c r="O2743" i="6"/>
  <c r="U2743" i="6" s="1"/>
  <c r="N2743" i="6"/>
  <c r="V2742" i="6"/>
  <c r="T2742" i="6"/>
  <c r="S2742" i="6"/>
  <c r="R2742" i="6"/>
  <c r="Q2742" i="6"/>
  <c r="P2742" i="6"/>
  <c r="O2742" i="6"/>
  <c r="U2742" i="6" s="1"/>
  <c r="N2742" i="6"/>
  <c r="V2741" i="6"/>
  <c r="T2741" i="6"/>
  <c r="S2741" i="6"/>
  <c r="R2741" i="6"/>
  <c r="Q2741" i="6"/>
  <c r="P2741" i="6"/>
  <c r="O2741" i="6"/>
  <c r="U2741" i="6" s="1"/>
  <c r="N2741" i="6"/>
  <c r="V2740" i="6"/>
  <c r="T2740" i="6"/>
  <c r="S2740" i="6"/>
  <c r="R2740" i="6"/>
  <c r="Q2740" i="6"/>
  <c r="P2740" i="6"/>
  <c r="O2740" i="6"/>
  <c r="U2740" i="6" s="1"/>
  <c r="N2740" i="6"/>
  <c r="V2739" i="6"/>
  <c r="T2739" i="6"/>
  <c r="S2739" i="6"/>
  <c r="R2739" i="6"/>
  <c r="Q2739" i="6"/>
  <c r="P2739" i="6"/>
  <c r="O2739" i="6"/>
  <c r="U2739" i="6" s="1"/>
  <c r="N2739" i="6"/>
  <c r="V2738" i="6"/>
  <c r="T2738" i="6"/>
  <c r="S2738" i="6"/>
  <c r="R2738" i="6"/>
  <c r="Q2738" i="6"/>
  <c r="P2738" i="6"/>
  <c r="O2738" i="6"/>
  <c r="U2738" i="6" s="1"/>
  <c r="N2738" i="6"/>
  <c r="V2737" i="6"/>
  <c r="T2737" i="6"/>
  <c r="S2737" i="6"/>
  <c r="R2737" i="6"/>
  <c r="Q2737" i="6"/>
  <c r="P2737" i="6"/>
  <c r="O2737" i="6"/>
  <c r="U2737" i="6" s="1"/>
  <c r="N2737" i="6"/>
  <c r="V2736" i="6"/>
  <c r="T2736" i="6"/>
  <c r="S2736" i="6"/>
  <c r="R2736" i="6"/>
  <c r="Q2736" i="6"/>
  <c r="P2736" i="6"/>
  <c r="O2736" i="6"/>
  <c r="U2736" i="6" s="1"/>
  <c r="N2736" i="6"/>
  <c r="V2735" i="6"/>
  <c r="T2735" i="6"/>
  <c r="S2735" i="6"/>
  <c r="R2735" i="6"/>
  <c r="Q2735" i="6"/>
  <c r="P2735" i="6"/>
  <c r="O2735" i="6"/>
  <c r="U2735" i="6" s="1"/>
  <c r="N2735" i="6"/>
  <c r="V2734" i="6"/>
  <c r="T2734" i="6"/>
  <c r="S2734" i="6"/>
  <c r="R2734" i="6"/>
  <c r="Q2734" i="6"/>
  <c r="P2734" i="6"/>
  <c r="O2734" i="6"/>
  <c r="U2734" i="6" s="1"/>
  <c r="N2734" i="6"/>
  <c r="V2733" i="6"/>
  <c r="T2733" i="6"/>
  <c r="S2733" i="6"/>
  <c r="R2733" i="6"/>
  <c r="Q2733" i="6"/>
  <c r="P2733" i="6"/>
  <c r="O2733" i="6"/>
  <c r="U2733" i="6" s="1"/>
  <c r="N2733" i="6"/>
  <c r="V2732" i="6"/>
  <c r="T2732" i="6"/>
  <c r="S2732" i="6"/>
  <c r="R2732" i="6"/>
  <c r="Q2732" i="6"/>
  <c r="P2732" i="6"/>
  <c r="O2732" i="6"/>
  <c r="U2732" i="6" s="1"/>
  <c r="N2732" i="6"/>
  <c r="V2731" i="6"/>
  <c r="T2731" i="6"/>
  <c r="S2731" i="6"/>
  <c r="R2731" i="6"/>
  <c r="Q2731" i="6"/>
  <c r="P2731" i="6"/>
  <c r="O2731" i="6"/>
  <c r="U2731" i="6" s="1"/>
  <c r="N2731" i="6"/>
  <c r="V2730" i="6"/>
  <c r="T2730" i="6"/>
  <c r="S2730" i="6"/>
  <c r="R2730" i="6"/>
  <c r="Q2730" i="6"/>
  <c r="P2730" i="6"/>
  <c r="O2730" i="6"/>
  <c r="U2730" i="6" s="1"/>
  <c r="N2730" i="6"/>
  <c r="V2729" i="6"/>
  <c r="T2729" i="6"/>
  <c r="S2729" i="6"/>
  <c r="R2729" i="6"/>
  <c r="Q2729" i="6"/>
  <c r="P2729" i="6"/>
  <c r="O2729" i="6"/>
  <c r="U2729" i="6" s="1"/>
  <c r="N2729" i="6"/>
  <c r="V2728" i="6"/>
  <c r="T2728" i="6"/>
  <c r="S2728" i="6"/>
  <c r="R2728" i="6"/>
  <c r="Q2728" i="6"/>
  <c r="P2728" i="6"/>
  <c r="O2728" i="6"/>
  <c r="U2728" i="6" s="1"/>
  <c r="N2728" i="6"/>
  <c r="V2727" i="6"/>
  <c r="T2727" i="6"/>
  <c r="S2727" i="6"/>
  <c r="R2727" i="6"/>
  <c r="Q2727" i="6"/>
  <c r="P2727" i="6"/>
  <c r="O2727" i="6"/>
  <c r="U2727" i="6" s="1"/>
  <c r="N2727" i="6"/>
  <c r="V2726" i="6"/>
  <c r="T2726" i="6"/>
  <c r="S2726" i="6"/>
  <c r="R2726" i="6"/>
  <c r="Q2726" i="6"/>
  <c r="P2726" i="6"/>
  <c r="O2726" i="6"/>
  <c r="U2726" i="6" s="1"/>
  <c r="N2726" i="6"/>
  <c r="V2725" i="6"/>
  <c r="T2725" i="6"/>
  <c r="S2725" i="6"/>
  <c r="R2725" i="6"/>
  <c r="Q2725" i="6"/>
  <c r="P2725" i="6"/>
  <c r="O2725" i="6"/>
  <c r="U2725" i="6" s="1"/>
  <c r="N2725" i="6"/>
  <c r="V2724" i="6"/>
  <c r="T2724" i="6"/>
  <c r="S2724" i="6"/>
  <c r="R2724" i="6"/>
  <c r="Q2724" i="6"/>
  <c r="P2724" i="6"/>
  <c r="O2724" i="6"/>
  <c r="U2724" i="6" s="1"/>
  <c r="N2724" i="6"/>
  <c r="V2723" i="6"/>
  <c r="T2723" i="6"/>
  <c r="S2723" i="6"/>
  <c r="R2723" i="6"/>
  <c r="Q2723" i="6"/>
  <c r="P2723" i="6"/>
  <c r="O2723" i="6"/>
  <c r="U2723" i="6" s="1"/>
  <c r="N2723" i="6"/>
  <c r="V2722" i="6"/>
  <c r="T2722" i="6"/>
  <c r="S2722" i="6"/>
  <c r="R2722" i="6"/>
  <c r="Q2722" i="6"/>
  <c r="P2722" i="6"/>
  <c r="O2722" i="6"/>
  <c r="U2722" i="6" s="1"/>
  <c r="N2722" i="6"/>
  <c r="V2721" i="6"/>
  <c r="T2721" i="6"/>
  <c r="S2721" i="6"/>
  <c r="R2721" i="6"/>
  <c r="Q2721" i="6"/>
  <c r="P2721" i="6"/>
  <c r="O2721" i="6"/>
  <c r="U2721" i="6" s="1"/>
  <c r="N2721" i="6"/>
  <c r="V2720" i="6"/>
  <c r="T2720" i="6"/>
  <c r="S2720" i="6"/>
  <c r="R2720" i="6"/>
  <c r="Q2720" i="6"/>
  <c r="P2720" i="6"/>
  <c r="O2720" i="6"/>
  <c r="U2720" i="6" s="1"/>
  <c r="N2720" i="6"/>
  <c r="V2719" i="6"/>
  <c r="T2719" i="6"/>
  <c r="S2719" i="6"/>
  <c r="R2719" i="6"/>
  <c r="Q2719" i="6"/>
  <c r="P2719" i="6"/>
  <c r="O2719" i="6"/>
  <c r="U2719" i="6" s="1"/>
  <c r="N2719" i="6"/>
  <c r="V2718" i="6"/>
  <c r="T2718" i="6"/>
  <c r="S2718" i="6"/>
  <c r="R2718" i="6"/>
  <c r="Q2718" i="6"/>
  <c r="P2718" i="6"/>
  <c r="O2718" i="6"/>
  <c r="U2718" i="6" s="1"/>
  <c r="N2718" i="6"/>
  <c r="V2717" i="6"/>
  <c r="T2717" i="6"/>
  <c r="S2717" i="6"/>
  <c r="R2717" i="6"/>
  <c r="Q2717" i="6"/>
  <c r="P2717" i="6"/>
  <c r="O2717" i="6"/>
  <c r="U2717" i="6" s="1"/>
  <c r="N2717" i="6"/>
  <c r="V2716" i="6"/>
  <c r="T2716" i="6"/>
  <c r="S2716" i="6"/>
  <c r="R2716" i="6"/>
  <c r="Q2716" i="6"/>
  <c r="P2716" i="6"/>
  <c r="O2716" i="6"/>
  <c r="U2716" i="6" s="1"/>
  <c r="N2716" i="6"/>
  <c r="V2715" i="6"/>
  <c r="T2715" i="6"/>
  <c r="S2715" i="6"/>
  <c r="R2715" i="6"/>
  <c r="Q2715" i="6"/>
  <c r="P2715" i="6"/>
  <c r="O2715" i="6"/>
  <c r="U2715" i="6" s="1"/>
  <c r="N2715" i="6"/>
  <c r="V2714" i="6"/>
  <c r="T2714" i="6"/>
  <c r="S2714" i="6"/>
  <c r="R2714" i="6"/>
  <c r="Q2714" i="6"/>
  <c r="P2714" i="6"/>
  <c r="O2714" i="6"/>
  <c r="U2714" i="6" s="1"/>
  <c r="N2714" i="6"/>
  <c r="V2713" i="6"/>
  <c r="T2713" i="6"/>
  <c r="S2713" i="6"/>
  <c r="R2713" i="6"/>
  <c r="Q2713" i="6"/>
  <c r="P2713" i="6"/>
  <c r="O2713" i="6"/>
  <c r="U2713" i="6" s="1"/>
  <c r="N2713" i="6"/>
  <c r="V2712" i="6"/>
  <c r="T2712" i="6"/>
  <c r="S2712" i="6"/>
  <c r="R2712" i="6"/>
  <c r="Q2712" i="6"/>
  <c r="P2712" i="6"/>
  <c r="O2712" i="6"/>
  <c r="U2712" i="6" s="1"/>
  <c r="N2712" i="6"/>
  <c r="V2711" i="6"/>
  <c r="T2711" i="6"/>
  <c r="S2711" i="6"/>
  <c r="R2711" i="6"/>
  <c r="Q2711" i="6"/>
  <c r="P2711" i="6"/>
  <c r="O2711" i="6"/>
  <c r="U2711" i="6" s="1"/>
  <c r="N2711" i="6"/>
  <c r="V2710" i="6"/>
  <c r="T2710" i="6"/>
  <c r="S2710" i="6"/>
  <c r="R2710" i="6"/>
  <c r="Q2710" i="6"/>
  <c r="P2710" i="6"/>
  <c r="O2710" i="6"/>
  <c r="U2710" i="6" s="1"/>
  <c r="N2710" i="6"/>
  <c r="V2709" i="6"/>
  <c r="T2709" i="6"/>
  <c r="S2709" i="6"/>
  <c r="R2709" i="6"/>
  <c r="Q2709" i="6"/>
  <c r="P2709" i="6"/>
  <c r="O2709" i="6"/>
  <c r="U2709" i="6" s="1"/>
  <c r="N2709" i="6"/>
  <c r="V2708" i="6"/>
  <c r="T2708" i="6"/>
  <c r="S2708" i="6"/>
  <c r="R2708" i="6"/>
  <c r="Q2708" i="6"/>
  <c r="P2708" i="6"/>
  <c r="O2708" i="6"/>
  <c r="U2708" i="6" s="1"/>
  <c r="N2708" i="6"/>
  <c r="V2707" i="6"/>
  <c r="T2707" i="6"/>
  <c r="S2707" i="6"/>
  <c r="R2707" i="6"/>
  <c r="Q2707" i="6"/>
  <c r="P2707" i="6"/>
  <c r="O2707" i="6"/>
  <c r="U2707" i="6" s="1"/>
  <c r="N2707" i="6"/>
  <c r="V2706" i="6"/>
  <c r="T2706" i="6"/>
  <c r="S2706" i="6"/>
  <c r="R2706" i="6"/>
  <c r="Q2706" i="6"/>
  <c r="P2706" i="6"/>
  <c r="O2706" i="6"/>
  <c r="U2706" i="6" s="1"/>
  <c r="N2706" i="6"/>
  <c r="V2705" i="6"/>
  <c r="T2705" i="6"/>
  <c r="S2705" i="6"/>
  <c r="R2705" i="6"/>
  <c r="Q2705" i="6"/>
  <c r="P2705" i="6"/>
  <c r="O2705" i="6"/>
  <c r="U2705" i="6" s="1"/>
  <c r="N2705" i="6"/>
  <c r="V2704" i="6"/>
  <c r="T2704" i="6"/>
  <c r="S2704" i="6"/>
  <c r="R2704" i="6"/>
  <c r="Q2704" i="6"/>
  <c r="P2704" i="6"/>
  <c r="O2704" i="6"/>
  <c r="U2704" i="6" s="1"/>
  <c r="N2704" i="6"/>
  <c r="V2703" i="6"/>
  <c r="T2703" i="6"/>
  <c r="S2703" i="6"/>
  <c r="R2703" i="6"/>
  <c r="Q2703" i="6"/>
  <c r="P2703" i="6"/>
  <c r="O2703" i="6"/>
  <c r="U2703" i="6" s="1"/>
  <c r="N2703" i="6"/>
  <c r="V2702" i="6"/>
  <c r="T2702" i="6"/>
  <c r="S2702" i="6"/>
  <c r="R2702" i="6"/>
  <c r="Q2702" i="6"/>
  <c r="P2702" i="6"/>
  <c r="O2702" i="6"/>
  <c r="U2702" i="6" s="1"/>
  <c r="N2702" i="6"/>
  <c r="V2701" i="6"/>
  <c r="T2701" i="6"/>
  <c r="S2701" i="6"/>
  <c r="R2701" i="6"/>
  <c r="Q2701" i="6"/>
  <c r="P2701" i="6"/>
  <c r="O2701" i="6"/>
  <c r="U2701" i="6" s="1"/>
  <c r="N2701" i="6"/>
  <c r="V2700" i="6"/>
  <c r="T2700" i="6"/>
  <c r="S2700" i="6"/>
  <c r="R2700" i="6"/>
  <c r="Q2700" i="6"/>
  <c r="P2700" i="6"/>
  <c r="O2700" i="6"/>
  <c r="U2700" i="6" s="1"/>
  <c r="N2700" i="6"/>
  <c r="V2699" i="6"/>
  <c r="T2699" i="6"/>
  <c r="S2699" i="6"/>
  <c r="R2699" i="6"/>
  <c r="Q2699" i="6"/>
  <c r="P2699" i="6"/>
  <c r="O2699" i="6"/>
  <c r="U2699" i="6" s="1"/>
  <c r="N2699" i="6"/>
  <c r="V2698" i="6"/>
  <c r="T2698" i="6"/>
  <c r="S2698" i="6"/>
  <c r="R2698" i="6"/>
  <c r="Q2698" i="6"/>
  <c r="P2698" i="6"/>
  <c r="O2698" i="6"/>
  <c r="U2698" i="6" s="1"/>
  <c r="N2698" i="6"/>
  <c r="V2697" i="6"/>
  <c r="T2697" i="6"/>
  <c r="S2697" i="6"/>
  <c r="R2697" i="6"/>
  <c r="Q2697" i="6"/>
  <c r="P2697" i="6"/>
  <c r="O2697" i="6"/>
  <c r="U2697" i="6" s="1"/>
  <c r="N2697" i="6"/>
  <c r="V2696" i="6"/>
  <c r="T2696" i="6"/>
  <c r="S2696" i="6"/>
  <c r="R2696" i="6"/>
  <c r="Q2696" i="6"/>
  <c r="P2696" i="6"/>
  <c r="O2696" i="6"/>
  <c r="U2696" i="6" s="1"/>
  <c r="N2696" i="6"/>
  <c r="V2695" i="6"/>
  <c r="T2695" i="6"/>
  <c r="S2695" i="6"/>
  <c r="R2695" i="6"/>
  <c r="Q2695" i="6"/>
  <c r="P2695" i="6"/>
  <c r="O2695" i="6"/>
  <c r="U2695" i="6" s="1"/>
  <c r="N2695" i="6"/>
  <c r="V2694" i="6"/>
  <c r="T2694" i="6"/>
  <c r="S2694" i="6"/>
  <c r="R2694" i="6"/>
  <c r="Q2694" i="6"/>
  <c r="P2694" i="6"/>
  <c r="O2694" i="6"/>
  <c r="U2694" i="6" s="1"/>
  <c r="N2694" i="6"/>
  <c r="V2693" i="6"/>
  <c r="T2693" i="6"/>
  <c r="S2693" i="6"/>
  <c r="R2693" i="6"/>
  <c r="Q2693" i="6"/>
  <c r="P2693" i="6"/>
  <c r="O2693" i="6"/>
  <c r="U2693" i="6" s="1"/>
  <c r="N2693" i="6"/>
  <c r="V2692" i="6"/>
  <c r="T2692" i="6"/>
  <c r="S2692" i="6"/>
  <c r="R2692" i="6"/>
  <c r="Q2692" i="6"/>
  <c r="P2692" i="6"/>
  <c r="O2692" i="6"/>
  <c r="U2692" i="6" s="1"/>
  <c r="N2692" i="6"/>
  <c r="V2691" i="6"/>
  <c r="T2691" i="6"/>
  <c r="S2691" i="6"/>
  <c r="R2691" i="6"/>
  <c r="Q2691" i="6"/>
  <c r="P2691" i="6"/>
  <c r="O2691" i="6"/>
  <c r="U2691" i="6" s="1"/>
  <c r="N2691" i="6"/>
  <c r="V2690" i="6"/>
  <c r="T2690" i="6"/>
  <c r="S2690" i="6"/>
  <c r="R2690" i="6"/>
  <c r="Q2690" i="6"/>
  <c r="P2690" i="6"/>
  <c r="O2690" i="6"/>
  <c r="U2690" i="6" s="1"/>
  <c r="N2690" i="6"/>
  <c r="V2689" i="6"/>
  <c r="T2689" i="6"/>
  <c r="S2689" i="6"/>
  <c r="R2689" i="6"/>
  <c r="Q2689" i="6"/>
  <c r="P2689" i="6"/>
  <c r="O2689" i="6"/>
  <c r="U2689" i="6" s="1"/>
  <c r="N2689" i="6"/>
  <c r="V2688" i="6"/>
  <c r="T2688" i="6"/>
  <c r="S2688" i="6"/>
  <c r="R2688" i="6"/>
  <c r="Q2688" i="6"/>
  <c r="P2688" i="6"/>
  <c r="O2688" i="6"/>
  <c r="U2688" i="6" s="1"/>
  <c r="N2688" i="6"/>
  <c r="V2687" i="6"/>
  <c r="T2687" i="6"/>
  <c r="S2687" i="6"/>
  <c r="R2687" i="6"/>
  <c r="Q2687" i="6"/>
  <c r="P2687" i="6"/>
  <c r="O2687" i="6"/>
  <c r="U2687" i="6" s="1"/>
  <c r="N2687" i="6"/>
  <c r="V2686" i="6"/>
  <c r="T2686" i="6"/>
  <c r="S2686" i="6"/>
  <c r="R2686" i="6"/>
  <c r="Q2686" i="6"/>
  <c r="P2686" i="6"/>
  <c r="O2686" i="6"/>
  <c r="U2686" i="6" s="1"/>
  <c r="N2686" i="6"/>
  <c r="V2685" i="6"/>
  <c r="T2685" i="6"/>
  <c r="S2685" i="6"/>
  <c r="R2685" i="6"/>
  <c r="Q2685" i="6"/>
  <c r="P2685" i="6"/>
  <c r="O2685" i="6"/>
  <c r="U2685" i="6" s="1"/>
  <c r="N2685" i="6"/>
  <c r="V2684" i="6"/>
  <c r="T2684" i="6"/>
  <c r="S2684" i="6"/>
  <c r="R2684" i="6"/>
  <c r="Q2684" i="6"/>
  <c r="P2684" i="6"/>
  <c r="O2684" i="6"/>
  <c r="U2684" i="6" s="1"/>
  <c r="N2684" i="6"/>
  <c r="V2683" i="6"/>
  <c r="T2683" i="6"/>
  <c r="S2683" i="6"/>
  <c r="R2683" i="6"/>
  <c r="Q2683" i="6"/>
  <c r="P2683" i="6"/>
  <c r="O2683" i="6"/>
  <c r="U2683" i="6" s="1"/>
  <c r="N2683" i="6"/>
  <c r="V2682" i="6"/>
  <c r="T2682" i="6"/>
  <c r="S2682" i="6"/>
  <c r="R2682" i="6"/>
  <c r="Q2682" i="6"/>
  <c r="P2682" i="6"/>
  <c r="O2682" i="6"/>
  <c r="U2682" i="6" s="1"/>
  <c r="N2682" i="6"/>
  <c r="V2681" i="6"/>
  <c r="T2681" i="6"/>
  <c r="S2681" i="6"/>
  <c r="R2681" i="6"/>
  <c r="Q2681" i="6"/>
  <c r="P2681" i="6"/>
  <c r="O2681" i="6"/>
  <c r="U2681" i="6" s="1"/>
  <c r="N2681" i="6"/>
  <c r="V2680" i="6"/>
  <c r="T2680" i="6"/>
  <c r="S2680" i="6"/>
  <c r="R2680" i="6"/>
  <c r="Q2680" i="6"/>
  <c r="P2680" i="6"/>
  <c r="O2680" i="6"/>
  <c r="U2680" i="6" s="1"/>
  <c r="N2680" i="6"/>
  <c r="V2679" i="6"/>
  <c r="T2679" i="6"/>
  <c r="S2679" i="6"/>
  <c r="R2679" i="6"/>
  <c r="Q2679" i="6"/>
  <c r="P2679" i="6"/>
  <c r="O2679" i="6"/>
  <c r="U2679" i="6" s="1"/>
  <c r="N2679" i="6"/>
  <c r="V2678" i="6"/>
  <c r="T2678" i="6"/>
  <c r="S2678" i="6"/>
  <c r="R2678" i="6"/>
  <c r="Q2678" i="6"/>
  <c r="P2678" i="6"/>
  <c r="O2678" i="6"/>
  <c r="U2678" i="6" s="1"/>
  <c r="N2678" i="6"/>
  <c r="V2677" i="6"/>
  <c r="T2677" i="6"/>
  <c r="S2677" i="6"/>
  <c r="R2677" i="6"/>
  <c r="Q2677" i="6"/>
  <c r="P2677" i="6"/>
  <c r="O2677" i="6"/>
  <c r="U2677" i="6" s="1"/>
  <c r="N2677" i="6"/>
  <c r="V2676" i="6"/>
  <c r="T2676" i="6"/>
  <c r="S2676" i="6"/>
  <c r="R2676" i="6"/>
  <c r="Q2676" i="6"/>
  <c r="P2676" i="6"/>
  <c r="O2676" i="6"/>
  <c r="U2676" i="6" s="1"/>
  <c r="N2676" i="6"/>
  <c r="V2675" i="6"/>
  <c r="T2675" i="6"/>
  <c r="S2675" i="6"/>
  <c r="R2675" i="6"/>
  <c r="Q2675" i="6"/>
  <c r="P2675" i="6"/>
  <c r="O2675" i="6"/>
  <c r="U2675" i="6" s="1"/>
  <c r="N2675" i="6"/>
  <c r="V2674" i="6"/>
  <c r="T2674" i="6"/>
  <c r="S2674" i="6"/>
  <c r="R2674" i="6"/>
  <c r="Q2674" i="6"/>
  <c r="P2674" i="6"/>
  <c r="O2674" i="6"/>
  <c r="U2674" i="6" s="1"/>
  <c r="N2674" i="6"/>
  <c r="V2673" i="6"/>
  <c r="T2673" i="6"/>
  <c r="S2673" i="6"/>
  <c r="R2673" i="6"/>
  <c r="Q2673" i="6"/>
  <c r="P2673" i="6"/>
  <c r="O2673" i="6"/>
  <c r="U2673" i="6" s="1"/>
  <c r="N2673" i="6"/>
  <c r="V2672" i="6"/>
  <c r="T2672" i="6"/>
  <c r="S2672" i="6"/>
  <c r="R2672" i="6"/>
  <c r="Q2672" i="6"/>
  <c r="P2672" i="6"/>
  <c r="O2672" i="6"/>
  <c r="U2672" i="6" s="1"/>
  <c r="N2672" i="6"/>
  <c r="V2671" i="6"/>
  <c r="T2671" i="6"/>
  <c r="S2671" i="6"/>
  <c r="R2671" i="6"/>
  <c r="Q2671" i="6"/>
  <c r="P2671" i="6"/>
  <c r="O2671" i="6"/>
  <c r="U2671" i="6" s="1"/>
  <c r="N2671" i="6"/>
  <c r="V2670" i="6"/>
  <c r="T2670" i="6"/>
  <c r="S2670" i="6"/>
  <c r="R2670" i="6"/>
  <c r="Q2670" i="6"/>
  <c r="P2670" i="6"/>
  <c r="O2670" i="6"/>
  <c r="U2670" i="6" s="1"/>
  <c r="N2670" i="6"/>
  <c r="V2669" i="6"/>
  <c r="T2669" i="6"/>
  <c r="S2669" i="6"/>
  <c r="R2669" i="6"/>
  <c r="Q2669" i="6"/>
  <c r="P2669" i="6"/>
  <c r="O2669" i="6"/>
  <c r="U2669" i="6" s="1"/>
  <c r="N2669" i="6"/>
  <c r="V2668" i="6"/>
  <c r="T2668" i="6"/>
  <c r="S2668" i="6"/>
  <c r="R2668" i="6"/>
  <c r="Q2668" i="6"/>
  <c r="P2668" i="6"/>
  <c r="O2668" i="6"/>
  <c r="U2668" i="6" s="1"/>
  <c r="N2668" i="6"/>
  <c r="V2667" i="6"/>
  <c r="T2667" i="6"/>
  <c r="S2667" i="6"/>
  <c r="R2667" i="6"/>
  <c r="Q2667" i="6"/>
  <c r="P2667" i="6"/>
  <c r="O2667" i="6"/>
  <c r="U2667" i="6" s="1"/>
  <c r="N2667" i="6"/>
  <c r="V2666" i="6"/>
  <c r="T2666" i="6"/>
  <c r="S2666" i="6"/>
  <c r="R2666" i="6"/>
  <c r="Q2666" i="6"/>
  <c r="P2666" i="6"/>
  <c r="O2666" i="6"/>
  <c r="U2666" i="6" s="1"/>
  <c r="N2666" i="6"/>
  <c r="V2665" i="6"/>
  <c r="T2665" i="6"/>
  <c r="S2665" i="6"/>
  <c r="R2665" i="6"/>
  <c r="Q2665" i="6"/>
  <c r="P2665" i="6"/>
  <c r="O2665" i="6"/>
  <c r="U2665" i="6" s="1"/>
  <c r="N2665" i="6"/>
  <c r="V2664" i="6"/>
  <c r="T2664" i="6"/>
  <c r="S2664" i="6"/>
  <c r="R2664" i="6"/>
  <c r="Q2664" i="6"/>
  <c r="P2664" i="6"/>
  <c r="O2664" i="6"/>
  <c r="U2664" i="6" s="1"/>
  <c r="N2664" i="6"/>
  <c r="V2663" i="6"/>
  <c r="T2663" i="6"/>
  <c r="S2663" i="6"/>
  <c r="R2663" i="6"/>
  <c r="Q2663" i="6"/>
  <c r="P2663" i="6"/>
  <c r="O2663" i="6"/>
  <c r="U2663" i="6" s="1"/>
  <c r="N2663" i="6"/>
  <c r="V2662" i="6"/>
  <c r="T2662" i="6"/>
  <c r="S2662" i="6"/>
  <c r="R2662" i="6"/>
  <c r="Q2662" i="6"/>
  <c r="P2662" i="6"/>
  <c r="O2662" i="6"/>
  <c r="U2662" i="6" s="1"/>
  <c r="N2662" i="6"/>
  <c r="V2661" i="6"/>
  <c r="T2661" i="6"/>
  <c r="S2661" i="6"/>
  <c r="R2661" i="6"/>
  <c r="Q2661" i="6"/>
  <c r="P2661" i="6"/>
  <c r="O2661" i="6"/>
  <c r="U2661" i="6" s="1"/>
  <c r="N2661" i="6"/>
  <c r="V2660" i="6"/>
  <c r="T2660" i="6"/>
  <c r="S2660" i="6"/>
  <c r="R2660" i="6"/>
  <c r="Q2660" i="6"/>
  <c r="P2660" i="6"/>
  <c r="O2660" i="6"/>
  <c r="U2660" i="6" s="1"/>
  <c r="N2660" i="6"/>
  <c r="V2659" i="6"/>
  <c r="T2659" i="6"/>
  <c r="S2659" i="6"/>
  <c r="R2659" i="6"/>
  <c r="Q2659" i="6"/>
  <c r="P2659" i="6"/>
  <c r="O2659" i="6"/>
  <c r="U2659" i="6" s="1"/>
  <c r="N2659" i="6"/>
  <c r="V2658" i="6"/>
  <c r="T2658" i="6"/>
  <c r="S2658" i="6"/>
  <c r="R2658" i="6"/>
  <c r="Q2658" i="6"/>
  <c r="P2658" i="6"/>
  <c r="O2658" i="6"/>
  <c r="U2658" i="6" s="1"/>
  <c r="N2658" i="6"/>
  <c r="V2657" i="6"/>
  <c r="T2657" i="6"/>
  <c r="S2657" i="6"/>
  <c r="R2657" i="6"/>
  <c r="Q2657" i="6"/>
  <c r="P2657" i="6"/>
  <c r="O2657" i="6"/>
  <c r="U2657" i="6" s="1"/>
  <c r="N2657" i="6"/>
  <c r="V2656" i="6"/>
  <c r="T2656" i="6"/>
  <c r="S2656" i="6"/>
  <c r="R2656" i="6"/>
  <c r="Q2656" i="6"/>
  <c r="P2656" i="6"/>
  <c r="O2656" i="6"/>
  <c r="U2656" i="6" s="1"/>
  <c r="N2656" i="6"/>
  <c r="V2655" i="6"/>
  <c r="T2655" i="6"/>
  <c r="S2655" i="6"/>
  <c r="R2655" i="6"/>
  <c r="Q2655" i="6"/>
  <c r="P2655" i="6"/>
  <c r="O2655" i="6"/>
  <c r="U2655" i="6" s="1"/>
  <c r="N2655" i="6"/>
  <c r="V2654" i="6"/>
  <c r="T2654" i="6"/>
  <c r="S2654" i="6"/>
  <c r="R2654" i="6"/>
  <c r="Q2654" i="6"/>
  <c r="P2654" i="6"/>
  <c r="O2654" i="6"/>
  <c r="U2654" i="6" s="1"/>
  <c r="N2654" i="6"/>
  <c r="V2653" i="6"/>
  <c r="T2653" i="6"/>
  <c r="S2653" i="6"/>
  <c r="R2653" i="6"/>
  <c r="Q2653" i="6"/>
  <c r="P2653" i="6"/>
  <c r="O2653" i="6"/>
  <c r="U2653" i="6" s="1"/>
  <c r="N2653" i="6"/>
  <c r="V2652" i="6"/>
  <c r="T2652" i="6"/>
  <c r="S2652" i="6"/>
  <c r="R2652" i="6"/>
  <c r="Q2652" i="6"/>
  <c r="P2652" i="6"/>
  <c r="O2652" i="6"/>
  <c r="U2652" i="6" s="1"/>
  <c r="N2652" i="6"/>
  <c r="V2651" i="6"/>
  <c r="T2651" i="6"/>
  <c r="S2651" i="6"/>
  <c r="R2651" i="6"/>
  <c r="Q2651" i="6"/>
  <c r="P2651" i="6"/>
  <c r="O2651" i="6"/>
  <c r="U2651" i="6" s="1"/>
  <c r="N2651" i="6"/>
  <c r="V2650" i="6"/>
  <c r="T2650" i="6"/>
  <c r="S2650" i="6"/>
  <c r="R2650" i="6"/>
  <c r="Q2650" i="6"/>
  <c r="P2650" i="6"/>
  <c r="O2650" i="6"/>
  <c r="U2650" i="6" s="1"/>
  <c r="N2650" i="6"/>
  <c r="V2649" i="6"/>
  <c r="T2649" i="6"/>
  <c r="S2649" i="6"/>
  <c r="R2649" i="6"/>
  <c r="Q2649" i="6"/>
  <c r="P2649" i="6"/>
  <c r="O2649" i="6"/>
  <c r="U2649" i="6" s="1"/>
  <c r="N2649" i="6"/>
  <c r="V2648" i="6"/>
  <c r="T2648" i="6"/>
  <c r="S2648" i="6"/>
  <c r="R2648" i="6"/>
  <c r="Q2648" i="6"/>
  <c r="P2648" i="6"/>
  <c r="O2648" i="6"/>
  <c r="U2648" i="6" s="1"/>
  <c r="N2648" i="6"/>
  <c r="V2647" i="6"/>
  <c r="T2647" i="6"/>
  <c r="S2647" i="6"/>
  <c r="R2647" i="6"/>
  <c r="Q2647" i="6"/>
  <c r="P2647" i="6"/>
  <c r="O2647" i="6"/>
  <c r="U2647" i="6" s="1"/>
  <c r="N2647" i="6"/>
  <c r="V2646" i="6"/>
  <c r="T2646" i="6"/>
  <c r="S2646" i="6"/>
  <c r="R2646" i="6"/>
  <c r="Q2646" i="6"/>
  <c r="P2646" i="6"/>
  <c r="O2646" i="6"/>
  <c r="U2646" i="6" s="1"/>
  <c r="N2646" i="6"/>
  <c r="V2645" i="6"/>
  <c r="T2645" i="6"/>
  <c r="S2645" i="6"/>
  <c r="R2645" i="6"/>
  <c r="Q2645" i="6"/>
  <c r="P2645" i="6"/>
  <c r="O2645" i="6"/>
  <c r="U2645" i="6" s="1"/>
  <c r="N2645" i="6"/>
  <c r="V2644" i="6"/>
  <c r="T2644" i="6"/>
  <c r="S2644" i="6"/>
  <c r="R2644" i="6"/>
  <c r="Q2644" i="6"/>
  <c r="P2644" i="6"/>
  <c r="O2644" i="6"/>
  <c r="U2644" i="6" s="1"/>
  <c r="N2644" i="6"/>
  <c r="V2643" i="6"/>
  <c r="T2643" i="6"/>
  <c r="S2643" i="6"/>
  <c r="R2643" i="6"/>
  <c r="Q2643" i="6"/>
  <c r="P2643" i="6"/>
  <c r="O2643" i="6"/>
  <c r="U2643" i="6" s="1"/>
  <c r="N2643" i="6"/>
  <c r="V2642" i="6"/>
  <c r="T2642" i="6"/>
  <c r="S2642" i="6"/>
  <c r="R2642" i="6"/>
  <c r="Q2642" i="6"/>
  <c r="P2642" i="6"/>
  <c r="O2642" i="6"/>
  <c r="U2642" i="6" s="1"/>
  <c r="N2642" i="6"/>
  <c r="V2641" i="6"/>
  <c r="T2641" i="6"/>
  <c r="S2641" i="6"/>
  <c r="R2641" i="6"/>
  <c r="Q2641" i="6"/>
  <c r="P2641" i="6"/>
  <c r="O2641" i="6"/>
  <c r="U2641" i="6" s="1"/>
  <c r="N2641" i="6"/>
  <c r="V2640" i="6"/>
  <c r="T2640" i="6"/>
  <c r="S2640" i="6"/>
  <c r="R2640" i="6"/>
  <c r="Q2640" i="6"/>
  <c r="P2640" i="6"/>
  <c r="O2640" i="6"/>
  <c r="U2640" i="6" s="1"/>
  <c r="N2640" i="6"/>
  <c r="V2639" i="6"/>
  <c r="T2639" i="6"/>
  <c r="S2639" i="6"/>
  <c r="R2639" i="6"/>
  <c r="Q2639" i="6"/>
  <c r="P2639" i="6"/>
  <c r="O2639" i="6"/>
  <c r="U2639" i="6" s="1"/>
  <c r="N2639" i="6"/>
  <c r="V2638" i="6"/>
  <c r="T2638" i="6"/>
  <c r="S2638" i="6"/>
  <c r="R2638" i="6"/>
  <c r="Q2638" i="6"/>
  <c r="P2638" i="6"/>
  <c r="O2638" i="6"/>
  <c r="U2638" i="6" s="1"/>
  <c r="N2638" i="6"/>
  <c r="V2637" i="6"/>
  <c r="T2637" i="6"/>
  <c r="S2637" i="6"/>
  <c r="R2637" i="6"/>
  <c r="Q2637" i="6"/>
  <c r="P2637" i="6"/>
  <c r="O2637" i="6"/>
  <c r="U2637" i="6" s="1"/>
  <c r="N2637" i="6"/>
  <c r="V2636" i="6"/>
  <c r="T2636" i="6"/>
  <c r="S2636" i="6"/>
  <c r="R2636" i="6"/>
  <c r="Q2636" i="6"/>
  <c r="P2636" i="6"/>
  <c r="O2636" i="6"/>
  <c r="U2636" i="6" s="1"/>
  <c r="N2636" i="6"/>
  <c r="V2635" i="6"/>
  <c r="T2635" i="6"/>
  <c r="S2635" i="6"/>
  <c r="R2635" i="6"/>
  <c r="Q2635" i="6"/>
  <c r="P2635" i="6"/>
  <c r="O2635" i="6"/>
  <c r="U2635" i="6" s="1"/>
  <c r="N2635" i="6"/>
  <c r="V2634" i="6"/>
  <c r="T2634" i="6"/>
  <c r="S2634" i="6"/>
  <c r="R2634" i="6"/>
  <c r="Q2634" i="6"/>
  <c r="P2634" i="6"/>
  <c r="O2634" i="6"/>
  <c r="U2634" i="6" s="1"/>
  <c r="N2634" i="6"/>
  <c r="V2633" i="6"/>
  <c r="T2633" i="6"/>
  <c r="S2633" i="6"/>
  <c r="R2633" i="6"/>
  <c r="Q2633" i="6"/>
  <c r="P2633" i="6"/>
  <c r="O2633" i="6"/>
  <c r="U2633" i="6" s="1"/>
  <c r="N2633" i="6"/>
  <c r="V2632" i="6"/>
  <c r="T2632" i="6"/>
  <c r="S2632" i="6"/>
  <c r="R2632" i="6"/>
  <c r="Q2632" i="6"/>
  <c r="P2632" i="6"/>
  <c r="O2632" i="6"/>
  <c r="U2632" i="6" s="1"/>
  <c r="N2632" i="6"/>
  <c r="V2631" i="6"/>
  <c r="T2631" i="6"/>
  <c r="S2631" i="6"/>
  <c r="R2631" i="6"/>
  <c r="Q2631" i="6"/>
  <c r="P2631" i="6"/>
  <c r="O2631" i="6"/>
  <c r="U2631" i="6" s="1"/>
  <c r="N2631" i="6"/>
  <c r="V2630" i="6"/>
  <c r="T2630" i="6"/>
  <c r="S2630" i="6"/>
  <c r="R2630" i="6"/>
  <c r="Q2630" i="6"/>
  <c r="P2630" i="6"/>
  <c r="O2630" i="6"/>
  <c r="U2630" i="6" s="1"/>
  <c r="N2630" i="6"/>
  <c r="V2629" i="6"/>
  <c r="T2629" i="6"/>
  <c r="S2629" i="6"/>
  <c r="R2629" i="6"/>
  <c r="Q2629" i="6"/>
  <c r="P2629" i="6"/>
  <c r="O2629" i="6"/>
  <c r="U2629" i="6" s="1"/>
  <c r="N2629" i="6"/>
  <c r="V2628" i="6"/>
  <c r="T2628" i="6"/>
  <c r="S2628" i="6"/>
  <c r="R2628" i="6"/>
  <c r="Q2628" i="6"/>
  <c r="P2628" i="6"/>
  <c r="O2628" i="6"/>
  <c r="U2628" i="6" s="1"/>
  <c r="N2628" i="6"/>
  <c r="V2627" i="6"/>
  <c r="T2627" i="6"/>
  <c r="S2627" i="6"/>
  <c r="R2627" i="6"/>
  <c r="Q2627" i="6"/>
  <c r="P2627" i="6"/>
  <c r="O2627" i="6"/>
  <c r="U2627" i="6" s="1"/>
  <c r="N2627" i="6"/>
  <c r="V2626" i="6"/>
  <c r="T2626" i="6"/>
  <c r="S2626" i="6"/>
  <c r="R2626" i="6"/>
  <c r="Q2626" i="6"/>
  <c r="P2626" i="6"/>
  <c r="O2626" i="6"/>
  <c r="U2626" i="6" s="1"/>
  <c r="N2626" i="6"/>
  <c r="V2625" i="6"/>
  <c r="T2625" i="6"/>
  <c r="S2625" i="6"/>
  <c r="R2625" i="6"/>
  <c r="Q2625" i="6"/>
  <c r="P2625" i="6"/>
  <c r="O2625" i="6"/>
  <c r="U2625" i="6" s="1"/>
  <c r="N2625" i="6"/>
  <c r="V2624" i="6"/>
  <c r="T2624" i="6"/>
  <c r="S2624" i="6"/>
  <c r="R2624" i="6"/>
  <c r="Q2624" i="6"/>
  <c r="P2624" i="6"/>
  <c r="O2624" i="6"/>
  <c r="U2624" i="6" s="1"/>
  <c r="N2624" i="6"/>
  <c r="V2623" i="6"/>
  <c r="T2623" i="6"/>
  <c r="S2623" i="6"/>
  <c r="R2623" i="6"/>
  <c r="Q2623" i="6"/>
  <c r="P2623" i="6"/>
  <c r="O2623" i="6"/>
  <c r="U2623" i="6" s="1"/>
  <c r="N2623" i="6"/>
  <c r="V2622" i="6"/>
  <c r="T2622" i="6"/>
  <c r="S2622" i="6"/>
  <c r="R2622" i="6"/>
  <c r="Q2622" i="6"/>
  <c r="P2622" i="6"/>
  <c r="O2622" i="6"/>
  <c r="U2622" i="6" s="1"/>
  <c r="N2622" i="6"/>
  <c r="V2621" i="6"/>
  <c r="T2621" i="6"/>
  <c r="S2621" i="6"/>
  <c r="R2621" i="6"/>
  <c r="Q2621" i="6"/>
  <c r="P2621" i="6"/>
  <c r="O2621" i="6"/>
  <c r="U2621" i="6" s="1"/>
  <c r="N2621" i="6"/>
  <c r="V2620" i="6"/>
  <c r="T2620" i="6"/>
  <c r="S2620" i="6"/>
  <c r="R2620" i="6"/>
  <c r="Q2620" i="6"/>
  <c r="P2620" i="6"/>
  <c r="O2620" i="6"/>
  <c r="U2620" i="6" s="1"/>
  <c r="N2620" i="6"/>
  <c r="V2619" i="6"/>
  <c r="T2619" i="6"/>
  <c r="S2619" i="6"/>
  <c r="R2619" i="6"/>
  <c r="Q2619" i="6"/>
  <c r="P2619" i="6"/>
  <c r="O2619" i="6"/>
  <c r="U2619" i="6" s="1"/>
  <c r="N2619" i="6"/>
  <c r="V2618" i="6"/>
  <c r="T2618" i="6"/>
  <c r="S2618" i="6"/>
  <c r="R2618" i="6"/>
  <c r="Q2618" i="6"/>
  <c r="P2618" i="6"/>
  <c r="O2618" i="6"/>
  <c r="U2618" i="6" s="1"/>
  <c r="N2618" i="6"/>
  <c r="V2617" i="6"/>
  <c r="T2617" i="6"/>
  <c r="S2617" i="6"/>
  <c r="R2617" i="6"/>
  <c r="Q2617" i="6"/>
  <c r="P2617" i="6"/>
  <c r="O2617" i="6"/>
  <c r="U2617" i="6" s="1"/>
  <c r="N2617" i="6"/>
  <c r="V2616" i="6"/>
  <c r="T2616" i="6"/>
  <c r="S2616" i="6"/>
  <c r="R2616" i="6"/>
  <c r="Q2616" i="6"/>
  <c r="P2616" i="6"/>
  <c r="O2616" i="6"/>
  <c r="U2616" i="6" s="1"/>
  <c r="N2616" i="6"/>
  <c r="V2615" i="6"/>
  <c r="T2615" i="6"/>
  <c r="S2615" i="6"/>
  <c r="R2615" i="6"/>
  <c r="Q2615" i="6"/>
  <c r="P2615" i="6"/>
  <c r="O2615" i="6"/>
  <c r="U2615" i="6" s="1"/>
  <c r="N2615" i="6"/>
  <c r="V2614" i="6"/>
  <c r="T2614" i="6"/>
  <c r="S2614" i="6"/>
  <c r="R2614" i="6"/>
  <c r="Q2614" i="6"/>
  <c r="P2614" i="6"/>
  <c r="O2614" i="6"/>
  <c r="U2614" i="6" s="1"/>
  <c r="N2614" i="6"/>
  <c r="V2613" i="6"/>
  <c r="T2613" i="6"/>
  <c r="S2613" i="6"/>
  <c r="R2613" i="6"/>
  <c r="Q2613" i="6"/>
  <c r="P2613" i="6"/>
  <c r="O2613" i="6"/>
  <c r="U2613" i="6" s="1"/>
  <c r="N2613" i="6"/>
  <c r="V2612" i="6"/>
  <c r="T2612" i="6"/>
  <c r="S2612" i="6"/>
  <c r="R2612" i="6"/>
  <c r="Q2612" i="6"/>
  <c r="P2612" i="6"/>
  <c r="O2612" i="6"/>
  <c r="U2612" i="6" s="1"/>
  <c r="N2612" i="6"/>
  <c r="V2611" i="6"/>
  <c r="T2611" i="6"/>
  <c r="S2611" i="6"/>
  <c r="R2611" i="6"/>
  <c r="Q2611" i="6"/>
  <c r="P2611" i="6"/>
  <c r="O2611" i="6"/>
  <c r="U2611" i="6" s="1"/>
  <c r="N2611" i="6"/>
  <c r="V2610" i="6"/>
  <c r="T2610" i="6"/>
  <c r="S2610" i="6"/>
  <c r="R2610" i="6"/>
  <c r="Q2610" i="6"/>
  <c r="P2610" i="6"/>
  <c r="O2610" i="6"/>
  <c r="U2610" i="6" s="1"/>
  <c r="N2610" i="6"/>
  <c r="V2609" i="6"/>
  <c r="T2609" i="6"/>
  <c r="S2609" i="6"/>
  <c r="R2609" i="6"/>
  <c r="Q2609" i="6"/>
  <c r="P2609" i="6"/>
  <c r="O2609" i="6"/>
  <c r="U2609" i="6" s="1"/>
  <c r="N2609" i="6"/>
  <c r="V2608" i="6"/>
  <c r="T2608" i="6"/>
  <c r="S2608" i="6"/>
  <c r="R2608" i="6"/>
  <c r="Q2608" i="6"/>
  <c r="P2608" i="6"/>
  <c r="O2608" i="6"/>
  <c r="U2608" i="6" s="1"/>
  <c r="N2608" i="6"/>
  <c r="V2607" i="6"/>
  <c r="T2607" i="6"/>
  <c r="S2607" i="6"/>
  <c r="R2607" i="6"/>
  <c r="Q2607" i="6"/>
  <c r="P2607" i="6"/>
  <c r="O2607" i="6"/>
  <c r="U2607" i="6" s="1"/>
  <c r="N2607" i="6"/>
  <c r="V2606" i="6"/>
  <c r="T2606" i="6"/>
  <c r="S2606" i="6"/>
  <c r="R2606" i="6"/>
  <c r="Q2606" i="6"/>
  <c r="P2606" i="6"/>
  <c r="O2606" i="6"/>
  <c r="U2606" i="6" s="1"/>
  <c r="N2606" i="6"/>
  <c r="V2605" i="6"/>
  <c r="T2605" i="6"/>
  <c r="S2605" i="6"/>
  <c r="R2605" i="6"/>
  <c r="Q2605" i="6"/>
  <c r="P2605" i="6"/>
  <c r="O2605" i="6"/>
  <c r="U2605" i="6" s="1"/>
  <c r="N2605" i="6"/>
  <c r="V2604" i="6"/>
  <c r="T2604" i="6"/>
  <c r="S2604" i="6"/>
  <c r="R2604" i="6"/>
  <c r="Q2604" i="6"/>
  <c r="P2604" i="6"/>
  <c r="O2604" i="6"/>
  <c r="U2604" i="6" s="1"/>
  <c r="N2604" i="6"/>
  <c r="V2603" i="6"/>
  <c r="T2603" i="6"/>
  <c r="S2603" i="6"/>
  <c r="R2603" i="6"/>
  <c r="Q2603" i="6"/>
  <c r="P2603" i="6"/>
  <c r="O2603" i="6"/>
  <c r="U2603" i="6" s="1"/>
  <c r="N2603" i="6"/>
  <c r="V2602" i="6"/>
  <c r="T2602" i="6"/>
  <c r="S2602" i="6"/>
  <c r="R2602" i="6"/>
  <c r="Q2602" i="6"/>
  <c r="P2602" i="6"/>
  <c r="O2602" i="6"/>
  <c r="U2602" i="6" s="1"/>
  <c r="N2602" i="6"/>
  <c r="V2601" i="6"/>
  <c r="T2601" i="6"/>
  <c r="S2601" i="6"/>
  <c r="R2601" i="6"/>
  <c r="Q2601" i="6"/>
  <c r="P2601" i="6"/>
  <c r="O2601" i="6"/>
  <c r="U2601" i="6" s="1"/>
  <c r="N2601" i="6"/>
  <c r="V2600" i="6"/>
  <c r="T2600" i="6"/>
  <c r="S2600" i="6"/>
  <c r="R2600" i="6"/>
  <c r="Q2600" i="6"/>
  <c r="P2600" i="6"/>
  <c r="O2600" i="6"/>
  <c r="U2600" i="6" s="1"/>
  <c r="N2600" i="6"/>
  <c r="V2599" i="6"/>
  <c r="T2599" i="6"/>
  <c r="S2599" i="6"/>
  <c r="R2599" i="6"/>
  <c r="Q2599" i="6"/>
  <c r="P2599" i="6"/>
  <c r="O2599" i="6"/>
  <c r="U2599" i="6" s="1"/>
  <c r="N2599" i="6"/>
  <c r="V2598" i="6"/>
  <c r="T2598" i="6"/>
  <c r="S2598" i="6"/>
  <c r="R2598" i="6"/>
  <c r="Q2598" i="6"/>
  <c r="P2598" i="6"/>
  <c r="O2598" i="6"/>
  <c r="U2598" i="6" s="1"/>
  <c r="N2598" i="6"/>
  <c r="V2597" i="6"/>
  <c r="T2597" i="6"/>
  <c r="S2597" i="6"/>
  <c r="R2597" i="6"/>
  <c r="Q2597" i="6"/>
  <c r="P2597" i="6"/>
  <c r="O2597" i="6"/>
  <c r="U2597" i="6" s="1"/>
  <c r="N2597" i="6"/>
  <c r="V2596" i="6"/>
  <c r="T2596" i="6"/>
  <c r="S2596" i="6"/>
  <c r="R2596" i="6"/>
  <c r="Q2596" i="6"/>
  <c r="P2596" i="6"/>
  <c r="O2596" i="6"/>
  <c r="U2596" i="6" s="1"/>
  <c r="N2596" i="6"/>
  <c r="V2595" i="6"/>
  <c r="T2595" i="6"/>
  <c r="S2595" i="6"/>
  <c r="R2595" i="6"/>
  <c r="Q2595" i="6"/>
  <c r="P2595" i="6"/>
  <c r="O2595" i="6"/>
  <c r="U2595" i="6" s="1"/>
  <c r="N2595" i="6"/>
  <c r="V2594" i="6"/>
  <c r="T2594" i="6"/>
  <c r="S2594" i="6"/>
  <c r="R2594" i="6"/>
  <c r="Q2594" i="6"/>
  <c r="P2594" i="6"/>
  <c r="O2594" i="6"/>
  <c r="U2594" i="6" s="1"/>
  <c r="N2594" i="6"/>
  <c r="V2593" i="6"/>
  <c r="T2593" i="6"/>
  <c r="S2593" i="6"/>
  <c r="R2593" i="6"/>
  <c r="Q2593" i="6"/>
  <c r="P2593" i="6"/>
  <c r="O2593" i="6"/>
  <c r="U2593" i="6" s="1"/>
  <c r="N2593" i="6"/>
  <c r="V2592" i="6"/>
  <c r="T2592" i="6"/>
  <c r="S2592" i="6"/>
  <c r="R2592" i="6"/>
  <c r="Q2592" i="6"/>
  <c r="P2592" i="6"/>
  <c r="O2592" i="6"/>
  <c r="U2592" i="6" s="1"/>
  <c r="N2592" i="6"/>
  <c r="V2591" i="6"/>
  <c r="T2591" i="6"/>
  <c r="S2591" i="6"/>
  <c r="R2591" i="6"/>
  <c r="Q2591" i="6"/>
  <c r="P2591" i="6"/>
  <c r="O2591" i="6"/>
  <c r="U2591" i="6" s="1"/>
  <c r="N2591" i="6"/>
  <c r="V2590" i="6"/>
  <c r="T2590" i="6"/>
  <c r="S2590" i="6"/>
  <c r="R2590" i="6"/>
  <c r="Q2590" i="6"/>
  <c r="P2590" i="6"/>
  <c r="O2590" i="6"/>
  <c r="U2590" i="6" s="1"/>
  <c r="N2590" i="6"/>
  <c r="V2589" i="6"/>
  <c r="T2589" i="6"/>
  <c r="S2589" i="6"/>
  <c r="R2589" i="6"/>
  <c r="Q2589" i="6"/>
  <c r="P2589" i="6"/>
  <c r="O2589" i="6"/>
  <c r="U2589" i="6" s="1"/>
  <c r="N2589" i="6"/>
  <c r="V2588" i="6"/>
  <c r="T2588" i="6"/>
  <c r="S2588" i="6"/>
  <c r="R2588" i="6"/>
  <c r="Q2588" i="6"/>
  <c r="P2588" i="6"/>
  <c r="O2588" i="6"/>
  <c r="U2588" i="6" s="1"/>
  <c r="N2588" i="6"/>
  <c r="V2587" i="6"/>
  <c r="T2587" i="6"/>
  <c r="S2587" i="6"/>
  <c r="R2587" i="6"/>
  <c r="Q2587" i="6"/>
  <c r="P2587" i="6"/>
  <c r="O2587" i="6"/>
  <c r="U2587" i="6" s="1"/>
  <c r="N2587" i="6"/>
  <c r="V2586" i="6"/>
  <c r="T2586" i="6"/>
  <c r="S2586" i="6"/>
  <c r="R2586" i="6"/>
  <c r="Q2586" i="6"/>
  <c r="P2586" i="6"/>
  <c r="O2586" i="6"/>
  <c r="U2586" i="6" s="1"/>
  <c r="N2586" i="6"/>
  <c r="V2585" i="6"/>
  <c r="T2585" i="6"/>
  <c r="S2585" i="6"/>
  <c r="R2585" i="6"/>
  <c r="Q2585" i="6"/>
  <c r="P2585" i="6"/>
  <c r="O2585" i="6"/>
  <c r="U2585" i="6" s="1"/>
  <c r="N2585" i="6"/>
  <c r="V2584" i="6"/>
  <c r="T2584" i="6"/>
  <c r="S2584" i="6"/>
  <c r="R2584" i="6"/>
  <c r="Q2584" i="6"/>
  <c r="P2584" i="6"/>
  <c r="O2584" i="6"/>
  <c r="U2584" i="6" s="1"/>
  <c r="N2584" i="6"/>
  <c r="V2583" i="6"/>
  <c r="T2583" i="6"/>
  <c r="S2583" i="6"/>
  <c r="R2583" i="6"/>
  <c r="Q2583" i="6"/>
  <c r="P2583" i="6"/>
  <c r="O2583" i="6"/>
  <c r="U2583" i="6" s="1"/>
  <c r="N2583" i="6"/>
  <c r="V2582" i="6"/>
  <c r="T2582" i="6"/>
  <c r="S2582" i="6"/>
  <c r="R2582" i="6"/>
  <c r="Q2582" i="6"/>
  <c r="P2582" i="6"/>
  <c r="O2582" i="6"/>
  <c r="U2582" i="6" s="1"/>
  <c r="N2582" i="6"/>
  <c r="V2581" i="6"/>
  <c r="T2581" i="6"/>
  <c r="S2581" i="6"/>
  <c r="R2581" i="6"/>
  <c r="Q2581" i="6"/>
  <c r="P2581" i="6"/>
  <c r="O2581" i="6"/>
  <c r="U2581" i="6" s="1"/>
  <c r="N2581" i="6"/>
  <c r="V2580" i="6"/>
  <c r="T2580" i="6"/>
  <c r="S2580" i="6"/>
  <c r="R2580" i="6"/>
  <c r="Q2580" i="6"/>
  <c r="P2580" i="6"/>
  <c r="O2580" i="6"/>
  <c r="U2580" i="6" s="1"/>
  <c r="N2580" i="6"/>
  <c r="V2579" i="6"/>
  <c r="T2579" i="6"/>
  <c r="S2579" i="6"/>
  <c r="R2579" i="6"/>
  <c r="Q2579" i="6"/>
  <c r="P2579" i="6"/>
  <c r="O2579" i="6"/>
  <c r="U2579" i="6" s="1"/>
  <c r="N2579" i="6"/>
  <c r="V2578" i="6"/>
  <c r="T2578" i="6"/>
  <c r="S2578" i="6"/>
  <c r="R2578" i="6"/>
  <c r="Q2578" i="6"/>
  <c r="P2578" i="6"/>
  <c r="O2578" i="6"/>
  <c r="U2578" i="6" s="1"/>
  <c r="N2578" i="6"/>
  <c r="V2577" i="6"/>
  <c r="T2577" i="6"/>
  <c r="S2577" i="6"/>
  <c r="R2577" i="6"/>
  <c r="Q2577" i="6"/>
  <c r="P2577" i="6"/>
  <c r="O2577" i="6"/>
  <c r="U2577" i="6" s="1"/>
  <c r="N2577" i="6"/>
  <c r="V2576" i="6"/>
  <c r="U2576" i="6"/>
  <c r="T2576" i="6"/>
  <c r="S2576" i="6"/>
  <c r="R2576" i="6"/>
  <c r="Q2576" i="6"/>
  <c r="P2576" i="6"/>
  <c r="O2576" i="6"/>
  <c r="N2576" i="6"/>
  <c r="V2575" i="6"/>
  <c r="T2575" i="6"/>
  <c r="S2575" i="6"/>
  <c r="R2575" i="6"/>
  <c r="Q2575" i="6"/>
  <c r="P2575" i="6"/>
  <c r="O2575" i="6"/>
  <c r="U2575" i="6" s="1"/>
  <c r="N2575" i="6"/>
  <c r="V2574" i="6"/>
  <c r="T2574" i="6"/>
  <c r="S2574" i="6"/>
  <c r="R2574" i="6"/>
  <c r="Q2574" i="6"/>
  <c r="P2574" i="6"/>
  <c r="O2574" i="6"/>
  <c r="U2574" i="6" s="1"/>
  <c r="N2574" i="6"/>
  <c r="V2573" i="6"/>
  <c r="T2573" i="6"/>
  <c r="S2573" i="6"/>
  <c r="R2573" i="6"/>
  <c r="Q2573" i="6"/>
  <c r="P2573" i="6"/>
  <c r="O2573" i="6"/>
  <c r="U2573" i="6" s="1"/>
  <c r="N2573" i="6"/>
  <c r="V2572" i="6"/>
  <c r="T2572" i="6"/>
  <c r="S2572" i="6"/>
  <c r="R2572" i="6"/>
  <c r="Q2572" i="6"/>
  <c r="P2572" i="6"/>
  <c r="O2572" i="6"/>
  <c r="U2572" i="6" s="1"/>
  <c r="N2572" i="6"/>
  <c r="V2571" i="6"/>
  <c r="T2571" i="6"/>
  <c r="S2571" i="6"/>
  <c r="R2571" i="6"/>
  <c r="Q2571" i="6"/>
  <c r="P2571" i="6"/>
  <c r="O2571" i="6"/>
  <c r="U2571" i="6" s="1"/>
  <c r="N2571" i="6"/>
  <c r="V2570" i="6"/>
  <c r="T2570" i="6"/>
  <c r="S2570" i="6"/>
  <c r="R2570" i="6"/>
  <c r="Q2570" i="6"/>
  <c r="P2570" i="6"/>
  <c r="O2570" i="6"/>
  <c r="U2570" i="6" s="1"/>
  <c r="N2570" i="6"/>
  <c r="V2569" i="6"/>
  <c r="T2569" i="6"/>
  <c r="S2569" i="6"/>
  <c r="R2569" i="6"/>
  <c r="Q2569" i="6"/>
  <c r="P2569" i="6"/>
  <c r="O2569" i="6"/>
  <c r="U2569" i="6" s="1"/>
  <c r="N2569" i="6"/>
  <c r="V2568" i="6"/>
  <c r="T2568" i="6"/>
  <c r="S2568" i="6"/>
  <c r="R2568" i="6"/>
  <c r="Q2568" i="6"/>
  <c r="P2568" i="6"/>
  <c r="O2568" i="6"/>
  <c r="U2568" i="6" s="1"/>
  <c r="N2568" i="6"/>
  <c r="V2567" i="6"/>
  <c r="T2567" i="6"/>
  <c r="S2567" i="6"/>
  <c r="R2567" i="6"/>
  <c r="Q2567" i="6"/>
  <c r="P2567" i="6"/>
  <c r="O2567" i="6"/>
  <c r="U2567" i="6" s="1"/>
  <c r="N2567" i="6"/>
  <c r="V2566" i="6"/>
  <c r="T2566" i="6"/>
  <c r="S2566" i="6"/>
  <c r="R2566" i="6"/>
  <c r="Q2566" i="6"/>
  <c r="P2566" i="6"/>
  <c r="O2566" i="6"/>
  <c r="U2566" i="6" s="1"/>
  <c r="N2566" i="6"/>
  <c r="V2565" i="6"/>
  <c r="T2565" i="6"/>
  <c r="S2565" i="6"/>
  <c r="R2565" i="6"/>
  <c r="Q2565" i="6"/>
  <c r="P2565" i="6"/>
  <c r="O2565" i="6"/>
  <c r="U2565" i="6" s="1"/>
  <c r="N2565" i="6"/>
  <c r="V2564" i="6"/>
  <c r="T2564" i="6"/>
  <c r="S2564" i="6"/>
  <c r="R2564" i="6"/>
  <c r="Q2564" i="6"/>
  <c r="P2564" i="6"/>
  <c r="O2564" i="6"/>
  <c r="U2564" i="6" s="1"/>
  <c r="N2564" i="6"/>
  <c r="V2563" i="6"/>
  <c r="T2563" i="6"/>
  <c r="S2563" i="6"/>
  <c r="R2563" i="6"/>
  <c r="Q2563" i="6"/>
  <c r="P2563" i="6"/>
  <c r="O2563" i="6"/>
  <c r="U2563" i="6" s="1"/>
  <c r="N2563" i="6"/>
  <c r="V2562" i="6"/>
  <c r="T2562" i="6"/>
  <c r="S2562" i="6"/>
  <c r="R2562" i="6"/>
  <c r="Q2562" i="6"/>
  <c r="P2562" i="6"/>
  <c r="O2562" i="6"/>
  <c r="U2562" i="6" s="1"/>
  <c r="N2562" i="6"/>
  <c r="V2561" i="6"/>
  <c r="T2561" i="6"/>
  <c r="S2561" i="6"/>
  <c r="R2561" i="6"/>
  <c r="Q2561" i="6"/>
  <c r="P2561" i="6"/>
  <c r="O2561" i="6"/>
  <c r="U2561" i="6" s="1"/>
  <c r="N2561" i="6"/>
  <c r="V2560" i="6"/>
  <c r="T2560" i="6"/>
  <c r="S2560" i="6"/>
  <c r="R2560" i="6"/>
  <c r="Q2560" i="6"/>
  <c r="P2560" i="6"/>
  <c r="O2560" i="6"/>
  <c r="U2560" i="6" s="1"/>
  <c r="N2560" i="6"/>
  <c r="V2559" i="6"/>
  <c r="T2559" i="6"/>
  <c r="S2559" i="6"/>
  <c r="R2559" i="6"/>
  <c r="Q2559" i="6"/>
  <c r="P2559" i="6"/>
  <c r="O2559" i="6"/>
  <c r="U2559" i="6" s="1"/>
  <c r="N2559" i="6"/>
  <c r="V2558" i="6"/>
  <c r="T2558" i="6"/>
  <c r="S2558" i="6"/>
  <c r="R2558" i="6"/>
  <c r="Q2558" i="6"/>
  <c r="P2558" i="6"/>
  <c r="O2558" i="6"/>
  <c r="U2558" i="6" s="1"/>
  <c r="N2558" i="6"/>
  <c r="V2557" i="6"/>
  <c r="T2557" i="6"/>
  <c r="S2557" i="6"/>
  <c r="R2557" i="6"/>
  <c r="Q2557" i="6"/>
  <c r="P2557" i="6"/>
  <c r="O2557" i="6"/>
  <c r="U2557" i="6" s="1"/>
  <c r="N2557" i="6"/>
  <c r="V2556" i="6"/>
  <c r="T2556" i="6"/>
  <c r="S2556" i="6"/>
  <c r="R2556" i="6"/>
  <c r="Q2556" i="6"/>
  <c r="P2556" i="6"/>
  <c r="O2556" i="6"/>
  <c r="U2556" i="6" s="1"/>
  <c r="N2556" i="6"/>
  <c r="V2555" i="6"/>
  <c r="T2555" i="6"/>
  <c r="S2555" i="6"/>
  <c r="R2555" i="6"/>
  <c r="Q2555" i="6"/>
  <c r="P2555" i="6"/>
  <c r="O2555" i="6"/>
  <c r="U2555" i="6" s="1"/>
  <c r="N2555" i="6"/>
  <c r="V2554" i="6"/>
  <c r="T2554" i="6"/>
  <c r="S2554" i="6"/>
  <c r="R2554" i="6"/>
  <c r="Q2554" i="6"/>
  <c r="P2554" i="6"/>
  <c r="O2554" i="6"/>
  <c r="U2554" i="6" s="1"/>
  <c r="N2554" i="6"/>
  <c r="V2553" i="6"/>
  <c r="T2553" i="6"/>
  <c r="S2553" i="6"/>
  <c r="R2553" i="6"/>
  <c r="Q2553" i="6"/>
  <c r="P2553" i="6"/>
  <c r="O2553" i="6"/>
  <c r="U2553" i="6" s="1"/>
  <c r="N2553" i="6"/>
  <c r="V2552" i="6"/>
  <c r="T2552" i="6"/>
  <c r="S2552" i="6"/>
  <c r="R2552" i="6"/>
  <c r="Q2552" i="6"/>
  <c r="P2552" i="6"/>
  <c r="O2552" i="6"/>
  <c r="U2552" i="6" s="1"/>
  <c r="N2552" i="6"/>
  <c r="V2551" i="6"/>
  <c r="T2551" i="6"/>
  <c r="S2551" i="6"/>
  <c r="R2551" i="6"/>
  <c r="Q2551" i="6"/>
  <c r="P2551" i="6"/>
  <c r="O2551" i="6"/>
  <c r="U2551" i="6" s="1"/>
  <c r="N2551" i="6"/>
  <c r="V2550" i="6"/>
  <c r="T2550" i="6"/>
  <c r="S2550" i="6"/>
  <c r="R2550" i="6"/>
  <c r="Q2550" i="6"/>
  <c r="P2550" i="6"/>
  <c r="O2550" i="6"/>
  <c r="U2550" i="6" s="1"/>
  <c r="N2550" i="6"/>
  <c r="V2549" i="6"/>
  <c r="T2549" i="6"/>
  <c r="S2549" i="6"/>
  <c r="R2549" i="6"/>
  <c r="Q2549" i="6"/>
  <c r="P2549" i="6"/>
  <c r="O2549" i="6"/>
  <c r="U2549" i="6" s="1"/>
  <c r="N2549" i="6"/>
  <c r="V2548" i="6"/>
  <c r="T2548" i="6"/>
  <c r="S2548" i="6"/>
  <c r="R2548" i="6"/>
  <c r="Q2548" i="6"/>
  <c r="P2548" i="6"/>
  <c r="O2548" i="6"/>
  <c r="U2548" i="6" s="1"/>
  <c r="N2548" i="6"/>
  <c r="V2547" i="6"/>
  <c r="T2547" i="6"/>
  <c r="S2547" i="6"/>
  <c r="R2547" i="6"/>
  <c r="Q2547" i="6"/>
  <c r="P2547" i="6"/>
  <c r="O2547" i="6"/>
  <c r="U2547" i="6" s="1"/>
  <c r="N2547" i="6"/>
  <c r="V2546" i="6"/>
  <c r="T2546" i="6"/>
  <c r="S2546" i="6"/>
  <c r="R2546" i="6"/>
  <c r="Q2546" i="6"/>
  <c r="P2546" i="6"/>
  <c r="O2546" i="6"/>
  <c r="U2546" i="6" s="1"/>
  <c r="N2546" i="6"/>
  <c r="V2545" i="6"/>
  <c r="T2545" i="6"/>
  <c r="S2545" i="6"/>
  <c r="R2545" i="6"/>
  <c r="Q2545" i="6"/>
  <c r="P2545" i="6"/>
  <c r="O2545" i="6"/>
  <c r="U2545" i="6" s="1"/>
  <c r="N2545" i="6"/>
  <c r="V2544" i="6"/>
  <c r="T2544" i="6"/>
  <c r="S2544" i="6"/>
  <c r="R2544" i="6"/>
  <c r="Q2544" i="6"/>
  <c r="P2544" i="6"/>
  <c r="O2544" i="6"/>
  <c r="U2544" i="6" s="1"/>
  <c r="N2544" i="6"/>
  <c r="V2543" i="6"/>
  <c r="T2543" i="6"/>
  <c r="S2543" i="6"/>
  <c r="R2543" i="6"/>
  <c r="Q2543" i="6"/>
  <c r="P2543" i="6"/>
  <c r="O2543" i="6"/>
  <c r="U2543" i="6" s="1"/>
  <c r="N2543" i="6"/>
  <c r="V2542" i="6"/>
  <c r="T2542" i="6"/>
  <c r="S2542" i="6"/>
  <c r="R2542" i="6"/>
  <c r="Q2542" i="6"/>
  <c r="P2542" i="6"/>
  <c r="O2542" i="6"/>
  <c r="U2542" i="6" s="1"/>
  <c r="N2542" i="6"/>
  <c r="V2541" i="6"/>
  <c r="T2541" i="6"/>
  <c r="S2541" i="6"/>
  <c r="R2541" i="6"/>
  <c r="Q2541" i="6"/>
  <c r="P2541" i="6"/>
  <c r="O2541" i="6"/>
  <c r="U2541" i="6" s="1"/>
  <c r="N2541" i="6"/>
  <c r="V2540" i="6"/>
  <c r="T2540" i="6"/>
  <c r="S2540" i="6"/>
  <c r="R2540" i="6"/>
  <c r="Q2540" i="6"/>
  <c r="P2540" i="6"/>
  <c r="O2540" i="6"/>
  <c r="U2540" i="6" s="1"/>
  <c r="N2540" i="6"/>
  <c r="V2539" i="6"/>
  <c r="T2539" i="6"/>
  <c r="S2539" i="6"/>
  <c r="R2539" i="6"/>
  <c r="Q2539" i="6"/>
  <c r="P2539" i="6"/>
  <c r="O2539" i="6"/>
  <c r="U2539" i="6" s="1"/>
  <c r="N2539" i="6"/>
  <c r="V2538" i="6"/>
  <c r="T2538" i="6"/>
  <c r="S2538" i="6"/>
  <c r="R2538" i="6"/>
  <c r="Q2538" i="6"/>
  <c r="P2538" i="6"/>
  <c r="O2538" i="6"/>
  <c r="U2538" i="6" s="1"/>
  <c r="N2538" i="6"/>
  <c r="V2537" i="6"/>
  <c r="T2537" i="6"/>
  <c r="S2537" i="6"/>
  <c r="R2537" i="6"/>
  <c r="Q2537" i="6"/>
  <c r="P2537" i="6"/>
  <c r="O2537" i="6"/>
  <c r="U2537" i="6" s="1"/>
  <c r="N2537" i="6"/>
  <c r="V2536" i="6"/>
  <c r="T2536" i="6"/>
  <c r="S2536" i="6"/>
  <c r="R2536" i="6"/>
  <c r="Q2536" i="6"/>
  <c r="P2536" i="6"/>
  <c r="O2536" i="6"/>
  <c r="U2536" i="6" s="1"/>
  <c r="N2536" i="6"/>
  <c r="V2535" i="6"/>
  <c r="T2535" i="6"/>
  <c r="S2535" i="6"/>
  <c r="R2535" i="6"/>
  <c r="Q2535" i="6"/>
  <c r="P2535" i="6"/>
  <c r="O2535" i="6"/>
  <c r="U2535" i="6" s="1"/>
  <c r="N2535" i="6"/>
  <c r="V2534" i="6"/>
  <c r="T2534" i="6"/>
  <c r="S2534" i="6"/>
  <c r="R2534" i="6"/>
  <c r="Q2534" i="6"/>
  <c r="P2534" i="6"/>
  <c r="O2534" i="6"/>
  <c r="U2534" i="6" s="1"/>
  <c r="N2534" i="6"/>
  <c r="V2533" i="6"/>
  <c r="T2533" i="6"/>
  <c r="S2533" i="6"/>
  <c r="R2533" i="6"/>
  <c r="Q2533" i="6"/>
  <c r="P2533" i="6"/>
  <c r="O2533" i="6"/>
  <c r="U2533" i="6" s="1"/>
  <c r="N2533" i="6"/>
  <c r="V2532" i="6"/>
  <c r="T2532" i="6"/>
  <c r="S2532" i="6"/>
  <c r="R2532" i="6"/>
  <c r="Q2532" i="6"/>
  <c r="P2532" i="6"/>
  <c r="O2532" i="6"/>
  <c r="U2532" i="6" s="1"/>
  <c r="N2532" i="6"/>
  <c r="V2531" i="6"/>
  <c r="T2531" i="6"/>
  <c r="S2531" i="6"/>
  <c r="R2531" i="6"/>
  <c r="Q2531" i="6"/>
  <c r="P2531" i="6"/>
  <c r="O2531" i="6"/>
  <c r="U2531" i="6" s="1"/>
  <c r="N2531" i="6"/>
  <c r="V2530" i="6"/>
  <c r="T2530" i="6"/>
  <c r="S2530" i="6"/>
  <c r="R2530" i="6"/>
  <c r="Q2530" i="6"/>
  <c r="P2530" i="6"/>
  <c r="O2530" i="6"/>
  <c r="U2530" i="6" s="1"/>
  <c r="N2530" i="6"/>
  <c r="V2529" i="6"/>
  <c r="T2529" i="6"/>
  <c r="S2529" i="6"/>
  <c r="R2529" i="6"/>
  <c r="Q2529" i="6"/>
  <c r="P2529" i="6"/>
  <c r="O2529" i="6"/>
  <c r="U2529" i="6" s="1"/>
  <c r="N2529" i="6"/>
  <c r="V2528" i="6"/>
  <c r="T2528" i="6"/>
  <c r="S2528" i="6"/>
  <c r="R2528" i="6"/>
  <c r="Q2528" i="6"/>
  <c r="P2528" i="6"/>
  <c r="O2528" i="6"/>
  <c r="U2528" i="6" s="1"/>
  <c r="N2528" i="6"/>
  <c r="V2527" i="6"/>
  <c r="T2527" i="6"/>
  <c r="S2527" i="6"/>
  <c r="R2527" i="6"/>
  <c r="Q2527" i="6"/>
  <c r="P2527" i="6"/>
  <c r="O2527" i="6"/>
  <c r="U2527" i="6" s="1"/>
  <c r="N2527" i="6"/>
  <c r="V2526" i="6"/>
  <c r="T2526" i="6"/>
  <c r="S2526" i="6"/>
  <c r="R2526" i="6"/>
  <c r="Q2526" i="6"/>
  <c r="P2526" i="6"/>
  <c r="O2526" i="6"/>
  <c r="U2526" i="6" s="1"/>
  <c r="N2526" i="6"/>
  <c r="V2525" i="6"/>
  <c r="T2525" i="6"/>
  <c r="S2525" i="6"/>
  <c r="R2525" i="6"/>
  <c r="Q2525" i="6"/>
  <c r="P2525" i="6"/>
  <c r="O2525" i="6"/>
  <c r="U2525" i="6" s="1"/>
  <c r="N2525" i="6"/>
  <c r="V2524" i="6"/>
  <c r="T2524" i="6"/>
  <c r="S2524" i="6"/>
  <c r="R2524" i="6"/>
  <c r="Q2524" i="6"/>
  <c r="P2524" i="6"/>
  <c r="O2524" i="6"/>
  <c r="U2524" i="6" s="1"/>
  <c r="N2524" i="6"/>
  <c r="V2523" i="6"/>
  <c r="T2523" i="6"/>
  <c r="S2523" i="6"/>
  <c r="R2523" i="6"/>
  <c r="Q2523" i="6"/>
  <c r="P2523" i="6"/>
  <c r="O2523" i="6"/>
  <c r="U2523" i="6" s="1"/>
  <c r="N2523" i="6"/>
  <c r="V2522" i="6"/>
  <c r="T2522" i="6"/>
  <c r="S2522" i="6"/>
  <c r="R2522" i="6"/>
  <c r="Q2522" i="6"/>
  <c r="P2522" i="6"/>
  <c r="O2522" i="6"/>
  <c r="U2522" i="6" s="1"/>
  <c r="N2522" i="6"/>
  <c r="V2521" i="6"/>
  <c r="T2521" i="6"/>
  <c r="S2521" i="6"/>
  <c r="R2521" i="6"/>
  <c r="Q2521" i="6"/>
  <c r="P2521" i="6"/>
  <c r="O2521" i="6"/>
  <c r="U2521" i="6" s="1"/>
  <c r="N2521" i="6"/>
  <c r="V2520" i="6"/>
  <c r="T2520" i="6"/>
  <c r="S2520" i="6"/>
  <c r="R2520" i="6"/>
  <c r="Q2520" i="6"/>
  <c r="P2520" i="6"/>
  <c r="O2520" i="6"/>
  <c r="U2520" i="6" s="1"/>
  <c r="N2520" i="6"/>
  <c r="V2519" i="6"/>
  <c r="T2519" i="6"/>
  <c r="S2519" i="6"/>
  <c r="R2519" i="6"/>
  <c r="Q2519" i="6"/>
  <c r="P2519" i="6"/>
  <c r="O2519" i="6"/>
  <c r="U2519" i="6" s="1"/>
  <c r="N2519" i="6"/>
  <c r="V2518" i="6"/>
  <c r="T2518" i="6"/>
  <c r="S2518" i="6"/>
  <c r="R2518" i="6"/>
  <c r="Q2518" i="6"/>
  <c r="P2518" i="6"/>
  <c r="O2518" i="6"/>
  <c r="U2518" i="6" s="1"/>
  <c r="N2518" i="6"/>
  <c r="V2517" i="6"/>
  <c r="T2517" i="6"/>
  <c r="S2517" i="6"/>
  <c r="R2517" i="6"/>
  <c r="Q2517" i="6"/>
  <c r="P2517" i="6"/>
  <c r="O2517" i="6"/>
  <c r="U2517" i="6" s="1"/>
  <c r="N2517" i="6"/>
  <c r="V2516" i="6"/>
  <c r="T2516" i="6"/>
  <c r="S2516" i="6"/>
  <c r="R2516" i="6"/>
  <c r="Q2516" i="6"/>
  <c r="P2516" i="6"/>
  <c r="O2516" i="6"/>
  <c r="U2516" i="6" s="1"/>
  <c r="N2516" i="6"/>
  <c r="V2515" i="6"/>
  <c r="T2515" i="6"/>
  <c r="S2515" i="6"/>
  <c r="R2515" i="6"/>
  <c r="Q2515" i="6"/>
  <c r="P2515" i="6"/>
  <c r="O2515" i="6"/>
  <c r="U2515" i="6" s="1"/>
  <c r="N2515" i="6"/>
  <c r="V2514" i="6"/>
  <c r="T2514" i="6"/>
  <c r="S2514" i="6"/>
  <c r="R2514" i="6"/>
  <c r="Q2514" i="6"/>
  <c r="P2514" i="6"/>
  <c r="O2514" i="6"/>
  <c r="U2514" i="6" s="1"/>
  <c r="N2514" i="6"/>
  <c r="V2513" i="6"/>
  <c r="T2513" i="6"/>
  <c r="S2513" i="6"/>
  <c r="R2513" i="6"/>
  <c r="Q2513" i="6"/>
  <c r="P2513" i="6"/>
  <c r="O2513" i="6"/>
  <c r="U2513" i="6" s="1"/>
  <c r="N2513" i="6"/>
  <c r="V2512" i="6"/>
  <c r="T2512" i="6"/>
  <c r="S2512" i="6"/>
  <c r="R2512" i="6"/>
  <c r="Q2512" i="6"/>
  <c r="P2512" i="6"/>
  <c r="O2512" i="6"/>
  <c r="U2512" i="6" s="1"/>
  <c r="N2512" i="6"/>
  <c r="V2511" i="6"/>
  <c r="T2511" i="6"/>
  <c r="S2511" i="6"/>
  <c r="R2511" i="6"/>
  <c r="Q2511" i="6"/>
  <c r="P2511" i="6"/>
  <c r="O2511" i="6"/>
  <c r="U2511" i="6" s="1"/>
  <c r="N2511" i="6"/>
  <c r="V2510" i="6"/>
  <c r="T2510" i="6"/>
  <c r="S2510" i="6"/>
  <c r="R2510" i="6"/>
  <c r="Q2510" i="6"/>
  <c r="P2510" i="6"/>
  <c r="O2510" i="6"/>
  <c r="U2510" i="6" s="1"/>
  <c r="N2510" i="6"/>
  <c r="V2509" i="6"/>
  <c r="T2509" i="6"/>
  <c r="S2509" i="6"/>
  <c r="R2509" i="6"/>
  <c r="Q2509" i="6"/>
  <c r="P2509" i="6"/>
  <c r="O2509" i="6"/>
  <c r="U2509" i="6" s="1"/>
  <c r="N2509" i="6"/>
  <c r="V2508" i="6"/>
  <c r="T2508" i="6"/>
  <c r="S2508" i="6"/>
  <c r="R2508" i="6"/>
  <c r="Q2508" i="6"/>
  <c r="P2508" i="6"/>
  <c r="O2508" i="6"/>
  <c r="U2508" i="6" s="1"/>
  <c r="N2508" i="6"/>
  <c r="V2507" i="6"/>
  <c r="T2507" i="6"/>
  <c r="S2507" i="6"/>
  <c r="R2507" i="6"/>
  <c r="Q2507" i="6"/>
  <c r="P2507" i="6"/>
  <c r="O2507" i="6"/>
  <c r="U2507" i="6" s="1"/>
  <c r="N2507" i="6"/>
  <c r="V2506" i="6"/>
  <c r="T2506" i="6"/>
  <c r="S2506" i="6"/>
  <c r="R2506" i="6"/>
  <c r="Q2506" i="6"/>
  <c r="P2506" i="6"/>
  <c r="O2506" i="6"/>
  <c r="U2506" i="6" s="1"/>
  <c r="N2506" i="6"/>
  <c r="V2505" i="6"/>
  <c r="T2505" i="6"/>
  <c r="S2505" i="6"/>
  <c r="R2505" i="6"/>
  <c r="Q2505" i="6"/>
  <c r="P2505" i="6"/>
  <c r="O2505" i="6"/>
  <c r="U2505" i="6" s="1"/>
  <c r="N2505" i="6"/>
  <c r="V2504" i="6"/>
  <c r="T2504" i="6"/>
  <c r="S2504" i="6"/>
  <c r="R2504" i="6"/>
  <c r="Q2504" i="6"/>
  <c r="P2504" i="6"/>
  <c r="O2504" i="6"/>
  <c r="U2504" i="6" s="1"/>
  <c r="N2504" i="6"/>
  <c r="V2503" i="6"/>
  <c r="T2503" i="6"/>
  <c r="S2503" i="6"/>
  <c r="R2503" i="6"/>
  <c r="Q2503" i="6"/>
  <c r="P2503" i="6"/>
  <c r="O2503" i="6"/>
  <c r="U2503" i="6" s="1"/>
  <c r="N2503" i="6"/>
  <c r="V2502" i="6"/>
  <c r="T2502" i="6"/>
  <c r="S2502" i="6"/>
  <c r="R2502" i="6"/>
  <c r="Q2502" i="6"/>
  <c r="P2502" i="6"/>
  <c r="O2502" i="6"/>
  <c r="U2502" i="6" s="1"/>
  <c r="N2502" i="6"/>
  <c r="V2501" i="6"/>
  <c r="T2501" i="6"/>
  <c r="S2501" i="6"/>
  <c r="R2501" i="6"/>
  <c r="Q2501" i="6"/>
  <c r="P2501" i="6"/>
  <c r="O2501" i="6"/>
  <c r="U2501" i="6" s="1"/>
  <c r="N2501" i="6"/>
  <c r="V2500" i="6"/>
  <c r="T2500" i="6"/>
  <c r="S2500" i="6"/>
  <c r="R2500" i="6"/>
  <c r="Q2500" i="6"/>
  <c r="P2500" i="6"/>
  <c r="O2500" i="6"/>
  <c r="U2500" i="6" s="1"/>
  <c r="N2500" i="6"/>
  <c r="V2499" i="6"/>
  <c r="T2499" i="6"/>
  <c r="S2499" i="6"/>
  <c r="R2499" i="6"/>
  <c r="Q2499" i="6"/>
  <c r="P2499" i="6"/>
  <c r="O2499" i="6"/>
  <c r="U2499" i="6" s="1"/>
  <c r="N2499" i="6"/>
  <c r="V2498" i="6"/>
  <c r="T2498" i="6"/>
  <c r="S2498" i="6"/>
  <c r="R2498" i="6"/>
  <c r="Q2498" i="6"/>
  <c r="P2498" i="6"/>
  <c r="O2498" i="6"/>
  <c r="U2498" i="6" s="1"/>
  <c r="N2498" i="6"/>
  <c r="V2497" i="6"/>
  <c r="T2497" i="6"/>
  <c r="S2497" i="6"/>
  <c r="R2497" i="6"/>
  <c r="Q2497" i="6"/>
  <c r="P2497" i="6"/>
  <c r="O2497" i="6"/>
  <c r="U2497" i="6" s="1"/>
  <c r="N2497" i="6"/>
  <c r="V2496" i="6"/>
  <c r="T2496" i="6"/>
  <c r="S2496" i="6"/>
  <c r="R2496" i="6"/>
  <c r="Q2496" i="6"/>
  <c r="P2496" i="6"/>
  <c r="O2496" i="6"/>
  <c r="U2496" i="6" s="1"/>
  <c r="N2496" i="6"/>
  <c r="V2495" i="6"/>
  <c r="T2495" i="6"/>
  <c r="S2495" i="6"/>
  <c r="R2495" i="6"/>
  <c r="Q2495" i="6"/>
  <c r="P2495" i="6"/>
  <c r="O2495" i="6"/>
  <c r="U2495" i="6" s="1"/>
  <c r="N2495" i="6"/>
  <c r="V2494" i="6"/>
  <c r="T2494" i="6"/>
  <c r="S2494" i="6"/>
  <c r="R2494" i="6"/>
  <c r="Q2494" i="6"/>
  <c r="P2494" i="6"/>
  <c r="O2494" i="6"/>
  <c r="U2494" i="6" s="1"/>
  <c r="N2494" i="6"/>
  <c r="V2493" i="6"/>
  <c r="T2493" i="6"/>
  <c r="S2493" i="6"/>
  <c r="R2493" i="6"/>
  <c r="Q2493" i="6"/>
  <c r="P2493" i="6"/>
  <c r="O2493" i="6"/>
  <c r="U2493" i="6" s="1"/>
  <c r="N2493" i="6"/>
  <c r="V2492" i="6"/>
  <c r="T2492" i="6"/>
  <c r="S2492" i="6"/>
  <c r="R2492" i="6"/>
  <c r="Q2492" i="6"/>
  <c r="P2492" i="6"/>
  <c r="O2492" i="6"/>
  <c r="U2492" i="6" s="1"/>
  <c r="N2492" i="6"/>
  <c r="V2491" i="6"/>
  <c r="T2491" i="6"/>
  <c r="S2491" i="6"/>
  <c r="R2491" i="6"/>
  <c r="Q2491" i="6"/>
  <c r="P2491" i="6"/>
  <c r="O2491" i="6"/>
  <c r="U2491" i="6" s="1"/>
  <c r="N2491" i="6"/>
  <c r="V2490" i="6"/>
  <c r="T2490" i="6"/>
  <c r="S2490" i="6"/>
  <c r="R2490" i="6"/>
  <c r="Q2490" i="6"/>
  <c r="P2490" i="6"/>
  <c r="O2490" i="6"/>
  <c r="U2490" i="6" s="1"/>
  <c r="N2490" i="6"/>
  <c r="V2489" i="6"/>
  <c r="T2489" i="6"/>
  <c r="S2489" i="6"/>
  <c r="R2489" i="6"/>
  <c r="Q2489" i="6"/>
  <c r="P2489" i="6"/>
  <c r="O2489" i="6"/>
  <c r="U2489" i="6" s="1"/>
  <c r="N2489" i="6"/>
  <c r="V2488" i="6"/>
  <c r="T2488" i="6"/>
  <c r="S2488" i="6"/>
  <c r="R2488" i="6"/>
  <c r="Q2488" i="6"/>
  <c r="P2488" i="6"/>
  <c r="O2488" i="6"/>
  <c r="U2488" i="6" s="1"/>
  <c r="N2488" i="6"/>
  <c r="V2487" i="6"/>
  <c r="T2487" i="6"/>
  <c r="S2487" i="6"/>
  <c r="R2487" i="6"/>
  <c r="Q2487" i="6"/>
  <c r="P2487" i="6"/>
  <c r="O2487" i="6"/>
  <c r="U2487" i="6" s="1"/>
  <c r="N2487" i="6"/>
  <c r="V2486" i="6"/>
  <c r="T2486" i="6"/>
  <c r="S2486" i="6"/>
  <c r="R2486" i="6"/>
  <c r="Q2486" i="6"/>
  <c r="P2486" i="6"/>
  <c r="O2486" i="6"/>
  <c r="U2486" i="6" s="1"/>
  <c r="N2486" i="6"/>
  <c r="V2485" i="6"/>
  <c r="T2485" i="6"/>
  <c r="S2485" i="6"/>
  <c r="R2485" i="6"/>
  <c r="Q2485" i="6"/>
  <c r="P2485" i="6"/>
  <c r="O2485" i="6"/>
  <c r="U2485" i="6" s="1"/>
  <c r="N2485" i="6"/>
  <c r="V2484" i="6"/>
  <c r="T2484" i="6"/>
  <c r="S2484" i="6"/>
  <c r="R2484" i="6"/>
  <c r="Q2484" i="6"/>
  <c r="P2484" i="6"/>
  <c r="O2484" i="6"/>
  <c r="U2484" i="6" s="1"/>
  <c r="N2484" i="6"/>
  <c r="V2483" i="6"/>
  <c r="T2483" i="6"/>
  <c r="S2483" i="6"/>
  <c r="R2483" i="6"/>
  <c r="Q2483" i="6"/>
  <c r="P2483" i="6"/>
  <c r="O2483" i="6"/>
  <c r="U2483" i="6" s="1"/>
  <c r="N2483" i="6"/>
  <c r="V2482" i="6"/>
  <c r="T2482" i="6"/>
  <c r="S2482" i="6"/>
  <c r="R2482" i="6"/>
  <c r="Q2482" i="6"/>
  <c r="P2482" i="6"/>
  <c r="O2482" i="6"/>
  <c r="U2482" i="6" s="1"/>
  <c r="N2482" i="6"/>
  <c r="V2481" i="6"/>
  <c r="T2481" i="6"/>
  <c r="S2481" i="6"/>
  <c r="R2481" i="6"/>
  <c r="Q2481" i="6"/>
  <c r="P2481" i="6"/>
  <c r="O2481" i="6"/>
  <c r="U2481" i="6" s="1"/>
  <c r="N2481" i="6"/>
  <c r="V2480" i="6"/>
  <c r="T2480" i="6"/>
  <c r="S2480" i="6"/>
  <c r="R2480" i="6"/>
  <c r="Q2480" i="6"/>
  <c r="P2480" i="6"/>
  <c r="O2480" i="6"/>
  <c r="U2480" i="6" s="1"/>
  <c r="N2480" i="6"/>
  <c r="V2479" i="6"/>
  <c r="T2479" i="6"/>
  <c r="S2479" i="6"/>
  <c r="R2479" i="6"/>
  <c r="Q2479" i="6"/>
  <c r="P2479" i="6"/>
  <c r="O2479" i="6"/>
  <c r="U2479" i="6" s="1"/>
  <c r="N2479" i="6"/>
  <c r="V2478" i="6"/>
  <c r="T2478" i="6"/>
  <c r="S2478" i="6"/>
  <c r="R2478" i="6"/>
  <c r="Q2478" i="6"/>
  <c r="P2478" i="6"/>
  <c r="O2478" i="6"/>
  <c r="U2478" i="6" s="1"/>
  <c r="N2478" i="6"/>
  <c r="V2477" i="6"/>
  <c r="T2477" i="6"/>
  <c r="S2477" i="6"/>
  <c r="R2477" i="6"/>
  <c r="Q2477" i="6"/>
  <c r="P2477" i="6"/>
  <c r="O2477" i="6"/>
  <c r="U2477" i="6" s="1"/>
  <c r="N2477" i="6"/>
  <c r="V2476" i="6"/>
  <c r="T2476" i="6"/>
  <c r="S2476" i="6"/>
  <c r="R2476" i="6"/>
  <c r="Q2476" i="6"/>
  <c r="P2476" i="6"/>
  <c r="O2476" i="6"/>
  <c r="U2476" i="6" s="1"/>
  <c r="N2476" i="6"/>
  <c r="V2475" i="6"/>
  <c r="T2475" i="6"/>
  <c r="S2475" i="6"/>
  <c r="R2475" i="6"/>
  <c r="Q2475" i="6"/>
  <c r="P2475" i="6"/>
  <c r="O2475" i="6"/>
  <c r="U2475" i="6" s="1"/>
  <c r="N2475" i="6"/>
  <c r="V2474" i="6"/>
  <c r="T2474" i="6"/>
  <c r="S2474" i="6"/>
  <c r="R2474" i="6"/>
  <c r="Q2474" i="6"/>
  <c r="P2474" i="6"/>
  <c r="O2474" i="6"/>
  <c r="U2474" i="6" s="1"/>
  <c r="N2474" i="6"/>
  <c r="V2473" i="6"/>
  <c r="T2473" i="6"/>
  <c r="S2473" i="6"/>
  <c r="R2473" i="6"/>
  <c r="Q2473" i="6"/>
  <c r="P2473" i="6"/>
  <c r="O2473" i="6"/>
  <c r="U2473" i="6" s="1"/>
  <c r="N2473" i="6"/>
  <c r="V2472" i="6"/>
  <c r="T2472" i="6"/>
  <c r="S2472" i="6"/>
  <c r="R2472" i="6"/>
  <c r="Q2472" i="6"/>
  <c r="P2472" i="6"/>
  <c r="O2472" i="6"/>
  <c r="U2472" i="6" s="1"/>
  <c r="N2472" i="6"/>
  <c r="V2471" i="6"/>
  <c r="T2471" i="6"/>
  <c r="S2471" i="6"/>
  <c r="R2471" i="6"/>
  <c r="Q2471" i="6"/>
  <c r="P2471" i="6"/>
  <c r="O2471" i="6"/>
  <c r="U2471" i="6" s="1"/>
  <c r="N2471" i="6"/>
  <c r="V2470" i="6"/>
  <c r="T2470" i="6"/>
  <c r="S2470" i="6"/>
  <c r="R2470" i="6"/>
  <c r="Q2470" i="6"/>
  <c r="P2470" i="6"/>
  <c r="O2470" i="6"/>
  <c r="U2470" i="6" s="1"/>
  <c r="N2470" i="6"/>
  <c r="V2469" i="6"/>
  <c r="T2469" i="6"/>
  <c r="S2469" i="6"/>
  <c r="R2469" i="6"/>
  <c r="Q2469" i="6"/>
  <c r="P2469" i="6"/>
  <c r="O2469" i="6"/>
  <c r="U2469" i="6" s="1"/>
  <c r="N2469" i="6"/>
  <c r="V2468" i="6"/>
  <c r="T2468" i="6"/>
  <c r="S2468" i="6"/>
  <c r="R2468" i="6"/>
  <c r="Q2468" i="6"/>
  <c r="P2468" i="6"/>
  <c r="O2468" i="6"/>
  <c r="U2468" i="6" s="1"/>
  <c r="N2468" i="6"/>
  <c r="V2467" i="6"/>
  <c r="T2467" i="6"/>
  <c r="S2467" i="6"/>
  <c r="R2467" i="6"/>
  <c r="Q2467" i="6"/>
  <c r="P2467" i="6"/>
  <c r="O2467" i="6"/>
  <c r="U2467" i="6" s="1"/>
  <c r="N2467" i="6"/>
  <c r="V2466" i="6"/>
  <c r="T2466" i="6"/>
  <c r="S2466" i="6"/>
  <c r="R2466" i="6"/>
  <c r="Q2466" i="6"/>
  <c r="P2466" i="6"/>
  <c r="O2466" i="6"/>
  <c r="U2466" i="6" s="1"/>
  <c r="N2466" i="6"/>
  <c r="V2465" i="6"/>
  <c r="T2465" i="6"/>
  <c r="S2465" i="6"/>
  <c r="R2465" i="6"/>
  <c r="Q2465" i="6"/>
  <c r="P2465" i="6"/>
  <c r="O2465" i="6"/>
  <c r="U2465" i="6" s="1"/>
  <c r="N2465" i="6"/>
  <c r="V2464" i="6"/>
  <c r="T2464" i="6"/>
  <c r="S2464" i="6"/>
  <c r="R2464" i="6"/>
  <c r="Q2464" i="6"/>
  <c r="P2464" i="6"/>
  <c r="O2464" i="6"/>
  <c r="U2464" i="6" s="1"/>
  <c r="N2464" i="6"/>
  <c r="V2463" i="6"/>
  <c r="T2463" i="6"/>
  <c r="S2463" i="6"/>
  <c r="R2463" i="6"/>
  <c r="Q2463" i="6"/>
  <c r="P2463" i="6"/>
  <c r="O2463" i="6"/>
  <c r="U2463" i="6" s="1"/>
  <c r="N2463" i="6"/>
  <c r="V2462" i="6"/>
  <c r="T2462" i="6"/>
  <c r="S2462" i="6"/>
  <c r="R2462" i="6"/>
  <c r="Q2462" i="6"/>
  <c r="P2462" i="6"/>
  <c r="O2462" i="6"/>
  <c r="U2462" i="6" s="1"/>
  <c r="N2462" i="6"/>
  <c r="V2461" i="6"/>
  <c r="T2461" i="6"/>
  <c r="S2461" i="6"/>
  <c r="R2461" i="6"/>
  <c r="Q2461" i="6"/>
  <c r="P2461" i="6"/>
  <c r="O2461" i="6"/>
  <c r="U2461" i="6" s="1"/>
  <c r="N2461" i="6"/>
  <c r="V2460" i="6"/>
  <c r="T2460" i="6"/>
  <c r="S2460" i="6"/>
  <c r="R2460" i="6"/>
  <c r="Q2460" i="6"/>
  <c r="P2460" i="6"/>
  <c r="O2460" i="6"/>
  <c r="U2460" i="6" s="1"/>
  <c r="N2460" i="6"/>
  <c r="V2459" i="6"/>
  <c r="T2459" i="6"/>
  <c r="S2459" i="6"/>
  <c r="R2459" i="6"/>
  <c r="Q2459" i="6"/>
  <c r="P2459" i="6"/>
  <c r="O2459" i="6"/>
  <c r="U2459" i="6" s="1"/>
  <c r="N2459" i="6"/>
  <c r="V2458" i="6"/>
  <c r="T2458" i="6"/>
  <c r="S2458" i="6"/>
  <c r="R2458" i="6"/>
  <c r="Q2458" i="6"/>
  <c r="P2458" i="6"/>
  <c r="O2458" i="6"/>
  <c r="U2458" i="6" s="1"/>
  <c r="N2458" i="6"/>
  <c r="V2457" i="6"/>
  <c r="T2457" i="6"/>
  <c r="S2457" i="6"/>
  <c r="R2457" i="6"/>
  <c r="Q2457" i="6"/>
  <c r="P2457" i="6"/>
  <c r="O2457" i="6"/>
  <c r="U2457" i="6" s="1"/>
  <c r="N2457" i="6"/>
  <c r="V2456" i="6"/>
  <c r="T2456" i="6"/>
  <c r="S2456" i="6"/>
  <c r="R2456" i="6"/>
  <c r="Q2456" i="6"/>
  <c r="P2456" i="6"/>
  <c r="O2456" i="6"/>
  <c r="U2456" i="6" s="1"/>
  <c r="N2456" i="6"/>
  <c r="V2455" i="6"/>
  <c r="T2455" i="6"/>
  <c r="S2455" i="6"/>
  <c r="R2455" i="6"/>
  <c r="Q2455" i="6"/>
  <c r="P2455" i="6"/>
  <c r="O2455" i="6"/>
  <c r="U2455" i="6" s="1"/>
  <c r="N2455" i="6"/>
  <c r="V2454" i="6"/>
  <c r="T2454" i="6"/>
  <c r="S2454" i="6"/>
  <c r="R2454" i="6"/>
  <c r="Q2454" i="6"/>
  <c r="P2454" i="6"/>
  <c r="O2454" i="6"/>
  <c r="U2454" i="6" s="1"/>
  <c r="N2454" i="6"/>
  <c r="V2453" i="6"/>
  <c r="T2453" i="6"/>
  <c r="S2453" i="6"/>
  <c r="R2453" i="6"/>
  <c r="Q2453" i="6"/>
  <c r="P2453" i="6"/>
  <c r="O2453" i="6"/>
  <c r="U2453" i="6" s="1"/>
  <c r="N2453" i="6"/>
  <c r="V2452" i="6"/>
  <c r="T2452" i="6"/>
  <c r="S2452" i="6"/>
  <c r="R2452" i="6"/>
  <c r="Q2452" i="6"/>
  <c r="P2452" i="6"/>
  <c r="O2452" i="6"/>
  <c r="U2452" i="6" s="1"/>
  <c r="N2452" i="6"/>
  <c r="V2451" i="6"/>
  <c r="T2451" i="6"/>
  <c r="S2451" i="6"/>
  <c r="R2451" i="6"/>
  <c r="Q2451" i="6"/>
  <c r="P2451" i="6"/>
  <c r="O2451" i="6"/>
  <c r="U2451" i="6" s="1"/>
  <c r="N2451" i="6"/>
  <c r="V2450" i="6"/>
  <c r="T2450" i="6"/>
  <c r="S2450" i="6"/>
  <c r="R2450" i="6"/>
  <c r="Q2450" i="6"/>
  <c r="P2450" i="6"/>
  <c r="O2450" i="6"/>
  <c r="U2450" i="6" s="1"/>
  <c r="N2450" i="6"/>
  <c r="V2449" i="6"/>
  <c r="T2449" i="6"/>
  <c r="S2449" i="6"/>
  <c r="R2449" i="6"/>
  <c r="Q2449" i="6"/>
  <c r="P2449" i="6"/>
  <c r="O2449" i="6"/>
  <c r="U2449" i="6" s="1"/>
  <c r="N2449" i="6"/>
  <c r="V2448" i="6"/>
  <c r="T2448" i="6"/>
  <c r="S2448" i="6"/>
  <c r="R2448" i="6"/>
  <c r="Q2448" i="6"/>
  <c r="P2448" i="6"/>
  <c r="O2448" i="6"/>
  <c r="U2448" i="6" s="1"/>
  <c r="N2448" i="6"/>
  <c r="V2447" i="6"/>
  <c r="T2447" i="6"/>
  <c r="S2447" i="6"/>
  <c r="R2447" i="6"/>
  <c r="Q2447" i="6"/>
  <c r="P2447" i="6"/>
  <c r="O2447" i="6"/>
  <c r="U2447" i="6" s="1"/>
  <c r="N2447" i="6"/>
  <c r="V2446" i="6"/>
  <c r="T2446" i="6"/>
  <c r="S2446" i="6"/>
  <c r="R2446" i="6"/>
  <c r="Q2446" i="6"/>
  <c r="P2446" i="6"/>
  <c r="O2446" i="6"/>
  <c r="U2446" i="6" s="1"/>
  <c r="N2446" i="6"/>
  <c r="V2445" i="6"/>
  <c r="T2445" i="6"/>
  <c r="S2445" i="6"/>
  <c r="R2445" i="6"/>
  <c r="Q2445" i="6"/>
  <c r="P2445" i="6"/>
  <c r="O2445" i="6"/>
  <c r="U2445" i="6" s="1"/>
  <c r="N2445" i="6"/>
  <c r="V2444" i="6"/>
  <c r="T2444" i="6"/>
  <c r="S2444" i="6"/>
  <c r="R2444" i="6"/>
  <c r="Q2444" i="6"/>
  <c r="P2444" i="6"/>
  <c r="O2444" i="6"/>
  <c r="U2444" i="6" s="1"/>
  <c r="N2444" i="6"/>
  <c r="V2443" i="6"/>
  <c r="T2443" i="6"/>
  <c r="S2443" i="6"/>
  <c r="R2443" i="6"/>
  <c r="Q2443" i="6"/>
  <c r="P2443" i="6"/>
  <c r="O2443" i="6"/>
  <c r="U2443" i="6" s="1"/>
  <c r="N2443" i="6"/>
  <c r="V2442" i="6"/>
  <c r="T2442" i="6"/>
  <c r="S2442" i="6"/>
  <c r="R2442" i="6"/>
  <c r="Q2442" i="6"/>
  <c r="P2442" i="6"/>
  <c r="O2442" i="6"/>
  <c r="U2442" i="6" s="1"/>
  <c r="N2442" i="6"/>
  <c r="V2441" i="6"/>
  <c r="T2441" i="6"/>
  <c r="S2441" i="6"/>
  <c r="R2441" i="6"/>
  <c r="Q2441" i="6"/>
  <c r="P2441" i="6"/>
  <c r="O2441" i="6"/>
  <c r="U2441" i="6" s="1"/>
  <c r="N2441" i="6"/>
  <c r="V2440" i="6"/>
  <c r="T2440" i="6"/>
  <c r="S2440" i="6"/>
  <c r="R2440" i="6"/>
  <c r="Q2440" i="6"/>
  <c r="P2440" i="6"/>
  <c r="O2440" i="6"/>
  <c r="U2440" i="6" s="1"/>
  <c r="N2440" i="6"/>
  <c r="V2439" i="6"/>
  <c r="T2439" i="6"/>
  <c r="S2439" i="6"/>
  <c r="R2439" i="6"/>
  <c r="Q2439" i="6"/>
  <c r="P2439" i="6"/>
  <c r="O2439" i="6"/>
  <c r="U2439" i="6" s="1"/>
  <c r="N2439" i="6"/>
  <c r="V2438" i="6"/>
  <c r="T2438" i="6"/>
  <c r="S2438" i="6"/>
  <c r="R2438" i="6"/>
  <c r="Q2438" i="6"/>
  <c r="P2438" i="6"/>
  <c r="O2438" i="6"/>
  <c r="U2438" i="6" s="1"/>
  <c r="N2438" i="6"/>
  <c r="V2437" i="6"/>
  <c r="T2437" i="6"/>
  <c r="S2437" i="6"/>
  <c r="R2437" i="6"/>
  <c r="Q2437" i="6"/>
  <c r="P2437" i="6"/>
  <c r="O2437" i="6"/>
  <c r="U2437" i="6" s="1"/>
  <c r="N2437" i="6"/>
  <c r="V2436" i="6"/>
  <c r="T2436" i="6"/>
  <c r="S2436" i="6"/>
  <c r="R2436" i="6"/>
  <c r="Q2436" i="6"/>
  <c r="P2436" i="6"/>
  <c r="O2436" i="6"/>
  <c r="U2436" i="6" s="1"/>
  <c r="N2436" i="6"/>
  <c r="V2435" i="6"/>
  <c r="T2435" i="6"/>
  <c r="S2435" i="6"/>
  <c r="R2435" i="6"/>
  <c r="Q2435" i="6"/>
  <c r="P2435" i="6"/>
  <c r="O2435" i="6"/>
  <c r="U2435" i="6" s="1"/>
  <c r="N2435" i="6"/>
  <c r="V2434" i="6"/>
  <c r="T2434" i="6"/>
  <c r="S2434" i="6"/>
  <c r="R2434" i="6"/>
  <c r="Q2434" i="6"/>
  <c r="P2434" i="6"/>
  <c r="O2434" i="6"/>
  <c r="U2434" i="6" s="1"/>
  <c r="N2434" i="6"/>
  <c r="V2433" i="6"/>
  <c r="T2433" i="6"/>
  <c r="S2433" i="6"/>
  <c r="R2433" i="6"/>
  <c r="Q2433" i="6"/>
  <c r="P2433" i="6"/>
  <c r="O2433" i="6"/>
  <c r="U2433" i="6" s="1"/>
  <c r="N2433" i="6"/>
  <c r="V2432" i="6"/>
  <c r="T2432" i="6"/>
  <c r="S2432" i="6"/>
  <c r="R2432" i="6"/>
  <c r="Q2432" i="6"/>
  <c r="P2432" i="6"/>
  <c r="O2432" i="6"/>
  <c r="U2432" i="6" s="1"/>
  <c r="N2432" i="6"/>
  <c r="V2431" i="6"/>
  <c r="T2431" i="6"/>
  <c r="S2431" i="6"/>
  <c r="R2431" i="6"/>
  <c r="Q2431" i="6"/>
  <c r="P2431" i="6"/>
  <c r="O2431" i="6"/>
  <c r="U2431" i="6" s="1"/>
  <c r="N2431" i="6"/>
  <c r="V2430" i="6"/>
  <c r="T2430" i="6"/>
  <c r="S2430" i="6"/>
  <c r="R2430" i="6"/>
  <c r="Q2430" i="6"/>
  <c r="P2430" i="6"/>
  <c r="O2430" i="6"/>
  <c r="U2430" i="6" s="1"/>
  <c r="N2430" i="6"/>
  <c r="V2429" i="6"/>
  <c r="T2429" i="6"/>
  <c r="S2429" i="6"/>
  <c r="R2429" i="6"/>
  <c r="Q2429" i="6"/>
  <c r="P2429" i="6"/>
  <c r="O2429" i="6"/>
  <c r="U2429" i="6" s="1"/>
  <c r="N2429" i="6"/>
  <c r="V2428" i="6"/>
  <c r="T2428" i="6"/>
  <c r="S2428" i="6"/>
  <c r="R2428" i="6"/>
  <c r="Q2428" i="6"/>
  <c r="P2428" i="6"/>
  <c r="O2428" i="6"/>
  <c r="U2428" i="6" s="1"/>
  <c r="N2428" i="6"/>
  <c r="V2427" i="6"/>
  <c r="T2427" i="6"/>
  <c r="S2427" i="6"/>
  <c r="R2427" i="6"/>
  <c r="Q2427" i="6"/>
  <c r="P2427" i="6"/>
  <c r="O2427" i="6"/>
  <c r="U2427" i="6" s="1"/>
  <c r="N2427" i="6"/>
  <c r="V2426" i="6"/>
  <c r="T2426" i="6"/>
  <c r="S2426" i="6"/>
  <c r="R2426" i="6"/>
  <c r="Q2426" i="6"/>
  <c r="P2426" i="6"/>
  <c r="O2426" i="6"/>
  <c r="U2426" i="6" s="1"/>
  <c r="N2426" i="6"/>
  <c r="V2425" i="6"/>
  <c r="T2425" i="6"/>
  <c r="S2425" i="6"/>
  <c r="R2425" i="6"/>
  <c r="Q2425" i="6"/>
  <c r="P2425" i="6"/>
  <c r="O2425" i="6"/>
  <c r="U2425" i="6" s="1"/>
  <c r="N2425" i="6"/>
  <c r="V2424" i="6"/>
  <c r="T2424" i="6"/>
  <c r="S2424" i="6"/>
  <c r="R2424" i="6"/>
  <c r="Q2424" i="6"/>
  <c r="P2424" i="6"/>
  <c r="O2424" i="6"/>
  <c r="U2424" i="6" s="1"/>
  <c r="N2424" i="6"/>
  <c r="V2423" i="6"/>
  <c r="T2423" i="6"/>
  <c r="S2423" i="6"/>
  <c r="R2423" i="6"/>
  <c r="Q2423" i="6"/>
  <c r="P2423" i="6"/>
  <c r="O2423" i="6"/>
  <c r="U2423" i="6" s="1"/>
  <c r="N2423" i="6"/>
  <c r="V2422" i="6"/>
  <c r="T2422" i="6"/>
  <c r="S2422" i="6"/>
  <c r="R2422" i="6"/>
  <c r="Q2422" i="6"/>
  <c r="P2422" i="6"/>
  <c r="O2422" i="6"/>
  <c r="U2422" i="6" s="1"/>
  <c r="N2422" i="6"/>
  <c r="V2421" i="6"/>
  <c r="T2421" i="6"/>
  <c r="S2421" i="6"/>
  <c r="R2421" i="6"/>
  <c r="Q2421" i="6"/>
  <c r="P2421" i="6"/>
  <c r="O2421" i="6"/>
  <c r="U2421" i="6" s="1"/>
  <c r="N2421" i="6"/>
  <c r="V2420" i="6"/>
  <c r="T2420" i="6"/>
  <c r="S2420" i="6"/>
  <c r="R2420" i="6"/>
  <c r="Q2420" i="6"/>
  <c r="P2420" i="6"/>
  <c r="O2420" i="6"/>
  <c r="U2420" i="6" s="1"/>
  <c r="N2420" i="6"/>
  <c r="V2419" i="6"/>
  <c r="T2419" i="6"/>
  <c r="S2419" i="6"/>
  <c r="R2419" i="6"/>
  <c r="Q2419" i="6"/>
  <c r="P2419" i="6"/>
  <c r="O2419" i="6"/>
  <c r="U2419" i="6" s="1"/>
  <c r="N2419" i="6"/>
  <c r="V2418" i="6"/>
  <c r="T2418" i="6"/>
  <c r="S2418" i="6"/>
  <c r="R2418" i="6"/>
  <c r="Q2418" i="6"/>
  <c r="P2418" i="6"/>
  <c r="O2418" i="6"/>
  <c r="U2418" i="6" s="1"/>
  <c r="N2418" i="6"/>
  <c r="V2417" i="6"/>
  <c r="T2417" i="6"/>
  <c r="S2417" i="6"/>
  <c r="R2417" i="6"/>
  <c r="Q2417" i="6"/>
  <c r="P2417" i="6"/>
  <c r="O2417" i="6"/>
  <c r="U2417" i="6" s="1"/>
  <c r="N2417" i="6"/>
  <c r="V2416" i="6"/>
  <c r="T2416" i="6"/>
  <c r="S2416" i="6"/>
  <c r="R2416" i="6"/>
  <c r="Q2416" i="6"/>
  <c r="P2416" i="6"/>
  <c r="O2416" i="6"/>
  <c r="U2416" i="6" s="1"/>
  <c r="N2416" i="6"/>
  <c r="V2415" i="6"/>
  <c r="T2415" i="6"/>
  <c r="S2415" i="6"/>
  <c r="R2415" i="6"/>
  <c r="Q2415" i="6"/>
  <c r="P2415" i="6"/>
  <c r="O2415" i="6"/>
  <c r="U2415" i="6" s="1"/>
  <c r="N2415" i="6"/>
  <c r="V2414" i="6"/>
  <c r="T2414" i="6"/>
  <c r="S2414" i="6"/>
  <c r="R2414" i="6"/>
  <c r="Q2414" i="6"/>
  <c r="P2414" i="6"/>
  <c r="O2414" i="6"/>
  <c r="U2414" i="6" s="1"/>
  <c r="N2414" i="6"/>
  <c r="V2413" i="6"/>
  <c r="T2413" i="6"/>
  <c r="S2413" i="6"/>
  <c r="R2413" i="6"/>
  <c r="Q2413" i="6"/>
  <c r="P2413" i="6"/>
  <c r="O2413" i="6"/>
  <c r="U2413" i="6" s="1"/>
  <c r="N2413" i="6"/>
  <c r="V2412" i="6"/>
  <c r="T2412" i="6"/>
  <c r="S2412" i="6"/>
  <c r="R2412" i="6"/>
  <c r="Q2412" i="6"/>
  <c r="P2412" i="6"/>
  <c r="O2412" i="6"/>
  <c r="U2412" i="6" s="1"/>
  <c r="N2412" i="6"/>
  <c r="V2411" i="6"/>
  <c r="T2411" i="6"/>
  <c r="S2411" i="6"/>
  <c r="R2411" i="6"/>
  <c r="Q2411" i="6"/>
  <c r="P2411" i="6"/>
  <c r="O2411" i="6"/>
  <c r="U2411" i="6" s="1"/>
  <c r="N2411" i="6"/>
  <c r="V2410" i="6"/>
  <c r="T2410" i="6"/>
  <c r="S2410" i="6"/>
  <c r="R2410" i="6"/>
  <c r="Q2410" i="6"/>
  <c r="P2410" i="6"/>
  <c r="O2410" i="6"/>
  <c r="U2410" i="6" s="1"/>
  <c r="N2410" i="6"/>
  <c r="V2409" i="6"/>
  <c r="T2409" i="6"/>
  <c r="S2409" i="6"/>
  <c r="R2409" i="6"/>
  <c r="Q2409" i="6"/>
  <c r="P2409" i="6"/>
  <c r="O2409" i="6"/>
  <c r="U2409" i="6" s="1"/>
  <c r="N2409" i="6"/>
  <c r="V2408" i="6"/>
  <c r="T2408" i="6"/>
  <c r="S2408" i="6"/>
  <c r="R2408" i="6"/>
  <c r="Q2408" i="6"/>
  <c r="P2408" i="6"/>
  <c r="O2408" i="6"/>
  <c r="U2408" i="6" s="1"/>
  <c r="N2408" i="6"/>
  <c r="V2407" i="6"/>
  <c r="T2407" i="6"/>
  <c r="S2407" i="6"/>
  <c r="R2407" i="6"/>
  <c r="Q2407" i="6"/>
  <c r="P2407" i="6"/>
  <c r="O2407" i="6"/>
  <c r="U2407" i="6" s="1"/>
  <c r="N2407" i="6"/>
  <c r="V2406" i="6"/>
  <c r="T2406" i="6"/>
  <c r="S2406" i="6"/>
  <c r="R2406" i="6"/>
  <c r="Q2406" i="6"/>
  <c r="P2406" i="6"/>
  <c r="O2406" i="6"/>
  <c r="U2406" i="6" s="1"/>
  <c r="N2406" i="6"/>
  <c r="V2405" i="6"/>
  <c r="T2405" i="6"/>
  <c r="S2405" i="6"/>
  <c r="R2405" i="6"/>
  <c r="Q2405" i="6"/>
  <c r="P2405" i="6"/>
  <c r="O2405" i="6"/>
  <c r="U2405" i="6" s="1"/>
  <c r="N2405" i="6"/>
  <c r="V2404" i="6"/>
  <c r="T2404" i="6"/>
  <c r="S2404" i="6"/>
  <c r="R2404" i="6"/>
  <c r="Q2404" i="6"/>
  <c r="P2404" i="6"/>
  <c r="O2404" i="6"/>
  <c r="U2404" i="6" s="1"/>
  <c r="N2404" i="6"/>
  <c r="V2403" i="6"/>
  <c r="T2403" i="6"/>
  <c r="S2403" i="6"/>
  <c r="R2403" i="6"/>
  <c r="Q2403" i="6"/>
  <c r="P2403" i="6"/>
  <c r="O2403" i="6"/>
  <c r="U2403" i="6" s="1"/>
  <c r="N2403" i="6"/>
  <c r="V2402" i="6"/>
  <c r="T2402" i="6"/>
  <c r="S2402" i="6"/>
  <c r="R2402" i="6"/>
  <c r="Q2402" i="6"/>
  <c r="P2402" i="6"/>
  <c r="O2402" i="6"/>
  <c r="U2402" i="6" s="1"/>
  <c r="N2402" i="6"/>
  <c r="V2401" i="6"/>
  <c r="T2401" i="6"/>
  <c r="S2401" i="6"/>
  <c r="R2401" i="6"/>
  <c r="Q2401" i="6"/>
  <c r="P2401" i="6"/>
  <c r="O2401" i="6"/>
  <c r="U2401" i="6" s="1"/>
  <c r="N2401" i="6"/>
  <c r="V2400" i="6"/>
  <c r="T2400" i="6"/>
  <c r="S2400" i="6"/>
  <c r="R2400" i="6"/>
  <c r="Q2400" i="6"/>
  <c r="P2400" i="6"/>
  <c r="O2400" i="6"/>
  <c r="U2400" i="6" s="1"/>
  <c r="N2400" i="6"/>
  <c r="V2399" i="6"/>
  <c r="T2399" i="6"/>
  <c r="S2399" i="6"/>
  <c r="R2399" i="6"/>
  <c r="Q2399" i="6"/>
  <c r="P2399" i="6"/>
  <c r="O2399" i="6"/>
  <c r="U2399" i="6" s="1"/>
  <c r="N2399" i="6"/>
  <c r="V2398" i="6"/>
  <c r="T2398" i="6"/>
  <c r="S2398" i="6"/>
  <c r="R2398" i="6"/>
  <c r="Q2398" i="6"/>
  <c r="P2398" i="6"/>
  <c r="O2398" i="6"/>
  <c r="U2398" i="6" s="1"/>
  <c r="N2398" i="6"/>
  <c r="V2397" i="6"/>
  <c r="T2397" i="6"/>
  <c r="S2397" i="6"/>
  <c r="R2397" i="6"/>
  <c r="Q2397" i="6"/>
  <c r="P2397" i="6"/>
  <c r="O2397" i="6"/>
  <c r="U2397" i="6" s="1"/>
  <c r="N2397" i="6"/>
  <c r="V2396" i="6"/>
  <c r="T2396" i="6"/>
  <c r="S2396" i="6"/>
  <c r="R2396" i="6"/>
  <c r="Q2396" i="6"/>
  <c r="P2396" i="6"/>
  <c r="O2396" i="6"/>
  <c r="U2396" i="6" s="1"/>
  <c r="N2396" i="6"/>
  <c r="V2395" i="6"/>
  <c r="T2395" i="6"/>
  <c r="S2395" i="6"/>
  <c r="R2395" i="6"/>
  <c r="Q2395" i="6"/>
  <c r="P2395" i="6"/>
  <c r="O2395" i="6"/>
  <c r="U2395" i="6" s="1"/>
  <c r="N2395" i="6"/>
  <c r="V2394" i="6"/>
  <c r="T2394" i="6"/>
  <c r="S2394" i="6"/>
  <c r="R2394" i="6"/>
  <c r="Q2394" i="6"/>
  <c r="P2394" i="6"/>
  <c r="O2394" i="6"/>
  <c r="U2394" i="6" s="1"/>
  <c r="N2394" i="6"/>
  <c r="V2393" i="6"/>
  <c r="T2393" i="6"/>
  <c r="S2393" i="6"/>
  <c r="R2393" i="6"/>
  <c r="Q2393" i="6"/>
  <c r="P2393" i="6"/>
  <c r="O2393" i="6"/>
  <c r="U2393" i="6" s="1"/>
  <c r="N2393" i="6"/>
  <c r="V2392" i="6"/>
  <c r="T2392" i="6"/>
  <c r="S2392" i="6"/>
  <c r="R2392" i="6"/>
  <c r="Q2392" i="6"/>
  <c r="P2392" i="6"/>
  <c r="O2392" i="6"/>
  <c r="U2392" i="6" s="1"/>
  <c r="N2392" i="6"/>
  <c r="V2391" i="6"/>
  <c r="T2391" i="6"/>
  <c r="S2391" i="6"/>
  <c r="R2391" i="6"/>
  <c r="Q2391" i="6"/>
  <c r="P2391" i="6"/>
  <c r="O2391" i="6"/>
  <c r="U2391" i="6" s="1"/>
  <c r="N2391" i="6"/>
  <c r="V2390" i="6"/>
  <c r="T2390" i="6"/>
  <c r="S2390" i="6"/>
  <c r="R2390" i="6"/>
  <c r="Q2390" i="6"/>
  <c r="P2390" i="6"/>
  <c r="O2390" i="6"/>
  <c r="U2390" i="6" s="1"/>
  <c r="N2390" i="6"/>
  <c r="V2389" i="6"/>
  <c r="T2389" i="6"/>
  <c r="S2389" i="6"/>
  <c r="R2389" i="6"/>
  <c r="Q2389" i="6"/>
  <c r="P2389" i="6"/>
  <c r="O2389" i="6"/>
  <c r="U2389" i="6" s="1"/>
  <c r="N2389" i="6"/>
  <c r="V2388" i="6"/>
  <c r="T2388" i="6"/>
  <c r="S2388" i="6"/>
  <c r="R2388" i="6"/>
  <c r="Q2388" i="6"/>
  <c r="P2388" i="6"/>
  <c r="O2388" i="6"/>
  <c r="U2388" i="6" s="1"/>
  <c r="N2388" i="6"/>
  <c r="V2387" i="6"/>
  <c r="T2387" i="6"/>
  <c r="S2387" i="6"/>
  <c r="R2387" i="6"/>
  <c r="Q2387" i="6"/>
  <c r="P2387" i="6"/>
  <c r="O2387" i="6"/>
  <c r="U2387" i="6" s="1"/>
  <c r="N2387" i="6"/>
  <c r="V2386" i="6"/>
  <c r="T2386" i="6"/>
  <c r="S2386" i="6"/>
  <c r="R2386" i="6"/>
  <c r="Q2386" i="6"/>
  <c r="P2386" i="6"/>
  <c r="O2386" i="6"/>
  <c r="U2386" i="6" s="1"/>
  <c r="N2386" i="6"/>
  <c r="V2385" i="6"/>
  <c r="T2385" i="6"/>
  <c r="S2385" i="6"/>
  <c r="R2385" i="6"/>
  <c r="Q2385" i="6"/>
  <c r="P2385" i="6"/>
  <c r="O2385" i="6"/>
  <c r="U2385" i="6" s="1"/>
  <c r="N2385" i="6"/>
  <c r="V2384" i="6"/>
  <c r="T2384" i="6"/>
  <c r="S2384" i="6"/>
  <c r="R2384" i="6"/>
  <c r="Q2384" i="6"/>
  <c r="P2384" i="6"/>
  <c r="O2384" i="6"/>
  <c r="U2384" i="6" s="1"/>
  <c r="N2384" i="6"/>
  <c r="V2383" i="6"/>
  <c r="T2383" i="6"/>
  <c r="S2383" i="6"/>
  <c r="R2383" i="6"/>
  <c r="Q2383" i="6"/>
  <c r="P2383" i="6"/>
  <c r="O2383" i="6"/>
  <c r="U2383" i="6" s="1"/>
  <c r="N2383" i="6"/>
  <c r="V2382" i="6"/>
  <c r="T2382" i="6"/>
  <c r="S2382" i="6"/>
  <c r="R2382" i="6"/>
  <c r="Q2382" i="6"/>
  <c r="P2382" i="6"/>
  <c r="O2382" i="6"/>
  <c r="U2382" i="6" s="1"/>
  <c r="N2382" i="6"/>
  <c r="V2381" i="6"/>
  <c r="T2381" i="6"/>
  <c r="S2381" i="6"/>
  <c r="R2381" i="6"/>
  <c r="Q2381" i="6"/>
  <c r="P2381" i="6"/>
  <c r="O2381" i="6"/>
  <c r="U2381" i="6" s="1"/>
  <c r="N2381" i="6"/>
  <c r="V2380" i="6"/>
  <c r="T2380" i="6"/>
  <c r="S2380" i="6"/>
  <c r="R2380" i="6"/>
  <c r="Q2380" i="6"/>
  <c r="P2380" i="6"/>
  <c r="O2380" i="6"/>
  <c r="U2380" i="6" s="1"/>
  <c r="N2380" i="6"/>
  <c r="V2379" i="6"/>
  <c r="T2379" i="6"/>
  <c r="S2379" i="6"/>
  <c r="R2379" i="6"/>
  <c r="Q2379" i="6"/>
  <c r="P2379" i="6"/>
  <c r="O2379" i="6"/>
  <c r="U2379" i="6" s="1"/>
  <c r="N2379" i="6"/>
  <c r="V2378" i="6"/>
  <c r="T2378" i="6"/>
  <c r="S2378" i="6"/>
  <c r="R2378" i="6"/>
  <c r="Q2378" i="6"/>
  <c r="P2378" i="6"/>
  <c r="O2378" i="6"/>
  <c r="U2378" i="6" s="1"/>
  <c r="N2378" i="6"/>
  <c r="V2377" i="6"/>
  <c r="T2377" i="6"/>
  <c r="S2377" i="6"/>
  <c r="R2377" i="6"/>
  <c r="Q2377" i="6"/>
  <c r="P2377" i="6"/>
  <c r="O2377" i="6"/>
  <c r="U2377" i="6" s="1"/>
  <c r="N2377" i="6"/>
  <c r="V2376" i="6"/>
  <c r="T2376" i="6"/>
  <c r="S2376" i="6"/>
  <c r="R2376" i="6"/>
  <c r="Q2376" i="6"/>
  <c r="P2376" i="6"/>
  <c r="O2376" i="6"/>
  <c r="U2376" i="6" s="1"/>
  <c r="N2376" i="6"/>
  <c r="V2375" i="6"/>
  <c r="T2375" i="6"/>
  <c r="S2375" i="6"/>
  <c r="R2375" i="6"/>
  <c r="Q2375" i="6"/>
  <c r="P2375" i="6"/>
  <c r="O2375" i="6"/>
  <c r="U2375" i="6" s="1"/>
  <c r="N2375" i="6"/>
  <c r="V2374" i="6"/>
  <c r="T2374" i="6"/>
  <c r="S2374" i="6"/>
  <c r="R2374" i="6"/>
  <c r="Q2374" i="6"/>
  <c r="P2374" i="6"/>
  <c r="O2374" i="6"/>
  <c r="U2374" i="6" s="1"/>
  <c r="N2374" i="6"/>
  <c r="V2373" i="6"/>
  <c r="T2373" i="6"/>
  <c r="S2373" i="6"/>
  <c r="R2373" i="6"/>
  <c r="Q2373" i="6"/>
  <c r="P2373" i="6"/>
  <c r="O2373" i="6"/>
  <c r="U2373" i="6" s="1"/>
  <c r="N2373" i="6"/>
  <c r="V2372" i="6"/>
  <c r="T2372" i="6"/>
  <c r="S2372" i="6"/>
  <c r="R2372" i="6"/>
  <c r="Q2372" i="6"/>
  <c r="P2372" i="6"/>
  <c r="O2372" i="6"/>
  <c r="U2372" i="6" s="1"/>
  <c r="N2372" i="6"/>
  <c r="V2371" i="6"/>
  <c r="T2371" i="6"/>
  <c r="S2371" i="6"/>
  <c r="R2371" i="6"/>
  <c r="Q2371" i="6"/>
  <c r="P2371" i="6"/>
  <c r="O2371" i="6"/>
  <c r="U2371" i="6" s="1"/>
  <c r="N2371" i="6"/>
  <c r="V2370" i="6"/>
  <c r="T2370" i="6"/>
  <c r="S2370" i="6"/>
  <c r="R2370" i="6"/>
  <c r="Q2370" i="6"/>
  <c r="P2370" i="6"/>
  <c r="O2370" i="6"/>
  <c r="U2370" i="6" s="1"/>
  <c r="N2370" i="6"/>
  <c r="V2369" i="6"/>
  <c r="T2369" i="6"/>
  <c r="S2369" i="6"/>
  <c r="R2369" i="6"/>
  <c r="Q2369" i="6"/>
  <c r="P2369" i="6"/>
  <c r="O2369" i="6"/>
  <c r="U2369" i="6" s="1"/>
  <c r="N2369" i="6"/>
  <c r="V2368" i="6"/>
  <c r="T2368" i="6"/>
  <c r="S2368" i="6"/>
  <c r="R2368" i="6"/>
  <c r="Q2368" i="6"/>
  <c r="P2368" i="6"/>
  <c r="O2368" i="6"/>
  <c r="U2368" i="6" s="1"/>
  <c r="N2368" i="6"/>
  <c r="V2367" i="6"/>
  <c r="T2367" i="6"/>
  <c r="S2367" i="6"/>
  <c r="R2367" i="6"/>
  <c r="Q2367" i="6"/>
  <c r="P2367" i="6"/>
  <c r="O2367" i="6"/>
  <c r="U2367" i="6" s="1"/>
  <c r="N2367" i="6"/>
  <c r="V2366" i="6"/>
  <c r="T2366" i="6"/>
  <c r="S2366" i="6"/>
  <c r="R2366" i="6"/>
  <c r="Q2366" i="6"/>
  <c r="P2366" i="6"/>
  <c r="O2366" i="6"/>
  <c r="U2366" i="6" s="1"/>
  <c r="N2366" i="6"/>
  <c r="V2365" i="6"/>
  <c r="T2365" i="6"/>
  <c r="S2365" i="6"/>
  <c r="R2365" i="6"/>
  <c r="Q2365" i="6"/>
  <c r="P2365" i="6"/>
  <c r="O2365" i="6"/>
  <c r="U2365" i="6" s="1"/>
  <c r="N2365" i="6"/>
  <c r="V2364" i="6"/>
  <c r="T2364" i="6"/>
  <c r="S2364" i="6"/>
  <c r="R2364" i="6"/>
  <c r="Q2364" i="6"/>
  <c r="P2364" i="6"/>
  <c r="O2364" i="6"/>
  <c r="U2364" i="6" s="1"/>
  <c r="N2364" i="6"/>
  <c r="V2363" i="6"/>
  <c r="T2363" i="6"/>
  <c r="S2363" i="6"/>
  <c r="R2363" i="6"/>
  <c r="Q2363" i="6"/>
  <c r="P2363" i="6"/>
  <c r="O2363" i="6"/>
  <c r="U2363" i="6" s="1"/>
  <c r="N2363" i="6"/>
  <c r="V2362" i="6"/>
  <c r="T2362" i="6"/>
  <c r="S2362" i="6"/>
  <c r="R2362" i="6"/>
  <c r="Q2362" i="6"/>
  <c r="P2362" i="6"/>
  <c r="O2362" i="6"/>
  <c r="U2362" i="6" s="1"/>
  <c r="N2362" i="6"/>
  <c r="V2361" i="6"/>
  <c r="T2361" i="6"/>
  <c r="S2361" i="6"/>
  <c r="R2361" i="6"/>
  <c r="Q2361" i="6"/>
  <c r="P2361" i="6"/>
  <c r="O2361" i="6"/>
  <c r="U2361" i="6" s="1"/>
  <c r="N2361" i="6"/>
  <c r="V2360" i="6"/>
  <c r="T2360" i="6"/>
  <c r="S2360" i="6"/>
  <c r="R2360" i="6"/>
  <c r="Q2360" i="6"/>
  <c r="P2360" i="6"/>
  <c r="O2360" i="6"/>
  <c r="U2360" i="6" s="1"/>
  <c r="N2360" i="6"/>
  <c r="V2359" i="6"/>
  <c r="T2359" i="6"/>
  <c r="S2359" i="6"/>
  <c r="R2359" i="6"/>
  <c r="Q2359" i="6"/>
  <c r="P2359" i="6"/>
  <c r="O2359" i="6"/>
  <c r="U2359" i="6" s="1"/>
  <c r="N2359" i="6"/>
  <c r="V2358" i="6"/>
  <c r="T2358" i="6"/>
  <c r="S2358" i="6"/>
  <c r="R2358" i="6"/>
  <c r="Q2358" i="6"/>
  <c r="P2358" i="6"/>
  <c r="O2358" i="6"/>
  <c r="U2358" i="6" s="1"/>
  <c r="N2358" i="6"/>
  <c r="V2357" i="6"/>
  <c r="T2357" i="6"/>
  <c r="S2357" i="6"/>
  <c r="R2357" i="6"/>
  <c r="Q2357" i="6"/>
  <c r="P2357" i="6"/>
  <c r="O2357" i="6"/>
  <c r="U2357" i="6" s="1"/>
  <c r="N2357" i="6"/>
  <c r="V2356" i="6"/>
  <c r="T2356" i="6"/>
  <c r="S2356" i="6"/>
  <c r="R2356" i="6"/>
  <c r="Q2356" i="6"/>
  <c r="P2356" i="6"/>
  <c r="O2356" i="6"/>
  <c r="U2356" i="6" s="1"/>
  <c r="N2356" i="6"/>
  <c r="V2355" i="6"/>
  <c r="T2355" i="6"/>
  <c r="S2355" i="6"/>
  <c r="R2355" i="6"/>
  <c r="Q2355" i="6"/>
  <c r="P2355" i="6"/>
  <c r="O2355" i="6"/>
  <c r="U2355" i="6" s="1"/>
  <c r="N2355" i="6"/>
  <c r="V2354" i="6"/>
  <c r="T2354" i="6"/>
  <c r="S2354" i="6"/>
  <c r="R2354" i="6"/>
  <c r="Q2354" i="6"/>
  <c r="P2354" i="6"/>
  <c r="O2354" i="6"/>
  <c r="U2354" i="6" s="1"/>
  <c r="N2354" i="6"/>
  <c r="V2353" i="6"/>
  <c r="T2353" i="6"/>
  <c r="S2353" i="6"/>
  <c r="R2353" i="6"/>
  <c r="Q2353" i="6"/>
  <c r="P2353" i="6"/>
  <c r="O2353" i="6"/>
  <c r="U2353" i="6" s="1"/>
  <c r="N2353" i="6"/>
  <c r="V2352" i="6"/>
  <c r="T2352" i="6"/>
  <c r="S2352" i="6"/>
  <c r="R2352" i="6"/>
  <c r="Q2352" i="6"/>
  <c r="P2352" i="6"/>
  <c r="O2352" i="6"/>
  <c r="U2352" i="6" s="1"/>
  <c r="N2352" i="6"/>
  <c r="V2351" i="6"/>
  <c r="T2351" i="6"/>
  <c r="S2351" i="6"/>
  <c r="R2351" i="6"/>
  <c r="Q2351" i="6"/>
  <c r="P2351" i="6"/>
  <c r="O2351" i="6"/>
  <c r="U2351" i="6" s="1"/>
  <c r="N2351" i="6"/>
  <c r="V2350" i="6"/>
  <c r="T2350" i="6"/>
  <c r="S2350" i="6"/>
  <c r="R2350" i="6"/>
  <c r="Q2350" i="6"/>
  <c r="P2350" i="6"/>
  <c r="O2350" i="6"/>
  <c r="U2350" i="6" s="1"/>
  <c r="N2350" i="6"/>
  <c r="V2349" i="6"/>
  <c r="T2349" i="6"/>
  <c r="S2349" i="6"/>
  <c r="R2349" i="6"/>
  <c r="Q2349" i="6"/>
  <c r="P2349" i="6"/>
  <c r="O2349" i="6"/>
  <c r="U2349" i="6" s="1"/>
  <c r="N2349" i="6"/>
  <c r="V2348" i="6"/>
  <c r="T2348" i="6"/>
  <c r="S2348" i="6"/>
  <c r="R2348" i="6"/>
  <c r="Q2348" i="6"/>
  <c r="P2348" i="6"/>
  <c r="O2348" i="6"/>
  <c r="U2348" i="6" s="1"/>
  <c r="N2348" i="6"/>
  <c r="V2347" i="6"/>
  <c r="T2347" i="6"/>
  <c r="S2347" i="6"/>
  <c r="R2347" i="6"/>
  <c r="Q2347" i="6"/>
  <c r="P2347" i="6"/>
  <c r="O2347" i="6"/>
  <c r="U2347" i="6" s="1"/>
  <c r="N2347" i="6"/>
  <c r="V2346" i="6"/>
  <c r="T2346" i="6"/>
  <c r="S2346" i="6"/>
  <c r="R2346" i="6"/>
  <c r="Q2346" i="6"/>
  <c r="P2346" i="6"/>
  <c r="O2346" i="6"/>
  <c r="U2346" i="6" s="1"/>
  <c r="N2346" i="6"/>
  <c r="V2345" i="6"/>
  <c r="T2345" i="6"/>
  <c r="S2345" i="6"/>
  <c r="R2345" i="6"/>
  <c r="Q2345" i="6"/>
  <c r="P2345" i="6"/>
  <c r="O2345" i="6"/>
  <c r="U2345" i="6" s="1"/>
  <c r="N2345" i="6"/>
  <c r="V2344" i="6"/>
  <c r="T2344" i="6"/>
  <c r="S2344" i="6"/>
  <c r="R2344" i="6"/>
  <c r="Q2344" i="6"/>
  <c r="P2344" i="6"/>
  <c r="O2344" i="6"/>
  <c r="U2344" i="6" s="1"/>
  <c r="N2344" i="6"/>
  <c r="V2343" i="6"/>
  <c r="T2343" i="6"/>
  <c r="S2343" i="6"/>
  <c r="R2343" i="6"/>
  <c r="Q2343" i="6"/>
  <c r="P2343" i="6"/>
  <c r="O2343" i="6"/>
  <c r="U2343" i="6" s="1"/>
  <c r="N2343" i="6"/>
  <c r="V2342" i="6"/>
  <c r="T2342" i="6"/>
  <c r="S2342" i="6"/>
  <c r="R2342" i="6"/>
  <c r="Q2342" i="6"/>
  <c r="P2342" i="6"/>
  <c r="O2342" i="6"/>
  <c r="U2342" i="6" s="1"/>
  <c r="N2342" i="6"/>
  <c r="V2341" i="6"/>
  <c r="T2341" i="6"/>
  <c r="S2341" i="6"/>
  <c r="R2341" i="6"/>
  <c r="Q2341" i="6"/>
  <c r="P2341" i="6"/>
  <c r="O2341" i="6"/>
  <c r="U2341" i="6" s="1"/>
  <c r="N2341" i="6"/>
  <c r="V2340" i="6"/>
  <c r="T2340" i="6"/>
  <c r="S2340" i="6"/>
  <c r="R2340" i="6"/>
  <c r="Q2340" i="6"/>
  <c r="P2340" i="6"/>
  <c r="O2340" i="6"/>
  <c r="U2340" i="6" s="1"/>
  <c r="N2340" i="6"/>
  <c r="V2339" i="6"/>
  <c r="T2339" i="6"/>
  <c r="S2339" i="6"/>
  <c r="R2339" i="6"/>
  <c r="Q2339" i="6"/>
  <c r="P2339" i="6"/>
  <c r="O2339" i="6"/>
  <c r="U2339" i="6" s="1"/>
  <c r="N2339" i="6"/>
  <c r="V2338" i="6"/>
  <c r="T2338" i="6"/>
  <c r="S2338" i="6"/>
  <c r="R2338" i="6"/>
  <c r="Q2338" i="6"/>
  <c r="P2338" i="6"/>
  <c r="O2338" i="6"/>
  <c r="U2338" i="6" s="1"/>
  <c r="N2338" i="6"/>
  <c r="V2337" i="6"/>
  <c r="T2337" i="6"/>
  <c r="S2337" i="6"/>
  <c r="R2337" i="6"/>
  <c r="Q2337" i="6"/>
  <c r="P2337" i="6"/>
  <c r="O2337" i="6"/>
  <c r="U2337" i="6" s="1"/>
  <c r="N2337" i="6"/>
  <c r="V2336" i="6"/>
  <c r="T2336" i="6"/>
  <c r="S2336" i="6"/>
  <c r="R2336" i="6"/>
  <c r="Q2336" i="6"/>
  <c r="P2336" i="6"/>
  <c r="O2336" i="6"/>
  <c r="U2336" i="6" s="1"/>
  <c r="N2336" i="6"/>
  <c r="V2335" i="6"/>
  <c r="T2335" i="6"/>
  <c r="S2335" i="6"/>
  <c r="R2335" i="6"/>
  <c r="Q2335" i="6"/>
  <c r="P2335" i="6"/>
  <c r="O2335" i="6"/>
  <c r="U2335" i="6" s="1"/>
  <c r="N2335" i="6"/>
  <c r="V2334" i="6"/>
  <c r="T2334" i="6"/>
  <c r="S2334" i="6"/>
  <c r="R2334" i="6"/>
  <c r="Q2334" i="6"/>
  <c r="P2334" i="6"/>
  <c r="O2334" i="6"/>
  <c r="U2334" i="6" s="1"/>
  <c r="N2334" i="6"/>
  <c r="V2333" i="6"/>
  <c r="T2333" i="6"/>
  <c r="S2333" i="6"/>
  <c r="R2333" i="6"/>
  <c r="Q2333" i="6"/>
  <c r="P2333" i="6"/>
  <c r="O2333" i="6"/>
  <c r="U2333" i="6" s="1"/>
  <c r="N2333" i="6"/>
  <c r="V2332" i="6"/>
  <c r="T2332" i="6"/>
  <c r="S2332" i="6"/>
  <c r="R2332" i="6"/>
  <c r="Q2332" i="6"/>
  <c r="P2332" i="6"/>
  <c r="O2332" i="6"/>
  <c r="U2332" i="6" s="1"/>
  <c r="N2332" i="6"/>
  <c r="V2331" i="6"/>
  <c r="T2331" i="6"/>
  <c r="S2331" i="6"/>
  <c r="R2331" i="6"/>
  <c r="Q2331" i="6"/>
  <c r="P2331" i="6"/>
  <c r="O2331" i="6"/>
  <c r="U2331" i="6" s="1"/>
  <c r="N2331" i="6"/>
  <c r="V2330" i="6"/>
  <c r="T2330" i="6"/>
  <c r="S2330" i="6"/>
  <c r="R2330" i="6"/>
  <c r="Q2330" i="6"/>
  <c r="P2330" i="6"/>
  <c r="O2330" i="6"/>
  <c r="U2330" i="6" s="1"/>
  <c r="N2330" i="6"/>
  <c r="V2329" i="6"/>
  <c r="T2329" i="6"/>
  <c r="S2329" i="6"/>
  <c r="R2329" i="6"/>
  <c r="Q2329" i="6"/>
  <c r="P2329" i="6"/>
  <c r="O2329" i="6"/>
  <c r="U2329" i="6" s="1"/>
  <c r="N2329" i="6"/>
  <c r="V2328" i="6"/>
  <c r="T2328" i="6"/>
  <c r="S2328" i="6"/>
  <c r="R2328" i="6"/>
  <c r="Q2328" i="6"/>
  <c r="P2328" i="6"/>
  <c r="O2328" i="6"/>
  <c r="U2328" i="6" s="1"/>
  <c r="N2328" i="6"/>
  <c r="V2327" i="6"/>
  <c r="T2327" i="6"/>
  <c r="S2327" i="6"/>
  <c r="R2327" i="6"/>
  <c r="Q2327" i="6"/>
  <c r="P2327" i="6"/>
  <c r="O2327" i="6"/>
  <c r="U2327" i="6" s="1"/>
  <c r="N2327" i="6"/>
  <c r="V2326" i="6"/>
  <c r="T2326" i="6"/>
  <c r="S2326" i="6"/>
  <c r="R2326" i="6"/>
  <c r="Q2326" i="6"/>
  <c r="P2326" i="6"/>
  <c r="O2326" i="6"/>
  <c r="U2326" i="6" s="1"/>
  <c r="N2326" i="6"/>
  <c r="V2325" i="6"/>
  <c r="T2325" i="6"/>
  <c r="S2325" i="6"/>
  <c r="R2325" i="6"/>
  <c r="Q2325" i="6"/>
  <c r="P2325" i="6"/>
  <c r="O2325" i="6"/>
  <c r="U2325" i="6" s="1"/>
  <c r="N2325" i="6"/>
  <c r="V2324" i="6"/>
  <c r="T2324" i="6"/>
  <c r="S2324" i="6"/>
  <c r="R2324" i="6"/>
  <c r="Q2324" i="6"/>
  <c r="P2324" i="6"/>
  <c r="O2324" i="6"/>
  <c r="U2324" i="6" s="1"/>
  <c r="N2324" i="6"/>
  <c r="V2323" i="6"/>
  <c r="T2323" i="6"/>
  <c r="S2323" i="6"/>
  <c r="R2323" i="6"/>
  <c r="Q2323" i="6"/>
  <c r="P2323" i="6"/>
  <c r="O2323" i="6"/>
  <c r="U2323" i="6" s="1"/>
  <c r="N2323" i="6"/>
  <c r="V2322" i="6"/>
  <c r="T2322" i="6"/>
  <c r="S2322" i="6"/>
  <c r="R2322" i="6"/>
  <c r="Q2322" i="6"/>
  <c r="P2322" i="6"/>
  <c r="O2322" i="6"/>
  <c r="U2322" i="6" s="1"/>
  <c r="N2322" i="6"/>
  <c r="V2321" i="6"/>
  <c r="T2321" i="6"/>
  <c r="S2321" i="6"/>
  <c r="R2321" i="6"/>
  <c r="Q2321" i="6"/>
  <c r="P2321" i="6"/>
  <c r="O2321" i="6"/>
  <c r="U2321" i="6" s="1"/>
  <c r="N2321" i="6"/>
  <c r="V2320" i="6"/>
  <c r="T2320" i="6"/>
  <c r="S2320" i="6"/>
  <c r="R2320" i="6"/>
  <c r="Q2320" i="6"/>
  <c r="P2320" i="6"/>
  <c r="O2320" i="6"/>
  <c r="U2320" i="6" s="1"/>
  <c r="N2320" i="6"/>
  <c r="V2319" i="6"/>
  <c r="T2319" i="6"/>
  <c r="S2319" i="6"/>
  <c r="R2319" i="6"/>
  <c r="Q2319" i="6"/>
  <c r="P2319" i="6"/>
  <c r="O2319" i="6"/>
  <c r="U2319" i="6" s="1"/>
  <c r="N2319" i="6"/>
  <c r="V2318" i="6"/>
  <c r="T2318" i="6"/>
  <c r="S2318" i="6"/>
  <c r="R2318" i="6"/>
  <c r="Q2318" i="6"/>
  <c r="P2318" i="6"/>
  <c r="O2318" i="6"/>
  <c r="U2318" i="6" s="1"/>
  <c r="N2318" i="6"/>
  <c r="V2317" i="6"/>
  <c r="T2317" i="6"/>
  <c r="S2317" i="6"/>
  <c r="R2317" i="6"/>
  <c r="Q2317" i="6"/>
  <c r="P2317" i="6"/>
  <c r="O2317" i="6"/>
  <c r="U2317" i="6" s="1"/>
  <c r="N2317" i="6"/>
  <c r="V2316" i="6"/>
  <c r="T2316" i="6"/>
  <c r="S2316" i="6"/>
  <c r="R2316" i="6"/>
  <c r="Q2316" i="6"/>
  <c r="P2316" i="6"/>
  <c r="O2316" i="6"/>
  <c r="U2316" i="6" s="1"/>
  <c r="N2316" i="6"/>
  <c r="V2315" i="6"/>
  <c r="T2315" i="6"/>
  <c r="S2315" i="6"/>
  <c r="R2315" i="6"/>
  <c r="Q2315" i="6"/>
  <c r="P2315" i="6"/>
  <c r="O2315" i="6"/>
  <c r="U2315" i="6" s="1"/>
  <c r="N2315" i="6"/>
  <c r="V2314" i="6"/>
  <c r="T2314" i="6"/>
  <c r="S2314" i="6"/>
  <c r="R2314" i="6"/>
  <c r="Q2314" i="6"/>
  <c r="P2314" i="6"/>
  <c r="O2314" i="6"/>
  <c r="U2314" i="6" s="1"/>
  <c r="N2314" i="6"/>
  <c r="V2313" i="6"/>
  <c r="T2313" i="6"/>
  <c r="S2313" i="6"/>
  <c r="R2313" i="6"/>
  <c r="Q2313" i="6"/>
  <c r="P2313" i="6"/>
  <c r="O2313" i="6"/>
  <c r="U2313" i="6" s="1"/>
  <c r="N2313" i="6"/>
  <c r="V2312" i="6"/>
  <c r="T2312" i="6"/>
  <c r="S2312" i="6"/>
  <c r="R2312" i="6"/>
  <c r="Q2312" i="6"/>
  <c r="P2312" i="6"/>
  <c r="O2312" i="6"/>
  <c r="U2312" i="6" s="1"/>
  <c r="N2312" i="6"/>
  <c r="V2311" i="6"/>
  <c r="T2311" i="6"/>
  <c r="S2311" i="6"/>
  <c r="R2311" i="6"/>
  <c r="Q2311" i="6"/>
  <c r="P2311" i="6"/>
  <c r="O2311" i="6"/>
  <c r="U2311" i="6" s="1"/>
  <c r="N2311" i="6"/>
  <c r="V2310" i="6"/>
  <c r="T2310" i="6"/>
  <c r="S2310" i="6"/>
  <c r="R2310" i="6"/>
  <c r="Q2310" i="6"/>
  <c r="P2310" i="6"/>
  <c r="O2310" i="6"/>
  <c r="U2310" i="6" s="1"/>
  <c r="N2310" i="6"/>
  <c r="V2309" i="6"/>
  <c r="T2309" i="6"/>
  <c r="S2309" i="6"/>
  <c r="R2309" i="6"/>
  <c r="Q2309" i="6"/>
  <c r="P2309" i="6"/>
  <c r="O2309" i="6"/>
  <c r="U2309" i="6" s="1"/>
  <c r="N2309" i="6"/>
  <c r="V2308" i="6"/>
  <c r="T2308" i="6"/>
  <c r="S2308" i="6"/>
  <c r="R2308" i="6"/>
  <c r="Q2308" i="6"/>
  <c r="P2308" i="6"/>
  <c r="O2308" i="6"/>
  <c r="U2308" i="6" s="1"/>
  <c r="N2308" i="6"/>
  <c r="V2307" i="6"/>
  <c r="T2307" i="6"/>
  <c r="S2307" i="6"/>
  <c r="R2307" i="6"/>
  <c r="Q2307" i="6"/>
  <c r="P2307" i="6"/>
  <c r="O2307" i="6"/>
  <c r="U2307" i="6" s="1"/>
  <c r="N2307" i="6"/>
  <c r="V2306" i="6"/>
  <c r="T2306" i="6"/>
  <c r="S2306" i="6"/>
  <c r="R2306" i="6"/>
  <c r="Q2306" i="6"/>
  <c r="P2306" i="6"/>
  <c r="O2306" i="6"/>
  <c r="U2306" i="6" s="1"/>
  <c r="N2306" i="6"/>
  <c r="V2305" i="6"/>
  <c r="T2305" i="6"/>
  <c r="S2305" i="6"/>
  <c r="R2305" i="6"/>
  <c r="Q2305" i="6"/>
  <c r="P2305" i="6"/>
  <c r="O2305" i="6"/>
  <c r="U2305" i="6" s="1"/>
  <c r="N2305" i="6"/>
  <c r="V2304" i="6"/>
  <c r="T2304" i="6"/>
  <c r="S2304" i="6"/>
  <c r="R2304" i="6"/>
  <c r="Q2304" i="6"/>
  <c r="P2304" i="6"/>
  <c r="O2304" i="6"/>
  <c r="U2304" i="6" s="1"/>
  <c r="N2304" i="6"/>
  <c r="V2303" i="6"/>
  <c r="T2303" i="6"/>
  <c r="S2303" i="6"/>
  <c r="R2303" i="6"/>
  <c r="Q2303" i="6"/>
  <c r="P2303" i="6"/>
  <c r="O2303" i="6"/>
  <c r="U2303" i="6" s="1"/>
  <c r="N2303" i="6"/>
  <c r="V2302" i="6"/>
  <c r="T2302" i="6"/>
  <c r="S2302" i="6"/>
  <c r="R2302" i="6"/>
  <c r="Q2302" i="6"/>
  <c r="P2302" i="6"/>
  <c r="O2302" i="6"/>
  <c r="U2302" i="6" s="1"/>
  <c r="N2302" i="6"/>
  <c r="V2301" i="6"/>
  <c r="T2301" i="6"/>
  <c r="S2301" i="6"/>
  <c r="R2301" i="6"/>
  <c r="Q2301" i="6"/>
  <c r="P2301" i="6"/>
  <c r="O2301" i="6"/>
  <c r="U2301" i="6" s="1"/>
  <c r="N2301" i="6"/>
  <c r="V2300" i="6"/>
  <c r="T2300" i="6"/>
  <c r="S2300" i="6"/>
  <c r="R2300" i="6"/>
  <c r="Q2300" i="6"/>
  <c r="P2300" i="6"/>
  <c r="O2300" i="6"/>
  <c r="U2300" i="6" s="1"/>
  <c r="N2300" i="6"/>
  <c r="V2299" i="6"/>
  <c r="T2299" i="6"/>
  <c r="S2299" i="6"/>
  <c r="R2299" i="6"/>
  <c r="Q2299" i="6"/>
  <c r="P2299" i="6"/>
  <c r="O2299" i="6"/>
  <c r="U2299" i="6" s="1"/>
  <c r="N2299" i="6"/>
  <c r="V2298" i="6"/>
  <c r="T2298" i="6"/>
  <c r="S2298" i="6"/>
  <c r="R2298" i="6"/>
  <c r="Q2298" i="6"/>
  <c r="P2298" i="6"/>
  <c r="O2298" i="6"/>
  <c r="U2298" i="6" s="1"/>
  <c r="N2298" i="6"/>
  <c r="V2297" i="6"/>
  <c r="T2297" i="6"/>
  <c r="S2297" i="6"/>
  <c r="R2297" i="6"/>
  <c r="Q2297" i="6"/>
  <c r="P2297" i="6"/>
  <c r="O2297" i="6"/>
  <c r="U2297" i="6" s="1"/>
  <c r="N2297" i="6"/>
  <c r="V2296" i="6"/>
  <c r="T2296" i="6"/>
  <c r="S2296" i="6"/>
  <c r="R2296" i="6"/>
  <c r="Q2296" i="6"/>
  <c r="P2296" i="6"/>
  <c r="O2296" i="6"/>
  <c r="U2296" i="6" s="1"/>
  <c r="N2296" i="6"/>
  <c r="V2295" i="6"/>
  <c r="T2295" i="6"/>
  <c r="S2295" i="6"/>
  <c r="R2295" i="6"/>
  <c r="Q2295" i="6"/>
  <c r="P2295" i="6"/>
  <c r="O2295" i="6"/>
  <c r="U2295" i="6" s="1"/>
  <c r="N2295" i="6"/>
  <c r="V2294" i="6"/>
  <c r="T2294" i="6"/>
  <c r="S2294" i="6"/>
  <c r="R2294" i="6"/>
  <c r="Q2294" i="6"/>
  <c r="P2294" i="6"/>
  <c r="O2294" i="6"/>
  <c r="U2294" i="6" s="1"/>
  <c r="N2294" i="6"/>
  <c r="V2293" i="6"/>
  <c r="T2293" i="6"/>
  <c r="S2293" i="6"/>
  <c r="R2293" i="6"/>
  <c r="Q2293" i="6"/>
  <c r="P2293" i="6"/>
  <c r="O2293" i="6"/>
  <c r="U2293" i="6" s="1"/>
  <c r="N2293" i="6"/>
  <c r="V2292" i="6"/>
  <c r="T2292" i="6"/>
  <c r="S2292" i="6"/>
  <c r="R2292" i="6"/>
  <c r="Q2292" i="6"/>
  <c r="P2292" i="6"/>
  <c r="O2292" i="6"/>
  <c r="U2292" i="6" s="1"/>
  <c r="N2292" i="6"/>
  <c r="V2291" i="6"/>
  <c r="T2291" i="6"/>
  <c r="S2291" i="6"/>
  <c r="R2291" i="6"/>
  <c r="Q2291" i="6"/>
  <c r="P2291" i="6"/>
  <c r="O2291" i="6"/>
  <c r="U2291" i="6" s="1"/>
  <c r="N2291" i="6"/>
  <c r="V2290" i="6"/>
  <c r="T2290" i="6"/>
  <c r="S2290" i="6"/>
  <c r="R2290" i="6"/>
  <c r="Q2290" i="6"/>
  <c r="P2290" i="6"/>
  <c r="O2290" i="6"/>
  <c r="U2290" i="6" s="1"/>
  <c r="N2290" i="6"/>
  <c r="V2289" i="6"/>
  <c r="T2289" i="6"/>
  <c r="S2289" i="6"/>
  <c r="R2289" i="6"/>
  <c r="Q2289" i="6"/>
  <c r="P2289" i="6"/>
  <c r="O2289" i="6"/>
  <c r="U2289" i="6" s="1"/>
  <c r="N2289" i="6"/>
  <c r="V2288" i="6"/>
  <c r="T2288" i="6"/>
  <c r="S2288" i="6"/>
  <c r="R2288" i="6"/>
  <c r="Q2288" i="6"/>
  <c r="P2288" i="6"/>
  <c r="O2288" i="6"/>
  <c r="U2288" i="6" s="1"/>
  <c r="N2288" i="6"/>
  <c r="V2287" i="6"/>
  <c r="T2287" i="6"/>
  <c r="S2287" i="6"/>
  <c r="R2287" i="6"/>
  <c r="Q2287" i="6"/>
  <c r="P2287" i="6"/>
  <c r="O2287" i="6"/>
  <c r="U2287" i="6" s="1"/>
  <c r="N2287" i="6"/>
  <c r="V2286" i="6"/>
  <c r="T2286" i="6"/>
  <c r="S2286" i="6"/>
  <c r="R2286" i="6"/>
  <c r="Q2286" i="6"/>
  <c r="P2286" i="6"/>
  <c r="O2286" i="6"/>
  <c r="U2286" i="6" s="1"/>
  <c r="N2286" i="6"/>
  <c r="V2285" i="6"/>
  <c r="T2285" i="6"/>
  <c r="S2285" i="6"/>
  <c r="R2285" i="6"/>
  <c r="Q2285" i="6"/>
  <c r="P2285" i="6"/>
  <c r="O2285" i="6"/>
  <c r="U2285" i="6" s="1"/>
  <c r="N2285" i="6"/>
  <c r="V2284" i="6"/>
  <c r="T2284" i="6"/>
  <c r="S2284" i="6"/>
  <c r="R2284" i="6"/>
  <c r="Q2284" i="6"/>
  <c r="P2284" i="6"/>
  <c r="O2284" i="6"/>
  <c r="U2284" i="6" s="1"/>
  <c r="N2284" i="6"/>
  <c r="V2283" i="6"/>
  <c r="T2283" i="6"/>
  <c r="S2283" i="6"/>
  <c r="R2283" i="6"/>
  <c r="Q2283" i="6"/>
  <c r="P2283" i="6"/>
  <c r="O2283" i="6"/>
  <c r="U2283" i="6" s="1"/>
  <c r="N2283" i="6"/>
  <c r="V2282" i="6"/>
  <c r="T2282" i="6"/>
  <c r="S2282" i="6"/>
  <c r="R2282" i="6"/>
  <c r="Q2282" i="6"/>
  <c r="P2282" i="6"/>
  <c r="O2282" i="6"/>
  <c r="U2282" i="6" s="1"/>
  <c r="N2282" i="6"/>
  <c r="V2281" i="6"/>
  <c r="T2281" i="6"/>
  <c r="S2281" i="6"/>
  <c r="R2281" i="6"/>
  <c r="Q2281" i="6"/>
  <c r="P2281" i="6"/>
  <c r="O2281" i="6"/>
  <c r="U2281" i="6" s="1"/>
  <c r="N2281" i="6"/>
  <c r="V2280" i="6"/>
  <c r="T2280" i="6"/>
  <c r="S2280" i="6"/>
  <c r="R2280" i="6"/>
  <c r="Q2280" i="6"/>
  <c r="P2280" i="6"/>
  <c r="O2280" i="6"/>
  <c r="U2280" i="6" s="1"/>
  <c r="N2280" i="6"/>
  <c r="V2279" i="6"/>
  <c r="T2279" i="6"/>
  <c r="S2279" i="6"/>
  <c r="R2279" i="6"/>
  <c r="Q2279" i="6"/>
  <c r="P2279" i="6"/>
  <c r="O2279" i="6"/>
  <c r="U2279" i="6" s="1"/>
  <c r="N2279" i="6"/>
  <c r="V2278" i="6"/>
  <c r="T2278" i="6"/>
  <c r="S2278" i="6"/>
  <c r="R2278" i="6"/>
  <c r="Q2278" i="6"/>
  <c r="P2278" i="6"/>
  <c r="O2278" i="6"/>
  <c r="U2278" i="6" s="1"/>
  <c r="N2278" i="6"/>
  <c r="V2277" i="6"/>
  <c r="T2277" i="6"/>
  <c r="S2277" i="6"/>
  <c r="R2277" i="6"/>
  <c r="Q2277" i="6"/>
  <c r="P2277" i="6"/>
  <c r="O2277" i="6"/>
  <c r="U2277" i="6" s="1"/>
  <c r="N2277" i="6"/>
  <c r="V2276" i="6"/>
  <c r="T2276" i="6"/>
  <c r="S2276" i="6"/>
  <c r="R2276" i="6"/>
  <c r="Q2276" i="6"/>
  <c r="P2276" i="6"/>
  <c r="O2276" i="6"/>
  <c r="U2276" i="6" s="1"/>
  <c r="N2276" i="6"/>
  <c r="V2275" i="6"/>
  <c r="T2275" i="6"/>
  <c r="S2275" i="6"/>
  <c r="R2275" i="6"/>
  <c r="Q2275" i="6"/>
  <c r="P2275" i="6"/>
  <c r="O2275" i="6"/>
  <c r="U2275" i="6" s="1"/>
  <c r="N2275" i="6"/>
  <c r="V2274" i="6"/>
  <c r="T2274" i="6"/>
  <c r="S2274" i="6"/>
  <c r="R2274" i="6"/>
  <c r="Q2274" i="6"/>
  <c r="P2274" i="6"/>
  <c r="O2274" i="6"/>
  <c r="U2274" i="6" s="1"/>
  <c r="N2274" i="6"/>
  <c r="V2273" i="6"/>
  <c r="T2273" i="6"/>
  <c r="S2273" i="6"/>
  <c r="R2273" i="6"/>
  <c r="Q2273" i="6"/>
  <c r="P2273" i="6"/>
  <c r="O2273" i="6"/>
  <c r="U2273" i="6" s="1"/>
  <c r="N2273" i="6"/>
  <c r="V2272" i="6"/>
  <c r="T2272" i="6"/>
  <c r="S2272" i="6"/>
  <c r="R2272" i="6"/>
  <c r="Q2272" i="6"/>
  <c r="P2272" i="6"/>
  <c r="O2272" i="6"/>
  <c r="U2272" i="6" s="1"/>
  <c r="N2272" i="6"/>
  <c r="V2271" i="6"/>
  <c r="T2271" i="6"/>
  <c r="S2271" i="6"/>
  <c r="R2271" i="6"/>
  <c r="Q2271" i="6"/>
  <c r="P2271" i="6"/>
  <c r="O2271" i="6"/>
  <c r="U2271" i="6" s="1"/>
  <c r="N2271" i="6"/>
  <c r="V2270" i="6"/>
  <c r="T2270" i="6"/>
  <c r="S2270" i="6"/>
  <c r="R2270" i="6"/>
  <c r="Q2270" i="6"/>
  <c r="P2270" i="6"/>
  <c r="O2270" i="6"/>
  <c r="U2270" i="6" s="1"/>
  <c r="N2270" i="6"/>
  <c r="V2269" i="6"/>
  <c r="T2269" i="6"/>
  <c r="S2269" i="6"/>
  <c r="R2269" i="6"/>
  <c r="Q2269" i="6"/>
  <c r="P2269" i="6"/>
  <c r="O2269" i="6"/>
  <c r="U2269" i="6" s="1"/>
  <c r="N2269" i="6"/>
  <c r="V2268" i="6"/>
  <c r="T2268" i="6"/>
  <c r="S2268" i="6"/>
  <c r="R2268" i="6"/>
  <c r="Q2268" i="6"/>
  <c r="P2268" i="6"/>
  <c r="O2268" i="6"/>
  <c r="U2268" i="6" s="1"/>
  <c r="N2268" i="6"/>
  <c r="V2267" i="6"/>
  <c r="T2267" i="6"/>
  <c r="S2267" i="6"/>
  <c r="R2267" i="6"/>
  <c r="Q2267" i="6"/>
  <c r="P2267" i="6"/>
  <c r="O2267" i="6"/>
  <c r="U2267" i="6" s="1"/>
  <c r="N2267" i="6"/>
  <c r="V2266" i="6"/>
  <c r="T2266" i="6"/>
  <c r="S2266" i="6"/>
  <c r="R2266" i="6"/>
  <c r="Q2266" i="6"/>
  <c r="P2266" i="6"/>
  <c r="O2266" i="6"/>
  <c r="U2266" i="6" s="1"/>
  <c r="N2266" i="6"/>
  <c r="V2265" i="6"/>
  <c r="T2265" i="6"/>
  <c r="S2265" i="6"/>
  <c r="R2265" i="6"/>
  <c r="Q2265" i="6"/>
  <c r="P2265" i="6"/>
  <c r="O2265" i="6"/>
  <c r="U2265" i="6" s="1"/>
  <c r="N2265" i="6"/>
  <c r="V2264" i="6"/>
  <c r="T2264" i="6"/>
  <c r="S2264" i="6"/>
  <c r="R2264" i="6"/>
  <c r="Q2264" i="6"/>
  <c r="P2264" i="6"/>
  <c r="O2264" i="6"/>
  <c r="U2264" i="6" s="1"/>
  <c r="N2264" i="6"/>
  <c r="V2263" i="6"/>
  <c r="T2263" i="6"/>
  <c r="S2263" i="6"/>
  <c r="R2263" i="6"/>
  <c r="Q2263" i="6"/>
  <c r="P2263" i="6"/>
  <c r="O2263" i="6"/>
  <c r="U2263" i="6" s="1"/>
  <c r="N2263" i="6"/>
  <c r="V2262" i="6"/>
  <c r="T2262" i="6"/>
  <c r="S2262" i="6"/>
  <c r="R2262" i="6"/>
  <c r="Q2262" i="6"/>
  <c r="P2262" i="6"/>
  <c r="O2262" i="6"/>
  <c r="U2262" i="6" s="1"/>
  <c r="N2262" i="6"/>
  <c r="V2261" i="6"/>
  <c r="T2261" i="6"/>
  <c r="S2261" i="6"/>
  <c r="R2261" i="6"/>
  <c r="Q2261" i="6"/>
  <c r="P2261" i="6"/>
  <c r="O2261" i="6"/>
  <c r="U2261" i="6" s="1"/>
  <c r="N2261" i="6"/>
  <c r="V2260" i="6"/>
  <c r="T2260" i="6"/>
  <c r="S2260" i="6"/>
  <c r="R2260" i="6"/>
  <c r="Q2260" i="6"/>
  <c r="P2260" i="6"/>
  <c r="O2260" i="6"/>
  <c r="U2260" i="6" s="1"/>
  <c r="N2260" i="6"/>
  <c r="V2259" i="6"/>
  <c r="T2259" i="6"/>
  <c r="S2259" i="6"/>
  <c r="R2259" i="6"/>
  <c r="Q2259" i="6"/>
  <c r="P2259" i="6"/>
  <c r="O2259" i="6"/>
  <c r="U2259" i="6" s="1"/>
  <c r="N2259" i="6"/>
  <c r="V2258" i="6"/>
  <c r="T2258" i="6"/>
  <c r="S2258" i="6"/>
  <c r="R2258" i="6"/>
  <c r="Q2258" i="6"/>
  <c r="P2258" i="6"/>
  <c r="O2258" i="6"/>
  <c r="U2258" i="6" s="1"/>
  <c r="N2258" i="6"/>
  <c r="V2257" i="6"/>
  <c r="T2257" i="6"/>
  <c r="S2257" i="6"/>
  <c r="R2257" i="6"/>
  <c r="Q2257" i="6"/>
  <c r="P2257" i="6"/>
  <c r="O2257" i="6"/>
  <c r="U2257" i="6" s="1"/>
  <c r="N2257" i="6"/>
  <c r="V2256" i="6"/>
  <c r="T2256" i="6"/>
  <c r="S2256" i="6"/>
  <c r="R2256" i="6"/>
  <c r="Q2256" i="6"/>
  <c r="P2256" i="6"/>
  <c r="O2256" i="6"/>
  <c r="U2256" i="6" s="1"/>
  <c r="N2256" i="6"/>
  <c r="V2255" i="6"/>
  <c r="T2255" i="6"/>
  <c r="S2255" i="6"/>
  <c r="R2255" i="6"/>
  <c r="Q2255" i="6"/>
  <c r="P2255" i="6"/>
  <c r="O2255" i="6"/>
  <c r="U2255" i="6" s="1"/>
  <c r="N2255" i="6"/>
  <c r="V2254" i="6"/>
  <c r="T2254" i="6"/>
  <c r="S2254" i="6"/>
  <c r="R2254" i="6"/>
  <c r="Q2254" i="6"/>
  <c r="P2254" i="6"/>
  <c r="O2254" i="6"/>
  <c r="U2254" i="6" s="1"/>
  <c r="N2254" i="6"/>
  <c r="V2253" i="6"/>
  <c r="T2253" i="6"/>
  <c r="S2253" i="6"/>
  <c r="R2253" i="6"/>
  <c r="Q2253" i="6"/>
  <c r="P2253" i="6"/>
  <c r="O2253" i="6"/>
  <c r="U2253" i="6" s="1"/>
  <c r="N2253" i="6"/>
  <c r="V2252" i="6"/>
  <c r="T2252" i="6"/>
  <c r="S2252" i="6"/>
  <c r="R2252" i="6"/>
  <c r="Q2252" i="6"/>
  <c r="P2252" i="6"/>
  <c r="O2252" i="6"/>
  <c r="U2252" i="6" s="1"/>
  <c r="N2252" i="6"/>
  <c r="V2251" i="6"/>
  <c r="T2251" i="6"/>
  <c r="S2251" i="6"/>
  <c r="R2251" i="6"/>
  <c r="Q2251" i="6"/>
  <c r="P2251" i="6"/>
  <c r="O2251" i="6"/>
  <c r="U2251" i="6" s="1"/>
  <c r="N2251" i="6"/>
  <c r="V2250" i="6"/>
  <c r="T2250" i="6"/>
  <c r="S2250" i="6"/>
  <c r="R2250" i="6"/>
  <c r="Q2250" i="6"/>
  <c r="P2250" i="6"/>
  <c r="O2250" i="6"/>
  <c r="U2250" i="6" s="1"/>
  <c r="N2250" i="6"/>
  <c r="V2249" i="6"/>
  <c r="T2249" i="6"/>
  <c r="S2249" i="6"/>
  <c r="R2249" i="6"/>
  <c r="Q2249" i="6"/>
  <c r="P2249" i="6"/>
  <c r="O2249" i="6"/>
  <c r="U2249" i="6" s="1"/>
  <c r="N2249" i="6"/>
  <c r="V2248" i="6"/>
  <c r="T2248" i="6"/>
  <c r="S2248" i="6"/>
  <c r="R2248" i="6"/>
  <c r="Q2248" i="6"/>
  <c r="P2248" i="6"/>
  <c r="O2248" i="6"/>
  <c r="U2248" i="6" s="1"/>
  <c r="N2248" i="6"/>
  <c r="V2247" i="6"/>
  <c r="T2247" i="6"/>
  <c r="S2247" i="6"/>
  <c r="R2247" i="6"/>
  <c r="Q2247" i="6"/>
  <c r="P2247" i="6"/>
  <c r="O2247" i="6"/>
  <c r="U2247" i="6" s="1"/>
  <c r="N2247" i="6"/>
  <c r="V2246" i="6"/>
  <c r="T2246" i="6"/>
  <c r="S2246" i="6"/>
  <c r="R2246" i="6"/>
  <c r="Q2246" i="6"/>
  <c r="P2246" i="6"/>
  <c r="O2246" i="6"/>
  <c r="U2246" i="6" s="1"/>
  <c r="N2246" i="6"/>
  <c r="V2245" i="6"/>
  <c r="T2245" i="6"/>
  <c r="S2245" i="6"/>
  <c r="R2245" i="6"/>
  <c r="Q2245" i="6"/>
  <c r="P2245" i="6"/>
  <c r="O2245" i="6"/>
  <c r="U2245" i="6" s="1"/>
  <c r="N2245" i="6"/>
  <c r="V2244" i="6"/>
  <c r="T2244" i="6"/>
  <c r="S2244" i="6"/>
  <c r="R2244" i="6"/>
  <c r="Q2244" i="6"/>
  <c r="P2244" i="6"/>
  <c r="O2244" i="6"/>
  <c r="U2244" i="6" s="1"/>
  <c r="N2244" i="6"/>
  <c r="V2243" i="6"/>
  <c r="T2243" i="6"/>
  <c r="S2243" i="6"/>
  <c r="R2243" i="6"/>
  <c r="Q2243" i="6"/>
  <c r="P2243" i="6"/>
  <c r="O2243" i="6"/>
  <c r="U2243" i="6" s="1"/>
  <c r="N2243" i="6"/>
  <c r="V2242" i="6"/>
  <c r="T2242" i="6"/>
  <c r="S2242" i="6"/>
  <c r="R2242" i="6"/>
  <c r="Q2242" i="6"/>
  <c r="P2242" i="6"/>
  <c r="O2242" i="6"/>
  <c r="U2242" i="6" s="1"/>
  <c r="N2242" i="6"/>
  <c r="V2241" i="6"/>
  <c r="T2241" i="6"/>
  <c r="S2241" i="6"/>
  <c r="R2241" i="6"/>
  <c r="Q2241" i="6"/>
  <c r="P2241" i="6"/>
  <c r="O2241" i="6"/>
  <c r="U2241" i="6" s="1"/>
  <c r="N2241" i="6"/>
  <c r="V2240" i="6"/>
  <c r="T2240" i="6"/>
  <c r="S2240" i="6"/>
  <c r="R2240" i="6"/>
  <c r="Q2240" i="6"/>
  <c r="P2240" i="6"/>
  <c r="O2240" i="6"/>
  <c r="U2240" i="6" s="1"/>
  <c r="N2240" i="6"/>
  <c r="V2239" i="6"/>
  <c r="T2239" i="6"/>
  <c r="S2239" i="6"/>
  <c r="R2239" i="6"/>
  <c r="Q2239" i="6"/>
  <c r="P2239" i="6"/>
  <c r="O2239" i="6"/>
  <c r="U2239" i="6" s="1"/>
  <c r="N2239" i="6"/>
  <c r="V2238" i="6"/>
  <c r="T2238" i="6"/>
  <c r="S2238" i="6"/>
  <c r="R2238" i="6"/>
  <c r="Q2238" i="6"/>
  <c r="P2238" i="6"/>
  <c r="O2238" i="6"/>
  <c r="U2238" i="6" s="1"/>
  <c r="N2238" i="6"/>
  <c r="V2237" i="6"/>
  <c r="T2237" i="6"/>
  <c r="S2237" i="6"/>
  <c r="R2237" i="6"/>
  <c r="Q2237" i="6"/>
  <c r="P2237" i="6"/>
  <c r="O2237" i="6"/>
  <c r="U2237" i="6" s="1"/>
  <c r="N2237" i="6"/>
  <c r="V2236" i="6"/>
  <c r="T2236" i="6"/>
  <c r="S2236" i="6"/>
  <c r="R2236" i="6"/>
  <c r="Q2236" i="6"/>
  <c r="P2236" i="6"/>
  <c r="O2236" i="6"/>
  <c r="U2236" i="6" s="1"/>
  <c r="N2236" i="6"/>
  <c r="V2235" i="6"/>
  <c r="T2235" i="6"/>
  <c r="S2235" i="6"/>
  <c r="R2235" i="6"/>
  <c r="Q2235" i="6"/>
  <c r="P2235" i="6"/>
  <c r="O2235" i="6"/>
  <c r="U2235" i="6" s="1"/>
  <c r="N2235" i="6"/>
  <c r="V2234" i="6"/>
  <c r="T2234" i="6"/>
  <c r="S2234" i="6"/>
  <c r="R2234" i="6"/>
  <c r="Q2234" i="6"/>
  <c r="P2234" i="6"/>
  <c r="O2234" i="6"/>
  <c r="U2234" i="6" s="1"/>
  <c r="N2234" i="6"/>
  <c r="V2233" i="6"/>
  <c r="T2233" i="6"/>
  <c r="S2233" i="6"/>
  <c r="R2233" i="6"/>
  <c r="Q2233" i="6"/>
  <c r="P2233" i="6"/>
  <c r="O2233" i="6"/>
  <c r="U2233" i="6" s="1"/>
  <c r="N2233" i="6"/>
  <c r="V2232" i="6"/>
  <c r="T2232" i="6"/>
  <c r="S2232" i="6"/>
  <c r="R2232" i="6"/>
  <c r="Q2232" i="6"/>
  <c r="P2232" i="6"/>
  <c r="O2232" i="6"/>
  <c r="U2232" i="6" s="1"/>
  <c r="N2232" i="6"/>
  <c r="V2231" i="6"/>
  <c r="T2231" i="6"/>
  <c r="S2231" i="6"/>
  <c r="R2231" i="6"/>
  <c r="Q2231" i="6"/>
  <c r="P2231" i="6"/>
  <c r="O2231" i="6"/>
  <c r="U2231" i="6" s="1"/>
  <c r="N2231" i="6"/>
  <c r="V2230" i="6"/>
  <c r="T2230" i="6"/>
  <c r="S2230" i="6"/>
  <c r="R2230" i="6"/>
  <c r="Q2230" i="6"/>
  <c r="P2230" i="6"/>
  <c r="O2230" i="6"/>
  <c r="U2230" i="6" s="1"/>
  <c r="N2230" i="6"/>
  <c r="V2229" i="6"/>
  <c r="T2229" i="6"/>
  <c r="S2229" i="6"/>
  <c r="R2229" i="6"/>
  <c r="Q2229" i="6"/>
  <c r="P2229" i="6"/>
  <c r="O2229" i="6"/>
  <c r="U2229" i="6" s="1"/>
  <c r="N2229" i="6"/>
  <c r="V2228" i="6"/>
  <c r="T2228" i="6"/>
  <c r="S2228" i="6"/>
  <c r="R2228" i="6"/>
  <c r="Q2228" i="6"/>
  <c r="P2228" i="6"/>
  <c r="O2228" i="6"/>
  <c r="U2228" i="6" s="1"/>
  <c r="N2228" i="6"/>
  <c r="V2227" i="6"/>
  <c r="T2227" i="6"/>
  <c r="S2227" i="6"/>
  <c r="R2227" i="6"/>
  <c r="Q2227" i="6"/>
  <c r="P2227" i="6"/>
  <c r="O2227" i="6"/>
  <c r="U2227" i="6" s="1"/>
  <c r="N2227" i="6"/>
  <c r="V2226" i="6"/>
  <c r="T2226" i="6"/>
  <c r="S2226" i="6"/>
  <c r="R2226" i="6"/>
  <c r="Q2226" i="6"/>
  <c r="P2226" i="6"/>
  <c r="O2226" i="6"/>
  <c r="U2226" i="6" s="1"/>
  <c r="N2226" i="6"/>
  <c r="V2225" i="6"/>
  <c r="T2225" i="6"/>
  <c r="S2225" i="6"/>
  <c r="R2225" i="6"/>
  <c r="Q2225" i="6"/>
  <c r="P2225" i="6"/>
  <c r="O2225" i="6"/>
  <c r="U2225" i="6" s="1"/>
  <c r="N2225" i="6"/>
  <c r="V2224" i="6"/>
  <c r="T2224" i="6"/>
  <c r="S2224" i="6"/>
  <c r="R2224" i="6"/>
  <c r="Q2224" i="6"/>
  <c r="P2224" i="6"/>
  <c r="O2224" i="6"/>
  <c r="U2224" i="6" s="1"/>
  <c r="N2224" i="6"/>
  <c r="V2223" i="6"/>
  <c r="T2223" i="6"/>
  <c r="S2223" i="6"/>
  <c r="R2223" i="6"/>
  <c r="Q2223" i="6"/>
  <c r="P2223" i="6"/>
  <c r="O2223" i="6"/>
  <c r="U2223" i="6" s="1"/>
  <c r="N2223" i="6"/>
  <c r="V2222" i="6"/>
  <c r="T2222" i="6"/>
  <c r="S2222" i="6"/>
  <c r="R2222" i="6"/>
  <c r="Q2222" i="6"/>
  <c r="P2222" i="6"/>
  <c r="O2222" i="6"/>
  <c r="U2222" i="6" s="1"/>
  <c r="N2222" i="6"/>
  <c r="V2221" i="6"/>
  <c r="T2221" i="6"/>
  <c r="S2221" i="6"/>
  <c r="R2221" i="6"/>
  <c r="Q2221" i="6"/>
  <c r="P2221" i="6"/>
  <c r="O2221" i="6"/>
  <c r="U2221" i="6" s="1"/>
  <c r="N2221" i="6"/>
  <c r="V2220" i="6"/>
  <c r="T2220" i="6"/>
  <c r="S2220" i="6"/>
  <c r="R2220" i="6"/>
  <c r="Q2220" i="6"/>
  <c r="P2220" i="6"/>
  <c r="O2220" i="6"/>
  <c r="U2220" i="6" s="1"/>
  <c r="N2220" i="6"/>
  <c r="V2219" i="6"/>
  <c r="T2219" i="6"/>
  <c r="S2219" i="6"/>
  <c r="R2219" i="6"/>
  <c r="Q2219" i="6"/>
  <c r="P2219" i="6"/>
  <c r="O2219" i="6"/>
  <c r="U2219" i="6" s="1"/>
  <c r="N2219" i="6"/>
  <c r="V2218" i="6"/>
  <c r="T2218" i="6"/>
  <c r="S2218" i="6"/>
  <c r="R2218" i="6"/>
  <c r="Q2218" i="6"/>
  <c r="P2218" i="6"/>
  <c r="O2218" i="6"/>
  <c r="U2218" i="6" s="1"/>
  <c r="N2218" i="6"/>
  <c r="V2217" i="6"/>
  <c r="T2217" i="6"/>
  <c r="S2217" i="6"/>
  <c r="R2217" i="6"/>
  <c r="Q2217" i="6"/>
  <c r="P2217" i="6"/>
  <c r="O2217" i="6"/>
  <c r="U2217" i="6" s="1"/>
  <c r="N2217" i="6"/>
  <c r="V2216" i="6"/>
  <c r="T2216" i="6"/>
  <c r="S2216" i="6"/>
  <c r="R2216" i="6"/>
  <c r="Q2216" i="6"/>
  <c r="P2216" i="6"/>
  <c r="O2216" i="6"/>
  <c r="U2216" i="6" s="1"/>
  <c r="N2216" i="6"/>
  <c r="V2215" i="6"/>
  <c r="T2215" i="6"/>
  <c r="S2215" i="6"/>
  <c r="R2215" i="6"/>
  <c r="Q2215" i="6"/>
  <c r="P2215" i="6"/>
  <c r="O2215" i="6"/>
  <c r="U2215" i="6" s="1"/>
  <c r="N2215" i="6"/>
  <c r="V2214" i="6"/>
  <c r="T2214" i="6"/>
  <c r="S2214" i="6"/>
  <c r="R2214" i="6"/>
  <c r="Q2214" i="6"/>
  <c r="P2214" i="6"/>
  <c r="O2214" i="6"/>
  <c r="U2214" i="6" s="1"/>
  <c r="N2214" i="6"/>
  <c r="V2213" i="6"/>
  <c r="T2213" i="6"/>
  <c r="S2213" i="6"/>
  <c r="R2213" i="6"/>
  <c r="Q2213" i="6"/>
  <c r="P2213" i="6"/>
  <c r="O2213" i="6"/>
  <c r="U2213" i="6" s="1"/>
  <c r="N2213" i="6"/>
  <c r="V2212" i="6"/>
  <c r="T2212" i="6"/>
  <c r="S2212" i="6"/>
  <c r="R2212" i="6"/>
  <c r="Q2212" i="6"/>
  <c r="P2212" i="6"/>
  <c r="O2212" i="6"/>
  <c r="U2212" i="6" s="1"/>
  <c r="N2212" i="6"/>
  <c r="V2211" i="6"/>
  <c r="T2211" i="6"/>
  <c r="S2211" i="6"/>
  <c r="R2211" i="6"/>
  <c r="Q2211" i="6"/>
  <c r="P2211" i="6"/>
  <c r="O2211" i="6"/>
  <c r="U2211" i="6" s="1"/>
  <c r="N2211" i="6"/>
  <c r="V2210" i="6"/>
  <c r="T2210" i="6"/>
  <c r="S2210" i="6"/>
  <c r="R2210" i="6"/>
  <c r="Q2210" i="6"/>
  <c r="P2210" i="6"/>
  <c r="O2210" i="6"/>
  <c r="U2210" i="6" s="1"/>
  <c r="N2210" i="6"/>
  <c r="V2209" i="6"/>
  <c r="T2209" i="6"/>
  <c r="S2209" i="6"/>
  <c r="R2209" i="6"/>
  <c r="Q2209" i="6"/>
  <c r="P2209" i="6"/>
  <c r="O2209" i="6"/>
  <c r="U2209" i="6" s="1"/>
  <c r="N2209" i="6"/>
  <c r="V2208" i="6"/>
  <c r="T2208" i="6"/>
  <c r="S2208" i="6"/>
  <c r="R2208" i="6"/>
  <c r="Q2208" i="6"/>
  <c r="P2208" i="6"/>
  <c r="O2208" i="6"/>
  <c r="U2208" i="6" s="1"/>
  <c r="N2208" i="6"/>
  <c r="V2207" i="6"/>
  <c r="T2207" i="6"/>
  <c r="S2207" i="6"/>
  <c r="R2207" i="6"/>
  <c r="Q2207" i="6"/>
  <c r="P2207" i="6"/>
  <c r="O2207" i="6"/>
  <c r="U2207" i="6" s="1"/>
  <c r="N2207" i="6"/>
  <c r="V2206" i="6"/>
  <c r="T2206" i="6"/>
  <c r="S2206" i="6"/>
  <c r="R2206" i="6"/>
  <c r="Q2206" i="6"/>
  <c r="P2206" i="6"/>
  <c r="O2206" i="6"/>
  <c r="U2206" i="6" s="1"/>
  <c r="N2206" i="6"/>
  <c r="V2205" i="6"/>
  <c r="T2205" i="6"/>
  <c r="S2205" i="6"/>
  <c r="R2205" i="6"/>
  <c r="Q2205" i="6"/>
  <c r="P2205" i="6"/>
  <c r="O2205" i="6"/>
  <c r="U2205" i="6" s="1"/>
  <c r="N2205" i="6"/>
  <c r="V2204" i="6"/>
  <c r="T2204" i="6"/>
  <c r="S2204" i="6"/>
  <c r="R2204" i="6"/>
  <c r="Q2204" i="6"/>
  <c r="P2204" i="6"/>
  <c r="O2204" i="6"/>
  <c r="U2204" i="6" s="1"/>
  <c r="N2204" i="6"/>
  <c r="V2203" i="6"/>
  <c r="T2203" i="6"/>
  <c r="S2203" i="6"/>
  <c r="R2203" i="6"/>
  <c r="Q2203" i="6"/>
  <c r="P2203" i="6"/>
  <c r="O2203" i="6"/>
  <c r="U2203" i="6" s="1"/>
  <c r="N2203" i="6"/>
  <c r="V2202" i="6"/>
  <c r="T2202" i="6"/>
  <c r="S2202" i="6"/>
  <c r="R2202" i="6"/>
  <c r="Q2202" i="6"/>
  <c r="P2202" i="6"/>
  <c r="O2202" i="6"/>
  <c r="U2202" i="6" s="1"/>
  <c r="N2202" i="6"/>
  <c r="V2201" i="6"/>
  <c r="T2201" i="6"/>
  <c r="S2201" i="6"/>
  <c r="R2201" i="6"/>
  <c r="Q2201" i="6"/>
  <c r="P2201" i="6"/>
  <c r="O2201" i="6"/>
  <c r="U2201" i="6" s="1"/>
  <c r="N2201" i="6"/>
  <c r="V2200" i="6"/>
  <c r="T2200" i="6"/>
  <c r="S2200" i="6"/>
  <c r="R2200" i="6"/>
  <c r="Q2200" i="6"/>
  <c r="P2200" i="6"/>
  <c r="O2200" i="6"/>
  <c r="U2200" i="6" s="1"/>
  <c r="N2200" i="6"/>
  <c r="V2199" i="6"/>
  <c r="T2199" i="6"/>
  <c r="S2199" i="6"/>
  <c r="R2199" i="6"/>
  <c r="Q2199" i="6"/>
  <c r="P2199" i="6"/>
  <c r="O2199" i="6"/>
  <c r="U2199" i="6" s="1"/>
  <c r="N2199" i="6"/>
  <c r="V2198" i="6"/>
  <c r="T2198" i="6"/>
  <c r="S2198" i="6"/>
  <c r="R2198" i="6"/>
  <c r="Q2198" i="6"/>
  <c r="P2198" i="6"/>
  <c r="O2198" i="6"/>
  <c r="U2198" i="6" s="1"/>
  <c r="N2198" i="6"/>
  <c r="V2197" i="6"/>
  <c r="T2197" i="6"/>
  <c r="S2197" i="6"/>
  <c r="R2197" i="6"/>
  <c r="Q2197" i="6"/>
  <c r="P2197" i="6"/>
  <c r="O2197" i="6"/>
  <c r="U2197" i="6" s="1"/>
  <c r="N2197" i="6"/>
  <c r="V2196" i="6"/>
  <c r="T2196" i="6"/>
  <c r="S2196" i="6"/>
  <c r="R2196" i="6"/>
  <c r="Q2196" i="6"/>
  <c r="P2196" i="6"/>
  <c r="O2196" i="6"/>
  <c r="U2196" i="6" s="1"/>
  <c r="N2196" i="6"/>
  <c r="V2195" i="6"/>
  <c r="T2195" i="6"/>
  <c r="S2195" i="6"/>
  <c r="R2195" i="6"/>
  <c r="Q2195" i="6"/>
  <c r="P2195" i="6"/>
  <c r="O2195" i="6"/>
  <c r="U2195" i="6" s="1"/>
  <c r="N2195" i="6"/>
  <c r="V2194" i="6"/>
  <c r="T2194" i="6"/>
  <c r="S2194" i="6"/>
  <c r="R2194" i="6"/>
  <c r="Q2194" i="6"/>
  <c r="P2194" i="6"/>
  <c r="O2194" i="6"/>
  <c r="U2194" i="6" s="1"/>
  <c r="N2194" i="6"/>
  <c r="V2193" i="6"/>
  <c r="T2193" i="6"/>
  <c r="S2193" i="6"/>
  <c r="R2193" i="6"/>
  <c r="Q2193" i="6"/>
  <c r="P2193" i="6"/>
  <c r="O2193" i="6"/>
  <c r="U2193" i="6" s="1"/>
  <c r="N2193" i="6"/>
  <c r="V2192" i="6"/>
  <c r="T2192" i="6"/>
  <c r="S2192" i="6"/>
  <c r="R2192" i="6"/>
  <c r="Q2192" i="6"/>
  <c r="P2192" i="6"/>
  <c r="O2192" i="6"/>
  <c r="U2192" i="6" s="1"/>
  <c r="N2192" i="6"/>
  <c r="V2191" i="6"/>
  <c r="T2191" i="6"/>
  <c r="S2191" i="6"/>
  <c r="R2191" i="6"/>
  <c r="Q2191" i="6"/>
  <c r="P2191" i="6"/>
  <c r="O2191" i="6"/>
  <c r="U2191" i="6" s="1"/>
  <c r="N2191" i="6"/>
  <c r="V2190" i="6"/>
  <c r="T2190" i="6"/>
  <c r="S2190" i="6"/>
  <c r="R2190" i="6"/>
  <c r="Q2190" i="6"/>
  <c r="P2190" i="6"/>
  <c r="O2190" i="6"/>
  <c r="U2190" i="6" s="1"/>
  <c r="N2190" i="6"/>
  <c r="V2189" i="6"/>
  <c r="T2189" i="6"/>
  <c r="S2189" i="6"/>
  <c r="R2189" i="6"/>
  <c r="Q2189" i="6"/>
  <c r="P2189" i="6"/>
  <c r="O2189" i="6"/>
  <c r="U2189" i="6" s="1"/>
  <c r="N2189" i="6"/>
  <c r="V2188" i="6"/>
  <c r="T2188" i="6"/>
  <c r="S2188" i="6"/>
  <c r="R2188" i="6"/>
  <c r="Q2188" i="6"/>
  <c r="P2188" i="6"/>
  <c r="O2188" i="6"/>
  <c r="U2188" i="6" s="1"/>
  <c r="N2188" i="6"/>
  <c r="V2187" i="6"/>
  <c r="T2187" i="6"/>
  <c r="S2187" i="6"/>
  <c r="R2187" i="6"/>
  <c r="Q2187" i="6"/>
  <c r="P2187" i="6"/>
  <c r="O2187" i="6"/>
  <c r="U2187" i="6" s="1"/>
  <c r="N2187" i="6"/>
  <c r="V2186" i="6"/>
  <c r="T2186" i="6"/>
  <c r="S2186" i="6"/>
  <c r="R2186" i="6"/>
  <c r="Q2186" i="6"/>
  <c r="P2186" i="6"/>
  <c r="O2186" i="6"/>
  <c r="U2186" i="6" s="1"/>
  <c r="N2186" i="6"/>
  <c r="V2185" i="6"/>
  <c r="T2185" i="6"/>
  <c r="S2185" i="6"/>
  <c r="R2185" i="6"/>
  <c r="Q2185" i="6"/>
  <c r="P2185" i="6"/>
  <c r="O2185" i="6"/>
  <c r="U2185" i="6" s="1"/>
  <c r="N2185" i="6"/>
  <c r="V2184" i="6"/>
  <c r="T2184" i="6"/>
  <c r="S2184" i="6"/>
  <c r="R2184" i="6"/>
  <c r="Q2184" i="6"/>
  <c r="P2184" i="6"/>
  <c r="O2184" i="6"/>
  <c r="U2184" i="6" s="1"/>
  <c r="N2184" i="6"/>
  <c r="V2183" i="6"/>
  <c r="T2183" i="6"/>
  <c r="S2183" i="6"/>
  <c r="R2183" i="6"/>
  <c r="Q2183" i="6"/>
  <c r="P2183" i="6"/>
  <c r="O2183" i="6"/>
  <c r="U2183" i="6" s="1"/>
  <c r="N2183" i="6"/>
  <c r="V2182" i="6"/>
  <c r="T2182" i="6"/>
  <c r="S2182" i="6"/>
  <c r="R2182" i="6"/>
  <c r="Q2182" i="6"/>
  <c r="P2182" i="6"/>
  <c r="O2182" i="6"/>
  <c r="U2182" i="6" s="1"/>
  <c r="N2182" i="6"/>
  <c r="V2181" i="6"/>
  <c r="T2181" i="6"/>
  <c r="S2181" i="6"/>
  <c r="R2181" i="6"/>
  <c r="Q2181" i="6"/>
  <c r="P2181" i="6"/>
  <c r="O2181" i="6"/>
  <c r="U2181" i="6" s="1"/>
  <c r="N2181" i="6"/>
  <c r="V2180" i="6"/>
  <c r="T2180" i="6"/>
  <c r="S2180" i="6"/>
  <c r="R2180" i="6"/>
  <c r="Q2180" i="6"/>
  <c r="P2180" i="6"/>
  <c r="O2180" i="6"/>
  <c r="U2180" i="6" s="1"/>
  <c r="N2180" i="6"/>
  <c r="V2179" i="6"/>
  <c r="T2179" i="6"/>
  <c r="S2179" i="6"/>
  <c r="R2179" i="6"/>
  <c r="Q2179" i="6"/>
  <c r="P2179" i="6"/>
  <c r="O2179" i="6"/>
  <c r="U2179" i="6" s="1"/>
  <c r="N2179" i="6"/>
  <c r="V2178" i="6"/>
  <c r="T2178" i="6"/>
  <c r="S2178" i="6"/>
  <c r="R2178" i="6"/>
  <c r="Q2178" i="6"/>
  <c r="P2178" i="6"/>
  <c r="O2178" i="6"/>
  <c r="U2178" i="6" s="1"/>
  <c r="N2178" i="6"/>
  <c r="V2177" i="6"/>
  <c r="T2177" i="6"/>
  <c r="S2177" i="6"/>
  <c r="R2177" i="6"/>
  <c r="Q2177" i="6"/>
  <c r="P2177" i="6"/>
  <c r="O2177" i="6"/>
  <c r="U2177" i="6" s="1"/>
  <c r="N2177" i="6"/>
  <c r="V2176" i="6"/>
  <c r="T2176" i="6"/>
  <c r="S2176" i="6"/>
  <c r="R2176" i="6"/>
  <c r="Q2176" i="6"/>
  <c r="P2176" i="6"/>
  <c r="O2176" i="6"/>
  <c r="U2176" i="6" s="1"/>
  <c r="N2176" i="6"/>
  <c r="V2175" i="6"/>
  <c r="T2175" i="6"/>
  <c r="S2175" i="6"/>
  <c r="R2175" i="6"/>
  <c r="Q2175" i="6"/>
  <c r="P2175" i="6"/>
  <c r="O2175" i="6"/>
  <c r="U2175" i="6" s="1"/>
  <c r="N2175" i="6"/>
  <c r="V2174" i="6"/>
  <c r="T2174" i="6"/>
  <c r="S2174" i="6"/>
  <c r="R2174" i="6"/>
  <c r="Q2174" i="6"/>
  <c r="P2174" i="6"/>
  <c r="O2174" i="6"/>
  <c r="U2174" i="6" s="1"/>
  <c r="N2174" i="6"/>
  <c r="V2173" i="6"/>
  <c r="T2173" i="6"/>
  <c r="S2173" i="6"/>
  <c r="R2173" i="6"/>
  <c r="Q2173" i="6"/>
  <c r="P2173" i="6"/>
  <c r="O2173" i="6"/>
  <c r="U2173" i="6" s="1"/>
  <c r="N2173" i="6"/>
  <c r="V2172" i="6"/>
  <c r="T2172" i="6"/>
  <c r="S2172" i="6"/>
  <c r="R2172" i="6"/>
  <c r="Q2172" i="6"/>
  <c r="P2172" i="6"/>
  <c r="O2172" i="6"/>
  <c r="U2172" i="6" s="1"/>
  <c r="N2172" i="6"/>
  <c r="V2171" i="6"/>
  <c r="T2171" i="6"/>
  <c r="S2171" i="6"/>
  <c r="R2171" i="6"/>
  <c r="Q2171" i="6"/>
  <c r="P2171" i="6"/>
  <c r="O2171" i="6"/>
  <c r="U2171" i="6" s="1"/>
  <c r="N2171" i="6"/>
  <c r="V2170" i="6"/>
  <c r="T2170" i="6"/>
  <c r="S2170" i="6"/>
  <c r="R2170" i="6"/>
  <c r="Q2170" i="6"/>
  <c r="P2170" i="6"/>
  <c r="O2170" i="6"/>
  <c r="U2170" i="6" s="1"/>
  <c r="N2170" i="6"/>
  <c r="V2169" i="6"/>
  <c r="T2169" i="6"/>
  <c r="S2169" i="6"/>
  <c r="R2169" i="6"/>
  <c r="Q2169" i="6"/>
  <c r="P2169" i="6"/>
  <c r="O2169" i="6"/>
  <c r="U2169" i="6" s="1"/>
  <c r="N2169" i="6"/>
  <c r="V2168" i="6"/>
  <c r="T2168" i="6"/>
  <c r="S2168" i="6"/>
  <c r="R2168" i="6"/>
  <c r="Q2168" i="6"/>
  <c r="P2168" i="6"/>
  <c r="O2168" i="6"/>
  <c r="U2168" i="6" s="1"/>
  <c r="N2168" i="6"/>
  <c r="V2167" i="6"/>
  <c r="T2167" i="6"/>
  <c r="S2167" i="6"/>
  <c r="R2167" i="6"/>
  <c r="Q2167" i="6"/>
  <c r="P2167" i="6"/>
  <c r="O2167" i="6"/>
  <c r="U2167" i="6" s="1"/>
  <c r="N2167" i="6"/>
  <c r="V2166" i="6"/>
  <c r="T2166" i="6"/>
  <c r="S2166" i="6"/>
  <c r="R2166" i="6"/>
  <c r="Q2166" i="6"/>
  <c r="P2166" i="6"/>
  <c r="O2166" i="6"/>
  <c r="U2166" i="6" s="1"/>
  <c r="N2166" i="6"/>
  <c r="V2165" i="6"/>
  <c r="T2165" i="6"/>
  <c r="S2165" i="6"/>
  <c r="R2165" i="6"/>
  <c r="Q2165" i="6"/>
  <c r="P2165" i="6"/>
  <c r="O2165" i="6"/>
  <c r="U2165" i="6" s="1"/>
  <c r="N2165" i="6"/>
  <c r="V2164" i="6"/>
  <c r="T2164" i="6"/>
  <c r="S2164" i="6"/>
  <c r="R2164" i="6"/>
  <c r="Q2164" i="6"/>
  <c r="P2164" i="6"/>
  <c r="O2164" i="6"/>
  <c r="U2164" i="6" s="1"/>
  <c r="N2164" i="6"/>
  <c r="V2163" i="6"/>
  <c r="T2163" i="6"/>
  <c r="S2163" i="6"/>
  <c r="R2163" i="6"/>
  <c r="Q2163" i="6"/>
  <c r="P2163" i="6"/>
  <c r="O2163" i="6"/>
  <c r="U2163" i="6" s="1"/>
  <c r="N2163" i="6"/>
  <c r="V2162" i="6"/>
  <c r="T2162" i="6"/>
  <c r="S2162" i="6"/>
  <c r="R2162" i="6"/>
  <c r="Q2162" i="6"/>
  <c r="P2162" i="6"/>
  <c r="O2162" i="6"/>
  <c r="U2162" i="6" s="1"/>
  <c r="N2162" i="6"/>
  <c r="V2161" i="6"/>
  <c r="T2161" i="6"/>
  <c r="S2161" i="6"/>
  <c r="R2161" i="6"/>
  <c r="Q2161" i="6"/>
  <c r="P2161" i="6"/>
  <c r="O2161" i="6"/>
  <c r="U2161" i="6" s="1"/>
  <c r="N2161" i="6"/>
  <c r="V2160" i="6"/>
  <c r="T2160" i="6"/>
  <c r="S2160" i="6"/>
  <c r="R2160" i="6"/>
  <c r="Q2160" i="6"/>
  <c r="P2160" i="6"/>
  <c r="O2160" i="6"/>
  <c r="U2160" i="6" s="1"/>
  <c r="N2160" i="6"/>
  <c r="V2159" i="6"/>
  <c r="T2159" i="6"/>
  <c r="S2159" i="6"/>
  <c r="R2159" i="6"/>
  <c r="Q2159" i="6"/>
  <c r="P2159" i="6"/>
  <c r="O2159" i="6"/>
  <c r="U2159" i="6" s="1"/>
  <c r="N2159" i="6"/>
  <c r="V2158" i="6"/>
  <c r="T2158" i="6"/>
  <c r="S2158" i="6"/>
  <c r="R2158" i="6"/>
  <c r="Q2158" i="6"/>
  <c r="P2158" i="6"/>
  <c r="O2158" i="6"/>
  <c r="U2158" i="6" s="1"/>
  <c r="N2158" i="6"/>
  <c r="V2157" i="6"/>
  <c r="T2157" i="6"/>
  <c r="S2157" i="6"/>
  <c r="R2157" i="6"/>
  <c r="Q2157" i="6"/>
  <c r="P2157" i="6"/>
  <c r="O2157" i="6"/>
  <c r="U2157" i="6" s="1"/>
  <c r="N2157" i="6"/>
  <c r="V2156" i="6"/>
  <c r="T2156" i="6"/>
  <c r="S2156" i="6"/>
  <c r="R2156" i="6"/>
  <c r="Q2156" i="6"/>
  <c r="P2156" i="6"/>
  <c r="O2156" i="6"/>
  <c r="U2156" i="6" s="1"/>
  <c r="N2156" i="6"/>
  <c r="V2155" i="6"/>
  <c r="T2155" i="6"/>
  <c r="S2155" i="6"/>
  <c r="R2155" i="6"/>
  <c r="Q2155" i="6"/>
  <c r="P2155" i="6"/>
  <c r="O2155" i="6"/>
  <c r="U2155" i="6" s="1"/>
  <c r="N2155" i="6"/>
  <c r="V2154" i="6"/>
  <c r="T2154" i="6"/>
  <c r="S2154" i="6"/>
  <c r="R2154" i="6"/>
  <c r="Q2154" i="6"/>
  <c r="P2154" i="6"/>
  <c r="O2154" i="6"/>
  <c r="U2154" i="6" s="1"/>
  <c r="N2154" i="6"/>
  <c r="V2153" i="6"/>
  <c r="T2153" i="6"/>
  <c r="S2153" i="6"/>
  <c r="R2153" i="6"/>
  <c r="Q2153" i="6"/>
  <c r="P2153" i="6"/>
  <c r="O2153" i="6"/>
  <c r="U2153" i="6" s="1"/>
  <c r="N2153" i="6"/>
  <c r="V2152" i="6"/>
  <c r="T2152" i="6"/>
  <c r="S2152" i="6"/>
  <c r="R2152" i="6"/>
  <c r="Q2152" i="6"/>
  <c r="P2152" i="6"/>
  <c r="O2152" i="6"/>
  <c r="U2152" i="6" s="1"/>
  <c r="N2152" i="6"/>
  <c r="V2151" i="6"/>
  <c r="T2151" i="6"/>
  <c r="S2151" i="6"/>
  <c r="R2151" i="6"/>
  <c r="Q2151" i="6"/>
  <c r="P2151" i="6"/>
  <c r="O2151" i="6"/>
  <c r="U2151" i="6" s="1"/>
  <c r="N2151" i="6"/>
  <c r="V2150" i="6"/>
  <c r="T2150" i="6"/>
  <c r="S2150" i="6"/>
  <c r="R2150" i="6"/>
  <c r="Q2150" i="6"/>
  <c r="P2150" i="6"/>
  <c r="O2150" i="6"/>
  <c r="U2150" i="6" s="1"/>
  <c r="N2150" i="6"/>
  <c r="V2149" i="6"/>
  <c r="T2149" i="6"/>
  <c r="S2149" i="6"/>
  <c r="R2149" i="6"/>
  <c r="Q2149" i="6"/>
  <c r="P2149" i="6"/>
  <c r="O2149" i="6"/>
  <c r="U2149" i="6" s="1"/>
  <c r="N2149" i="6"/>
  <c r="V2148" i="6"/>
  <c r="T2148" i="6"/>
  <c r="S2148" i="6"/>
  <c r="R2148" i="6"/>
  <c r="Q2148" i="6"/>
  <c r="P2148" i="6"/>
  <c r="O2148" i="6"/>
  <c r="U2148" i="6" s="1"/>
  <c r="N2148" i="6"/>
  <c r="V2147" i="6"/>
  <c r="T2147" i="6"/>
  <c r="S2147" i="6"/>
  <c r="R2147" i="6"/>
  <c r="Q2147" i="6"/>
  <c r="P2147" i="6"/>
  <c r="O2147" i="6"/>
  <c r="U2147" i="6" s="1"/>
  <c r="N2147" i="6"/>
  <c r="V2146" i="6"/>
  <c r="T2146" i="6"/>
  <c r="S2146" i="6"/>
  <c r="R2146" i="6"/>
  <c r="Q2146" i="6"/>
  <c r="P2146" i="6"/>
  <c r="O2146" i="6"/>
  <c r="U2146" i="6" s="1"/>
  <c r="N2146" i="6"/>
  <c r="V2145" i="6"/>
  <c r="T2145" i="6"/>
  <c r="S2145" i="6"/>
  <c r="R2145" i="6"/>
  <c r="Q2145" i="6"/>
  <c r="P2145" i="6"/>
  <c r="O2145" i="6"/>
  <c r="U2145" i="6" s="1"/>
  <c r="N2145" i="6"/>
  <c r="V2144" i="6"/>
  <c r="T2144" i="6"/>
  <c r="S2144" i="6"/>
  <c r="R2144" i="6"/>
  <c r="Q2144" i="6"/>
  <c r="P2144" i="6"/>
  <c r="O2144" i="6"/>
  <c r="U2144" i="6" s="1"/>
  <c r="N2144" i="6"/>
  <c r="V2143" i="6"/>
  <c r="T2143" i="6"/>
  <c r="S2143" i="6"/>
  <c r="R2143" i="6"/>
  <c r="Q2143" i="6"/>
  <c r="P2143" i="6"/>
  <c r="O2143" i="6"/>
  <c r="U2143" i="6" s="1"/>
  <c r="N2143" i="6"/>
  <c r="V2142" i="6"/>
  <c r="T2142" i="6"/>
  <c r="S2142" i="6"/>
  <c r="R2142" i="6"/>
  <c r="Q2142" i="6"/>
  <c r="P2142" i="6"/>
  <c r="O2142" i="6"/>
  <c r="U2142" i="6" s="1"/>
  <c r="N2142" i="6"/>
  <c r="V2141" i="6"/>
  <c r="T2141" i="6"/>
  <c r="S2141" i="6"/>
  <c r="R2141" i="6"/>
  <c r="Q2141" i="6"/>
  <c r="P2141" i="6"/>
  <c r="O2141" i="6"/>
  <c r="U2141" i="6" s="1"/>
  <c r="N2141" i="6"/>
  <c r="V2140" i="6"/>
  <c r="T2140" i="6"/>
  <c r="S2140" i="6"/>
  <c r="R2140" i="6"/>
  <c r="Q2140" i="6"/>
  <c r="P2140" i="6"/>
  <c r="O2140" i="6"/>
  <c r="U2140" i="6" s="1"/>
  <c r="N2140" i="6"/>
  <c r="V2139" i="6"/>
  <c r="T2139" i="6"/>
  <c r="S2139" i="6"/>
  <c r="R2139" i="6"/>
  <c r="Q2139" i="6"/>
  <c r="P2139" i="6"/>
  <c r="O2139" i="6"/>
  <c r="U2139" i="6" s="1"/>
  <c r="N2139" i="6"/>
  <c r="V2138" i="6"/>
  <c r="T2138" i="6"/>
  <c r="S2138" i="6"/>
  <c r="R2138" i="6"/>
  <c r="Q2138" i="6"/>
  <c r="P2138" i="6"/>
  <c r="O2138" i="6"/>
  <c r="U2138" i="6" s="1"/>
  <c r="N2138" i="6"/>
  <c r="V2137" i="6"/>
  <c r="T2137" i="6"/>
  <c r="S2137" i="6"/>
  <c r="R2137" i="6"/>
  <c r="Q2137" i="6"/>
  <c r="P2137" i="6"/>
  <c r="O2137" i="6"/>
  <c r="U2137" i="6" s="1"/>
  <c r="N2137" i="6"/>
  <c r="V2136" i="6"/>
  <c r="T2136" i="6"/>
  <c r="S2136" i="6"/>
  <c r="R2136" i="6"/>
  <c r="Q2136" i="6"/>
  <c r="P2136" i="6"/>
  <c r="O2136" i="6"/>
  <c r="U2136" i="6" s="1"/>
  <c r="N2136" i="6"/>
  <c r="V2135" i="6"/>
  <c r="T2135" i="6"/>
  <c r="S2135" i="6"/>
  <c r="R2135" i="6"/>
  <c r="Q2135" i="6"/>
  <c r="P2135" i="6"/>
  <c r="O2135" i="6"/>
  <c r="U2135" i="6" s="1"/>
  <c r="N2135" i="6"/>
  <c r="V2134" i="6"/>
  <c r="T2134" i="6"/>
  <c r="S2134" i="6"/>
  <c r="R2134" i="6"/>
  <c r="Q2134" i="6"/>
  <c r="P2134" i="6"/>
  <c r="O2134" i="6"/>
  <c r="U2134" i="6" s="1"/>
  <c r="N2134" i="6"/>
  <c r="V2133" i="6"/>
  <c r="T2133" i="6"/>
  <c r="S2133" i="6"/>
  <c r="R2133" i="6"/>
  <c r="Q2133" i="6"/>
  <c r="P2133" i="6"/>
  <c r="O2133" i="6"/>
  <c r="U2133" i="6" s="1"/>
  <c r="N2133" i="6"/>
  <c r="V2132" i="6"/>
  <c r="T2132" i="6"/>
  <c r="S2132" i="6"/>
  <c r="R2132" i="6"/>
  <c r="Q2132" i="6"/>
  <c r="P2132" i="6"/>
  <c r="O2132" i="6"/>
  <c r="U2132" i="6" s="1"/>
  <c r="N2132" i="6"/>
  <c r="V2131" i="6"/>
  <c r="T2131" i="6"/>
  <c r="S2131" i="6"/>
  <c r="R2131" i="6"/>
  <c r="Q2131" i="6"/>
  <c r="P2131" i="6"/>
  <c r="O2131" i="6"/>
  <c r="U2131" i="6" s="1"/>
  <c r="N2131" i="6"/>
  <c r="V2130" i="6"/>
  <c r="T2130" i="6"/>
  <c r="S2130" i="6"/>
  <c r="R2130" i="6"/>
  <c r="Q2130" i="6"/>
  <c r="P2130" i="6"/>
  <c r="O2130" i="6"/>
  <c r="U2130" i="6" s="1"/>
  <c r="N2130" i="6"/>
  <c r="V2129" i="6"/>
  <c r="T2129" i="6"/>
  <c r="S2129" i="6"/>
  <c r="R2129" i="6"/>
  <c r="Q2129" i="6"/>
  <c r="P2129" i="6"/>
  <c r="O2129" i="6"/>
  <c r="U2129" i="6" s="1"/>
  <c r="N2129" i="6"/>
  <c r="V2128" i="6"/>
  <c r="T2128" i="6"/>
  <c r="S2128" i="6"/>
  <c r="R2128" i="6"/>
  <c r="Q2128" i="6"/>
  <c r="P2128" i="6"/>
  <c r="O2128" i="6"/>
  <c r="U2128" i="6" s="1"/>
  <c r="N2128" i="6"/>
  <c r="V2127" i="6"/>
  <c r="T2127" i="6"/>
  <c r="S2127" i="6"/>
  <c r="R2127" i="6"/>
  <c r="Q2127" i="6"/>
  <c r="P2127" i="6"/>
  <c r="O2127" i="6"/>
  <c r="U2127" i="6" s="1"/>
  <c r="N2127" i="6"/>
  <c r="V2126" i="6"/>
  <c r="T2126" i="6"/>
  <c r="S2126" i="6"/>
  <c r="R2126" i="6"/>
  <c r="Q2126" i="6"/>
  <c r="P2126" i="6"/>
  <c r="O2126" i="6"/>
  <c r="U2126" i="6" s="1"/>
  <c r="N2126" i="6"/>
  <c r="V2125" i="6"/>
  <c r="T2125" i="6"/>
  <c r="S2125" i="6"/>
  <c r="R2125" i="6"/>
  <c r="Q2125" i="6"/>
  <c r="P2125" i="6"/>
  <c r="O2125" i="6"/>
  <c r="U2125" i="6" s="1"/>
  <c r="N2125" i="6"/>
  <c r="V2124" i="6"/>
  <c r="T2124" i="6"/>
  <c r="S2124" i="6"/>
  <c r="R2124" i="6"/>
  <c r="Q2124" i="6"/>
  <c r="P2124" i="6"/>
  <c r="O2124" i="6"/>
  <c r="U2124" i="6" s="1"/>
  <c r="N2124" i="6"/>
  <c r="V2123" i="6"/>
  <c r="T2123" i="6"/>
  <c r="S2123" i="6"/>
  <c r="R2123" i="6"/>
  <c r="Q2123" i="6"/>
  <c r="P2123" i="6"/>
  <c r="O2123" i="6"/>
  <c r="U2123" i="6" s="1"/>
  <c r="N2123" i="6"/>
  <c r="V2122" i="6"/>
  <c r="T2122" i="6"/>
  <c r="S2122" i="6"/>
  <c r="R2122" i="6"/>
  <c r="Q2122" i="6"/>
  <c r="P2122" i="6"/>
  <c r="O2122" i="6"/>
  <c r="U2122" i="6" s="1"/>
  <c r="N2122" i="6"/>
  <c r="V2121" i="6"/>
  <c r="T2121" i="6"/>
  <c r="S2121" i="6"/>
  <c r="R2121" i="6"/>
  <c r="Q2121" i="6"/>
  <c r="P2121" i="6"/>
  <c r="O2121" i="6"/>
  <c r="U2121" i="6" s="1"/>
  <c r="N2121" i="6"/>
  <c r="V2120" i="6"/>
  <c r="T2120" i="6"/>
  <c r="S2120" i="6"/>
  <c r="R2120" i="6"/>
  <c r="Q2120" i="6"/>
  <c r="P2120" i="6"/>
  <c r="O2120" i="6"/>
  <c r="U2120" i="6" s="1"/>
  <c r="N2120" i="6"/>
  <c r="V2119" i="6"/>
  <c r="T2119" i="6"/>
  <c r="S2119" i="6"/>
  <c r="R2119" i="6"/>
  <c r="Q2119" i="6"/>
  <c r="P2119" i="6"/>
  <c r="O2119" i="6"/>
  <c r="U2119" i="6" s="1"/>
  <c r="N2119" i="6"/>
  <c r="V2118" i="6"/>
  <c r="T2118" i="6"/>
  <c r="S2118" i="6"/>
  <c r="R2118" i="6"/>
  <c r="Q2118" i="6"/>
  <c r="P2118" i="6"/>
  <c r="O2118" i="6"/>
  <c r="U2118" i="6" s="1"/>
  <c r="N2118" i="6"/>
  <c r="V2117" i="6"/>
  <c r="T2117" i="6"/>
  <c r="S2117" i="6"/>
  <c r="R2117" i="6"/>
  <c r="Q2117" i="6"/>
  <c r="P2117" i="6"/>
  <c r="O2117" i="6"/>
  <c r="U2117" i="6" s="1"/>
  <c r="N2117" i="6"/>
  <c r="V2116" i="6"/>
  <c r="T2116" i="6"/>
  <c r="S2116" i="6"/>
  <c r="R2116" i="6"/>
  <c r="Q2116" i="6"/>
  <c r="P2116" i="6"/>
  <c r="O2116" i="6"/>
  <c r="U2116" i="6" s="1"/>
  <c r="N2116" i="6"/>
  <c r="V2115" i="6"/>
  <c r="T2115" i="6"/>
  <c r="S2115" i="6"/>
  <c r="R2115" i="6"/>
  <c r="Q2115" i="6"/>
  <c r="P2115" i="6"/>
  <c r="O2115" i="6"/>
  <c r="U2115" i="6" s="1"/>
  <c r="N2115" i="6"/>
  <c r="V2114" i="6"/>
  <c r="T2114" i="6"/>
  <c r="S2114" i="6"/>
  <c r="U2114" i="6" s="1"/>
  <c r="R2114" i="6"/>
  <c r="Q2114" i="6"/>
  <c r="P2114" i="6"/>
  <c r="O2114" i="6"/>
  <c r="N2114" i="6"/>
  <c r="V2113" i="6"/>
  <c r="T2113" i="6"/>
  <c r="S2113" i="6"/>
  <c r="R2113" i="6"/>
  <c r="Q2113" i="6"/>
  <c r="P2113" i="6"/>
  <c r="O2113" i="6"/>
  <c r="U2113" i="6" s="1"/>
  <c r="N2113" i="6"/>
  <c r="V2112" i="6"/>
  <c r="T2112" i="6"/>
  <c r="S2112" i="6"/>
  <c r="R2112" i="6"/>
  <c r="Q2112" i="6"/>
  <c r="P2112" i="6"/>
  <c r="O2112" i="6"/>
  <c r="U2112" i="6" s="1"/>
  <c r="N2112" i="6"/>
  <c r="V2111" i="6"/>
  <c r="T2111" i="6"/>
  <c r="S2111" i="6"/>
  <c r="R2111" i="6"/>
  <c r="Q2111" i="6"/>
  <c r="P2111" i="6"/>
  <c r="O2111" i="6"/>
  <c r="U2111" i="6" s="1"/>
  <c r="N2111" i="6"/>
  <c r="V2110" i="6"/>
  <c r="T2110" i="6"/>
  <c r="S2110" i="6"/>
  <c r="R2110" i="6"/>
  <c r="Q2110" i="6"/>
  <c r="P2110" i="6"/>
  <c r="O2110" i="6"/>
  <c r="U2110" i="6" s="1"/>
  <c r="N2110" i="6"/>
  <c r="V2109" i="6"/>
  <c r="T2109" i="6"/>
  <c r="S2109" i="6"/>
  <c r="R2109" i="6"/>
  <c r="Q2109" i="6"/>
  <c r="P2109" i="6"/>
  <c r="O2109" i="6"/>
  <c r="U2109" i="6" s="1"/>
  <c r="N2109" i="6"/>
  <c r="V2108" i="6"/>
  <c r="T2108" i="6"/>
  <c r="S2108" i="6"/>
  <c r="R2108" i="6"/>
  <c r="Q2108" i="6"/>
  <c r="P2108" i="6"/>
  <c r="O2108" i="6"/>
  <c r="U2108" i="6" s="1"/>
  <c r="N2108" i="6"/>
  <c r="V2107" i="6"/>
  <c r="T2107" i="6"/>
  <c r="S2107" i="6"/>
  <c r="R2107" i="6"/>
  <c r="Q2107" i="6"/>
  <c r="P2107" i="6"/>
  <c r="O2107" i="6"/>
  <c r="U2107" i="6" s="1"/>
  <c r="N2107" i="6"/>
  <c r="V2106" i="6"/>
  <c r="T2106" i="6"/>
  <c r="S2106" i="6"/>
  <c r="R2106" i="6"/>
  <c r="Q2106" i="6"/>
  <c r="P2106" i="6"/>
  <c r="O2106" i="6"/>
  <c r="U2106" i="6" s="1"/>
  <c r="N2106" i="6"/>
  <c r="V2105" i="6"/>
  <c r="T2105" i="6"/>
  <c r="S2105" i="6"/>
  <c r="R2105" i="6"/>
  <c r="Q2105" i="6"/>
  <c r="P2105" i="6"/>
  <c r="O2105" i="6"/>
  <c r="U2105" i="6" s="1"/>
  <c r="N2105" i="6"/>
  <c r="V2104" i="6"/>
  <c r="T2104" i="6"/>
  <c r="S2104" i="6"/>
  <c r="R2104" i="6"/>
  <c r="Q2104" i="6"/>
  <c r="P2104" i="6"/>
  <c r="O2104" i="6"/>
  <c r="U2104" i="6" s="1"/>
  <c r="N2104" i="6"/>
  <c r="V2103" i="6"/>
  <c r="T2103" i="6"/>
  <c r="S2103" i="6"/>
  <c r="R2103" i="6"/>
  <c r="Q2103" i="6"/>
  <c r="P2103" i="6"/>
  <c r="O2103" i="6"/>
  <c r="U2103" i="6" s="1"/>
  <c r="N2103" i="6"/>
  <c r="V2102" i="6"/>
  <c r="T2102" i="6"/>
  <c r="S2102" i="6"/>
  <c r="R2102" i="6"/>
  <c r="Q2102" i="6"/>
  <c r="P2102" i="6"/>
  <c r="O2102" i="6"/>
  <c r="U2102" i="6" s="1"/>
  <c r="N2102" i="6"/>
  <c r="V2101" i="6"/>
  <c r="T2101" i="6"/>
  <c r="S2101" i="6"/>
  <c r="R2101" i="6"/>
  <c r="Q2101" i="6"/>
  <c r="P2101" i="6"/>
  <c r="O2101" i="6"/>
  <c r="U2101" i="6" s="1"/>
  <c r="N2101" i="6"/>
  <c r="V2100" i="6"/>
  <c r="T2100" i="6"/>
  <c r="S2100" i="6"/>
  <c r="R2100" i="6"/>
  <c r="Q2100" i="6"/>
  <c r="P2100" i="6"/>
  <c r="O2100" i="6"/>
  <c r="U2100" i="6" s="1"/>
  <c r="N2100" i="6"/>
  <c r="V2099" i="6"/>
  <c r="T2099" i="6"/>
  <c r="S2099" i="6"/>
  <c r="R2099" i="6"/>
  <c r="Q2099" i="6"/>
  <c r="P2099" i="6"/>
  <c r="O2099" i="6"/>
  <c r="U2099" i="6" s="1"/>
  <c r="N2099" i="6"/>
  <c r="V2098" i="6"/>
  <c r="T2098" i="6"/>
  <c r="S2098" i="6"/>
  <c r="R2098" i="6"/>
  <c r="Q2098" i="6"/>
  <c r="P2098" i="6"/>
  <c r="O2098" i="6"/>
  <c r="U2098" i="6" s="1"/>
  <c r="N2098" i="6"/>
  <c r="V2097" i="6"/>
  <c r="T2097" i="6"/>
  <c r="S2097" i="6"/>
  <c r="R2097" i="6"/>
  <c r="Q2097" i="6"/>
  <c r="P2097" i="6"/>
  <c r="O2097" i="6"/>
  <c r="U2097" i="6" s="1"/>
  <c r="N2097" i="6"/>
  <c r="V2096" i="6"/>
  <c r="T2096" i="6"/>
  <c r="S2096" i="6"/>
  <c r="R2096" i="6"/>
  <c r="Q2096" i="6"/>
  <c r="P2096" i="6"/>
  <c r="O2096" i="6"/>
  <c r="U2096" i="6" s="1"/>
  <c r="N2096" i="6"/>
  <c r="V2095" i="6"/>
  <c r="T2095" i="6"/>
  <c r="S2095" i="6"/>
  <c r="R2095" i="6"/>
  <c r="Q2095" i="6"/>
  <c r="P2095" i="6"/>
  <c r="O2095" i="6"/>
  <c r="U2095" i="6" s="1"/>
  <c r="N2095" i="6"/>
  <c r="V2094" i="6"/>
  <c r="T2094" i="6"/>
  <c r="S2094" i="6"/>
  <c r="R2094" i="6"/>
  <c r="Q2094" i="6"/>
  <c r="P2094" i="6"/>
  <c r="O2094" i="6"/>
  <c r="U2094" i="6" s="1"/>
  <c r="N2094" i="6"/>
  <c r="V2093" i="6"/>
  <c r="T2093" i="6"/>
  <c r="S2093" i="6"/>
  <c r="R2093" i="6"/>
  <c r="Q2093" i="6"/>
  <c r="P2093" i="6"/>
  <c r="O2093" i="6"/>
  <c r="U2093" i="6" s="1"/>
  <c r="N2093" i="6"/>
  <c r="V2092" i="6"/>
  <c r="T2092" i="6"/>
  <c r="S2092" i="6"/>
  <c r="R2092" i="6"/>
  <c r="Q2092" i="6"/>
  <c r="P2092" i="6"/>
  <c r="O2092" i="6"/>
  <c r="U2092" i="6" s="1"/>
  <c r="N2092" i="6"/>
  <c r="V2091" i="6"/>
  <c r="T2091" i="6"/>
  <c r="S2091" i="6"/>
  <c r="R2091" i="6"/>
  <c r="Q2091" i="6"/>
  <c r="P2091" i="6"/>
  <c r="O2091" i="6"/>
  <c r="U2091" i="6" s="1"/>
  <c r="N2091" i="6"/>
  <c r="V2090" i="6"/>
  <c r="T2090" i="6"/>
  <c r="S2090" i="6"/>
  <c r="R2090" i="6"/>
  <c r="Q2090" i="6"/>
  <c r="P2090" i="6"/>
  <c r="O2090" i="6"/>
  <c r="U2090" i="6" s="1"/>
  <c r="N2090" i="6"/>
  <c r="V2089" i="6"/>
  <c r="T2089" i="6"/>
  <c r="S2089" i="6"/>
  <c r="R2089" i="6"/>
  <c r="Q2089" i="6"/>
  <c r="P2089" i="6"/>
  <c r="O2089" i="6"/>
  <c r="U2089" i="6" s="1"/>
  <c r="N2089" i="6"/>
  <c r="V2088" i="6"/>
  <c r="T2088" i="6"/>
  <c r="S2088" i="6"/>
  <c r="R2088" i="6"/>
  <c r="Q2088" i="6"/>
  <c r="P2088" i="6"/>
  <c r="O2088" i="6"/>
  <c r="U2088" i="6" s="1"/>
  <c r="N2088" i="6"/>
  <c r="V2087" i="6"/>
  <c r="T2087" i="6"/>
  <c r="S2087" i="6"/>
  <c r="R2087" i="6"/>
  <c r="Q2087" i="6"/>
  <c r="P2087" i="6"/>
  <c r="O2087" i="6"/>
  <c r="U2087" i="6" s="1"/>
  <c r="N2087" i="6"/>
  <c r="V2086" i="6"/>
  <c r="T2086" i="6"/>
  <c r="S2086" i="6"/>
  <c r="R2086" i="6"/>
  <c r="Q2086" i="6"/>
  <c r="P2086" i="6"/>
  <c r="O2086" i="6"/>
  <c r="U2086" i="6" s="1"/>
  <c r="N2086" i="6"/>
  <c r="V2085" i="6"/>
  <c r="T2085" i="6"/>
  <c r="S2085" i="6"/>
  <c r="R2085" i="6"/>
  <c r="Q2085" i="6"/>
  <c r="P2085" i="6"/>
  <c r="O2085" i="6"/>
  <c r="U2085" i="6" s="1"/>
  <c r="N2085" i="6"/>
  <c r="V2084" i="6"/>
  <c r="T2084" i="6"/>
  <c r="S2084" i="6"/>
  <c r="R2084" i="6"/>
  <c r="Q2084" i="6"/>
  <c r="P2084" i="6"/>
  <c r="O2084" i="6"/>
  <c r="U2084" i="6" s="1"/>
  <c r="N2084" i="6"/>
  <c r="V2083" i="6"/>
  <c r="T2083" i="6"/>
  <c r="S2083" i="6"/>
  <c r="R2083" i="6"/>
  <c r="Q2083" i="6"/>
  <c r="P2083" i="6"/>
  <c r="O2083" i="6"/>
  <c r="U2083" i="6" s="1"/>
  <c r="N2083" i="6"/>
  <c r="V2082" i="6"/>
  <c r="T2082" i="6"/>
  <c r="S2082" i="6"/>
  <c r="R2082" i="6"/>
  <c r="Q2082" i="6"/>
  <c r="P2082" i="6"/>
  <c r="O2082" i="6"/>
  <c r="U2082" i="6" s="1"/>
  <c r="N2082" i="6"/>
  <c r="V2081" i="6"/>
  <c r="T2081" i="6"/>
  <c r="S2081" i="6"/>
  <c r="R2081" i="6"/>
  <c r="Q2081" i="6"/>
  <c r="P2081" i="6"/>
  <c r="O2081" i="6"/>
  <c r="U2081" i="6" s="1"/>
  <c r="N2081" i="6"/>
  <c r="V2080" i="6"/>
  <c r="T2080" i="6"/>
  <c r="S2080" i="6"/>
  <c r="R2080" i="6"/>
  <c r="Q2080" i="6"/>
  <c r="P2080" i="6"/>
  <c r="O2080" i="6"/>
  <c r="U2080" i="6" s="1"/>
  <c r="N2080" i="6"/>
  <c r="V2079" i="6"/>
  <c r="T2079" i="6"/>
  <c r="S2079" i="6"/>
  <c r="R2079" i="6"/>
  <c r="Q2079" i="6"/>
  <c r="P2079" i="6"/>
  <c r="O2079" i="6"/>
  <c r="U2079" i="6" s="1"/>
  <c r="N2079" i="6"/>
  <c r="V2078" i="6"/>
  <c r="T2078" i="6"/>
  <c r="S2078" i="6"/>
  <c r="R2078" i="6"/>
  <c r="Q2078" i="6"/>
  <c r="P2078" i="6"/>
  <c r="O2078" i="6"/>
  <c r="U2078" i="6" s="1"/>
  <c r="N2078" i="6"/>
  <c r="V2077" i="6"/>
  <c r="T2077" i="6"/>
  <c r="S2077" i="6"/>
  <c r="R2077" i="6"/>
  <c r="Q2077" i="6"/>
  <c r="P2077" i="6"/>
  <c r="O2077" i="6"/>
  <c r="U2077" i="6" s="1"/>
  <c r="N2077" i="6"/>
  <c r="V2076" i="6"/>
  <c r="T2076" i="6"/>
  <c r="S2076" i="6"/>
  <c r="R2076" i="6"/>
  <c r="Q2076" i="6"/>
  <c r="P2076" i="6"/>
  <c r="O2076" i="6"/>
  <c r="U2076" i="6" s="1"/>
  <c r="N2076" i="6"/>
  <c r="V2075" i="6"/>
  <c r="T2075" i="6"/>
  <c r="S2075" i="6"/>
  <c r="R2075" i="6"/>
  <c r="Q2075" i="6"/>
  <c r="P2075" i="6"/>
  <c r="O2075" i="6"/>
  <c r="U2075" i="6" s="1"/>
  <c r="N2075" i="6"/>
  <c r="V2074" i="6"/>
  <c r="T2074" i="6"/>
  <c r="S2074" i="6"/>
  <c r="R2074" i="6"/>
  <c r="Q2074" i="6"/>
  <c r="P2074" i="6"/>
  <c r="O2074" i="6"/>
  <c r="U2074" i="6" s="1"/>
  <c r="N2074" i="6"/>
  <c r="V2073" i="6"/>
  <c r="T2073" i="6"/>
  <c r="S2073" i="6"/>
  <c r="R2073" i="6"/>
  <c r="Q2073" i="6"/>
  <c r="P2073" i="6"/>
  <c r="O2073" i="6"/>
  <c r="U2073" i="6" s="1"/>
  <c r="N2073" i="6"/>
  <c r="V2072" i="6"/>
  <c r="T2072" i="6"/>
  <c r="S2072" i="6"/>
  <c r="R2072" i="6"/>
  <c r="Q2072" i="6"/>
  <c r="P2072" i="6"/>
  <c r="O2072" i="6"/>
  <c r="U2072" i="6" s="1"/>
  <c r="N2072" i="6"/>
  <c r="V2071" i="6"/>
  <c r="T2071" i="6"/>
  <c r="S2071" i="6"/>
  <c r="R2071" i="6"/>
  <c r="Q2071" i="6"/>
  <c r="P2071" i="6"/>
  <c r="O2071" i="6"/>
  <c r="U2071" i="6" s="1"/>
  <c r="N2071" i="6"/>
  <c r="V2070" i="6"/>
  <c r="T2070" i="6"/>
  <c r="S2070" i="6"/>
  <c r="R2070" i="6"/>
  <c r="Q2070" i="6"/>
  <c r="P2070" i="6"/>
  <c r="O2070" i="6"/>
  <c r="U2070" i="6" s="1"/>
  <c r="N2070" i="6"/>
  <c r="V2069" i="6"/>
  <c r="T2069" i="6"/>
  <c r="S2069" i="6"/>
  <c r="R2069" i="6"/>
  <c r="Q2069" i="6"/>
  <c r="P2069" i="6"/>
  <c r="O2069" i="6"/>
  <c r="U2069" i="6" s="1"/>
  <c r="N2069" i="6"/>
  <c r="V2068" i="6"/>
  <c r="T2068" i="6"/>
  <c r="S2068" i="6"/>
  <c r="R2068" i="6"/>
  <c r="Q2068" i="6"/>
  <c r="P2068" i="6"/>
  <c r="O2068" i="6"/>
  <c r="U2068" i="6" s="1"/>
  <c r="N2068" i="6"/>
  <c r="V2067" i="6"/>
  <c r="T2067" i="6"/>
  <c r="S2067" i="6"/>
  <c r="R2067" i="6"/>
  <c r="Q2067" i="6"/>
  <c r="P2067" i="6"/>
  <c r="O2067" i="6"/>
  <c r="U2067" i="6" s="1"/>
  <c r="N2067" i="6"/>
  <c r="V2066" i="6"/>
  <c r="T2066" i="6"/>
  <c r="S2066" i="6"/>
  <c r="R2066" i="6"/>
  <c r="Q2066" i="6"/>
  <c r="P2066" i="6"/>
  <c r="O2066" i="6"/>
  <c r="U2066" i="6" s="1"/>
  <c r="N2066" i="6"/>
  <c r="V2065" i="6"/>
  <c r="T2065" i="6"/>
  <c r="S2065" i="6"/>
  <c r="R2065" i="6"/>
  <c r="Q2065" i="6"/>
  <c r="P2065" i="6"/>
  <c r="O2065" i="6"/>
  <c r="U2065" i="6" s="1"/>
  <c r="N2065" i="6"/>
  <c r="V2064" i="6"/>
  <c r="T2064" i="6"/>
  <c r="S2064" i="6"/>
  <c r="R2064" i="6"/>
  <c r="Q2064" i="6"/>
  <c r="P2064" i="6"/>
  <c r="O2064" i="6"/>
  <c r="U2064" i="6" s="1"/>
  <c r="N2064" i="6"/>
  <c r="V2063" i="6"/>
  <c r="T2063" i="6"/>
  <c r="S2063" i="6"/>
  <c r="R2063" i="6"/>
  <c r="Q2063" i="6"/>
  <c r="P2063" i="6"/>
  <c r="O2063" i="6"/>
  <c r="U2063" i="6" s="1"/>
  <c r="N2063" i="6"/>
  <c r="V2062" i="6"/>
  <c r="T2062" i="6"/>
  <c r="S2062" i="6"/>
  <c r="R2062" i="6"/>
  <c r="Q2062" i="6"/>
  <c r="P2062" i="6"/>
  <c r="O2062" i="6"/>
  <c r="U2062" i="6" s="1"/>
  <c r="N2062" i="6"/>
  <c r="V2061" i="6"/>
  <c r="T2061" i="6"/>
  <c r="S2061" i="6"/>
  <c r="R2061" i="6"/>
  <c r="Q2061" i="6"/>
  <c r="P2061" i="6"/>
  <c r="O2061" i="6"/>
  <c r="U2061" i="6" s="1"/>
  <c r="N2061" i="6"/>
  <c r="V2060" i="6"/>
  <c r="T2060" i="6"/>
  <c r="S2060" i="6"/>
  <c r="R2060" i="6"/>
  <c r="Q2060" i="6"/>
  <c r="P2060" i="6"/>
  <c r="O2060" i="6"/>
  <c r="U2060" i="6" s="1"/>
  <c r="N2060" i="6"/>
  <c r="V2059" i="6"/>
  <c r="T2059" i="6"/>
  <c r="S2059" i="6"/>
  <c r="R2059" i="6"/>
  <c r="Q2059" i="6"/>
  <c r="P2059" i="6"/>
  <c r="O2059" i="6"/>
  <c r="U2059" i="6" s="1"/>
  <c r="N2059" i="6"/>
  <c r="V2058" i="6"/>
  <c r="T2058" i="6"/>
  <c r="S2058" i="6"/>
  <c r="R2058" i="6"/>
  <c r="Q2058" i="6"/>
  <c r="P2058" i="6"/>
  <c r="O2058" i="6"/>
  <c r="U2058" i="6" s="1"/>
  <c r="N2058" i="6"/>
  <c r="V2057" i="6"/>
  <c r="T2057" i="6"/>
  <c r="S2057" i="6"/>
  <c r="R2057" i="6"/>
  <c r="Q2057" i="6"/>
  <c r="P2057" i="6"/>
  <c r="O2057" i="6"/>
  <c r="U2057" i="6" s="1"/>
  <c r="N2057" i="6"/>
  <c r="V2056" i="6"/>
  <c r="T2056" i="6"/>
  <c r="S2056" i="6"/>
  <c r="R2056" i="6"/>
  <c r="Q2056" i="6"/>
  <c r="P2056" i="6"/>
  <c r="O2056" i="6"/>
  <c r="U2056" i="6" s="1"/>
  <c r="N2056" i="6"/>
  <c r="V2055" i="6"/>
  <c r="T2055" i="6"/>
  <c r="S2055" i="6"/>
  <c r="R2055" i="6"/>
  <c r="Q2055" i="6"/>
  <c r="P2055" i="6"/>
  <c r="O2055" i="6"/>
  <c r="U2055" i="6" s="1"/>
  <c r="N2055" i="6"/>
  <c r="V2054" i="6"/>
  <c r="T2054" i="6"/>
  <c r="S2054" i="6"/>
  <c r="R2054" i="6"/>
  <c r="Q2054" i="6"/>
  <c r="P2054" i="6"/>
  <c r="O2054" i="6"/>
  <c r="U2054" i="6" s="1"/>
  <c r="N2054" i="6"/>
  <c r="V2053" i="6"/>
  <c r="T2053" i="6"/>
  <c r="S2053" i="6"/>
  <c r="R2053" i="6"/>
  <c r="Q2053" i="6"/>
  <c r="P2053" i="6"/>
  <c r="O2053" i="6"/>
  <c r="U2053" i="6" s="1"/>
  <c r="N2053" i="6"/>
  <c r="V2052" i="6"/>
  <c r="T2052" i="6"/>
  <c r="S2052" i="6"/>
  <c r="R2052" i="6"/>
  <c r="Q2052" i="6"/>
  <c r="P2052" i="6"/>
  <c r="O2052" i="6"/>
  <c r="U2052" i="6" s="1"/>
  <c r="N2052" i="6"/>
  <c r="V2051" i="6"/>
  <c r="T2051" i="6"/>
  <c r="S2051" i="6"/>
  <c r="R2051" i="6"/>
  <c r="Q2051" i="6"/>
  <c r="P2051" i="6"/>
  <c r="O2051" i="6"/>
  <c r="U2051" i="6" s="1"/>
  <c r="N2051" i="6"/>
  <c r="V2050" i="6"/>
  <c r="T2050" i="6"/>
  <c r="S2050" i="6"/>
  <c r="R2050" i="6"/>
  <c r="Q2050" i="6"/>
  <c r="P2050" i="6"/>
  <c r="O2050" i="6"/>
  <c r="U2050" i="6" s="1"/>
  <c r="N2050" i="6"/>
  <c r="V2049" i="6"/>
  <c r="T2049" i="6"/>
  <c r="S2049" i="6"/>
  <c r="R2049" i="6"/>
  <c r="Q2049" i="6"/>
  <c r="P2049" i="6"/>
  <c r="O2049" i="6"/>
  <c r="U2049" i="6" s="1"/>
  <c r="N2049" i="6"/>
  <c r="V2048" i="6"/>
  <c r="T2048" i="6"/>
  <c r="S2048" i="6"/>
  <c r="R2048" i="6"/>
  <c r="Q2048" i="6"/>
  <c r="P2048" i="6"/>
  <c r="O2048" i="6"/>
  <c r="U2048" i="6" s="1"/>
  <c r="N2048" i="6"/>
  <c r="V2047" i="6"/>
  <c r="T2047" i="6"/>
  <c r="S2047" i="6"/>
  <c r="R2047" i="6"/>
  <c r="Q2047" i="6"/>
  <c r="P2047" i="6"/>
  <c r="O2047" i="6"/>
  <c r="U2047" i="6" s="1"/>
  <c r="N2047" i="6"/>
  <c r="V2046" i="6"/>
  <c r="T2046" i="6"/>
  <c r="S2046" i="6"/>
  <c r="R2046" i="6"/>
  <c r="Q2046" i="6"/>
  <c r="P2046" i="6"/>
  <c r="O2046" i="6"/>
  <c r="U2046" i="6" s="1"/>
  <c r="N2046" i="6"/>
  <c r="V2045" i="6"/>
  <c r="T2045" i="6"/>
  <c r="S2045" i="6"/>
  <c r="R2045" i="6"/>
  <c r="Q2045" i="6"/>
  <c r="P2045" i="6"/>
  <c r="O2045" i="6"/>
  <c r="U2045" i="6" s="1"/>
  <c r="N2045" i="6"/>
  <c r="V2044" i="6"/>
  <c r="T2044" i="6"/>
  <c r="S2044" i="6"/>
  <c r="R2044" i="6"/>
  <c r="Q2044" i="6"/>
  <c r="P2044" i="6"/>
  <c r="O2044" i="6"/>
  <c r="U2044" i="6" s="1"/>
  <c r="N2044" i="6"/>
  <c r="V2043" i="6"/>
  <c r="T2043" i="6"/>
  <c r="S2043" i="6"/>
  <c r="R2043" i="6"/>
  <c r="Q2043" i="6"/>
  <c r="P2043" i="6"/>
  <c r="O2043" i="6"/>
  <c r="U2043" i="6" s="1"/>
  <c r="N2043" i="6"/>
  <c r="V2042" i="6"/>
  <c r="T2042" i="6"/>
  <c r="S2042" i="6"/>
  <c r="R2042" i="6"/>
  <c r="Q2042" i="6"/>
  <c r="P2042" i="6"/>
  <c r="O2042" i="6"/>
  <c r="U2042" i="6" s="1"/>
  <c r="N2042" i="6"/>
  <c r="V2041" i="6"/>
  <c r="T2041" i="6"/>
  <c r="S2041" i="6"/>
  <c r="R2041" i="6"/>
  <c r="Q2041" i="6"/>
  <c r="P2041" i="6"/>
  <c r="O2041" i="6"/>
  <c r="U2041" i="6" s="1"/>
  <c r="N2041" i="6"/>
  <c r="V2040" i="6"/>
  <c r="T2040" i="6"/>
  <c r="S2040" i="6"/>
  <c r="R2040" i="6"/>
  <c r="Q2040" i="6"/>
  <c r="P2040" i="6"/>
  <c r="O2040" i="6"/>
  <c r="U2040" i="6" s="1"/>
  <c r="N2040" i="6"/>
  <c r="V2039" i="6"/>
  <c r="T2039" i="6"/>
  <c r="S2039" i="6"/>
  <c r="R2039" i="6"/>
  <c r="Q2039" i="6"/>
  <c r="P2039" i="6"/>
  <c r="O2039" i="6"/>
  <c r="U2039" i="6" s="1"/>
  <c r="N2039" i="6"/>
  <c r="V2038" i="6"/>
  <c r="T2038" i="6"/>
  <c r="S2038" i="6"/>
  <c r="R2038" i="6"/>
  <c r="Q2038" i="6"/>
  <c r="P2038" i="6"/>
  <c r="O2038" i="6"/>
  <c r="U2038" i="6" s="1"/>
  <c r="N2038" i="6"/>
  <c r="V2037" i="6"/>
  <c r="T2037" i="6"/>
  <c r="S2037" i="6"/>
  <c r="R2037" i="6"/>
  <c r="Q2037" i="6"/>
  <c r="P2037" i="6"/>
  <c r="O2037" i="6"/>
  <c r="U2037" i="6" s="1"/>
  <c r="N2037" i="6"/>
  <c r="V2036" i="6"/>
  <c r="T2036" i="6"/>
  <c r="S2036" i="6"/>
  <c r="R2036" i="6"/>
  <c r="Q2036" i="6"/>
  <c r="P2036" i="6"/>
  <c r="O2036" i="6"/>
  <c r="U2036" i="6" s="1"/>
  <c r="N2036" i="6"/>
  <c r="V2035" i="6"/>
  <c r="T2035" i="6"/>
  <c r="S2035" i="6"/>
  <c r="R2035" i="6"/>
  <c r="Q2035" i="6"/>
  <c r="P2035" i="6"/>
  <c r="O2035" i="6"/>
  <c r="U2035" i="6" s="1"/>
  <c r="N2035" i="6"/>
  <c r="V2034" i="6"/>
  <c r="T2034" i="6"/>
  <c r="S2034" i="6"/>
  <c r="R2034" i="6"/>
  <c r="Q2034" i="6"/>
  <c r="P2034" i="6"/>
  <c r="O2034" i="6"/>
  <c r="U2034" i="6" s="1"/>
  <c r="N2034" i="6"/>
  <c r="V2033" i="6"/>
  <c r="T2033" i="6"/>
  <c r="S2033" i="6"/>
  <c r="R2033" i="6"/>
  <c r="Q2033" i="6"/>
  <c r="P2033" i="6"/>
  <c r="O2033" i="6"/>
  <c r="U2033" i="6" s="1"/>
  <c r="N2033" i="6"/>
  <c r="V2032" i="6"/>
  <c r="T2032" i="6"/>
  <c r="S2032" i="6"/>
  <c r="R2032" i="6"/>
  <c r="Q2032" i="6"/>
  <c r="P2032" i="6"/>
  <c r="O2032" i="6"/>
  <c r="U2032" i="6" s="1"/>
  <c r="N2032" i="6"/>
  <c r="V2031" i="6"/>
  <c r="T2031" i="6"/>
  <c r="S2031" i="6"/>
  <c r="R2031" i="6"/>
  <c r="Q2031" i="6"/>
  <c r="P2031" i="6"/>
  <c r="O2031" i="6"/>
  <c r="U2031" i="6" s="1"/>
  <c r="N2031" i="6"/>
  <c r="V2030" i="6"/>
  <c r="T2030" i="6"/>
  <c r="S2030" i="6"/>
  <c r="R2030" i="6"/>
  <c r="Q2030" i="6"/>
  <c r="P2030" i="6"/>
  <c r="O2030" i="6"/>
  <c r="U2030" i="6" s="1"/>
  <c r="N2030" i="6"/>
  <c r="V2029" i="6"/>
  <c r="T2029" i="6"/>
  <c r="S2029" i="6"/>
  <c r="R2029" i="6"/>
  <c r="Q2029" i="6"/>
  <c r="P2029" i="6"/>
  <c r="O2029" i="6"/>
  <c r="U2029" i="6" s="1"/>
  <c r="N2029" i="6"/>
  <c r="V2028" i="6"/>
  <c r="T2028" i="6"/>
  <c r="S2028" i="6"/>
  <c r="R2028" i="6"/>
  <c r="Q2028" i="6"/>
  <c r="P2028" i="6"/>
  <c r="O2028" i="6"/>
  <c r="U2028" i="6" s="1"/>
  <c r="N2028" i="6"/>
  <c r="V2027" i="6"/>
  <c r="T2027" i="6"/>
  <c r="S2027" i="6"/>
  <c r="R2027" i="6"/>
  <c r="Q2027" i="6"/>
  <c r="P2027" i="6"/>
  <c r="O2027" i="6"/>
  <c r="U2027" i="6" s="1"/>
  <c r="N2027" i="6"/>
  <c r="V2026" i="6"/>
  <c r="T2026" i="6"/>
  <c r="S2026" i="6"/>
  <c r="R2026" i="6"/>
  <c r="Q2026" i="6"/>
  <c r="P2026" i="6"/>
  <c r="O2026" i="6"/>
  <c r="U2026" i="6" s="1"/>
  <c r="N2026" i="6"/>
  <c r="V2025" i="6"/>
  <c r="T2025" i="6"/>
  <c r="S2025" i="6"/>
  <c r="R2025" i="6"/>
  <c r="Q2025" i="6"/>
  <c r="P2025" i="6"/>
  <c r="O2025" i="6"/>
  <c r="U2025" i="6" s="1"/>
  <c r="N2025" i="6"/>
  <c r="V2024" i="6"/>
  <c r="T2024" i="6"/>
  <c r="S2024" i="6"/>
  <c r="R2024" i="6"/>
  <c r="Q2024" i="6"/>
  <c r="P2024" i="6"/>
  <c r="O2024" i="6"/>
  <c r="U2024" i="6" s="1"/>
  <c r="N2024" i="6"/>
  <c r="V2023" i="6"/>
  <c r="T2023" i="6"/>
  <c r="S2023" i="6"/>
  <c r="R2023" i="6"/>
  <c r="Q2023" i="6"/>
  <c r="P2023" i="6"/>
  <c r="O2023" i="6"/>
  <c r="U2023" i="6" s="1"/>
  <c r="N2023" i="6"/>
  <c r="V2022" i="6"/>
  <c r="T2022" i="6"/>
  <c r="S2022" i="6"/>
  <c r="R2022" i="6"/>
  <c r="Q2022" i="6"/>
  <c r="P2022" i="6"/>
  <c r="O2022" i="6"/>
  <c r="U2022" i="6" s="1"/>
  <c r="N2022" i="6"/>
  <c r="V2021" i="6"/>
  <c r="T2021" i="6"/>
  <c r="S2021" i="6"/>
  <c r="R2021" i="6"/>
  <c r="Q2021" i="6"/>
  <c r="P2021" i="6"/>
  <c r="O2021" i="6"/>
  <c r="U2021" i="6" s="1"/>
  <c r="N2021" i="6"/>
  <c r="V2020" i="6"/>
  <c r="T2020" i="6"/>
  <c r="S2020" i="6"/>
  <c r="R2020" i="6"/>
  <c r="Q2020" i="6"/>
  <c r="P2020" i="6"/>
  <c r="O2020" i="6"/>
  <c r="U2020" i="6" s="1"/>
  <c r="N2020" i="6"/>
  <c r="V2019" i="6"/>
  <c r="T2019" i="6"/>
  <c r="S2019" i="6"/>
  <c r="R2019" i="6"/>
  <c r="Q2019" i="6"/>
  <c r="P2019" i="6"/>
  <c r="O2019" i="6"/>
  <c r="U2019" i="6" s="1"/>
  <c r="N2019" i="6"/>
  <c r="V2018" i="6"/>
  <c r="T2018" i="6"/>
  <c r="S2018" i="6"/>
  <c r="R2018" i="6"/>
  <c r="Q2018" i="6"/>
  <c r="P2018" i="6"/>
  <c r="O2018" i="6"/>
  <c r="U2018" i="6" s="1"/>
  <c r="N2018" i="6"/>
  <c r="V2017" i="6"/>
  <c r="T2017" i="6"/>
  <c r="S2017" i="6"/>
  <c r="R2017" i="6"/>
  <c r="Q2017" i="6"/>
  <c r="P2017" i="6"/>
  <c r="O2017" i="6"/>
  <c r="U2017" i="6" s="1"/>
  <c r="N2017" i="6"/>
  <c r="V2016" i="6"/>
  <c r="T2016" i="6"/>
  <c r="S2016" i="6"/>
  <c r="R2016" i="6"/>
  <c r="Q2016" i="6"/>
  <c r="P2016" i="6"/>
  <c r="O2016" i="6"/>
  <c r="U2016" i="6" s="1"/>
  <c r="N2016" i="6"/>
  <c r="V2015" i="6"/>
  <c r="T2015" i="6"/>
  <c r="S2015" i="6"/>
  <c r="R2015" i="6"/>
  <c r="Q2015" i="6"/>
  <c r="P2015" i="6"/>
  <c r="O2015" i="6"/>
  <c r="U2015" i="6" s="1"/>
  <c r="N2015" i="6"/>
  <c r="V2014" i="6"/>
  <c r="T2014" i="6"/>
  <c r="S2014" i="6"/>
  <c r="R2014" i="6"/>
  <c r="Q2014" i="6"/>
  <c r="P2014" i="6"/>
  <c r="O2014" i="6"/>
  <c r="U2014" i="6" s="1"/>
  <c r="N2014" i="6"/>
  <c r="V2013" i="6"/>
  <c r="T2013" i="6"/>
  <c r="S2013" i="6"/>
  <c r="R2013" i="6"/>
  <c r="Q2013" i="6"/>
  <c r="P2013" i="6"/>
  <c r="O2013" i="6"/>
  <c r="U2013" i="6" s="1"/>
  <c r="N2013" i="6"/>
  <c r="V2012" i="6"/>
  <c r="T2012" i="6"/>
  <c r="S2012" i="6"/>
  <c r="R2012" i="6"/>
  <c r="Q2012" i="6"/>
  <c r="P2012" i="6"/>
  <c r="O2012" i="6"/>
  <c r="U2012" i="6" s="1"/>
  <c r="N2012" i="6"/>
  <c r="V2011" i="6"/>
  <c r="T2011" i="6"/>
  <c r="S2011" i="6"/>
  <c r="R2011" i="6"/>
  <c r="Q2011" i="6"/>
  <c r="P2011" i="6"/>
  <c r="O2011" i="6"/>
  <c r="U2011" i="6" s="1"/>
  <c r="N2011" i="6"/>
  <c r="V2010" i="6"/>
  <c r="T2010" i="6"/>
  <c r="S2010" i="6"/>
  <c r="R2010" i="6"/>
  <c r="Q2010" i="6"/>
  <c r="P2010" i="6"/>
  <c r="O2010" i="6"/>
  <c r="U2010" i="6" s="1"/>
  <c r="N2010" i="6"/>
  <c r="V2009" i="6"/>
  <c r="T2009" i="6"/>
  <c r="S2009" i="6"/>
  <c r="R2009" i="6"/>
  <c r="Q2009" i="6"/>
  <c r="P2009" i="6"/>
  <c r="O2009" i="6"/>
  <c r="U2009" i="6" s="1"/>
  <c r="N2009" i="6"/>
  <c r="V2008" i="6"/>
  <c r="T2008" i="6"/>
  <c r="S2008" i="6"/>
  <c r="R2008" i="6"/>
  <c r="Q2008" i="6"/>
  <c r="P2008" i="6"/>
  <c r="O2008" i="6"/>
  <c r="U2008" i="6" s="1"/>
  <c r="N2008" i="6"/>
  <c r="V2007" i="6"/>
  <c r="T2007" i="6"/>
  <c r="S2007" i="6"/>
  <c r="R2007" i="6"/>
  <c r="Q2007" i="6"/>
  <c r="P2007" i="6"/>
  <c r="O2007" i="6"/>
  <c r="U2007" i="6" s="1"/>
  <c r="N2007" i="6"/>
  <c r="V2006" i="6"/>
  <c r="T2006" i="6"/>
  <c r="S2006" i="6"/>
  <c r="R2006" i="6"/>
  <c r="Q2006" i="6"/>
  <c r="P2006" i="6"/>
  <c r="O2006" i="6"/>
  <c r="U2006" i="6" s="1"/>
  <c r="N2006" i="6"/>
  <c r="V2005" i="6"/>
  <c r="T2005" i="6"/>
  <c r="S2005" i="6"/>
  <c r="R2005" i="6"/>
  <c r="Q2005" i="6"/>
  <c r="P2005" i="6"/>
  <c r="O2005" i="6"/>
  <c r="U2005" i="6" s="1"/>
  <c r="N2005" i="6"/>
  <c r="V2004" i="6"/>
  <c r="T2004" i="6"/>
  <c r="S2004" i="6"/>
  <c r="R2004" i="6"/>
  <c r="Q2004" i="6"/>
  <c r="P2004" i="6"/>
  <c r="O2004" i="6"/>
  <c r="U2004" i="6" s="1"/>
  <c r="N2004" i="6"/>
  <c r="V2003" i="6"/>
  <c r="T2003" i="6"/>
  <c r="S2003" i="6"/>
  <c r="R2003" i="6"/>
  <c r="Q2003" i="6"/>
  <c r="P2003" i="6"/>
  <c r="O2003" i="6"/>
  <c r="U2003" i="6" s="1"/>
  <c r="N2003" i="6"/>
  <c r="V2002" i="6"/>
  <c r="T2002" i="6"/>
  <c r="S2002" i="6"/>
  <c r="R2002" i="6"/>
  <c r="Q2002" i="6"/>
  <c r="P2002" i="6"/>
  <c r="O2002" i="6"/>
  <c r="U2002" i="6" s="1"/>
  <c r="N2002" i="6"/>
  <c r="V2001" i="6"/>
  <c r="T2001" i="6"/>
  <c r="S2001" i="6"/>
  <c r="R2001" i="6"/>
  <c r="Q2001" i="6"/>
  <c r="P2001" i="6"/>
  <c r="O2001" i="6"/>
  <c r="U2001" i="6" s="1"/>
  <c r="N2001" i="6"/>
  <c r="V2000" i="6"/>
  <c r="T2000" i="6"/>
  <c r="S2000" i="6"/>
  <c r="R2000" i="6"/>
  <c r="Q2000" i="6"/>
  <c r="P2000" i="6"/>
  <c r="O2000" i="6"/>
  <c r="U2000" i="6" s="1"/>
  <c r="N2000" i="6"/>
  <c r="V1999" i="6"/>
  <c r="T1999" i="6"/>
  <c r="S1999" i="6"/>
  <c r="R1999" i="6"/>
  <c r="Q1999" i="6"/>
  <c r="P1999" i="6"/>
  <c r="O1999" i="6"/>
  <c r="U1999" i="6" s="1"/>
  <c r="N1999" i="6"/>
  <c r="V1998" i="6"/>
  <c r="T1998" i="6"/>
  <c r="S1998" i="6"/>
  <c r="R1998" i="6"/>
  <c r="Q1998" i="6"/>
  <c r="P1998" i="6"/>
  <c r="O1998" i="6"/>
  <c r="U1998" i="6" s="1"/>
  <c r="N1998" i="6"/>
  <c r="V1997" i="6"/>
  <c r="T1997" i="6"/>
  <c r="S1997" i="6"/>
  <c r="R1997" i="6"/>
  <c r="Q1997" i="6"/>
  <c r="P1997" i="6"/>
  <c r="O1997" i="6"/>
  <c r="U1997" i="6" s="1"/>
  <c r="N1997" i="6"/>
  <c r="V1996" i="6"/>
  <c r="T1996" i="6"/>
  <c r="S1996" i="6"/>
  <c r="R1996" i="6"/>
  <c r="Q1996" i="6"/>
  <c r="P1996" i="6"/>
  <c r="O1996" i="6"/>
  <c r="U1996" i="6" s="1"/>
  <c r="N1996" i="6"/>
  <c r="V1995" i="6"/>
  <c r="T1995" i="6"/>
  <c r="S1995" i="6"/>
  <c r="R1995" i="6"/>
  <c r="Q1995" i="6"/>
  <c r="P1995" i="6"/>
  <c r="O1995" i="6"/>
  <c r="U1995" i="6" s="1"/>
  <c r="N1995" i="6"/>
  <c r="V1994" i="6"/>
  <c r="T1994" i="6"/>
  <c r="S1994" i="6"/>
  <c r="R1994" i="6"/>
  <c r="Q1994" i="6"/>
  <c r="P1994" i="6"/>
  <c r="O1994" i="6"/>
  <c r="U1994" i="6" s="1"/>
  <c r="N1994" i="6"/>
  <c r="V1993" i="6"/>
  <c r="T1993" i="6"/>
  <c r="S1993" i="6"/>
  <c r="R1993" i="6"/>
  <c r="Q1993" i="6"/>
  <c r="P1993" i="6"/>
  <c r="O1993" i="6"/>
  <c r="U1993" i="6" s="1"/>
  <c r="N1993" i="6"/>
  <c r="V1992" i="6"/>
  <c r="T1992" i="6"/>
  <c r="S1992" i="6"/>
  <c r="R1992" i="6"/>
  <c r="Q1992" i="6"/>
  <c r="P1992" i="6"/>
  <c r="O1992" i="6"/>
  <c r="U1992" i="6" s="1"/>
  <c r="N1992" i="6"/>
  <c r="V1991" i="6"/>
  <c r="T1991" i="6"/>
  <c r="S1991" i="6"/>
  <c r="R1991" i="6"/>
  <c r="Q1991" i="6"/>
  <c r="P1991" i="6"/>
  <c r="O1991" i="6"/>
  <c r="U1991" i="6" s="1"/>
  <c r="N1991" i="6"/>
  <c r="V1990" i="6"/>
  <c r="T1990" i="6"/>
  <c r="S1990" i="6"/>
  <c r="R1990" i="6"/>
  <c r="Q1990" i="6"/>
  <c r="P1990" i="6"/>
  <c r="O1990" i="6"/>
  <c r="U1990" i="6" s="1"/>
  <c r="N1990" i="6"/>
  <c r="V1989" i="6"/>
  <c r="T1989" i="6"/>
  <c r="S1989" i="6"/>
  <c r="R1989" i="6"/>
  <c r="Q1989" i="6"/>
  <c r="P1989" i="6"/>
  <c r="O1989" i="6"/>
  <c r="U1989" i="6" s="1"/>
  <c r="N1989" i="6"/>
  <c r="V1988" i="6"/>
  <c r="T1988" i="6"/>
  <c r="S1988" i="6"/>
  <c r="R1988" i="6"/>
  <c r="Q1988" i="6"/>
  <c r="P1988" i="6"/>
  <c r="O1988" i="6"/>
  <c r="U1988" i="6" s="1"/>
  <c r="N1988" i="6"/>
  <c r="V1987" i="6"/>
  <c r="T1987" i="6"/>
  <c r="S1987" i="6"/>
  <c r="R1987" i="6"/>
  <c r="Q1987" i="6"/>
  <c r="P1987" i="6"/>
  <c r="O1987" i="6"/>
  <c r="U1987" i="6" s="1"/>
  <c r="N1987" i="6"/>
  <c r="V1986" i="6"/>
  <c r="T1986" i="6"/>
  <c r="S1986" i="6"/>
  <c r="R1986" i="6"/>
  <c r="Q1986" i="6"/>
  <c r="P1986" i="6"/>
  <c r="O1986" i="6"/>
  <c r="U1986" i="6" s="1"/>
  <c r="N1986" i="6"/>
  <c r="V1985" i="6"/>
  <c r="T1985" i="6"/>
  <c r="S1985" i="6"/>
  <c r="R1985" i="6"/>
  <c r="Q1985" i="6"/>
  <c r="P1985" i="6"/>
  <c r="O1985" i="6"/>
  <c r="U1985" i="6" s="1"/>
  <c r="N1985" i="6"/>
  <c r="V1984" i="6"/>
  <c r="T1984" i="6"/>
  <c r="S1984" i="6"/>
  <c r="R1984" i="6"/>
  <c r="Q1984" i="6"/>
  <c r="P1984" i="6"/>
  <c r="O1984" i="6"/>
  <c r="U1984" i="6" s="1"/>
  <c r="N1984" i="6"/>
  <c r="V1983" i="6"/>
  <c r="T1983" i="6"/>
  <c r="S1983" i="6"/>
  <c r="R1983" i="6"/>
  <c r="Q1983" i="6"/>
  <c r="P1983" i="6"/>
  <c r="O1983" i="6"/>
  <c r="U1983" i="6" s="1"/>
  <c r="N1983" i="6"/>
  <c r="V1982" i="6"/>
  <c r="T1982" i="6"/>
  <c r="S1982" i="6"/>
  <c r="R1982" i="6"/>
  <c r="Q1982" i="6"/>
  <c r="P1982" i="6"/>
  <c r="O1982" i="6"/>
  <c r="U1982" i="6" s="1"/>
  <c r="N1982" i="6"/>
  <c r="V1981" i="6"/>
  <c r="T1981" i="6"/>
  <c r="S1981" i="6"/>
  <c r="R1981" i="6"/>
  <c r="Q1981" i="6"/>
  <c r="P1981" i="6"/>
  <c r="O1981" i="6"/>
  <c r="U1981" i="6" s="1"/>
  <c r="N1981" i="6"/>
  <c r="V1980" i="6"/>
  <c r="T1980" i="6"/>
  <c r="S1980" i="6"/>
  <c r="R1980" i="6"/>
  <c r="Q1980" i="6"/>
  <c r="P1980" i="6"/>
  <c r="O1980" i="6"/>
  <c r="U1980" i="6" s="1"/>
  <c r="N1980" i="6"/>
  <c r="V1979" i="6"/>
  <c r="T1979" i="6"/>
  <c r="S1979" i="6"/>
  <c r="R1979" i="6"/>
  <c r="Q1979" i="6"/>
  <c r="P1979" i="6"/>
  <c r="O1979" i="6"/>
  <c r="U1979" i="6" s="1"/>
  <c r="N1979" i="6"/>
  <c r="V1978" i="6"/>
  <c r="T1978" i="6"/>
  <c r="S1978" i="6"/>
  <c r="R1978" i="6"/>
  <c r="Q1978" i="6"/>
  <c r="P1978" i="6"/>
  <c r="O1978" i="6"/>
  <c r="U1978" i="6" s="1"/>
  <c r="N1978" i="6"/>
  <c r="V1977" i="6"/>
  <c r="T1977" i="6"/>
  <c r="S1977" i="6"/>
  <c r="R1977" i="6"/>
  <c r="Q1977" i="6"/>
  <c r="P1977" i="6"/>
  <c r="O1977" i="6"/>
  <c r="U1977" i="6" s="1"/>
  <c r="N1977" i="6"/>
  <c r="V1976" i="6"/>
  <c r="T1976" i="6"/>
  <c r="S1976" i="6"/>
  <c r="R1976" i="6"/>
  <c r="Q1976" i="6"/>
  <c r="P1976" i="6"/>
  <c r="O1976" i="6"/>
  <c r="U1976" i="6" s="1"/>
  <c r="N1976" i="6"/>
  <c r="V1975" i="6"/>
  <c r="T1975" i="6"/>
  <c r="S1975" i="6"/>
  <c r="R1975" i="6"/>
  <c r="Q1975" i="6"/>
  <c r="P1975" i="6"/>
  <c r="O1975" i="6"/>
  <c r="U1975" i="6" s="1"/>
  <c r="N1975" i="6"/>
  <c r="V1974" i="6"/>
  <c r="T1974" i="6"/>
  <c r="S1974" i="6"/>
  <c r="R1974" i="6"/>
  <c r="Q1974" i="6"/>
  <c r="P1974" i="6"/>
  <c r="O1974" i="6"/>
  <c r="U1974" i="6" s="1"/>
  <c r="N1974" i="6"/>
  <c r="V1973" i="6"/>
  <c r="T1973" i="6"/>
  <c r="S1973" i="6"/>
  <c r="R1973" i="6"/>
  <c r="Q1973" i="6"/>
  <c r="P1973" i="6"/>
  <c r="O1973" i="6"/>
  <c r="U1973" i="6" s="1"/>
  <c r="N1973" i="6"/>
  <c r="V1972" i="6"/>
  <c r="T1972" i="6"/>
  <c r="S1972" i="6"/>
  <c r="R1972" i="6"/>
  <c r="Q1972" i="6"/>
  <c r="P1972" i="6"/>
  <c r="O1972" i="6"/>
  <c r="U1972" i="6" s="1"/>
  <c r="N1972" i="6"/>
  <c r="V1971" i="6"/>
  <c r="T1971" i="6"/>
  <c r="S1971" i="6"/>
  <c r="R1971" i="6"/>
  <c r="Q1971" i="6"/>
  <c r="P1971" i="6"/>
  <c r="O1971" i="6"/>
  <c r="U1971" i="6" s="1"/>
  <c r="N1971" i="6"/>
  <c r="V1970" i="6"/>
  <c r="T1970" i="6"/>
  <c r="S1970" i="6"/>
  <c r="R1970" i="6"/>
  <c r="Q1970" i="6"/>
  <c r="P1970" i="6"/>
  <c r="O1970" i="6"/>
  <c r="U1970" i="6" s="1"/>
  <c r="N1970" i="6"/>
  <c r="V1969" i="6"/>
  <c r="T1969" i="6"/>
  <c r="S1969" i="6"/>
  <c r="R1969" i="6"/>
  <c r="Q1969" i="6"/>
  <c r="P1969" i="6"/>
  <c r="O1969" i="6"/>
  <c r="U1969" i="6" s="1"/>
  <c r="N1969" i="6"/>
  <c r="V1968" i="6"/>
  <c r="T1968" i="6"/>
  <c r="S1968" i="6"/>
  <c r="R1968" i="6"/>
  <c r="Q1968" i="6"/>
  <c r="P1968" i="6"/>
  <c r="O1968" i="6"/>
  <c r="U1968" i="6" s="1"/>
  <c r="N1968" i="6"/>
  <c r="V1967" i="6"/>
  <c r="T1967" i="6"/>
  <c r="S1967" i="6"/>
  <c r="R1967" i="6"/>
  <c r="Q1967" i="6"/>
  <c r="P1967" i="6"/>
  <c r="O1967" i="6"/>
  <c r="U1967" i="6" s="1"/>
  <c r="N1967" i="6"/>
  <c r="V1966" i="6"/>
  <c r="T1966" i="6"/>
  <c r="S1966" i="6"/>
  <c r="R1966" i="6"/>
  <c r="Q1966" i="6"/>
  <c r="P1966" i="6"/>
  <c r="O1966" i="6"/>
  <c r="U1966" i="6" s="1"/>
  <c r="N1966" i="6"/>
  <c r="V1965" i="6"/>
  <c r="T1965" i="6"/>
  <c r="S1965" i="6"/>
  <c r="R1965" i="6"/>
  <c r="Q1965" i="6"/>
  <c r="P1965" i="6"/>
  <c r="O1965" i="6"/>
  <c r="U1965" i="6" s="1"/>
  <c r="N1965" i="6"/>
  <c r="V1964" i="6"/>
  <c r="T1964" i="6"/>
  <c r="S1964" i="6"/>
  <c r="R1964" i="6"/>
  <c r="Q1964" i="6"/>
  <c r="P1964" i="6"/>
  <c r="O1964" i="6"/>
  <c r="U1964" i="6" s="1"/>
  <c r="N1964" i="6"/>
  <c r="V1963" i="6"/>
  <c r="T1963" i="6"/>
  <c r="S1963" i="6"/>
  <c r="R1963" i="6"/>
  <c r="Q1963" i="6"/>
  <c r="P1963" i="6"/>
  <c r="O1963" i="6"/>
  <c r="U1963" i="6" s="1"/>
  <c r="N1963" i="6"/>
  <c r="V1962" i="6"/>
  <c r="T1962" i="6"/>
  <c r="S1962" i="6"/>
  <c r="R1962" i="6"/>
  <c r="Q1962" i="6"/>
  <c r="P1962" i="6"/>
  <c r="O1962" i="6"/>
  <c r="U1962" i="6" s="1"/>
  <c r="N1962" i="6"/>
  <c r="V1961" i="6"/>
  <c r="T1961" i="6"/>
  <c r="S1961" i="6"/>
  <c r="R1961" i="6"/>
  <c r="Q1961" i="6"/>
  <c r="P1961" i="6"/>
  <c r="O1961" i="6"/>
  <c r="U1961" i="6" s="1"/>
  <c r="N1961" i="6"/>
  <c r="V1960" i="6"/>
  <c r="T1960" i="6"/>
  <c r="S1960" i="6"/>
  <c r="R1960" i="6"/>
  <c r="Q1960" i="6"/>
  <c r="P1960" i="6"/>
  <c r="O1960" i="6"/>
  <c r="U1960" i="6" s="1"/>
  <c r="N1960" i="6"/>
  <c r="V1959" i="6"/>
  <c r="T1959" i="6"/>
  <c r="S1959" i="6"/>
  <c r="R1959" i="6"/>
  <c r="Q1959" i="6"/>
  <c r="P1959" i="6"/>
  <c r="O1959" i="6"/>
  <c r="U1959" i="6" s="1"/>
  <c r="N1959" i="6"/>
  <c r="V1958" i="6"/>
  <c r="T1958" i="6"/>
  <c r="S1958" i="6"/>
  <c r="R1958" i="6"/>
  <c r="Q1958" i="6"/>
  <c r="P1958" i="6"/>
  <c r="O1958" i="6"/>
  <c r="U1958" i="6" s="1"/>
  <c r="N1958" i="6"/>
  <c r="V1957" i="6"/>
  <c r="T1957" i="6"/>
  <c r="S1957" i="6"/>
  <c r="R1957" i="6"/>
  <c r="Q1957" i="6"/>
  <c r="P1957" i="6"/>
  <c r="O1957" i="6"/>
  <c r="U1957" i="6" s="1"/>
  <c r="N1957" i="6"/>
  <c r="V1956" i="6"/>
  <c r="T1956" i="6"/>
  <c r="S1956" i="6"/>
  <c r="R1956" i="6"/>
  <c r="Q1956" i="6"/>
  <c r="P1956" i="6"/>
  <c r="O1956" i="6"/>
  <c r="U1956" i="6" s="1"/>
  <c r="N1956" i="6"/>
  <c r="V1955" i="6"/>
  <c r="T1955" i="6"/>
  <c r="S1955" i="6"/>
  <c r="R1955" i="6"/>
  <c r="Q1955" i="6"/>
  <c r="P1955" i="6"/>
  <c r="O1955" i="6"/>
  <c r="U1955" i="6" s="1"/>
  <c r="N1955" i="6"/>
  <c r="V1954" i="6"/>
  <c r="T1954" i="6"/>
  <c r="S1954" i="6"/>
  <c r="R1954" i="6"/>
  <c r="Q1954" i="6"/>
  <c r="P1954" i="6"/>
  <c r="O1954" i="6"/>
  <c r="U1954" i="6" s="1"/>
  <c r="N1954" i="6"/>
  <c r="V1953" i="6"/>
  <c r="T1953" i="6"/>
  <c r="S1953" i="6"/>
  <c r="R1953" i="6"/>
  <c r="Q1953" i="6"/>
  <c r="P1953" i="6"/>
  <c r="O1953" i="6"/>
  <c r="U1953" i="6" s="1"/>
  <c r="N1953" i="6"/>
  <c r="V1952" i="6"/>
  <c r="T1952" i="6"/>
  <c r="S1952" i="6"/>
  <c r="R1952" i="6"/>
  <c r="Q1952" i="6"/>
  <c r="P1952" i="6"/>
  <c r="O1952" i="6"/>
  <c r="U1952" i="6" s="1"/>
  <c r="N1952" i="6"/>
  <c r="V1951" i="6"/>
  <c r="T1951" i="6"/>
  <c r="S1951" i="6"/>
  <c r="R1951" i="6"/>
  <c r="Q1951" i="6"/>
  <c r="P1951" i="6"/>
  <c r="O1951" i="6"/>
  <c r="U1951" i="6" s="1"/>
  <c r="N1951" i="6"/>
  <c r="V1950" i="6"/>
  <c r="T1950" i="6"/>
  <c r="S1950" i="6"/>
  <c r="R1950" i="6"/>
  <c r="Q1950" i="6"/>
  <c r="P1950" i="6"/>
  <c r="O1950" i="6"/>
  <c r="U1950" i="6" s="1"/>
  <c r="N1950" i="6"/>
  <c r="V1949" i="6"/>
  <c r="T1949" i="6"/>
  <c r="S1949" i="6"/>
  <c r="R1949" i="6"/>
  <c r="Q1949" i="6"/>
  <c r="P1949" i="6"/>
  <c r="O1949" i="6"/>
  <c r="U1949" i="6" s="1"/>
  <c r="N1949" i="6"/>
  <c r="V1948" i="6"/>
  <c r="T1948" i="6"/>
  <c r="S1948" i="6"/>
  <c r="R1948" i="6"/>
  <c r="Q1948" i="6"/>
  <c r="P1948" i="6"/>
  <c r="O1948" i="6"/>
  <c r="U1948" i="6" s="1"/>
  <c r="N1948" i="6"/>
  <c r="V1947" i="6"/>
  <c r="T1947" i="6"/>
  <c r="S1947" i="6"/>
  <c r="R1947" i="6"/>
  <c r="Q1947" i="6"/>
  <c r="P1947" i="6"/>
  <c r="O1947" i="6"/>
  <c r="U1947" i="6" s="1"/>
  <c r="N1947" i="6"/>
  <c r="V1946" i="6"/>
  <c r="T1946" i="6"/>
  <c r="S1946" i="6"/>
  <c r="R1946" i="6"/>
  <c r="Q1946" i="6"/>
  <c r="P1946" i="6"/>
  <c r="O1946" i="6"/>
  <c r="U1946" i="6" s="1"/>
  <c r="N1946" i="6"/>
  <c r="V1945" i="6"/>
  <c r="T1945" i="6"/>
  <c r="S1945" i="6"/>
  <c r="R1945" i="6"/>
  <c r="Q1945" i="6"/>
  <c r="P1945" i="6"/>
  <c r="O1945" i="6"/>
  <c r="U1945" i="6" s="1"/>
  <c r="N1945" i="6"/>
  <c r="V1944" i="6"/>
  <c r="T1944" i="6"/>
  <c r="S1944" i="6"/>
  <c r="R1944" i="6"/>
  <c r="Q1944" i="6"/>
  <c r="P1944" i="6"/>
  <c r="O1944" i="6"/>
  <c r="U1944" i="6" s="1"/>
  <c r="N1944" i="6"/>
  <c r="V1943" i="6"/>
  <c r="T1943" i="6"/>
  <c r="S1943" i="6"/>
  <c r="R1943" i="6"/>
  <c r="Q1943" i="6"/>
  <c r="P1943" i="6"/>
  <c r="O1943" i="6"/>
  <c r="U1943" i="6" s="1"/>
  <c r="N1943" i="6"/>
  <c r="V1942" i="6"/>
  <c r="T1942" i="6"/>
  <c r="S1942" i="6"/>
  <c r="R1942" i="6"/>
  <c r="Q1942" i="6"/>
  <c r="P1942" i="6"/>
  <c r="O1942" i="6"/>
  <c r="U1942" i="6" s="1"/>
  <c r="N1942" i="6"/>
  <c r="V1941" i="6"/>
  <c r="T1941" i="6"/>
  <c r="S1941" i="6"/>
  <c r="R1941" i="6"/>
  <c r="Q1941" i="6"/>
  <c r="P1941" i="6"/>
  <c r="O1941" i="6"/>
  <c r="U1941" i="6" s="1"/>
  <c r="N1941" i="6"/>
  <c r="V1940" i="6"/>
  <c r="T1940" i="6"/>
  <c r="S1940" i="6"/>
  <c r="R1940" i="6"/>
  <c r="Q1940" i="6"/>
  <c r="P1940" i="6"/>
  <c r="O1940" i="6"/>
  <c r="U1940" i="6" s="1"/>
  <c r="N1940" i="6"/>
  <c r="V1939" i="6"/>
  <c r="T1939" i="6"/>
  <c r="S1939" i="6"/>
  <c r="R1939" i="6"/>
  <c r="Q1939" i="6"/>
  <c r="P1939" i="6"/>
  <c r="O1939" i="6"/>
  <c r="U1939" i="6" s="1"/>
  <c r="N1939" i="6"/>
  <c r="V1938" i="6"/>
  <c r="T1938" i="6"/>
  <c r="S1938" i="6"/>
  <c r="R1938" i="6"/>
  <c r="Q1938" i="6"/>
  <c r="P1938" i="6"/>
  <c r="O1938" i="6"/>
  <c r="U1938" i="6" s="1"/>
  <c r="N1938" i="6"/>
  <c r="V1937" i="6"/>
  <c r="T1937" i="6"/>
  <c r="S1937" i="6"/>
  <c r="R1937" i="6"/>
  <c r="Q1937" i="6"/>
  <c r="P1937" i="6"/>
  <c r="O1937" i="6"/>
  <c r="U1937" i="6" s="1"/>
  <c r="N1937" i="6"/>
  <c r="V1936" i="6"/>
  <c r="T1936" i="6"/>
  <c r="S1936" i="6"/>
  <c r="R1936" i="6"/>
  <c r="Q1936" i="6"/>
  <c r="P1936" i="6"/>
  <c r="O1936" i="6"/>
  <c r="U1936" i="6" s="1"/>
  <c r="N1936" i="6"/>
  <c r="V1935" i="6"/>
  <c r="T1935" i="6"/>
  <c r="S1935" i="6"/>
  <c r="R1935" i="6"/>
  <c r="Q1935" i="6"/>
  <c r="P1935" i="6"/>
  <c r="O1935" i="6"/>
  <c r="U1935" i="6" s="1"/>
  <c r="N1935" i="6"/>
  <c r="V1934" i="6"/>
  <c r="T1934" i="6"/>
  <c r="S1934" i="6"/>
  <c r="R1934" i="6"/>
  <c r="Q1934" i="6"/>
  <c r="P1934" i="6"/>
  <c r="O1934" i="6"/>
  <c r="U1934" i="6" s="1"/>
  <c r="N1934" i="6"/>
  <c r="V1933" i="6"/>
  <c r="T1933" i="6"/>
  <c r="S1933" i="6"/>
  <c r="R1933" i="6"/>
  <c r="Q1933" i="6"/>
  <c r="P1933" i="6"/>
  <c r="O1933" i="6"/>
  <c r="U1933" i="6" s="1"/>
  <c r="N1933" i="6"/>
  <c r="V1932" i="6"/>
  <c r="T1932" i="6"/>
  <c r="S1932" i="6"/>
  <c r="R1932" i="6"/>
  <c r="Q1932" i="6"/>
  <c r="P1932" i="6"/>
  <c r="O1932" i="6"/>
  <c r="U1932" i="6" s="1"/>
  <c r="N1932" i="6"/>
  <c r="V1931" i="6"/>
  <c r="T1931" i="6"/>
  <c r="S1931" i="6"/>
  <c r="R1931" i="6"/>
  <c r="Q1931" i="6"/>
  <c r="P1931" i="6"/>
  <c r="O1931" i="6"/>
  <c r="U1931" i="6" s="1"/>
  <c r="N1931" i="6"/>
  <c r="V1930" i="6"/>
  <c r="T1930" i="6"/>
  <c r="S1930" i="6"/>
  <c r="R1930" i="6"/>
  <c r="Q1930" i="6"/>
  <c r="P1930" i="6"/>
  <c r="O1930" i="6"/>
  <c r="U1930" i="6" s="1"/>
  <c r="N1930" i="6"/>
  <c r="V1929" i="6"/>
  <c r="T1929" i="6"/>
  <c r="S1929" i="6"/>
  <c r="R1929" i="6"/>
  <c r="Q1929" i="6"/>
  <c r="P1929" i="6"/>
  <c r="O1929" i="6"/>
  <c r="U1929" i="6" s="1"/>
  <c r="N1929" i="6"/>
  <c r="V1928" i="6"/>
  <c r="T1928" i="6"/>
  <c r="S1928" i="6"/>
  <c r="R1928" i="6"/>
  <c r="Q1928" i="6"/>
  <c r="P1928" i="6"/>
  <c r="O1928" i="6"/>
  <c r="U1928" i="6" s="1"/>
  <c r="N1928" i="6"/>
  <c r="V1927" i="6"/>
  <c r="T1927" i="6"/>
  <c r="S1927" i="6"/>
  <c r="R1927" i="6"/>
  <c r="Q1927" i="6"/>
  <c r="P1927" i="6"/>
  <c r="O1927" i="6"/>
  <c r="U1927" i="6" s="1"/>
  <c r="N1927" i="6"/>
  <c r="V1926" i="6"/>
  <c r="T1926" i="6"/>
  <c r="S1926" i="6"/>
  <c r="R1926" i="6"/>
  <c r="Q1926" i="6"/>
  <c r="P1926" i="6"/>
  <c r="O1926" i="6"/>
  <c r="U1926" i="6" s="1"/>
  <c r="N1926" i="6"/>
  <c r="V1925" i="6"/>
  <c r="T1925" i="6"/>
  <c r="S1925" i="6"/>
  <c r="R1925" i="6"/>
  <c r="Q1925" i="6"/>
  <c r="P1925" i="6"/>
  <c r="O1925" i="6"/>
  <c r="U1925" i="6" s="1"/>
  <c r="N1925" i="6"/>
  <c r="V1924" i="6"/>
  <c r="T1924" i="6"/>
  <c r="S1924" i="6"/>
  <c r="R1924" i="6"/>
  <c r="Q1924" i="6"/>
  <c r="P1924" i="6"/>
  <c r="O1924" i="6"/>
  <c r="U1924" i="6" s="1"/>
  <c r="N1924" i="6"/>
  <c r="V1923" i="6"/>
  <c r="T1923" i="6"/>
  <c r="S1923" i="6"/>
  <c r="R1923" i="6"/>
  <c r="Q1923" i="6"/>
  <c r="P1923" i="6"/>
  <c r="O1923" i="6"/>
  <c r="U1923" i="6" s="1"/>
  <c r="N1923" i="6"/>
  <c r="V1922" i="6"/>
  <c r="T1922" i="6"/>
  <c r="S1922" i="6"/>
  <c r="R1922" i="6"/>
  <c r="Q1922" i="6"/>
  <c r="P1922" i="6"/>
  <c r="O1922" i="6"/>
  <c r="U1922" i="6" s="1"/>
  <c r="N1922" i="6"/>
  <c r="V1921" i="6"/>
  <c r="T1921" i="6"/>
  <c r="S1921" i="6"/>
  <c r="R1921" i="6"/>
  <c r="Q1921" i="6"/>
  <c r="P1921" i="6"/>
  <c r="O1921" i="6"/>
  <c r="U1921" i="6" s="1"/>
  <c r="N1921" i="6"/>
  <c r="V1920" i="6"/>
  <c r="T1920" i="6"/>
  <c r="S1920" i="6"/>
  <c r="R1920" i="6"/>
  <c r="Q1920" i="6"/>
  <c r="P1920" i="6"/>
  <c r="O1920" i="6"/>
  <c r="U1920" i="6" s="1"/>
  <c r="N1920" i="6"/>
  <c r="V1919" i="6"/>
  <c r="T1919" i="6"/>
  <c r="S1919" i="6"/>
  <c r="R1919" i="6"/>
  <c r="Q1919" i="6"/>
  <c r="P1919" i="6"/>
  <c r="O1919" i="6"/>
  <c r="U1919" i="6" s="1"/>
  <c r="N1919" i="6"/>
  <c r="V1918" i="6"/>
  <c r="T1918" i="6"/>
  <c r="S1918" i="6"/>
  <c r="R1918" i="6"/>
  <c r="Q1918" i="6"/>
  <c r="P1918" i="6"/>
  <c r="O1918" i="6"/>
  <c r="U1918" i="6" s="1"/>
  <c r="N1918" i="6"/>
  <c r="V1917" i="6"/>
  <c r="T1917" i="6"/>
  <c r="S1917" i="6"/>
  <c r="R1917" i="6"/>
  <c r="Q1917" i="6"/>
  <c r="P1917" i="6"/>
  <c r="O1917" i="6"/>
  <c r="U1917" i="6" s="1"/>
  <c r="N1917" i="6"/>
  <c r="V1916" i="6"/>
  <c r="T1916" i="6"/>
  <c r="S1916" i="6"/>
  <c r="R1916" i="6"/>
  <c r="Q1916" i="6"/>
  <c r="P1916" i="6"/>
  <c r="O1916" i="6"/>
  <c r="U1916" i="6" s="1"/>
  <c r="N1916" i="6"/>
  <c r="V1915" i="6"/>
  <c r="T1915" i="6"/>
  <c r="S1915" i="6"/>
  <c r="R1915" i="6"/>
  <c r="Q1915" i="6"/>
  <c r="P1915" i="6"/>
  <c r="O1915" i="6"/>
  <c r="U1915" i="6" s="1"/>
  <c r="N1915" i="6"/>
  <c r="V1914" i="6"/>
  <c r="T1914" i="6"/>
  <c r="S1914" i="6"/>
  <c r="R1914" i="6"/>
  <c r="Q1914" i="6"/>
  <c r="P1914" i="6"/>
  <c r="O1914" i="6"/>
  <c r="U1914" i="6" s="1"/>
  <c r="N1914" i="6"/>
  <c r="V1913" i="6"/>
  <c r="T1913" i="6"/>
  <c r="S1913" i="6"/>
  <c r="R1913" i="6"/>
  <c r="Q1913" i="6"/>
  <c r="P1913" i="6"/>
  <c r="O1913" i="6"/>
  <c r="U1913" i="6" s="1"/>
  <c r="N1913" i="6"/>
  <c r="V1912" i="6"/>
  <c r="T1912" i="6"/>
  <c r="S1912" i="6"/>
  <c r="R1912" i="6"/>
  <c r="Q1912" i="6"/>
  <c r="P1912" i="6"/>
  <c r="O1912" i="6"/>
  <c r="U1912" i="6" s="1"/>
  <c r="N1912" i="6"/>
  <c r="V1911" i="6"/>
  <c r="T1911" i="6"/>
  <c r="S1911" i="6"/>
  <c r="R1911" i="6"/>
  <c r="Q1911" i="6"/>
  <c r="P1911" i="6"/>
  <c r="O1911" i="6"/>
  <c r="U1911" i="6" s="1"/>
  <c r="N1911" i="6"/>
  <c r="V1910" i="6"/>
  <c r="T1910" i="6"/>
  <c r="S1910" i="6"/>
  <c r="R1910" i="6"/>
  <c r="Q1910" i="6"/>
  <c r="P1910" i="6"/>
  <c r="O1910" i="6"/>
  <c r="U1910" i="6" s="1"/>
  <c r="N1910" i="6"/>
  <c r="V1909" i="6"/>
  <c r="T1909" i="6"/>
  <c r="S1909" i="6"/>
  <c r="R1909" i="6"/>
  <c r="Q1909" i="6"/>
  <c r="P1909" i="6"/>
  <c r="O1909" i="6"/>
  <c r="U1909" i="6" s="1"/>
  <c r="N1909" i="6"/>
  <c r="V1908" i="6"/>
  <c r="T1908" i="6"/>
  <c r="S1908" i="6"/>
  <c r="R1908" i="6"/>
  <c r="Q1908" i="6"/>
  <c r="P1908" i="6"/>
  <c r="O1908" i="6"/>
  <c r="U1908" i="6" s="1"/>
  <c r="N1908" i="6"/>
  <c r="V1907" i="6"/>
  <c r="T1907" i="6"/>
  <c r="S1907" i="6"/>
  <c r="R1907" i="6"/>
  <c r="Q1907" i="6"/>
  <c r="P1907" i="6"/>
  <c r="O1907" i="6"/>
  <c r="U1907" i="6" s="1"/>
  <c r="N1907" i="6"/>
  <c r="V1906" i="6"/>
  <c r="T1906" i="6"/>
  <c r="S1906" i="6"/>
  <c r="R1906" i="6"/>
  <c r="Q1906" i="6"/>
  <c r="P1906" i="6"/>
  <c r="O1906" i="6"/>
  <c r="U1906" i="6" s="1"/>
  <c r="N1906" i="6"/>
  <c r="V1905" i="6"/>
  <c r="T1905" i="6"/>
  <c r="S1905" i="6"/>
  <c r="R1905" i="6"/>
  <c r="Q1905" i="6"/>
  <c r="P1905" i="6"/>
  <c r="O1905" i="6"/>
  <c r="U1905" i="6" s="1"/>
  <c r="N1905" i="6"/>
  <c r="V1904" i="6"/>
  <c r="T1904" i="6"/>
  <c r="S1904" i="6"/>
  <c r="R1904" i="6"/>
  <c r="Q1904" i="6"/>
  <c r="P1904" i="6"/>
  <c r="O1904" i="6"/>
  <c r="U1904" i="6" s="1"/>
  <c r="N1904" i="6"/>
  <c r="V1903" i="6"/>
  <c r="T1903" i="6"/>
  <c r="S1903" i="6"/>
  <c r="R1903" i="6"/>
  <c r="Q1903" i="6"/>
  <c r="P1903" i="6"/>
  <c r="O1903" i="6"/>
  <c r="U1903" i="6" s="1"/>
  <c r="N1903" i="6"/>
  <c r="V1902" i="6"/>
  <c r="T1902" i="6"/>
  <c r="S1902" i="6"/>
  <c r="R1902" i="6"/>
  <c r="Q1902" i="6"/>
  <c r="P1902" i="6"/>
  <c r="O1902" i="6"/>
  <c r="U1902" i="6" s="1"/>
  <c r="N1902" i="6"/>
  <c r="V1901" i="6"/>
  <c r="T1901" i="6"/>
  <c r="S1901" i="6"/>
  <c r="R1901" i="6"/>
  <c r="Q1901" i="6"/>
  <c r="P1901" i="6"/>
  <c r="O1901" i="6"/>
  <c r="U1901" i="6" s="1"/>
  <c r="N1901" i="6"/>
  <c r="V1900" i="6"/>
  <c r="T1900" i="6"/>
  <c r="S1900" i="6"/>
  <c r="R1900" i="6"/>
  <c r="Q1900" i="6"/>
  <c r="P1900" i="6"/>
  <c r="O1900" i="6"/>
  <c r="U1900" i="6" s="1"/>
  <c r="N1900" i="6"/>
  <c r="V1899" i="6"/>
  <c r="T1899" i="6"/>
  <c r="S1899" i="6"/>
  <c r="R1899" i="6"/>
  <c r="Q1899" i="6"/>
  <c r="P1899" i="6"/>
  <c r="O1899" i="6"/>
  <c r="U1899" i="6" s="1"/>
  <c r="N1899" i="6"/>
  <c r="V1898" i="6"/>
  <c r="T1898" i="6"/>
  <c r="S1898" i="6"/>
  <c r="R1898" i="6"/>
  <c r="Q1898" i="6"/>
  <c r="P1898" i="6"/>
  <c r="O1898" i="6"/>
  <c r="U1898" i="6" s="1"/>
  <c r="N1898" i="6"/>
  <c r="V1897" i="6"/>
  <c r="T1897" i="6"/>
  <c r="S1897" i="6"/>
  <c r="R1897" i="6"/>
  <c r="Q1897" i="6"/>
  <c r="P1897" i="6"/>
  <c r="O1897" i="6"/>
  <c r="U1897" i="6" s="1"/>
  <c r="N1897" i="6"/>
  <c r="V1896" i="6"/>
  <c r="T1896" i="6"/>
  <c r="S1896" i="6"/>
  <c r="R1896" i="6"/>
  <c r="Q1896" i="6"/>
  <c r="P1896" i="6"/>
  <c r="O1896" i="6"/>
  <c r="U1896" i="6" s="1"/>
  <c r="N1896" i="6"/>
  <c r="V1895" i="6"/>
  <c r="T1895" i="6"/>
  <c r="S1895" i="6"/>
  <c r="R1895" i="6"/>
  <c r="Q1895" i="6"/>
  <c r="P1895" i="6"/>
  <c r="O1895" i="6"/>
  <c r="U1895" i="6" s="1"/>
  <c r="N1895" i="6"/>
  <c r="V1894" i="6"/>
  <c r="T1894" i="6"/>
  <c r="S1894" i="6"/>
  <c r="R1894" i="6"/>
  <c r="Q1894" i="6"/>
  <c r="P1894" i="6"/>
  <c r="O1894" i="6"/>
  <c r="U1894" i="6" s="1"/>
  <c r="N1894" i="6"/>
  <c r="V1893" i="6"/>
  <c r="T1893" i="6"/>
  <c r="S1893" i="6"/>
  <c r="R1893" i="6"/>
  <c r="Q1893" i="6"/>
  <c r="P1893" i="6"/>
  <c r="O1893" i="6"/>
  <c r="U1893" i="6" s="1"/>
  <c r="N1893" i="6"/>
  <c r="V1892" i="6"/>
  <c r="T1892" i="6"/>
  <c r="S1892" i="6"/>
  <c r="R1892" i="6"/>
  <c r="Q1892" i="6"/>
  <c r="P1892" i="6"/>
  <c r="O1892" i="6"/>
  <c r="U1892" i="6" s="1"/>
  <c r="N1892" i="6"/>
  <c r="V1891" i="6"/>
  <c r="T1891" i="6"/>
  <c r="S1891" i="6"/>
  <c r="R1891" i="6"/>
  <c r="Q1891" i="6"/>
  <c r="P1891" i="6"/>
  <c r="O1891" i="6"/>
  <c r="U1891" i="6" s="1"/>
  <c r="N1891" i="6"/>
  <c r="V1890" i="6"/>
  <c r="T1890" i="6"/>
  <c r="S1890" i="6"/>
  <c r="R1890" i="6"/>
  <c r="Q1890" i="6"/>
  <c r="P1890" i="6"/>
  <c r="O1890" i="6"/>
  <c r="U1890" i="6" s="1"/>
  <c r="N1890" i="6"/>
  <c r="V1889" i="6"/>
  <c r="T1889" i="6"/>
  <c r="S1889" i="6"/>
  <c r="R1889" i="6"/>
  <c r="Q1889" i="6"/>
  <c r="P1889" i="6"/>
  <c r="O1889" i="6"/>
  <c r="U1889" i="6" s="1"/>
  <c r="N1889" i="6"/>
  <c r="V1888" i="6"/>
  <c r="T1888" i="6"/>
  <c r="S1888" i="6"/>
  <c r="R1888" i="6"/>
  <c r="Q1888" i="6"/>
  <c r="P1888" i="6"/>
  <c r="O1888" i="6"/>
  <c r="U1888" i="6" s="1"/>
  <c r="N1888" i="6"/>
  <c r="V1887" i="6"/>
  <c r="T1887" i="6"/>
  <c r="S1887" i="6"/>
  <c r="R1887" i="6"/>
  <c r="Q1887" i="6"/>
  <c r="P1887" i="6"/>
  <c r="O1887" i="6"/>
  <c r="U1887" i="6" s="1"/>
  <c r="N1887" i="6"/>
  <c r="V1886" i="6"/>
  <c r="T1886" i="6"/>
  <c r="S1886" i="6"/>
  <c r="R1886" i="6"/>
  <c r="Q1886" i="6"/>
  <c r="P1886" i="6"/>
  <c r="O1886" i="6"/>
  <c r="U1886" i="6" s="1"/>
  <c r="N1886" i="6"/>
  <c r="V1885" i="6"/>
  <c r="T1885" i="6"/>
  <c r="S1885" i="6"/>
  <c r="R1885" i="6"/>
  <c r="Q1885" i="6"/>
  <c r="P1885" i="6"/>
  <c r="O1885" i="6"/>
  <c r="U1885" i="6" s="1"/>
  <c r="N1885" i="6"/>
  <c r="V1884" i="6"/>
  <c r="T1884" i="6"/>
  <c r="S1884" i="6"/>
  <c r="R1884" i="6"/>
  <c r="Q1884" i="6"/>
  <c r="P1884" i="6"/>
  <c r="O1884" i="6"/>
  <c r="U1884" i="6" s="1"/>
  <c r="N1884" i="6"/>
  <c r="V1883" i="6"/>
  <c r="T1883" i="6"/>
  <c r="S1883" i="6"/>
  <c r="R1883" i="6"/>
  <c r="Q1883" i="6"/>
  <c r="P1883" i="6"/>
  <c r="O1883" i="6"/>
  <c r="U1883" i="6" s="1"/>
  <c r="N1883" i="6"/>
  <c r="V1882" i="6"/>
  <c r="T1882" i="6"/>
  <c r="S1882" i="6"/>
  <c r="R1882" i="6"/>
  <c r="Q1882" i="6"/>
  <c r="P1882" i="6"/>
  <c r="O1882" i="6"/>
  <c r="U1882" i="6" s="1"/>
  <c r="N1882" i="6"/>
  <c r="V1881" i="6"/>
  <c r="T1881" i="6"/>
  <c r="S1881" i="6"/>
  <c r="R1881" i="6"/>
  <c r="Q1881" i="6"/>
  <c r="P1881" i="6"/>
  <c r="O1881" i="6"/>
  <c r="U1881" i="6" s="1"/>
  <c r="N1881" i="6"/>
  <c r="V1880" i="6"/>
  <c r="T1880" i="6"/>
  <c r="S1880" i="6"/>
  <c r="R1880" i="6"/>
  <c r="Q1880" i="6"/>
  <c r="P1880" i="6"/>
  <c r="O1880" i="6"/>
  <c r="U1880" i="6" s="1"/>
  <c r="N1880" i="6"/>
  <c r="V1879" i="6"/>
  <c r="T1879" i="6"/>
  <c r="S1879" i="6"/>
  <c r="R1879" i="6"/>
  <c r="Q1879" i="6"/>
  <c r="P1879" i="6"/>
  <c r="O1879" i="6"/>
  <c r="U1879" i="6" s="1"/>
  <c r="N1879" i="6"/>
  <c r="V1878" i="6"/>
  <c r="T1878" i="6"/>
  <c r="S1878" i="6"/>
  <c r="R1878" i="6"/>
  <c r="Q1878" i="6"/>
  <c r="P1878" i="6"/>
  <c r="O1878" i="6"/>
  <c r="U1878" i="6" s="1"/>
  <c r="N1878" i="6"/>
  <c r="V1877" i="6"/>
  <c r="T1877" i="6"/>
  <c r="S1877" i="6"/>
  <c r="R1877" i="6"/>
  <c r="Q1877" i="6"/>
  <c r="P1877" i="6"/>
  <c r="O1877" i="6"/>
  <c r="U1877" i="6" s="1"/>
  <c r="N1877" i="6"/>
  <c r="V1876" i="6"/>
  <c r="T1876" i="6"/>
  <c r="S1876" i="6"/>
  <c r="R1876" i="6"/>
  <c r="Q1876" i="6"/>
  <c r="P1876" i="6"/>
  <c r="O1876" i="6"/>
  <c r="U1876" i="6" s="1"/>
  <c r="N1876" i="6"/>
  <c r="V1875" i="6"/>
  <c r="T1875" i="6"/>
  <c r="S1875" i="6"/>
  <c r="R1875" i="6"/>
  <c r="Q1875" i="6"/>
  <c r="P1875" i="6"/>
  <c r="O1875" i="6"/>
  <c r="U1875" i="6" s="1"/>
  <c r="N1875" i="6"/>
  <c r="V1874" i="6"/>
  <c r="T1874" i="6"/>
  <c r="S1874" i="6"/>
  <c r="R1874" i="6"/>
  <c r="Q1874" i="6"/>
  <c r="P1874" i="6"/>
  <c r="O1874" i="6"/>
  <c r="U1874" i="6" s="1"/>
  <c r="N1874" i="6"/>
  <c r="V1873" i="6"/>
  <c r="T1873" i="6"/>
  <c r="S1873" i="6"/>
  <c r="R1873" i="6"/>
  <c r="Q1873" i="6"/>
  <c r="P1873" i="6"/>
  <c r="O1873" i="6"/>
  <c r="U1873" i="6" s="1"/>
  <c r="N1873" i="6"/>
  <c r="V1872" i="6"/>
  <c r="T1872" i="6"/>
  <c r="S1872" i="6"/>
  <c r="R1872" i="6"/>
  <c r="Q1872" i="6"/>
  <c r="P1872" i="6"/>
  <c r="O1872" i="6"/>
  <c r="U1872" i="6" s="1"/>
  <c r="N1872" i="6"/>
  <c r="V1871" i="6"/>
  <c r="T1871" i="6"/>
  <c r="S1871" i="6"/>
  <c r="R1871" i="6"/>
  <c r="Q1871" i="6"/>
  <c r="P1871" i="6"/>
  <c r="O1871" i="6"/>
  <c r="U1871" i="6" s="1"/>
  <c r="N1871" i="6"/>
  <c r="V1870" i="6"/>
  <c r="T1870" i="6"/>
  <c r="S1870" i="6"/>
  <c r="R1870" i="6"/>
  <c r="Q1870" i="6"/>
  <c r="P1870" i="6"/>
  <c r="O1870" i="6"/>
  <c r="U1870" i="6" s="1"/>
  <c r="N1870" i="6"/>
  <c r="V1869" i="6"/>
  <c r="T1869" i="6"/>
  <c r="S1869" i="6"/>
  <c r="R1869" i="6"/>
  <c r="Q1869" i="6"/>
  <c r="P1869" i="6"/>
  <c r="O1869" i="6"/>
  <c r="U1869" i="6" s="1"/>
  <c r="N1869" i="6"/>
  <c r="V1868" i="6"/>
  <c r="T1868" i="6"/>
  <c r="S1868" i="6"/>
  <c r="R1868" i="6"/>
  <c r="Q1868" i="6"/>
  <c r="P1868" i="6"/>
  <c r="O1868" i="6"/>
  <c r="U1868" i="6" s="1"/>
  <c r="N1868" i="6"/>
  <c r="V1867" i="6"/>
  <c r="T1867" i="6"/>
  <c r="S1867" i="6"/>
  <c r="R1867" i="6"/>
  <c r="Q1867" i="6"/>
  <c r="P1867" i="6"/>
  <c r="O1867" i="6"/>
  <c r="U1867" i="6" s="1"/>
  <c r="N1867" i="6"/>
  <c r="V1866" i="6"/>
  <c r="T1866" i="6"/>
  <c r="S1866" i="6"/>
  <c r="R1866" i="6"/>
  <c r="Q1866" i="6"/>
  <c r="P1866" i="6"/>
  <c r="O1866" i="6"/>
  <c r="U1866" i="6" s="1"/>
  <c r="N1866" i="6"/>
  <c r="V1865" i="6"/>
  <c r="T1865" i="6"/>
  <c r="S1865" i="6"/>
  <c r="R1865" i="6"/>
  <c r="Q1865" i="6"/>
  <c r="P1865" i="6"/>
  <c r="O1865" i="6"/>
  <c r="U1865" i="6" s="1"/>
  <c r="N1865" i="6"/>
  <c r="V1864" i="6"/>
  <c r="T1864" i="6"/>
  <c r="S1864" i="6"/>
  <c r="R1864" i="6"/>
  <c r="Q1864" i="6"/>
  <c r="P1864" i="6"/>
  <c r="O1864" i="6"/>
  <c r="U1864" i="6" s="1"/>
  <c r="N1864" i="6"/>
  <c r="V1863" i="6"/>
  <c r="T1863" i="6"/>
  <c r="S1863" i="6"/>
  <c r="R1863" i="6"/>
  <c r="Q1863" i="6"/>
  <c r="P1863" i="6"/>
  <c r="O1863" i="6"/>
  <c r="U1863" i="6" s="1"/>
  <c r="N1863" i="6"/>
  <c r="V1862" i="6"/>
  <c r="T1862" i="6"/>
  <c r="S1862" i="6"/>
  <c r="R1862" i="6"/>
  <c r="Q1862" i="6"/>
  <c r="P1862" i="6"/>
  <c r="O1862" i="6"/>
  <c r="U1862" i="6" s="1"/>
  <c r="N1862" i="6"/>
  <c r="V1861" i="6"/>
  <c r="T1861" i="6"/>
  <c r="S1861" i="6"/>
  <c r="R1861" i="6"/>
  <c r="Q1861" i="6"/>
  <c r="P1861" i="6"/>
  <c r="O1861" i="6"/>
  <c r="U1861" i="6" s="1"/>
  <c r="N1861" i="6"/>
  <c r="V1860" i="6"/>
  <c r="T1860" i="6"/>
  <c r="S1860" i="6"/>
  <c r="R1860" i="6"/>
  <c r="Q1860" i="6"/>
  <c r="P1860" i="6"/>
  <c r="O1860" i="6"/>
  <c r="U1860" i="6" s="1"/>
  <c r="N1860" i="6"/>
  <c r="V1859" i="6"/>
  <c r="T1859" i="6"/>
  <c r="S1859" i="6"/>
  <c r="R1859" i="6"/>
  <c r="Q1859" i="6"/>
  <c r="P1859" i="6"/>
  <c r="O1859" i="6"/>
  <c r="U1859" i="6" s="1"/>
  <c r="N1859" i="6"/>
  <c r="V1858" i="6"/>
  <c r="T1858" i="6"/>
  <c r="S1858" i="6"/>
  <c r="R1858" i="6"/>
  <c r="Q1858" i="6"/>
  <c r="P1858" i="6"/>
  <c r="O1858" i="6"/>
  <c r="U1858" i="6" s="1"/>
  <c r="N1858" i="6"/>
  <c r="V1857" i="6"/>
  <c r="T1857" i="6"/>
  <c r="S1857" i="6"/>
  <c r="R1857" i="6"/>
  <c r="Q1857" i="6"/>
  <c r="P1857" i="6"/>
  <c r="O1857" i="6"/>
  <c r="U1857" i="6" s="1"/>
  <c r="N1857" i="6"/>
  <c r="V1856" i="6"/>
  <c r="T1856" i="6"/>
  <c r="S1856" i="6"/>
  <c r="R1856" i="6"/>
  <c r="Q1856" i="6"/>
  <c r="P1856" i="6"/>
  <c r="O1856" i="6"/>
  <c r="U1856" i="6" s="1"/>
  <c r="N1856" i="6"/>
  <c r="V1855" i="6"/>
  <c r="T1855" i="6"/>
  <c r="S1855" i="6"/>
  <c r="R1855" i="6"/>
  <c r="Q1855" i="6"/>
  <c r="P1855" i="6"/>
  <c r="O1855" i="6"/>
  <c r="U1855" i="6" s="1"/>
  <c r="N1855" i="6"/>
  <c r="V1854" i="6"/>
  <c r="T1854" i="6"/>
  <c r="S1854" i="6"/>
  <c r="R1854" i="6"/>
  <c r="Q1854" i="6"/>
  <c r="P1854" i="6"/>
  <c r="O1854" i="6"/>
  <c r="U1854" i="6" s="1"/>
  <c r="N1854" i="6"/>
  <c r="V1853" i="6"/>
  <c r="T1853" i="6"/>
  <c r="S1853" i="6"/>
  <c r="R1853" i="6"/>
  <c r="Q1853" i="6"/>
  <c r="P1853" i="6"/>
  <c r="O1853" i="6"/>
  <c r="U1853" i="6" s="1"/>
  <c r="N1853" i="6"/>
  <c r="V1852" i="6"/>
  <c r="T1852" i="6"/>
  <c r="S1852" i="6"/>
  <c r="R1852" i="6"/>
  <c r="Q1852" i="6"/>
  <c r="P1852" i="6"/>
  <c r="O1852" i="6"/>
  <c r="U1852" i="6" s="1"/>
  <c r="N1852" i="6"/>
  <c r="V1851" i="6"/>
  <c r="T1851" i="6"/>
  <c r="S1851" i="6"/>
  <c r="R1851" i="6"/>
  <c r="Q1851" i="6"/>
  <c r="P1851" i="6"/>
  <c r="O1851" i="6"/>
  <c r="U1851" i="6" s="1"/>
  <c r="N1851" i="6"/>
  <c r="V1850" i="6"/>
  <c r="T1850" i="6"/>
  <c r="S1850" i="6"/>
  <c r="R1850" i="6"/>
  <c r="Q1850" i="6"/>
  <c r="P1850" i="6"/>
  <c r="O1850" i="6"/>
  <c r="U1850" i="6" s="1"/>
  <c r="N1850" i="6"/>
  <c r="V1849" i="6"/>
  <c r="T1849" i="6"/>
  <c r="S1849" i="6"/>
  <c r="R1849" i="6"/>
  <c r="Q1849" i="6"/>
  <c r="P1849" i="6"/>
  <c r="O1849" i="6"/>
  <c r="U1849" i="6" s="1"/>
  <c r="N1849" i="6"/>
  <c r="V1848" i="6"/>
  <c r="T1848" i="6"/>
  <c r="S1848" i="6"/>
  <c r="R1848" i="6"/>
  <c r="Q1848" i="6"/>
  <c r="P1848" i="6"/>
  <c r="O1848" i="6"/>
  <c r="U1848" i="6" s="1"/>
  <c r="N1848" i="6"/>
  <c r="V1847" i="6"/>
  <c r="T1847" i="6"/>
  <c r="S1847" i="6"/>
  <c r="R1847" i="6"/>
  <c r="Q1847" i="6"/>
  <c r="P1847" i="6"/>
  <c r="O1847" i="6"/>
  <c r="U1847" i="6" s="1"/>
  <c r="N1847" i="6"/>
  <c r="V1846" i="6"/>
  <c r="T1846" i="6"/>
  <c r="S1846" i="6"/>
  <c r="R1846" i="6"/>
  <c r="Q1846" i="6"/>
  <c r="P1846" i="6"/>
  <c r="O1846" i="6"/>
  <c r="U1846" i="6" s="1"/>
  <c r="N1846" i="6"/>
  <c r="V1845" i="6"/>
  <c r="T1845" i="6"/>
  <c r="S1845" i="6"/>
  <c r="R1845" i="6"/>
  <c r="Q1845" i="6"/>
  <c r="P1845" i="6"/>
  <c r="O1845" i="6"/>
  <c r="U1845" i="6" s="1"/>
  <c r="N1845" i="6"/>
  <c r="V1844" i="6"/>
  <c r="T1844" i="6"/>
  <c r="S1844" i="6"/>
  <c r="R1844" i="6"/>
  <c r="Q1844" i="6"/>
  <c r="P1844" i="6"/>
  <c r="O1844" i="6"/>
  <c r="U1844" i="6" s="1"/>
  <c r="N1844" i="6"/>
  <c r="V1843" i="6"/>
  <c r="T1843" i="6"/>
  <c r="S1843" i="6"/>
  <c r="R1843" i="6"/>
  <c r="Q1843" i="6"/>
  <c r="P1843" i="6"/>
  <c r="O1843" i="6"/>
  <c r="U1843" i="6" s="1"/>
  <c r="N1843" i="6"/>
  <c r="V1842" i="6"/>
  <c r="T1842" i="6"/>
  <c r="S1842" i="6"/>
  <c r="R1842" i="6"/>
  <c r="Q1842" i="6"/>
  <c r="P1842" i="6"/>
  <c r="O1842" i="6"/>
  <c r="U1842" i="6" s="1"/>
  <c r="N1842" i="6"/>
  <c r="V1841" i="6"/>
  <c r="T1841" i="6"/>
  <c r="S1841" i="6"/>
  <c r="R1841" i="6"/>
  <c r="Q1841" i="6"/>
  <c r="P1841" i="6"/>
  <c r="O1841" i="6"/>
  <c r="U1841" i="6" s="1"/>
  <c r="N1841" i="6"/>
  <c r="V1840" i="6"/>
  <c r="T1840" i="6"/>
  <c r="S1840" i="6"/>
  <c r="R1840" i="6"/>
  <c r="Q1840" i="6"/>
  <c r="P1840" i="6"/>
  <c r="O1840" i="6"/>
  <c r="U1840" i="6" s="1"/>
  <c r="N1840" i="6"/>
  <c r="V1839" i="6"/>
  <c r="T1839" i="6"/>
  <c r="S1839" i="6"/>
  <c r="R1839" i="6"/>
  <c r="Q1839" i="6"/>
  <c r="P1839" i="6"/>
  <c r="O1839" i="6"/>
  <c r="U1839" i="6" s="1"/>
  <c r="N1839" i="6"/>
  <c r="V1838" i="6"/>
  <c r="T1838" i="6"/>
  <c r="S1838" i="6"/>
  <c r="R1838" i="6"/>
  <c r="Q1838" i="6"/>
  <c r="P1838" i="6"/>
  <c r="O1838" i="6"/>
  <c r="U1838" i="6" s="1"/>
  <c r="N1838" i="6"/>
  <c r="V1837" i="6"/>
  <c r="T1837" i="6"/>
  <c r="S1837" i="6"/>
  <c r="R1837" i="6"/>
  <c r="Q1837" i="6"/>
  <c r="P1837" i="6"/>
  <c r="O1837" i="6"/>
  <c r="U1837" i="6" s="1"/>
  <c r="N1837" i="6"/>
  <c r="V1836" i="6"/>
  <c r="T1836" i="6"/>
  <c r="S1836" i="6"/>
  <c r="R1836" i="6"/>
  <c r="Q1836" i="6"/>
  <c r="P1836" i="6"/>
  <c r="O1836" i="6"/>
  <c r="U1836" i="6" s="1"/>
  <c r="N1836" i="6"/>
  <c r="V1835" i="6"/>
  <c r="T1835" i="6"/>
  <c r="S1835" i="6"/>
  <c r="R1835" i="6"/>
  <c r="Q1835" i="6"/>
  <c r="P1835" i="6"/>
  <c r="O1835" i="6"/>
  <c r="U1835" i="6" s="1"/>
  <c r="N1835" i="6"/>
  <c r="V1834" i="6"/>
  <c r="T1834" i="6"/>
  <c r="S1834" i="6"/>
  <c r="R1834" i="6"/>
  <c r="Q1834" i="6"/>
  <c r="P1834" i="6"/>
  <c r="O1834" i="6"/>
  <c r="U1834" i="6" s="1"/>
  <c r="N1834" i="6"/>
  <c r="V1833" i="6"/>
  <c r="T1833" i="6"/>
  <c r="S1833" i="6"/>
  <c r="R1833" i="6"/>
  <c r="Q1833" i="6"/>
  <c r="P1833" i="6"/>
  <c r="O1833" i="6"/>
  <c r="U1833" i="6" s="1"/>
  <c r="N1833" i="6"/>
  <c r="V1832" i="6"/>
  <c r="T1832" i="6"/>
  <c r="S1832" i="6"/>
  <c r="R1832" i="6"/>
  <c r="Q1832" i="6"/>
  <c r="P1832" i="6"/>
  <c r="O1832" i="6"/>
  <c r="U1832" i="6" s="1"/>
  <c r="N1832" i="6"/>
  <c r="V1831" i="6"/>
  <c r="T1831" i="6"/>
  <c r="S1831" i="6"/>
  <c r="R1831" i="6"/>
  <c r="Q1831" i="6"/>
  <c r="P1831" i="6"/>
  <c r="O1831" i="6"/>
  <c r="U1831" i="6" s="1"/>
  <c r="N1831" i="6"/>
  <c r="V1830" i="6"/>
  <c r="T1830" i="6"/>
  <c r="S1830" i="6"/>
  <c r="R1830" i="6"/>
  <c r="Q1830" i="6"/>
  <c r="P1830" i="6"/>
  <c r="O1830" i="6"/>
  <c r="U1830" i="6" s="1"/>
  <c r="N1830" i="6"/>
  <c r="V1829" i="6"/>
  <c r="T1829" i="6"/>
  <c r="S1829" i="6"/>
  <c r="R1829" i="6"/>
  <c r="Q1829" i="6"/>
  <c r="P1829" i="6"/>
  <c r="O1829" i="6"/>
  <c r="U1829" i="6" s="1"/>
  <c r="N1829" i="6"/>
  <c r="V1828" i="6"/>
  <c r="T1828" i="6"/>
  <c r="S1828" i="6"/>
  <c r="R1828" i="6"/>
  <c r="Q1828" i="6"/>
  <c r="P1828" i="6"/>
  <c r="O1828" i="6"/>
  <c r="U1828" i="6" s="1"/>
  <c r="N1828" i="6"/>
  <c r="V1827" i="6"/>
  <c r="T1827" i="6"/>
  <c r="S1827" i="6"/>
  <c r="R1827" i="6"/>
  <c r="Q1827" i="6"/>
  <c r="P1827" i="6"/>
  <c r="O1827" i="6"/>
  <c r="U1827" i="6" s="1"/>
  <c r="N1827" i="6"/>
  <c r="V1826" i="6"/>
  <c r="T1826" i="6"/>
  <c r="S1826" i="6"/>
  <c r="R1826" i="6"/>
  <c r="Q1826" i="6"/>
  <c r="P1826" i="6"/>
  <c r="O1826" i="6"/>
  <c r="U1826" i="6" s="1"/>
  <c r="N1826" i="6"/>
  <c r="V1825" i="6"/>
  <c r="T1825" i="6"/>
  <c r="S1825" i="6"/>
  <c r="R1825" i="6"/>
  <c r="Q1825" i="6"/>
  <c r="P1825" i="6"/>
  <c r="O1825" i="6"/>
  <c r="U1825" i="6" s="1"/>
  <c r="N1825" i="6"/>
  <c r="V1824" i="6"/>
  <c r="T1824" i="6"/>
  <c r="S1824" i="6"/>
  <c r="R1824" i="6"/>
  <c r="Q1824" i="6"/>
  <c r="P1824" i="6"/>
  <c r="O1824" i="6"/>
  <c r="U1824" i="6" s="1"/>
  <c r="N1824" i="6"/>
  <c r="V1823" i="6"/>
  <c r="T1823" i="6"/>
  <c r="S1823" i="6"/>
  <c r="R1823" i="6"/>
  <c r="Q1823" i="6"/>
  <c r="P1823" i="6"/>
  <c r="O1823" i="6"/>
  <c r="U1823" i="6" s="1"/>
  <c r="N1823" i="6"/>
  <c r="V1822" i="6"/>
  <c r="T1822" i="6"/>
  <c r="S1822" i="6"/>
  <c r="R1822" i="6"/>
  <c r="Q1822" i="6"/>
  <c r="P1822" i="6"/>
  <c r="O1822" i="6"/>
  <c r="U1822" i="6" s="1"/>
  <c r="N1822" i="6"/>
  <c r="V1821" i="6"/>
  <c r="T1821" i="6"/>
  <c r="S1821" i="6"/>
  <c r="R1821" i="6"/>
  <c r="Q1821" i="6"/>
  <c r="P1821" i="6"/>
  <c r="O1821" i="6"/>
  <c r="U1821" i="6" s="1"/>
  <c r="N1821" i="6"/>
  <c r="V1820" i="6"/>
  <c r="T1820" i="6"/>
  <c r="S1820" i="6"/>
  <c r="R1820" i="6"/>
  <c r="Q1820" i="6"/>
  <c r="P1820" i="6"/>
  <c r="O1820" i="6"/>
  <c r="U1820" i="6" s="1"/>
  <c r="N1820" i="6"/>
  <c r="V1819" i="6"/>
  <c r="T1819" i="6"/>
  <c r="S1819" i="6"/>
  <c r="R1819" i="6"/>
  <c r="Q1819" i="6"/>
  <c r="P1819" i="6"/>
  <c r="O1819" i="6"/>
  <c r="U1819" i="6" s="1"/>
  <c r="N1819" i="6"/>
  <c r="V1818" i="6"/>
  <c r="T1818" i="6"/>
  <c r="S1818" i="6"/>
  <c r="R1818" i="6"/>
  <c r="Q1818" i="6"/>
  <c r="P1818" i="6"/>
  <c r="O1818" i="6"/>
  <c r="U1818" i="6" s="1"/>
  <c r="N1818" i="6"/>
  <c r="V1817" i="6"/>
  <c r="T1817" i="6"/>
  <c r="S1817" i="6"/>
  <c r="R1817" i="6"/>
  <c r="Q1817" i="6"/>
  <c r="P1817" i="6"/>
  <c r="O1817" i="6"/>
  <c r="U1817" i="6" s="1"/>
  <c r="N1817" i="6"/>
  <c r="V1816" i="6"/>
  <c r="T1816" i="6"/>
  <c r="S1816" i="6"/>
  <c r="R1816" i="6"/>
  <c r="Q1816" i="6"/>
  <c r="P1816" i="6"/>
  <c r="O1816" i="6"/>
  <c r="U1816" i="6" s="1"/>
  <c r="N1816" i="6"/>
  <c r="V1815" i="6"/>
  <c r="T1815" i="6"/>
  <c r="S1815" i="6"/>
  <c r="R1815" i="6"/>
  <c r="Q1815" i="6"/>
  <c r="P1815" i="6"/>
  <c r="O1815" i="6"/>
  <c r="U1815" i="6" s="1"/>
  <c r="N1815" i="6"/>
  <c r="V1814" i="6"/>
  <c r="T1814" i="6"/>
  <c r="S1814" i="6"/>
  <c r="R1814" i="6"/>
  <c r="Q1814" i="6"/>
  <c r="P1814" i="6"/>
  <c r="O1814" i="6"/>
  <c r="U1814" i="6" s="1"/>
  <c r="N1814" i="6"/>
  <c r="V1813" i="6"/>
  <c r="T1813" i="6"/>
  <c r="S1813" i="6"/>
  <c r="R1813" i="6"/>
  <c r="Q1813" i="6"/>
  <c r="P1813" i="6"/>
  <c r="O1813" i="6"/>
  <c r="U1813" i="6" s="1"/>
  <c r="N1813" i="6"/>
  <c r="V1812" i="6"/>
  <c r="T1812" i="6"/>
  <c r="S1812" i="6"/>
  <c r="R1812" i="6"/>
  <c r="Q1812" i="6"/>
  <c r="P1812" i="6"/>
  <c r="O1812" i="6"/>
  <c r="U1812" i="6" s="1"/>
  <c r="N1812" i="6"/>
  <c r="V1811" i="6"/>
  <c r="T1811" i="6"/>
  <c r="S1811" i="6"/>
  <c r="R1811" i="6"/>
  <c r="Q1811" i="6"/>
  <c r="P1811" i="6"/>
  <c r="O1811" i="6"/>
  <c r="U1811" i="6" s="1"/>
  <c r="N1811" i="6"/>
  <c r="V1810" i="6"/>
  <c r="T1810" i="6"/>
  <c r="S1810" i="6"/>
  <c r="R1810" i="6"/>
  <c r="Q1810" i="6"/>
  <c r="P1810" i="6"/>
  <c r="O1810" i="6"/>
  <c r="U1810" i="6" s="1"/>
  <c r="N1810" i="6"/>
  <c r="V1809" i="6"/>
  <c r="T1809" i="6"/>
  <c r="S1809" i="6"/>
  <c r="R1809" i="6"/>
  <c r="Q1809" i="6"/>
  <c r="P1809" i="6"/>
  <c r="O1809" i="6"/>
  <c r="U1809" i="6" s="1"/>
  <c r="N1809" i="6"/>
  <c r="V1808" i="6"/>
  <c r="T1808" i="6"/>
  <c r="S1808" i="6"/>
  <c r="R1808" i="6"/>
  <c r="Q1808" i="6"/>
  <c r="P1808" i="6"/>
  <c r="O1808" i="6"/>
  <c r="U1808" i="6" s="1"/>
  <c r="N1808" i="6"/>
  <c r="V1807" i="6"/>
  <c r="T1807" i="6"/>
  <c r="S1807" i="6"/>
  <c r="R1807" i="6"/>
  <c r="Q1807" i="6"/>
  <c r="P1807" i="6"/>
  <c r="O1807" i="6"/>
  <c r="U1807" i="6" s="1"/>
  <c r="N1807" i="6"/>
  <c r="V1806" i="6"/>
  <c r="T1806" i="6"/>
  <c r="S1806" i="6"/>
  <c r="R1806" i="6"/>
  <c r="Q1806" i="6"/>
  <c r="P1806" i="6"/>
  <c r="O1806" i="6"/>
  <c r="U1806" i="6" s="1"/>
  <c r="N1806" i="6"/>
  <c r="V1805" i="6"/>
  <c r="T1805" i="6"/>
  <c r="S1805" i="6"/>
  <c r="R1805" i="6"/>
  <c r="Q1805" i="6"/>
  <c r="P1805" i="6"/>
  <c r="O1805" i="6"/>
  <c r="U1805" i="6" s="1"/>
  <c r="N1805" i="6"/>
  <c r="V1804" i="6"/>
  <c r="T1804" i="6"/>
  <c r="S1804" i="6"/>
  <c r="R1804" i="6"/>
  <c r="Q1804" i="6"/>
  <c r="P1804" i="6"/>
  <c r="O1804" i="6"/>
  <c r="U1804" i="6" s="1"/>
  <c r="N1804" i="6"/>
  <c r="V1803" i="6"/>
  <c r="T1803" i="6"/>
  <c r="S1803" i="6"/>
  <c r="R1803" i="6"/>
  <c r="Q1803" i="6"/>
  <c r="P1803" i="6"/>
  <c r="O1803" i="6"/>
  <c r="U1803" i="6" s="1"/>
  <c r="N1803" i="6"/>
  <c r="V1802" i="6"/>
  <c r="T1802" i="6"/>
  <c r="S1802" i="6"/>
  <c r="R1802" i="6"/>
  <c r="Q1802" i="6"/>
  <c r="P1802" i="6"/>
  <c r="O1802" i="6"/>
  <c r="U1802" i="6" s="1"/>
  <c r="N1802" i="6"/>
  <c r="V1801" i="6"/>
  <c r="T1801" i="6"/>
  <c r="S1801" i="6"/>
  <c r="R1801" i="6"/>
  <c r="Q1801" i="6"/>
  <c r="P1801" i="6"/>
  <c r="O1801" i="6"/>
  <c r="U1801" i="6" s="1"/>
  <c r="N1801" i="6"/>
  <c r="V1800" i="6"/>
  <c r="T1800" i="6"/>
  <c r="S1800" i="6"/>
  <c r="R1800" i="6"/>
  <c r="Q1800" i="6"/>
  <c r="P1800" i="6"/>
  <c r="O1800" i="6"/>
  <c r="U1800" i="6" s="1"/>
  <c r="N1800" i="6"/>
  <c r="V1799" i="6"/>
  <c r="T1799" i="6"/>
  <c r="S1799" i="6"/>
  <c r="R1799" i="6"/>
  <c r="Q1799" i="6"/>
  <c r="P1799" i="6"/>
  <c r="O1799" i="6"/>
  <c r="U1799" i="6" s="1"/>
  <c r="N1799" i="6"/>
  <c r="V1798" i="6"/>
  <c r="T1798" i="6"/>
  <c r="S1798" i="6"/>
  <c r="R1798" i="6"/>
  <c r="Q1798" i="6"/>
  <c r="P1798" i="6"/>
  <c r="O1798" i="6"/>
  <c r="U1798" i="6" s="1"/>
  <c r="N1798" i="6"/>
  <c r="V1797" i="6"/>
  <c r="T1797" i="6"/>
  <c r="S1797" i="6"/>
  <c r="R1797" i="6"/>
  <c r="Q1797" i="6"/>
  <c r="P1797" i="6"/>
  <c r="O1797" i="6"/>
  <c r="U1797" i="6" s="1"/>
  <c r="N1797" i="6"/>
  <c r="V1796" i="6"/>
  <c r="T1796" i="6"/>
  <c r="S1796" i="6"/>
  <c r="R1796" i="6"/>
  <c r="Q1796" i="6"/>
  <c r="P1796" i="6"/>
  <c r="O1796" i="6"/>
  <c r="U1796" i="6" s="1"/>
  <c r="N1796" i="6"/>
  <c r="V1795" i="6"/>
  <c r="T1795" i="6"/>
  <c r="S1795" i="6"/>
  <c r="R1795" i="6"/>
  <c r="Q1795" i="6"/>
  <c r="P1795" i="6"/>
  <c r="O1795" i="6"/>
  <c r="U1795" i="6" s="1"/>
  <c r="N1795" i="6"/>
  <c r="V1794" i="6"/>
  <c r="T1794" i="6"/>
  <c r="S1794" i="6"/>
  <c r="R1794" i="6"/>
  <c r="Q1794" i="6"/>
  <c r="P1794" i="6"/>
  <c r="O1794" i="6"/>
  <c r="U1794" i="6" s="1"/>
  <c r="N1794" i="6"/>
  <c r="V1793" i="6"/>
  <c r="T1793" i="6"/>
  <c r="S1793" i="6"/>
  <c r="R1793" i="6"/>
  <c r="Q1793" i="6"/>
  <c r="P1793" i="6"/>
  <c r="O1793" i="6"/>
  <c r="U1793" i="6" s="1"/>
  <c r="N1793" i="6"/>
  <c r="V1792" i="6"/>
  <c r="T1792" i="6"/>
  <c r="S1792" i="6"/>
  <c r="R1792" i="6"/>
  <c r="Q1792" i="6"/>
  <c r="P1792" i="6"/>
  <c r="O1792" i="6"/>
  <c r="U1792" i="6" s="1"/>
  <c r="N1792" i="6"/>
  <c r="V1791" i="6"/>
  <c r="T1791" i="6"/>
  <c r="S1791" i="6"/>
  <c r="R1791" i="6"/>
  <c r="Q1791" i="6"/>
  <c r="P1791" i="6"/>
  <c r="O1791" i="6"/>
  <c r="U1791" i="6" s="1"/>
  <c r="N1791" i="6"/>
  <c r="V1790" i="6"/>
  <c r="T1790" i="6"/>
  <c r="S1790" i="6"/>
  <c r="R1790" i="6"/>
  <c r="Q1790" i="6"/>
  <c r="P1790" i="6"/>
  <c r="O1790" i="6"/>
  <c r="U1790" i="6" s="1"/>
  <c r="N1790" i="6"/>
  <c r="V1789" i="6"/>
  <c r="T1789" i="6"/>
  <c r="S1789" i="6"/>
  <c r="R1789" i="6"/>
  <c r="Q1789" i="6"/>
  <c r="P1789" i="6"/>
  <c r="O1789" i="6"/>
  <c r="U1789" i="6" s="1"/>
  <c r="N1789" i="6"/>
  <c r="V1788" i="6"/>
  <c r="T1788" i="6"/>
  <c r="S1788" i="6"/>
  <c r="R1788" i="6"/>
  <c r="Q1788" i="6"/>
  <c r="P1788" i="6"/>
  <c r="O1788" i="6"/>
  <c r="U1788" i="6" s="1"/>
  <c r="N1788" i="6"/>
  <c r="V1787" i="6"/>
  <c r="T1787" i="6"/>
  <c r="S1787" i="6"/>
  <c r="R1787" i="6"/>
  <c r="Q1787" i="6"/>
  <c r="P1787" i="6"/>
  <c r="O1787" i="6"/>
  <c r="U1787" i="6" s="1"/>
  <c r="N1787" i="6"/>
  <c r="V1786" i="6"/>
  <c r="T1786" i="6"/>
  <c r="S1786" i="6"/>
  <c r="R1786" i="6"/>
  <c r="Q1786" i="6"/>
  <c r="P1786" i="6"/>
  <c r="O1786" i="6"/>
  <c r="U1786" i="6" s="1"/>
  <c r="N1786" i="6"/>
  <c r="V1785" i="6"/>
  <c r="T1785" i="6"/>
  <c r="S1785" i="6"/>
  <c r="R1785" i="6"/>
  <c r="Q1785" i="6"/>
  <c r="P1785" i="6"/>
  <c r="O1785" i="6"/>
  <c r="U1785" i="6" s="1"/>
  <c r="N1785" i="6"/>
  <c r="V1784" i="6"/>
  <c r="T1784" i="6"/>
  <c r="S1784" i="6"/>
  <c r="R1784" i="6"/>
  <c r="Q1784" i="6"/>
  <c r="P1784" i="6"/>
  <c r="O1784" i="6"/>
  <c r="U1784" i="6" s="1"/>
  <c r="N1784" i="6"/>
  <c r="V1783" i="6"/>
  <c r="T1783" i="6"/>
  <c r="S1783" i="6"/>
  <c r="R1783" i="6"/>
  <c r="Q1783" i="6"/>
  <c r="P1783" i="6"/>
  <c r="O1783" i="6"/>
  <c r="U1783" i="6" s="1"/>
  <c r="N1783" i="6"/>
  <c r="V1782" i="6"/>
  <c r="T1782" i="6"/>
  <c r="S1782" i="6"/>
  <c r="R1782" i="6"/>
  <c r="Q1782" i="6"/>
  <c r="P1782" i="6"/>
  <c r="O1782" i="6"/>
  <c r="U1782" i="6" s="1"/>
  <c r="N1782" i="6"/>
  <c r="V1781" i="6"/>
  <c r="T1781" i="6"/>
  <c r="S1781" i="6"/>
  <c r="R1781" i="6"/>
  <c r="Q1781" i="6"/>
  <c r="P1781" i="6"/>
  <c r="O1781" i="6"/>
  <c r="U1781" i="6" s="1"/>
  <c r="N1781" i="6"/>
  <c r="V1780" i="6"/>
  <c r="T1780" i="6"/>
  <c r="S1780" i="6"/>
  <c r="R1780" i="6"/>
  <c r="Q1780" i="6"/>
  <c r="P1780" i="6"/>
  <c r="O1780" i="6"/>
  <c r="U1780" i="6" s="1"/>
  <c r="N1780" i="6"/>
  <c r="V1779" i="6"/>
  <c r="T1779" i="6"/>
  <c r="S1779" i="6"/>
  <c r="R1779" i="6"/>
  <c r="Q1779" i="6"/>
  <c r="P1779" i="6"/>
  <c r="O1779" i="6"/>
  <c r="U1779" i="6" s="1"/>
  <c r="N1779" i="6"/>
  <c r="V1778" i="6"/>
  <c r="T1778" i="6"/>
  <c r="S1778" i="6"/>
  <c r="R1778" i="6"/>
  <c r="Q1778" i="6"/>
  <c r="P1778" i="6"/>
  <c r="O1778" i="6"/>
  <c r="U1778" i="6" s="1"/>
  <c r="N1778" i="6"/>
  <c r="V1777" i="6"/>
  <c r="T1777" i="6"/>
  <c r="S1777" i="6"/>
  <c r="R1777" i="6"/>
  <c r="Q1777" i="6"/>
  <c r="P1777" i="6"/>
  <c r="O1777" i="6"/>
  <c r="U1777" i="6" s="1"/>
  <c r="N1777" i="6"/>
  <c r="V1776" i="6"/>
  <c r="T1776" i="6"/>
  <c r="S1776" i="6"/>
  <c r="R1776" i="6"/>
  <c r="Q1776" i="6"/>
  <c r="P1776" i="6"/>
  <c r="O1776" i="6"/>
  <c r="U1776" i="6" s="1"/>
  <c r="N1776" i="6"/>
  <c r="V1775" i="6"/>
  <c r="T1775" i="6"/>
  <c r="S1775" i="6"/>
  <c r="R1775" i="6"/>
  <c r="Q1775" i="6"/>
  <c r="P1775" i="6"/>
  <c r="O1775" i="6"/>
  <c r="U1775" i="6" s="1"/>
  <c r="N1775" i="6"/>
  <c r="V1774" i="6"/>
  <c r="T1774" i="6"/>
  <c r="S1774" i="6"/>
  <c r="R1774" i="6"/>
  <c r="Q1774" i="6"/>
  <c r="P1774" i="6"/>
  <c r="O1774" i="6"/>
  <c r="U1774" i="6" s="1"/>
  <c r="N1774" i="6"/>
  <c r="V1773" i="6"/>
  <c r="T1773" i="6"/>
  <c r="S1773" i="6"/>
  <c r="R1773" i="6"/>
  <c r="Q1773" i="6"/>
  <c r="P1773" i="6"/>
  <c r="O1773" i="6"/>
  <c r="U1773" i="6" s="1"/>
  <c r="N1773" i="6"/>
  <c r="V1772" i="6"/>
  <c r="T1772" i="6"/>
  <c r="S1772" i="6"/>
  <c r="R1772" i="6"/>
  <c r="Q1772" i="6"/>
  <c r="P1772" i="6"/>
  <c r="O1772" i="6"/>
  <c r="U1772" i="6" s="1"/>
  <c r="N1772" i="6"/>
  <c r="V1771" i="6"/>
  <c r="T1771" i="6"/>
  <c r="S1771" i="6"/>
  <c r="R1771" i="6"/>
  <c r="Q1771" i="6"/>
  <c r="P1771" i="6"/>
  <c r="O1771" i="6"/>
  <c r="U1771" i="6" s="1"/>
  <c r="N1771" i="6"/>
  <c r="V1770" i="6"/>
  <c r="T1770" i="6"/>
  <c r="S1770" i="6"/>
  <c r="R1770" i="6"/>
  <c r="Q1770" i="6"/>
  <c r="P1770" i="6"/>
  <c r="O1770" i="6"/>
  <c r="U1770" i="6" s="1"/>
  <c r="N1770" i="6"/>
  <c r="V1769" i="6"/>
  <c r="T1769" i="6"/>
  <c r="S1769" i="6"/>
  <c r="R1769" i="6"/>
  <c r="Q1769" i="6"/>
  <c r="P1769" i="6"/>
  <c r="O1769" i="6"/>
  <c r="U1769" i="6" s="1"/>
  <c r="N1769" i="6"/>
  <c r="V1768" i="6"/>
  <c r="T1768" i="6"/>
  <c r="S1768" i="6"/>
  <c r="R1768" i="6"/>
  <c r="Q1768" i="6"/>
  <c r="P1768" i="6"/>
  <c r="O1768" i="6"/>
  <c r="U1768" i="6" s="1"/>
  <c r="N1768" i="6"/>
  <c r="V1767" i="6"/>
  <c r="T1767" i="6"/>
  <c r="S1767" i="6"/>
  <c r="R1767" i="6"/>
  <c r="Q1767" i="6"/>
  <c r="P1767" i="6"/>
  <c r="O1767" i="6"/>
  <c r="U1767" i="6" s="1"/>
  <c r="N1767" i="6"/>
  <c r="V1766" i="6"/>
  <c r="T1766" i="6"/>
  <c r="S1766" i="6"/>
  <c r="R1766" i="6"/>
  <c r="Q1766" i="6"/>
  <c r="P1766" i="6"/>
  <c r="O1766" i="6"/>
  <c r="U1766" i="6" s="1"/>
  <c r="N1766" i="6"/>
  <c r="V1765" i="6"/>
  <c r="T1765" i="6"/>
  <c r="S1765" i="6"/>
  <c r="R1765" i="6"/>
  <c r="Q1765" i="6"/>
  <c r="P1765" i="6"/>
  <c r="O1765" i="6"/>
  <c r="U1765" i="6" s="1"/>
  <c r="N1765" i="6"/>
  <c r="V1764" i="6"/>
  <c r="T1764" i="6"/>
  <c r="S1764" i="6"/>
  <c r="R1764" i="6"/>
  <c r="Q1764" i="6"/>
  <c r="P1764" i="6"/>
  <c r="O1764" i="6"/>
  <c r="U1764" i="6" s="1"/>
  <c r="N1764" i="6"/>
  <c r="V1763" i="6"/>
  <c r="T1763" i="6"/>
  <c r="S1763" i="6"/>
  <c r="R1763" i="6"/>
  <c r="Q1763" i="6"/>
  <c r="P1763" i="6"/>
  <c r="O1763" i="6"/>
  <c r="U1763" i="6" s="1"/>
  <c r="N1763" i="6"/>
  <c r="V1762" i="6"/>
  <c r="T1762" i="6"/>
  <c r="S1762" i="6"/>
  <c r="R1762" i="6"/>
  <c r="Q1762" i="6"/>
  <c r="P1762" i="6"/>
  <c r="O1762" i="6"/>
  <c r="U1762" i="6" s="1"/>
  <c r="N1762" i="6"/>
  <c r="V1761" i="6"/>
  <c r="T1761" i="6"/>
  <c r="S1761" i="6"/>
  <c r="R1761" i="6"/>
  <c r="Q1761" i="6"/>
  <c r="P1761" i="6"/>
  <c r="O1761" i="6"/>
  <c r="U1761" i="6" s="1"/>
  <c r="N1761" i="6"/>
  <c r="V1760" i="6"/>
  <c r="T1760" i="6"/>
  <c r="S1760" i="6"/>
  <c r="R1760" i="6"/>
  <c r="Q1760" i="6"/>
  <c r="P1760" i="6"/>
  <c r="O1760" i="6"/>
  <c r="U1760" i="6" s="1"/>
  <c r="N1760" i="6"/>
  <c r="V1759" i="6"/>
  <c r="T1759" i="6"/>
  <c r="S1759" i="6"/>
  <c r="R1759" i="6"/>
  <c r="Q1759" i="6"/>
  <c r="P1759" i="6"/>
  <c r="O1759" i="6"/>
  <c r="U1759" i="6" s="1"/>
  <c r="N1759" i="6"/>
  <c r="V1758" i="6"/>
  <c r="T1758" i="6"/>
  <c r="S1758" i="6"/>
  <c r="R1758" i="6"/>
  <c r="Q1758" i="6"/>
  <c r="P1758" i="6"/>
  <c r="O1758" i="6"/>
  <c r="U1758" i="6" s="1"/>
  <c r="N1758" i="6"/>
  <c r="V1757" i="6"/>
  <c r="T1757" i="6"/>
  <c r="S1757" i="6"/>
  <c r="R1757" i="6"/>
  <c r="Q1757" i="6"/>
  <c r="P1757" i="6"/>
  <c r="O1757" i="6"/>
  <c r="U1757" i="6" s="1"/>
  <c r="N1757" i="6"/>
  <c r="V1756" i="6"/>
  <c r="T1756" i="6"/>
  <c r="S1756" i="6"/>
  <c r="R1756" i="6"/>
  <c r="Q1756" i="6"/>
  <c r="P1756" i="6"/>
  <c r="O1756" i="6"/>
  <c r="U1756" i="6" s="1"/>
  <c r="N1756" i="6"/>
  <c r="V1755" i="6"/>
  <c r="T1755" i="6"/>
  <c r="S1755" i="6"/>
  <c r="R1755" i="6"/>
  <c r="Q1755" i="6"/>
  <c r="P1755" i="6"/>
  <c r="O1755" i="6"/>
  <c r="U1755" i="6" s="1"/>
  <c r="N1755" i="6"/>
  <c r="V1754" i="6"/>
  <c r="T1754" i="6"/>
  <c r="S1754" i="6"/>
  <c r="R1754" i="6"/>
  <c r="Q1754" i="6"/>
  <c r="P1754" i="6"/>
  <c r="O1754" i="6"/>
  <c r="U1754" i="6" s="1"/>
  <c r="N1754" i="6"/>
  <c r="V1753" i="6"/>
  <c r="T1753" i="6"/>
  <c r="S1753" i="6"/>
  <c r="R1753" i="6"/>
  <c r="Q1753" i="6"/>
  <c r="P1753" i="6"/>
  <c r="O1753" i="6"/>
  <c r="U1753" i="6" s="1"/>
  <c r="N1753" i="6"/>
  <c r="V1752" i="6"/>
  <c r="T1752" i="6"/>
  <c r="S1752" i="6"/>
  <c r="R1752" i="6"/>
  <c r="Q1752" i="6"/>
  <c r="P1752" i="6"/>
  <c r="O1752" i="6"/>
  <c r="U1752" i="6" s="1"/>
  <c r="N1752" i="6"/>
  <c r="V1751" i="6"/>
  <c r="T1751" i="6"/>
  <c r="S1751" i="6"/>
  <c r="R1751" i="6"/>
  <c r="Q1751" i="6"/>
  <c r="P1751" i="6"/>
  <c r="O1751" i="6"/>
  <c r="U1751" i="6" s="1"/>
  <c r="N1751" i="6"/>
  <c r="V1750" i="6"/>
  <c r="T1750" i="6"/>
  <c r="S1750" i="6"/>
  <c r="R1750" i="6"/>
  <c r="Q1750" i="6"/>
  <c r="P1750" i="6"/>
  <c r="O1750" i="6"/>
  <c r="U1750" i="6" s="1"/>
  <c r="N1750" i="6"/>
  <c r="V1749" i="6"/>
  <c r="T1749" i="6"/>
  <c r="S1749" i="6"/>
  <c r="R1749" i="6"/>
  <c r="Q1749" i="6"/>
  <c r="P1749" i="6"/>
  <c r="O1749" i="6"/>
  <c r="U1749" i="6" s="1"/>
  <c r="N1749" i="6"/>
  <c r="V1748" i="6"/>
  <c r="T1748" i="6"/>
  <c r="S1748" i="6"/>
  <c r="R1748" i="6"/>
  <c r="Q1748" i="6"/>
  <c r="P1748" i="6"/>
  <c r="O1748" i="6"/>
  <c r="U1748" i="6" s="1"/>
  <c r="N1748" i="6"/>
  <c r="V1747" i="6"/>
  <c r="T1747" i="6"/>
  <c r="S1747" i="6"/>
  <c r="R1747" i="6"/>
  <c r="Q1747" i="6"/>
  <c r="P1747" i="6"/>
  <c r="O1747" i="6"/>
  <c r="U1747" i="6" s="1"/>
  <c r="N1747" i="6"/>
  <c r="V1746" i="6"/>
  <c r="T1746" i="6"/>
  <c r="S1746" i="6"/>
  <c r="R1746" i="6"/>
  <c r="Q1746" i="6"/>
  <c r="P1746" i="6"/>
  <c r="O1746" i="6"/>
  <c r="U1746" i="6" s="1"/>
  <c r="N1746" i="6"/>
  <c r="V1745" i="6"/>
  <c r="T1745" i="6"/>
  <c r="S1745" i="6"/>
  <c r="R1745" i="6"/>
  <c r="Q1745" i="6"/>
  <c r="P1745" i="6"/>
  <c r="O1745" i="6"/>
  <c r="U1745" i="6" s="1"/>
  <c r="N1745" i="6"/>
  <c r="V1744" i="6"/>
  <c r="T1744" i="6"/>
  <c r="S1744" i="6"/>
  <c r="R1744" i="6"/>
  <c r="Q1744" i="6"/>
  <c r="P1744" i="6"/>
  <c r="O1744" i="6"/>
  <c r="U1744" i="6" s="1"/>
  <c r="N1744" i="6"/>
  <c r="V1743" i="6"/>
  <c r="T1743" i="6"/>
  <c r="S1743" i="6"/>
  <c r="R1743" i="6"/>
  <c r="Q1743" i="6"/>
  <c r="P1743" i="6"/>
  <c r="O1743" i="6"/>
  <c r="U1743" i="6" s="1"/>
  <c r="N1743" i="6"/>
  <c r="V1742" i="6"/>
  <c r="T1742" i="6"/>
  <c r="S1742" i="6"/>
  <c r="R1742" i="6"/>
  <c r="Q1742" i="6"/>
  <c r="P1742" i="6"/>
  <c r="O1742" i="6"/>
  <c r="U1742" i="6" s="1"/>
  <c r="N1742" i="6"/>
  <c r="V1741" i="6"/>
  <c r="T1741" i="6"/>
  <c r="S1741" i="6"/>
  <c r="R1741" i="6"/>
  <c r="Q1741" i="6"/>
  <c r="P1741" i="6"/>
  <c r="O1741" i="6"/>
  <c r="U1741" i="6" s="1"/>
  <c r="N1741" i="6"/>
  <c r="V1740" i="6"/>
  <c r="T1740" i="6"/>
  <c r="S1740" i="6"/>
  <c r="R1740" i="6"/>
  <c r="Q1740" i="6"/>
  <c r="P1740" i="6"/>
  <c r="O1740" i="6"/>
  <c r="U1740" i="6" s="1"/>
  <c r="N1740" i="6"/>
  <c r="V1739" i="6"/>
  <c r="T1739" i="6"/>
  <c r="S1739" i="6"/>
  <c r="R1739" i="6"/>
  <c r="Q1739" i="6"/>
  <c r="P1739" i="6"/>
  <c r="O1739" i="6"/>
  <c r="U1739" i="6" s="1"/>
  <c r="N1739" i="6"/>
  <c r="V1738" i="6"/>
  <c r="T1738" i="6"/>
  <c r="S1738" i="6"/>
  <c r="R1738" i="6"/>
  <c r="Q1738" i="6"/>
  <c r="P1738" i="6"/>
  <c r="O1738" i="6"/>
  <c r="U1738" i="6" s="1"/>
  <c r="N1738" i="6"/>
  <c r="V1737" i="6"/>
  <c r="T1737" i="6"/>
  <c r="S1737" i="6"/>
  <c r="R1737" i="6"/>
  <c r="Q1737" i="6"/>
  <c r="P1737" i="6"/>
  <c r="O1737" i="6"/>
  <c r="U1737" i="6" s="1"/>
  <c r="N1737" i="6"/>
  <c r="V1736" i="6"/>
  <c r="T1736" i="6"/>
  <c r="S1736" i="6"/>
  <c r="R1736" i="6"/>
  <c r="Q1736" i="6"/>
  <c r="P1736" i="6"/>
  <c r="O1736" i="6"/>
  <c r="U1736" i="6" s="1"/>
  <c r="N1736" i="6"/>
  <c r="V1735" i="6"/>
  <c r="T1735" i="6"/>
  <c r="S1735" i="6"/>
  <c r="R1735" i="6"/>
  <c r="Q1735" i="6"/>
  <c r="P1735" i="6"/>
  <c r="O1735" i="6"/>
  <c r="U1735" i="6" s="1"/>
  <c r="N1735" i="6"/>
  <c r="V1734" i="6"/>
  <c r="T1734" i="6"/>
  <c r="S1734" i="6"/>
  <c r="R1734" i="6"/>
  <c r="Q1734" i="6"/>
  <c r="P1734" i="6"/>
  <c r="O1734" i="6"/>
  <c r="U1734" i="6" s="1"/>
  <c r="N1734" i="6"/>
  <c r="V1733" i="6"/>
  <c r="T1733" i="6"/>
  <c r="S1733" i="6"/>
  <c r="R1733" i="6"/>
  <c r="Q1733" i="6"/>
  <c r="P1733" i="6"/>
  <c r="O1733" i="6"/>
  <c r="U1733" i="6" s="1"/>
  <c r="N1733" i="6"/>
  <c r="V1732" i="6"/>
  <c r="T1732" i="6"/>
  <c r="S1732" i="6"/>
  <c r="R1732" i="6"/>
  <c r="Q1732" i="6"/>
  <c r="P1732" i="6"/>
  <c r="O1732" i="6"/>
  <c r="U1732" i="6" s="1"/>
  <c r="N1732" i="6"/>
  <c r="V1731" i="6"/>
  <c r="T1731" i="6"/>
  <c r="S1731" i="6"/>
  <c r="R1731" i="6"/>
  <c r="Q1731" i="6"/>
  <c r="P1731" i="6"/>
  <c r="O1731" i="6"/>
  <c r="U1731" i="6" s="1"/>
  <c r="N1731" i="6"/>
  <c r="V1730" i="6"/>
  <c r="T1730" i="6"/>
  <c r="S1730" i="6"/>
  <c r="R1730" i="6"/>
  <c r="Q1730" i="6"/>
  <c r="P1730" i="6"/>
  <c r="O1730" i="6"/>
  <c r="U1730" i="6" s="1"/>
  <c r="N1730" i="6"/>
  <c r="V1729" i="6"/>
  <c r="T1729" i="6"/>
  <c r="S1729" i="6"/>
  <c r="R1729" i="6"/>
  <c r="Q1729" i="6"/>
  <c r="P1729" i="6"/>
  <c r="O1729" i="6"/>
  <c r="U1729" i="6" s="1"/>
  <c r="N1729" i="6"/>
  <c r="V1728" i="6"/>
  <c r="T1728" i="6"/>
  <c r="S1728" i="6"/>
  <c r="R1728" i="6"/>
  <c r="Q1728" i="6"/>
  <c r="P1728" i="6"/>
  <c r="O1728" i="6"/>
  <c r="U1728" i="6" s="1"/>
  <c r="N1728" i="6"/>
  <c r="V1727" i="6"/>
  <c r="T1727" i="6"/>
  <c r="S1727" i="6"/>
  <c r="R1727" i="6"/>
  <c r="Q1727" i="6"/>
  <c r="P1727" i="6"/>
  <c r="O1727" i="6"/>
  <c r="U1727" i="6" s="1"/>
  <c r="N1727" i="6"/>
  <c r="V1726" i="6"/>
  <c r="T1726" i="6"/>
  <c r="S1726" i="6"/>
  <c r="R1726" i="6"/>
  <c r="Q1726" i="6"/>
  <c r="P1726" i="6"/>
  <c r="O1726" i="6"/>
  <c r="U1726" i="6" s="1"/>
  <c r="N1726" i="6"/>
  <c r="V1725" i="6"/>
  <c r="T1725" i="6"/>
  <c r="S1725" i="6"/>
  <c r="R1725" i="6"/>
  <c r="Q1725" i="6"/>
  <c r="P1725" i="6"/>
  <c r="O1725" i="6"/>
  <c r="U1725" i="6" s="1"/>
  <c r="N1725" i="6"/>
  <c r="V1724" i="6"/>
  <c r="T1724" i="6"/>
  <c r="S1724" i="6"/>
  <c r="R1724" i="6"/>
  <c r="Q1724" i="6"/>
  <c r="P1724" i="6"/>
  <c r="O1724" i="6"/>
  <c r="U1724" i="6" s="1"/>
  <c r="N1724" i="6"/>
  <c r="V1723" i="6"/>
  <c r="T1723" i="6"/>
  <c r="S1723" i="6"/>
  <c r="R1723" i="6"/>
  <c r="Q1723" i="6"/>
  <c r="P1723" i="6"/>
  <c r="O1723" i="6"/>
  <c r="U1723" i="6" s="1"/>
  <c r="N1723" i="6"/>
  <c r="V1722" i="6"/>
  <c r="T1722" i="6"/>
  <c r="S1722" i="6"/>
  <c r="R1722" i="6"/>
  <c r="Q1722" i="6"/>
  <c r="P1722" i="6"/>
  <c r="O1722" i="6"/>
  <c r="U1722" i="6" s="1"/>
  <c r="N1722" i="6"/>
  <c r="V1721" i="6"/>
  <c r="T1721" i="6"/>
  <c r="S1721" i="6"/>
  <c r="R1721" i="6"/>
  <c r="Q1721" i="6"/>
  <c r="P1721" i="6"/>
  <c r="O1721" i="6"/>
  <c r="U1721" i="6" s="1"/>
  <c r="N1721" i="6"/>
  <c r="V1720" i="6"/>
  <c r="T1720" i="6"/>
  <c r="S1720" i="6"/>
  <c r="R1720" i="6"/>
  <c r="Q1720" i="6"/>
  <c r="P1720" i="6"/>
  <c r="O1720" i="6"/>
  <c r="U1720" i="6" s="1"/>
  <c r="N1720" i="6"/>
  <c r="V1719" i="6"/>
  <c r="T1719" i="6"/>
  <c r="S1719" i="6"/>
  <c r="R1719" i="6"/>
  <c r="Q1719" i="6"/>
  <c r="P1719" i="6"/>
  <c r="O1719" i="6"/>
  <c r="U1719" i="6" s="1"/>
  <c r="N1719" i="6"/>
  <c r="V1718" i="6"/>
  <c r="T1718" i="6"/>
  <c r="S1718" i="6"/>
  <c r="R1718" i="6"/>
  <c r="Q1718" i="6"/>
  <c r="P1718" i="6"/>
  <c r="O1718" i="6"/>
  <c r="U1718" i="6" s="1"/>
  <c r="N1718" i="6"/>
  <c r="V1717" i="6"/>
  <c r="T1717" i="6"/>
  <c r="S1717" i="6"/>
  <c r="R1717" i="6"/>
  <c r="Q1717" i="6"/>
  <c r="P1717" i="6"/>
  <c r="O1717" i="6"/>
  <c r="U1717" i="6" s="1"/>
  <c r="N1717" i="6"/>
  <c r="V1716" i="6"/>
  <c r="T1716" i="6"/>
  <c r="S1716" i="6"/>
  <c r="R1716" i="6"/>
  <c r="Q1716" i="6"/>
  <c r="P1716" i="6"/>
  <c r="O1716" i="6"/>
  <c r="U1716" i="6" s="1"/>
  <c r="N1716" i="6"/>
  <c r="V1715" i="6"/>
  <c r="T1715" i="6"/>
  <c r="S1715" i="6"/>
  <c r="R1715" i="6"/>
  <c r="Q1715" i="6"/>
  <c r="P1715" i="6"/>
  <c r="O1715" i="6"/>
  <c r="U1715" i="6" s="1"/>
  <c r="N1715" i="6"/>
  <c r="V1714" i="6"/>
  <c r="T1714" i="6"/>
  <c r="S1714" i="6"/>
  <c r="R1714" i="6"/>
  <c r="Q1714" i="6"/>
  <c r="P1714" i="6"/>
  <c r="O1714" i="6"/>
  <c r="U1714" i="6" s="1"/>
  <c r="N1714" i="6"/>
  <c r="V1713" i="6"/>
  <c r="T1713" i="6"/>
  <c r="S1713" i="6"/>
  <c r="R1713" i="6"/>
  <c r="Q1713" i="6"/>
  <c r="P1713" i="6"/>
  <c r="O1713" i="6"/>
  <c r="U1713" i="6" s="1"/>
  <c r="N1713" i="6"/>
  <c r="V1712" i="6"/>
  <c r="T1712" i="6"/>
  <c r="S1712" i="6"/>
  <c r="R1712" i="6"/>
  <c r="Q1712" i="6"/>
  <c r="P1712" i="6"/>
  <c r="O1712" i="6"/>
  <c r="U1712" i="6" s="1"/>
  <c r="N1712" i="6"/>
  <c r="V1711" i="6"/>
  <c r="T1711" i="6"/>
  <c r="S1711" i="6"/>
  <c r="R1711" i="6"/>
  <c r="Q1711" i="6"/>
  <c r="P1711" i="6"/>
  <c r="O1711" i="6"/>
  <c r="U1711" i="6" s="1"/>
  <c r="N1711" i="6"/>
  <c r="V1710" i="6"/>
  <c r="T1710" i="6"/>
  <c r="S1710" i="6"/>
  <c r="R1710" i="6"/>
  <c r="Q1710" i="6"/>
  <c r="P1710" i="6"/>
  <c r="O1710" i="6"/>
  <c r="U1710" i="6" s="1"/>
  <c r="N1710" i="6"/>
  <c r="V1709" i="6"/>
  <c r="T1709" i="6"/>
  <c r="S1709" i="6"/>
  <c r="R1709" i="6"/>
  <c r="Q1709" i="6"/>
  <c r="P1709" i="6"/>
  <c r="O1709" i="6"/>
  <c r="U1709" i="6" s="1"/>
  <c r="N1709" i="6"/>
  <c r="V1708" i="6"/>
  <c r="T1708" i="6"/>
  <c r="S1708" i="6"/>
  <c r="R1708" i="6"/>
  <c r="Q1708" i="6"/>
  <c r="P1708" i="6"/>
  <c r="O1708" i="6"/>
  <c r="U1708" i="6" s="1"/>
  <c r="N1708" i="6"/>
  <c r="V1707" i="6"/>
  <c r="T1707" i="6"/>
  <c r="S1707" i="6"/>
  <c r="R1707" i="6"/>
  <c r="Q1707" i="6"/>
  <c r="P1707" i="6"/>
  <c r="O1707" i="6"/>
  <c r="U1707" i="6" s="1"/>
  <c r="N1707" i="6"/>
  <c r="V1706" i="6"/>
  <c r="T1706" i="6"/>
  <c r="S1706" i="6"/>
  <c r="R1706" i="6"/>
  <c r="Q1706" i="6"/>
  <c r="P1706" i="6"/>
  <c r="O1706" i="6"/>
  <c r="U1706" i="6" s="1"/>
  <c r="N1706" i="6"/>
  <c r="V1705" i="6"/>
  <c r="T1705" i="6"/>
  <c r="S1705" i="6"/>
  <c r="R1705" i="6"/>
  <c r="Q1705" i="6"/>
  <c r="P1705" i="6"/>
  <c r="O1705" i="6"/>
  <c r="U1705" i="6" s="1"/>
  <c r="N1705" i="6"/>
  <c r="V1704" i="6"/>
  <c r="T1704" i="6"/>
  <c r="S1704" i="6"/>
  <c r="R1704" i="6"/>
  <c r="Q1704" i="6"/>
  <c r="P1704" i="6"/>
  <c r="O1704" i="6"/>
  <c r="U1704" i="6" s="1"/>
  <c r="N1704" i="6"/>
  <c r="V1703" i="6"/>
  <c r="T1703" i="6"/>
  <c r="S1703" i="6"/>
  <c r="R1703" i="6"/>
  <c r="Q1703" i="6"/>
  <c r="P1703" i="6"/>
  <c r="O1703" i="6"/>
  <c r="U1703" i="6" s="1"/>
  <c r="N1703" i="6"/>
  <c r="V1702" i="6"/>
  <c r="T1702" i="6"/>
  <c r="S1702" i="6"/>
  <c r="R1702" i="6"/>
  <c r="Q1702" i="6"/>
  <c r="P1702" i="6"/>
  <c r="O1702" i="6"/>
  <c r="U1702" i="6" s="1"/>
  <c r="N1702" i="6"/>
  <c r="V1701" i="6"/>
  <c r="T1701" i="6"/>
  <c r="S1701" i="6"/>
  <c r="R1701" i="6"/>
  <c r="Q1701" i="6"/>
  <c r="P1701" i="6"/>
  <c r="O1701" i="6"/>
  <c r="U1701" i="6" s="1"/>
  <c r="N1701" i="6"/>
  <c r="V1700" i="6"/>
  <c r="T1700" i="6"/>
  <c r="S1700" i="6"/>
  <c r="R1700" i="6"/>
  <c r="Q1700" i="6"/>
  <c r="P1700" i="6"/>
  <c r="O1700" i="6"/>
  <c r="U1700" i="6" s="1"/>
  <c r="N1700" i="6"/>
  <c r="V1699" i="6"/>
  <c r="T1699" i="6"/>
  <c r="S1699" i="6"/>
  <c r="R1699" i="6"/>
  <c r="Q1699" i="6"/>
  <c r="P1699" i="6"/>
  <c r="O1699" i="6"/>
  <c r="U1699" i="6" s="1"/>
  <c r="N1699" i="6"/>
  <c r="V1698" i="6"/>
  <c r="T1698" i="6"/>
  <c r="S1698" i="6"/>
  <c r="R1698" i="6"/>
  <c r="Q1698" i="6"/>
  <c r="P1698" i="6"/>
  <c r="O1698" i="6"/>
  <c r="U1698" i="6" s="1"/>
  <c r="N1698" i="6"/>
  <c r="V1697" i="6"/>
  <c r="T1697" i="6"/>
  <c r="S1697" i="6"/>
  <c r="R1697" i="6"/>
  <c r="Q1697" i="6"/>
  <c r="P1697" i="6"/>
  <c r="O1697" i="6"/>
  <c r="U1697" i="6" s="1"/>
  <c r="N1697" i="6"/>
  <c r="V1696" i="6"/>
  <c r="T1696" i="6"/>
  <c r="S1696" i="6"/>
  <c r="R1696" i="6"/>
  <c r="Q1696" i="6"/>
  <c r="P1696" i="6"/>
  <c r="O1696" i="6"/>
  <c r="U1696" i="6" s="1"/>
  <c r="N1696" i="6"/>
  <c r="V1695" i="6"/>
  <c r="T1695" i="6"/>
  <c r="S1695" i="6"/>
  <c r="R1695" i="6"/>
  <c r="Q1695" i="6"/>
  <c r="P1695" i="6"/>
  <c r="O1695" i="6"/>
  <c r="U1695" i="6" s="1"/>
  <c r="N1695" i="6"/>
  <c r="V1694" i="6"/>
  <c r="T1694" i="6"/>
  <c r="S1694" i="6"/>
  <c r="R1694" i="6"/>
  <c r="Q1694" i="6"/>
  <c r="P1694" i="6"/>
  <c r="O1694" i="6"/>
  <c r="U1694" i="6" s="1"/>
  <c r="N1694" i="6"/>
  <c r="V1693" i="6"/>
  <c r="T1693" i="6"/>
  <c r="S1693" i="6"/>
  <c r="R1693" i="6"/>
  <c r="Q1693" i="6"/>
  <c r="P1693" i="6"/>
  <c r="O1693" i="6"/>
  <c r="U1693" i="6" s="1"/>
  <c r="N1693" i="6"/>
  <c r="V1692" i="6"/>
  <c r="T1692" i="6"/>
  <c r="S1692" i="6"/>
  <c r="R1692" i="6"/>
  <c r="Q1692" i="6"/>
  <c r="P1692" i="6"/>
  <c r="O1692" i="6"/>
  <c r="U1692" i="6" s="1"/>
  <c r="N1692" i="6"/>
  <c r="V1691" i="6"/>
  <c r="T1691" i="6"/>
  <c r="S1691" i="6"/>
  <c r="R1691" i="6"/>
  <c r="Q1691" i="6"/>
  <c r="P1691" i="6"/>
  <c r="O1691" i="6"/>
  <c r="U1691" i="6" s="1"/>
  <c r="N1691" i="6"/>
  <c r="V1690" i="6"/>
  <c r="T1690" i="6"/>
  <c r="S1690" i="6"/>
  <c r="R1690" i="6"/>
  <c r="Q1690" i="6"/>
  <c r="P1690" i="6"/>
  <c r="O1690" i="6"/>
  <c r="U1690" i="6" s="1"/>
  <c r="N1690" i="6"/>
  <c r="V1689" i="6"/>
  <c r="T1689" i="6"/>
  <c r="S1689" i="6"/>
  <c r="R1689" i="6"/>
  <c r="Q1689" i="6"/>
  <c r="P1689" i="6"/>
  <c r="O1689" i="6"/>
  <c r="U1689" i="6" s="1"/>
  <c r="N1689" i="6"/>
  <c r="V1688" i="6"/>
  <c r="T1688" i="6"/>
  <c r="S1688" i="6"/>
  <c r="R1688" i="6"/>
  <c r="Q1688" i="6"/>
  <c r="P1688" i="6"/>
  <c r="O1688" i="6"/>
  <c r="U1688" i="6" s="1"/>
  <c r="N1688" i="6"/>
  <c r="V1687" i="6"/>
  <c r="T1687" i="6"/>
  <c r="S1687" i="6"/>
  <c r="R1687" i="6"/>
  <c r="Q1687" i="6"/>
  <c r="P1687" i="6"/>
  <c r="O1687" i="6"/>
  <c r="U1687" i="6" s="1"/>
  <c r="N1687" i="6"/>
  <c r="V1686" i="6"/>
  <c r="T1686" i="6"/>
  <c r="S1686" i="6"/>
  <c r="R1686" i="6"/>
  <c r="Q1686" i="6"/>
  <c r="P1686" i="6"/>
  <c r="O1686" i="6"/>
  <c r="U1686" i="6" s="1"/>
  <c r="N1686" i="6"/>
  <c r="V1685" i="6"/>
  <c r="T1685" i="6"/>
  <c r="S1685" i="6"/>
  <c r="R1685" i="6"/>
  <c r="Q1685" i="6"/>
  <c r="P1685" i="6"/>
  <c r="O1685" i="6"/>
  <c r="U1685" i="6" s="1"/>
  <c r="N1685" i="6"/>
  <c r="V1684" i="6"/>
  <c r="T1684" i="6"/>
  <c r="S1684" i="6"/>
  <c r="R1684" i="6"/>
  <c r="Q1684" i="6"/>
  <c r="P1684" i="6"/>
  <c r="O1684" i="6"/>
  <c r="U1684" i="6" s="1"/>
  <c r="N1684" i="6"/>
  <c r="V1683" i="6"/>
  <c r="T1683" i="6"/>
  <c r="S1683" i="6"/>
  <c r="R1683" i="6"/>
  <c r="Q1683" i="6"/>
  <c r="P1683" i="6"/>
  <c r="O1683" i="6"/>
  <c r="U1683" i="6" s="1"/>
  <c r="N1683" i="6"/>
  <c r="V1682" i="6"/>
  <c r="T1682" i="6"/>
  <c r="S1682" i="6"/>
  <c r="R1682" i="6"/>
  <c r="Q1682" i="6"/>
  <c r="P1682" i="6"/>
  <c r="O1682" i="6"/>
  <c r="U1682" i="6" s="1"/>
  <c r="N1682" i="6"/>
  <c r="V1681" i="6"/>
  <c r="T1681" i="6"/>
  <c r="S1681" i="6"/>
  <c r="R1681" i="6"/>
  <c r="Q1681" i="6"/>
  <c r="P1681" i="6"/>
  <c r="O1681" i="6"/>
  <c r="U1681" i="6" s="1"/>
  <c r="N1681" i="6"/>
  <c r="V1680" i="6"/>
  <c r="T1680" i="6"/>
  <c r="S1680" i="6"/>
  <c r="R1680" i="6"/>
  <c r="Q1680" i="6"/>
  <c r="P1680" i="6"/>
  <c r="O1680" i="6"/>
  <c r="U1680" i="6" s="1"/>
  <c r="N1680" i="6"/>
  <c r="V1679" i="6"/>
  <c r="T1679" i="6"/>
  <c r="S1679" i="6"/>
  <c r="R1679" i="6"/>
  <c r="Q1679" i="6"/>
  <c r="P1679" i="6"/>
  <c r="O1679" i="6"/>
  <c r="U1679" i="6" s="1"/>
  <c r="N1679" i="6"/>
  <c r="V1678" i="6"/>
  <c r="T1678" i="6"/>
  <c r="S1678" i="6"/>
  <c r="R1678" i="6"/>
  <c r="Q1678" i="6"/>
  <c r="P1678" i="6"/>
  <c r="O1678" i="6"/>
  <c r="U1678" i="6" s="1"/>
  <c r="N1678" i="6"/>
  <c r="V1677" i="6"/>
  <c r="T1677" i="6"/>
  <c r="S1677" i="6"/>
  <c r="R1677" i="6"/>
  <c r="Q1677" i="6"/>
  <c r="P1677" i="6"/>
  <c r="O1677" i="6"/>
  <c r="U1677" i="6" s="1"/>
  <c r="N1677" i="6"/>
  <c r="V1676" i="6"/>
  <c r="T1676" i="6"/>
  <c r="S1676" i="6"/>
  <c r="R1676" i="6"/>
  <c r="Q1676" i="6"/>
  <c r="P1676" i="6"/>
  <c r="O1676" i="6"/>
  <c r="U1676" i="6" s="1"/>
  <c r="N1676" i="6"/>
  <c r="V1675" i="6"/>
  <c r="T1675" i="6"/>
  <c r="S1675" i="6"/>
  <c r="R1675" i="6"/>
  <c r="Q1675" i="6"/>
  <c r="P1675" i="6"/>
  <c r="O1675" i="6"/>
  <c r="U1675" i="6" s="1"/>
  <c r="N1675" i="6"/>
  <c r="V1674" i="6"/>
  <c r="T1674" i="6"/>
  <c r="S1674" i="6"/>
  <c r="R1674" i="6"/>
  <c r="Q1674" i="6"/>
  <c r="P1674" i="6"/>
  <c r="O1674" i="6"/>
  <c r="U1674" i="6" s="1"/>
  <c r="N1674" i="6"/>
  <c r="V1673" i="6"/>
  <c r="T1673" i="6"/>
  <c r="S1673" i="6"/>
  <c r="R1673" i="6"/>
  <c r="Q1673" i="6"/>
  <c r="P1673" i="6"/>
  <c r="O1673" i="6"/>
  <c r="U1673" i="6" s="1"/>
  <c r="N1673" i="6"/>
  <c r="V1672" i="6"/>
  <c r="T1672" i="6"/>
  <c r="S1672" i="6"/>
  <c r="R1672" i="6"/>
  <c r="Q1672" i="6"/>
  <c r="P1672" i="6"/>
  <c r="O1672" i="6"/>
  <c r="U1672" i="6" s="1"/>
  <c r="N1672" i="6"/>
  <c r="V1671" i="6"/>
  <c r="T1671" i="6"/>
  <c r="S1671" i="6"/>
  <c r="R1671" i="6"/>
  <c r="Q1671" i="6"/>
  <c r="P1671" i="6"/>
  <c r="O1671" i="6"/>
  <c r="U1671" i="6" s="1"/>
  <c r="N1671" i="6"/>
  <c r="V1670" i="6"/>
  <c r="T1670" i="6"/>
  <c r="S1670" i="6"/>
  <c r="R1670" i="6"/>
  <c r="Q1670" i="6"/>
  <c r="P1670" i="6"/>
  <c r="O1670" i="6"/>
  <c r="U1670" i="6" s="1"/>
  <c r="N1670" i="6"/>
  <c r="V1669" i="6"/>
  <c r="T1669" i="6"/>
  <c r="S1669" i="6"/>
  <c r="R1669" i="6"/>
  <c r="Q1669" i="6"/>
  <c r="P1669" i="6"/>
  <c r="O1669" i="6"/>
  <c r="U1669" i="6" s="1"/>
  <c r="N1669" i="6"/>
  <c r="V1668" i="6"/>
  <c r="T1668" i="6"/>
  <c r="S1668" i="6"/>
  <c r="R1668" i="6"/>
  <c r="Q1668" i="6"/>
  <c r="P1668" i="6"/>
  <c r="O1668" i="6"/>
  <c r="U1668" i="6" s="1"/>
  <c r="N1668" i="6"/>
  <c r="V1667" i="6"/>
  <c r="T1667" i="6"/>
  <c r="S1667" i="6"/>
  <c r="R1667" i="6"/>
  <c r="Q1667" i="6"/>
  <c r="P1667" i="6"/>
  <c r="O1667" i="6"/>
  <c r="U1667" i="6" s="1"/>
  <c r="N1667" i="6"/>
  <c r="V1666" i="6"/>
  <c r="T1666" i="6"/>
  <c r="S1666" i="6"/>
  <c r="R1666" i="6"/>
  <c r="Q1666" i="6"/>
  <c r="P1666" i="6"/>
  <c r="O1666" i="6"/>
  <c r="U1666" i="6" s="1"/>
  <c r="N1666" i="6"/>
  <c r="V1665" i="6"/>
  <c r="T1665" i="6"/>
  <c r="S1665" i="6"/>
  <c r="R1665" i="6"/>
  <c r="Q1665" i="6"/>
  <c r="P1665" i="6"/>
  <c r="O1665" i="6"/>
  <c r="U1665" i="6" s="1"/>
  <c r="N1665" i="6"/>
  <c r="V1664" i="6"/>
  <c r="T1664" i="6"/>
  <c r="S1664" i="6"/>
  <c r="R1664" i="6"/>
  <c r="Q1664" i="6"/>
  <c r="P1664" i="6"/>
  <c r="O1664" i="6"/>
  <c r="U1664" i="6" s="1"/>
  <c r="N1664" i="6"/>
  <c r="V1663" i="6"/>
  <c r="T1663" i="6"/>
  <c r="S1663" i="6"/>
  <c r="R1663" i="6"/>
  <c r="Q1663" i="6"/>
  <c r="P1663" i="6"/>
  <c r="O1663" i="6"/>
  <c r="U1663" i="6" s="1"/>
  <c r="N1663" i="6"/>
  <c r="V1662" i="6"/>
  <c r="T1662" i="6"/>
  <c r="S1662" i="6"/>
  <c r="R1662" i="6"/>
  <c r="Q1662" i="6"/>
  <c r="P1662" i="6"/>
  <c r="O1662" i="6"/>
  <c r="U1662" i="6" s="1"/>
  <c r="N1662" i="6"/>
  <c r="V1661" i="6"/>
  <c r="T1661" i="6"/>
  <c r="S1661" i="6"/>
  <c r="R1661" i="6"/>
  <c r="Q1661" i="6"/>
  <c r="P1661" i="6"/>
  <c r="O1661" i="6"/>
  <c r="U1661" i="6" s="1"/>
  <c r="N1661" i="6"/>
  <c r="V1660" i="6"/>
  <c r="T1660" i="6"/>
  <c r="S1660" i="6"/>
  <c r="R1660" i="6"/>
  <c r="Q1660" i="6"/>
  <c r="P1660" i="6"/>
  <c r="O1660" i="6"/>
  <c r="U1660" i="6" s="1"/>
  <c r="N1660" i="6"/>
  <c r="V1659" i="6"/>
  <c r="T1659" i="6"/>
  <c r="S1659" i="6"/>
  <c r="R1659" i="6"/>
  <c r="Q1659" i="6"/>
  <c r="P1659" i="6"/>
  <c r="O1659" i="6"/>
  <c r="U1659" i="6" s="1"/>
  <c r="N1659" i="6"/>
  <c r="V1658" i="6"/>
  <c r="T1658" i="6"/>
  <c r="S1658" i="6"/>
  <c r="R1658" i="6"/>
  <c r="Q1658" i="6"/>
  <c r="P1658" i="6"/>
  <c r="O1658" i="6"/>
  <c r="U1658" i="6" s="1"/>
  <c r="N1658" i="6"/>
  <c r="V1657" i="6"/>
  <c r="T1657" i="6"/>
  <c r="S1657" i="6"/>
  <c r="R1657" i="6"/>
  <c r="Q1657" i="6"/>
  <c r="P1657" i="6"/>
  <c r="O1657" i="6"/>
  <c r="U1657" i="6" s="1"/>
  <c r="N1657" i="6"/>
  <c r="V1656" i="6"/>
  <c r="T1656" i="6"/>
  <c r="S1656" i="6"/>
  <c r="R1656" i="6"/>
  <c r="Q1656" i="6"/>
  <c r="P1656" i="6"/>
  <c r="O1656" i="6"/>
  <c r="U1656" i="6" s="1"/>
  <c r="N1656" i="6"/>
  <c r="V1655" i="6"/>
  <c r="T1655" i="6"/>
  <c r="S1655" i="6"/>
  <c r="R1655" i="6"/>
  <c r="Q1655" i="6"/>
  <c r="P1655" i="6"/>
  <c r="O1655" i="6"/>
  <c r="U1655" i="6" s="1"/>
  <c r="N1655" i="6"/>
  <c r="V1654" i="6"/>
  <c r="T1654" i="6"/>
  <c r="S1654" i="6"/>
  <c r="R1654" i="6"/>
  <c r="Q1654" i="6"/>
  <c r="P1654" i="6"/>
  <c r="O1654" i="6"/>
  <c r="U1654" i="6" s="1"/>
  <c r="N1654" i="6"/>
  <c r="V1653" i="6"/>
  <c r="T1653" i="6"/>
  <c r="S1653" i="6"/>
  <c r="R1653" i="6"/>
  <c r="Q1653" i="6"/>
  <c r="P1653" i="6"/>
  <c r="O1653" i="6"/>
  <c r="U1653" i="6" s="1"/>
  <c r="N1653" i="6"/>
  <c r="V1652" i="6"/>
  <c r="T1652" i="6"/>
  <c r="S1652" i="6"/>
  <c r="R1652" i="6"/>
  <c r="Q1652" i="6"/>
  <c r="P1652" i="6"/>
  <c r="O1652" i="6"/>
  <c r="U1652" i="6" s="1"/>
  <c r="N1652" i="6"/>
  <c r="V1651" i="6"/>
  <c r="U1651" i="6"/>
  <c r="T1651" i="6"/>
  <c r="S1651" i="6"/>
  <c r="R1651" i="6"/>
  <c r="Q1651" i="6"/>
  <c r="P1651" i="6"/>
  <c r="O1651" i="6"/>
  <c r="N1651" i="6"/>
  <c r="V1650" i="6"/>
  <c r="T1650" i="6"/>
  <c r="S1650" i="6"/>
  <c r="R1650" i="6"/>
  <c r="Q1650" i="6"/>
  <c r="P1650" i="6"/>
  <c r="O1650" i="6"/>
  <c r="U1650" i="6" s="1"/>
  <c r="N1650" i="6"/>
  <c r="V1649" i="6"/>
  <c r="T1649" i="6"/>
  <c r="S1649" i="6"/>
  <c r="R1649" i="6"/>
  <c r="Q1649" i="6"/>
  <c r="P1649" i="6"/>
  <c r="O1649" i="6"/>
  <c r="U1649" i="6" s="1"/>
  <c r="N1649" i="6"/>
  <c r="V1648" i="6"/>
  <c r="T1648" i="6"/>
  <c r="S1648" i="6"/>
  <c r="R1648" i="6"/>
  <c r="Q1648" i="6"/>
  <c r="P1648" i="6"/>
  <c r="O1648" i="6"/>
  <c r="U1648" i="6" s="1"/>
  <c r="N1648" i="6"/>
  <c r="V1647" i="6"/>
  <c r="T1647" i="6"/>
  <c r="S1647" i="6"/>
  <c r="R1647" i="6"/>
  <c r="Q1647" i="6"/>
  <c r="P1647" i="6"/>
  <c r="O1647" i="6"/>
  <c r="U1647" i="6" s="1"/>
  <c r="N1647" i="6"/>
  <c r="V1646" i="6"/>
  <c r="T1646" i="6"/>
  <c r="S1646" i="6"/>
  <c r="R1646" i="6"/>
  <c r="Q1646" i="6"/>
  <c r="P1646" i="6"/>
  <c r="O1646" i="6"/>
  <c r="U1646" i="6" s="1"/>
  <c r="N1646" i="6"/>
  <c r="V1645" i="6"/>
  <c r="T1645" i="6"/>
  <c r="S1645" i="6"/>
  <c r="R1645" i="6"/>
  <c r="Q1645" i="6"/>
  <c r="P1645" i="6"/>
  <c r="O1645" i="6"/>
  <c r="U1645" i="6" s="1"/>
  <c r="N1645" i="6"/>
  <c r="V1644" i="6"/>
  <c r="T1644" i="6"/>
  <c r="S1644" i="6"/>
  <c r="R1644" i="6"/>
  <c r="Q1644" i="6"/>
  <c r="P1644" i="6"/>
  <c r="O1644" i="6"/>
  <c r="U1644" i="6" s="1"/>
  <c r="N1644" i="6"/>
  <c r="V1643" i="6"/>
  <c r="T1643" i="6"/>
  <c r="S1643" i="6"/>
  <c r="R1643" i="6"/>
  <c r="Q1643" i="6"/>
  <c r="P1643" i="6"/>
  <c r="O1643" i="6"/>
  <c r="U1643" i="6" s="1"/>
  <c r="N1643" i="6"/>
  <c r="V1642" i="6"/>
  <c r="T1642" i="6"/>
  <c r="S1642" i="6"/>
  <c r="R1642" i="6"/>
  <c r="Q1642" i="6"/>
  <c r="P1642" i="6"/>
  <c r="O1642" i="6"/>
  <c r="U1642" i="6" s="1"/>
  <c r="N1642" i="6"/>
  <c r="V1641" i="6"/>
  <c r="T1641" i="6"/>
  <c r="S1641" i="6"/>
  <c r="R1641" i="6"/>
  <c r="Q1641" i="6"/>
  <c r="P1641" i="6"/>
  <c r="O1641" i="6"/>
  <c r="U1641" i="6" s="1"/>
  <c r="N1641" i="6"/>
  <c r="V1640" i="6"/>
  <c r="T1640" i="6"/>
  <c r="S1640" i="6"/>
  <c r="R1640" i="6"/>
  <c r="Q1640" i="6"/>
  <c r="P1640" i="6"/>
  <c r="O1640" i="6"/>
  <c r="U1640" i="6" s="1"/>
  <c r="N1640" i="6"/>
  <c r="V1639" i="6"/>
  <c r="T1639" i="6"/>
  <c r="S1639" i="6"/>
  <c r="R1639" i="6"/>
  <c r="Q1639" i="6"/>
  <c r="P1639" i="6"/>
  <c r="O1639" i="6"/>
  <c r="U1639" i="6" s="1"/>
  <c r="N1639" i="6"/>
  <c r="V1638" i="6"/>
  <c r="T1638" i="6"/>
  <c r="S1638" i="6"/>
  <c r="R1638" i="6"/>
  <c r="Q1638" i="6"/>
  <c r="P1638" i="6"/>
  <c r="O1638" i="6"/>
  <c r="U1638" i="6" s="1"/>
  <c r="N1638" i="6"/>
  <c r="V1637" i="6"/>
  <c r="T1637" i="6"/>
  <c r="S1637" i="6"/>
  <c r="R1637" i="6"/>
  <c r="Q1637" i="6"/>
  <c r="P1637" i="6"/>
  <c r="O1637" i="6"/>
  <c r="U1637" i="6" s="1"/>
  <c r="N1637" i="6"/>
  <c r="V1636" i="6"/>
  <c r="T1636" i="6"/>
  <c r="S1636" i="6"/>
  <c r="R1636" i="6"/>
  <c r="Q1636" i="6"/>
  <c r="P1636" i="6"/>
  <c r="O1636" i="6"/>
  <c r="U1636" i="6" s="1"/>
  <c r="N1636" i="6"/>
  <c r="V1635" i="6"/>
  <c r="T1635" i="6"/>
  <c r="S1635" i="6"/>
  <c r="R1635" i="6"/>
  <c r="Q1635" i="6"/>
  <c r="P1635" i="6"/>
  <c r="O1635" i="6"/>
  <c r="U1635" i="6" s="1"/>
  <c r="N1635" i="6"/>
  <c r="V1634" i="6"/>
  <c r="T1634" i="6"/>
  <c r="S1634" i="6"/>
  <c r="R1634" i="6"/>
  <c r="Q1634" i="6"/>
  <c r="P1634" i="6"/>
  <c r="O1634" i="6"/>
  <c r="U1634" i="6" s="1"/>
  <c r="N1634" i="6"/>
  <c r="V1633" i="6"/>
  <c r="T1633" i="6"/>
  <c r="S1633" i="6"/>
  <c r="R1633" i="6"/>
  <c r="Q1633" i="6"/>
  <c r="P1633" i="6"/>
  <c r="O1633" i="6"/>
  <c r="U1633" i="6" s="1"/>
  <c r="N1633" i="6"/>
  <c r="V1632" i="6"/>
  <c r="T1632" i="6"/>
  <c r="S1632" i="6"/>
  <c r="R1632" i="6"/>
  <c r="Q1632" i="6"/>
  <c r="P1632" i="6"/>
  <c r="O1632" i="6"/>
  <c r="U1632" i="6" s="1"/>
  <c r="N1632" i="6"/>
  <c r="V1631" i="6"/>
  <c r="T1631" i="6"/>
  <c r="S1631" i="6"/>
  <c r="R1631" i="6"/>
  <c r="Q1631" i="6"/>
  <c r="P1631" i="6"/>
  <c r="O1631" i="6"/>
  <c r="U1631" i="6" s="1"/>
  <c r="N1631" i="6"/>
  <c r="V1630" i="6"/>
  <c r="T1630" i="6"/>
  <c r="S1630" i="6"/>
  <c r="R1630" i="6"/>
  <c r="Q1630" i="6"/>
  <c r="P1630" i="6"/>
  <c r="O1630" i="6"/>
  <c r="U1630" i="6" s="1"/>
  <c r="N1630" i="6"/>
  <c r="V1629" i="6"/>
  <c r="T1629" i="6"/>
  <c r="S1629" i="6"/>
  <c r="R1629" i="6"/>
  <c r="Q1629" i="6"/>
  <c r="P1629" i="6"/>
  <c r="O1629" i="6"/>
  <c r="U1629" i="6" s="1"/>
  <c r="N1629" i="6"/>
  <c r="V1628" i="6"/>
  <c r="T1628" i="6"/>
  <c r="S1628" i="6"/>
  <c r="R1628" i="6"/>
  <c r="Q1628" i="6"/>
  <c r="P1628" i="6"/>
  <c r="O1628" i="6"/>
  <c r="U1628" i="6" s="1"/>
  <c r="N1628" i="6"/>
  <c r="V1627" i="6"/>
  <c r="T1627" i="6"/>
  <c r="S1627" i="6"/>
  <c r="R1627" i="6"/>
  <c r="Q1627" i="6"/>
  <c r="P1627" i="6"/>
  <c r="O1627" i="6"/>
  <c r="U1627" i="6" s="1"/>
  <c r="N1627" i="6"/>
  <c r="V1626" i="6"/>
  <c r="T1626" i="6"/>
  <c r="S1626" i="6"/>
  <c r="R1626" i="6"/>
  <c r="Q1626" i="6"/>
  <c r="P1626" i="6"/>
  <c r="O1626" i="6"/>
  <c r="U1626" i="6" s="1"/>
  <c r="N1626" i="6"/>
  <c r="V1625" i="6"/>
  <c r="T1625" i="6"/>
  <c r="S1625" i="6"/>
  <c r="R1625" i="6"/>
  <c r="Q1625" i="6"/>
  <c r="P1625" i="6"/>
  <c r="O1625" i="6"/>
  <c r="U1625" i="6" s="1"/>
  <c r="N1625" i="6"/>
  <c r="V1624" i="6"/>
  <c r="T1624" i="6"/>
  <c r="S1624" i="6"/>
  <c r="R1624" i="6"/>
  <c r="Q1624" i="6"/>
  <c r="P1624" i="6"/>
  <c r="O1624" i="6"/>
  <c r="U1624" i="6" s="1"/>
  <c r="N1624" i="6"/>
  <c r="V1623" i="6"/>
  <c r="T1623" i="6"/>
  <c r="S1623" i="6"/>
  <c r="R1623" i="6"/>
  <c r="Q1623" i="6"/>
  <c r="P1623" i="6"/>
  <c r="O1623" i="6"/>
  <c r="U1623" i="6" s="1"/>
  <c r="N1623" i="6"/>
  <c r="V1622" i="6"/>
  <c r="T1622" i="6"/>
  <c r="S1622" i="6"/>
  <c r="R1622" i="6"/>
  <c r="Q1622" i="6"/>
  <c r="P1622" i="6"/>
  <c r="O1622" i="6"/>
  <c r="U1622" i="6" s="1"/>
  <c r="N1622" i="6"/>
  <c r="V1621" i="6"/>
  <c r="T1621" i="6"/>
  <c r="S1621" i="6"/>
  <c r="R1621" i="6"/>
  <c r="Q1621" i="6"/>
  <c r="P1621" i="6"/>
  <c r="O1621" i="6"/>
  <c r="U1621" i="6" s="1"/>
  <c r="N1621" i="6"/>
  <c r="V1620" i="6"/>
  <c r="T1620" i="6"/>
  <c r="S1620" i="6"/>
  <c r="R1620" i="6"/>
  <c r="Q1620" i="6"/>
  <c r="P1620" i="6"/>
  <c r="O1620" i="6"/>
  <c r="U1620" i="6" s="1"/>
  <c r="N1620" i="6"/>
  <c r="V1619" i="6"/>
  <c r="T1619" i="6"/>
  <c r="S1619" i="6"/>
  <c r="R1619" i="6"/>
  <c r="Q1619" i="6"/>
  <c r="P1619" i="6"/>
  <c r="O1619" i="6"/>
  <c r="U1619" i="6" s="1"/>
  <c r="N1619" i="6"/>
  <c r="V1618" i="6"/>
  <c r="T1618" i="6"/>
  <c r="S1618" i="6"/>
  <c r="R1618" i="6"/>
  <c r="Q1618" i="6"/>
  <c r="P1618" i="6"/>
  <c r="O1618" i="6"/>
  <c r="U1618" i="6" s="1"/>
  <c r="N1618" i="6"/>
  <c r="V1617" i="6"/>
  <c r="T1617" i="6"/>
  <c r="S1617" i="6"/>
  <c r="R1617" i="6"/>
  <c r="Q1617" i="6"/>
  <c r="P1617" i="6"/>
  <c r="O1617" i="6"/>
  <c r="U1617" i="6" s="1"/>
  <c r="N1617" i="6"/>
  <c r="V1616" i="6"/>
  <c r="T1616" i="6"/>
  <c r="S1616" i="6"/>
  <c r="R1616" i="6"/>
  <c r="Q1616" i="6"/>
  <c r="P1616" i="6"/>
  <c r="O1616" i="6"/>
  <c r="U1616" i="6" s="1"/>
  <c r="N1616" i="6"/>
  <c r="V1615" i="6"/>
  <c r="T1615" i="6"/>
  <c r="S1615" i="6"/>
  <c r="R1615" i="6"/>
  <c r="Q1615" i="6"/>
  <c r="P1615" i="6"/>
  <c r="O1615" i="6"/>
  <c r="U1615" i="6" s="1"/>
  <c r="N1615" i="6"/>
  <c r="V1614" i="6"/>
  <c r="T1614" i="6"/>
  <c r="S1614" i="6"/>
  <c r="R1614" i="6"/>
  <c r="Q1614" i="6"/>
  <c r="P1614" i="6"/>
  <c r="O1614" i="6"/>
  <c r="U1614" i="6" s="1"/>
  <c r="N1614" i="6"/>
  <c r="V1613" i="6"/>
  <c r="T1613" i="6"/>
  <c r="S1613" i="6"/>
  <c r="R1613" i="6"/>
  <c r="Q1613" i="6"/>
  <c r="P1613" i="6"/>
  <c r="O1613" i="6"/>
  <c r="U1613" i="6" s="1"/>
  <c r="N1613" i="6"/>
  <c r="V1612" i="6"/>
  <c r="T1612" i="6"/>
  <c r="S1612" i="6"/>
  <c r="R1612" i="6"/>
  <c r="Q1612" i="6"/>
  <c r="P1612" i="6"/>
  <c r="O1612" i="6"/>
  <c r="U1612" i="6" s="1"/>
  <c r="N1612" i="6"/>
  <c r="V1611" i="6"/>
  <c r="T1611" i="6"/>
  <c r="S1611" i="6"/>
  <c r="R1611" i="6"/>
  <c r="Q1611" i="6"/>
  <c r="P1611" i="6"/>
  <c r="O1611" i="6"/>
  <c r="U1611" i="6" s="1"/>
  <c r="N1611" i="6"/>
  <c r="V1610" i="6"/>
  <c r="T1610" i="6"/>
  <c r="S1610" i="6"/>
  <c r="R1610" i="6"/>
  <c r="Q1610" i="6"/>
  <c r="P1610" i="6"/>
  <c r="O1610" i="6"/>
  <c r="U1610" i="6" s="1"/>
  <c r="N1610" i="6"/>
  <c r="V1609" i="6"/>
  <c r="T1609" i="6"/>
  <c r="S1609" i="6"/>
  <c r="R1609" i="6"/>
  <c r="Q1609" i="6"/>
  <c r="P1609" i="6"/>
  <c r="O1609" i="6"/>
  <c r="U1609" i="6" s="1"/>
  <c r="N1609" i="6"/>
  <c r="V1608" i="6"/>
  <c r="T1608" i="6"/>
  <c r="S1608" i="6"/>
  <c r="R1608" i="6"/>
  <c r="Q1608" i="6"/>
  <c r="P1608" i="6"/>
  <c r="O1608" i="6"/>
  <c r="U1608" i="6" s="1"/>
  <c r="N1608" i="6"/>
  <c r="V1607" i="6"/>
  <c r="T1607" i="6"/>
  <c r="S1607" i="6"/>
  <c r="R1607" i="6"/>
  <c r="Q1607" i="6"/>
  <c r="P1607" i="6"/>
  <c r="O1607" i="6"/>
  <c r="U1607" i="6" s="1"/>
  <c r="N1607" i="6"/>
  <c r="V1606" i="6"/>
  <c r="T1606" i="6"/>
  <c r="S1606" i="6"/>
  <c r="R1606" i="6"/>
  <c r="Q1606" i="6"/>
  <c r="P1606" i="6"/>
  <c r="O1606" i="6"/>
  <c r="U1606" i="6" s="1"/>
  <c r="N1606" i="6"/>
  <c r="V1605" i="6"/>
  <c r="T1605" i="6"/>
  <c r="S1605" i="6"/>
  <c r="R1605" i="6"/>
  <c r="Q1605" i="6"/>
  <c r="P1605" i="6"/>
  <c r="O1605" i="6"/>
  <c r="U1605" i="6" s="1"/>
  <c r="N1605" i="6"/>
  <c r="V1604" i="6"/>
  <c r="T1604" i="6"/>
  <c r="S1604" i="6"/>
  <c r="R1604" i="6"/>
  <c r="Q1604" i="6"/>
  <c r="P1604" i="6"/>
  <c r="O1604" i="6"/>
  <c r="U1604" i="6" s="1"/>
  <c r="N1604" i="6"/>
  <c r="V1603" i="6"/>
  <c r="T1603" i="6"/>
  <c r="S1603" i="6"/>
  <c r="R1603" i="6"/>
  <c r="Q1603" i="6"/>
  <c r="P1603" i="6"/>
  <c r="O1603" i="6"/>
  <c r="U1603" i="6" s="1"/>
  <c r="N1603" i="6"/>
  <c r="V1602" i="6"/>
  <c r="T1602" i="6"/>
  <c r="S1602" i="6"/>
  <c r="R1602" i="6"/>
  <c r="Q1602" i="6"/>
  <c r="P1602" i="6"/>
  <c r="O1602" i="6"/>
  <c r="U1602" i="6" s="1"/>
  <c r="N1602" i="6"/>
  <c r="V1601" i="6"/>
  <c r="T1601" i="6"/>
  <c r="S1601" i="6"/>
  <c r="R1601" i="6"/>
  <c r="Q1601" i="6"/>
  <c r="P1601" i="6"/>
  <c r="O1601" i="6"/>
  <c r="U1601" i="6" s="1"/>
  <c r="N1601" i="6"/>
  <c r="V1600" i="6"/>
  <c r="T1600" i="6"/>
  <c r="S1600" i="6"/>
  <c r="R1600" i="6"/>
  <c r="Q1600" i="6"/>
  <c r="P1600" i="6"/>
  <c r="O1600" i="6"/>
  <c r="U1600" i="6" s="1"/>
  <c r="N1600" i="6"/>
  <c r="V1599" i="6"/>
  <c r="T1599" i="6"/>
  <c r="S1599" i="6"/>
  <c r="R1599" i="6"/>
  <c r="Q1599" i="6"/>
  <c r="P1599" i="6"/>
  <c r="O1599" i="6"/>
  <c r="U1599" i="6" s="1"/>
  <c r="N1599" i="6"/>
  <c r="V1598" i="6"/>
  <c r="T1598" i="6"/>
  <c r="S1598" i="6"/>
  <c r="R1598" i="6"/>
  <c r="Q1598" i="6"/>
  <c r="P1598" i="6"/>
  <c r="O1598" i="6"/>
  <c r="U1598" i="6" s="1"/>
  <c r="N1598" i="6"/>
  <c r="V1597" i="6"/>
  <c r="T1597" i="6"/>
  <c r="S1597" i="6"/>
  <c r="R1597" i="6"/>
  <c r="Q1597" i="6"/>
  <c r="P1597" i="6"/>
  <c r="O1597" i="6"/>
  <c r="U1597" i="6" s="1"/>
  <c r="N1597" i="6"/>
  <c r="V1596" i="6"/>
  <c r="T1596" i="6"/>
  <c r="S1596" i="6"/>
  <c r="R1596" i="6"/>
  <c r="Q1596" i="6"/>
  <c r="P1596" i="6"/>
  <c r="O1596" i="6"/>
  <c r="U1596" i="6" s="1"/>
  <c r="N1596" i="6"/>
  <c r="V1595" i="6"/>
  <c r="T1595" i="6"/>
  <c r="S1595" i="6"/>
  <c r="R1595" i="6"/>
  <c r="Q1595" i="6"/>
  <c r="P1595" i="6"/>
  <c r="O1595" i="6"/>
  <c r="U1595" i="6" s="1"/>
  <c r="N1595" i="6"/>
  <c r="V1594" i="6"/>
  <c r="T1594" i="6"/>
  <c r="S1594" i="6"/>
  <c r="R1594" i="6"/>
  <c r="Q1594" i="6"/>
  <c r="P1594" i="6"/>
  <c r="O1594" i="6"/>
  <c r="U1594" i="6" s="1"/>
  <c r="N1594" i="6"/>
  <c r="V1593" i="6"/>
  <c r="T1593" i="6"/>
  <c r="S1593" i="6"/>
  <c r="R1593" i="6"/>
  <c r="Q1593" i="6"/>
  <c r="P1593" i="6"/>
  <c r="O1593" i="6"/>
  <c r="U1593" i="6" s="1"/>
  <c r="N1593" i="6"/>
  <c r="V1592" i="6"/>
  <c r="T1592" i="6"/>
  <c r="S1592" i="6"/>
  <c r="R1592" i="6"/>
  <c r="Q1592" i="6"/>
  <c r="P1592" i="6"/>
  <c r="O1592" i="6"/>
  <c r="U1592" i="6" s="1"/>
  <c r="N1592" i="6"/>
  <c r="V1591" i="6"/>
  <c r="T1591" i="6"/>
  <c r="S1591" i="6"/>
  <c r="R1591" i="6"/>
  <c r="Q1591" i="6"/>
  <c r="P1591" i="6"/>
  <c r="O1591" i="6"/>
  <c r="U1591" i="6" s="1"/>
  <c r="N1591" i="6"/>
  <c r="V1590" i="6"/>
  <c r="T1590" i="6"/>
  <c r="S1590" i="6"/>
  <c r="R1590" i="6"/>
  <c r="Q1590" i="6"/>
  <c r="P1590" i="6"/>
  <c r="O1590" i="6"/>
  <c r="U1590" i="6" s="1"/>
  <c r="N1590" i="6"/>
  <c r="V1589" i="6"/>
  <c r="T1589" i="6"/>
  <c r="S1589" i="6"/>
  <c r="R1589" i="6"/>
  <c r="Q1589" i="6"/>
  <c r="P1589" i="6"/>
  <c r="O1589" i="6"/>
  <c r="U1589" i="6" s="1"/>
  <c r="N1589" i="6"/>
  <c r="V1588" i="6"/>
  <c r="T1588" i="6"/>
  <c r="S1588" i="6"/>
  <c r="R1588" i="6"/>
  <c r="Q1588" i="6"/>
  <c r="P1588" i="6"/>
  <c r="O1588" i="6"/>
  <c r="U1588" i="6" s="1"/>
  <c r="N1588" i="6"/>
  <c r="V1587" i="6"/>
  <c r="T1587" i="6"/>
  <c r="S1587" i="6"/>
  <c r="R1587" i="6"/>
  <c r="Q1587" i="6"/>
  <c r="P1587" i="6"/>
  <c r="O1587" i="6"/>
  <c r="U1587" i="6" s="1"/>
  <c r="N1587" i="6"/>
  <c r="V1586" i="6"/>
  <c r="T1586" i="6"/>
  <c r="S1586" i="6"/>
  <c r="R1586" i="6"/>
  <c r="Q1586" i="6"/>
  <c r="P1586" i="6"/>
  <c r="O1586" i="6"/>
  <c r="U1586" i="6" s="1"/>
  <c r="N1586" i="6"/>
  <c r="V1585" i="6"/>
  <c r="T1585" i="6"/>
  <c r="S1585" i="6"/>
  <c r="R1585" i="6"/>
  <c r="Q1585" i="6"/>
  <c r="P1585" i="6"/>
  <c r="O1585" i="6"/>
  <c r="U1585" i="6" s="1"/>
  <c r="N1585" i="6"/>
  <c r="V1584" i="6"/>
  <c r="T1584" i="6"/>
  <c r="S1584" i="6"/>
  <c r="R1584" i="6"/>
  <c r="Q1584" i="6"/>
  <c r="P1584" i="6"/>
  <c r="O1584" i="6"/>
  <c r="U1584" i="6" s="1"/>
  <c r="N1584" i="6"/>
  <c r="V1583" i="6"/>
  <c r="T1583" i="6"/>
  <c r="S1583" i="6"/>
  <c r="R1583" i="6"/>
  <c r="Q1583" i="6"/>
  <c r="P1583" i="6"/>
  <c r="O1583" i="6"/>
  <c r="U1583" i="6" s="1"/>
  <c r="N1583" i="6"/>
  <c r="V1582" i="6"/>
  <c r="T1582" i="6"/>
  <c r="S1582" i="6"/>
  <c r="R1582" i="6"/>
  <c r="Q1582" i="6"/>
  <c r="P1582" i="6"/>
  <c r="O1582" i="6"/>
  <c r="U1582" i="6" s="1"/>
  <c r="N1582" i="6"/>
  <c r="V1581" i="6"/>
  <c r="T1581" i="6"/>
  <c r="S1581" i="6"/>
  <c r="R1581" i="6"/>
  <c r="Q1581" i="6"/>
  <c r="P1581" i="6"/>
  <c r="O1581" i="6"/>
  <c r="U1581" i="6" s="1"/>
  <c r="N1581" i="6"/>
  <c r="V1580" i="6"/>
  <c r="T1580" i="6"/>
  <c r="S1580" i="6"/>
  <c r="R1580" i="6"/>
  <c r="Q1580" i="6"/>
  <c r="P1580" i="6"/>
  <c r="O1580" i="6"/>
  <c r="U1580" i="6" s="1"/>
  <c r="N1580" i="6"/>
  <c r="V1579" i="6"/>
  <c r="T1579" i="6"/>
  <c r="S1579" i="6"/>
  <c r="R1579" i="6"/>
  <c r="Q1579" i="6"/>
  <c r="P1579" i="6"/>
  <c r="O1579" i="6"/>
  <c r="U1579" i="6" s="1"/>
  <c r="N1579" i="6"/>
  <c r="V1578" i="6"/>
  <c r="T1578" i="6"/>
  <c r="S1578" i="6"/>
  <c r="R1578" i="6"/>
  <c r="Q1578" i="6"/>
  <c r="P1578" i="6"/>
  <c r="O1578" i="6"/>
  <c r="U1578" i="6" s="1"/>
  <c r="N1578" i="6"/>
  <c r="V1577" i="6"/>
  <c r="T1577" i="6"/>
  <c r="S1577" i="6"/>
  <c r="R1577" i="6"/>
  <c r="Q1577" i="6"/>
  <c r="P1577" i="6"/>
  <c r="O1577" i="6"/>
  <c r="U1577" i="6" s="1"/>
  <c r="N1577" i="6"/>
  <c r="V1576" i="6"/>
  <c r="T1576" i="6"/>
  <c r="S1576" i="6"/>
  <c r="R1576" i="6"/>
  <c r="Q1576" i="6"/>
  <c r="P1576" i="6"/>
  <c r="O1576" i="6"/>
  <c r="U1576" i="6" s="1"/>
  <c r="N1576" i="6"/>
  <c r="V1575" i="6"/>
  <c r="T1575" i="6"/>
  <c r="S1575" i="6"/>
  <c r="R1575" i="6"/>
  <c r="Q1575" i="6"/>
  <c r="P1575" i="6"/>
  <c r="O1575" i="6"/>
  <c r="U1575" i="6" s="1"/>
  <c r="N1575" i="6"/>
  <c r="V1574" i="6"/>
  <c r="T1574" i="6"/>
  <c r="S1574" i="6"/>
  <c r="R1574" i="6"/>
  <c r="Q1574" i="6"/>
  <c r="P1574" i="6"/>
  <c r="O1574" i="6"/>
  <c r="U1574" i="6" s="1"/>
  <c r="N1574" i="6"/>
  <c r="V1573" i="6"/>
  <c r="T1573" i="6"/>
  <c r="S1573" i="6"/>
  <c r="R1573" i="6"/>
  <c r="Q1573" i="6"/>
  <c r="P1573" i="6"/>
  <c r="O1573" i="6"/>
  <c r="U1573" i="6" s="1"/>
  <c r="N1573" i="6"/>
  <c r="V1572" i="6"/>
  <c r="T1572" i="6"/>
  <c r="S1572" i="6"/>
  <c r="R1572" i="6"/>
  <c r="Q1572" i="6"/>
  <c r="P1572" i="6"/>
  <c r="O1572" i="6"/>
  <c r="U1572" i="6" s="1"/>
  <c r="N1572" i="6"/>
  <c r="V1571" i="6"/>
  <c r="T1571" i="6"/>
  <c r="S1571" i="6"/>
  <c r="R1571" i="6"/>
  <c r="Q1571" i="6"/>
  <c r="P1571" i="6"/>
  <c r="O1571" i="6"/>
  <c r="U1571" i="6" s="1"/>
  <c r="N1571" i="6"/>
  <c r="V1570" i="6"/>
  <c r="T1570" i="6"/>
  <c r="S1570" i="6"/>
  <c r="R1570" i="6"/>
  <c r="Q1570" i="6"/>
  <c r="P1570" i="6"/>
  <c r="O1570" i="6"/>
  <c r="U1570" i="6" s="1"/>
  <c r="N1570" i="6"/>
  <c r="V1569" i="6"/>
  <c r="T1569" i="6"/>
  <c r="S1569" i="6"/>
  <c r="R1569" i="6"/>
  <c r="Q1569" i="6"/>
  <c r="P1569" i="6"/>
  <c r="O1569" i="6"/>
  <c r="U1569" i="6" s="1"/>
  <c r="N1569" i="6"/>
  <c r="V1568" i="6"/>
  <c r="T1568" i="6"/>
  <c r="S1568" i="6"/>
  <c r="R1568" i="6"/>
  <c r="Q1568" i="6"/>
  <c r="P1568" i="6"/>
  <c r="O1568" i="6"/>
  <c r="U1568" i="6" s="1"/>
  <c r="N1568" i="6"/>
  <c r="V1567" i="6"/>
  <c r="T1567" i="6"/>
  <c r="S1567" i="6"/>
  <c r="R1567" i="6"/>
  <c r="Q1567" i="6"/>
  <c r="P1567" i="6"/>
  <c r="O1567" i="6"/>
  <c r="U1567" i="6" s="1"/>
  <c r="N1567" i="6"/>
  <c r="V1566" i="6"/>
  <c r="T1566" i="6"/>
  <c r="S1566" i="6"/>
  <c r="R1566" i="6"/>
  <c r="Q1566" i="6"/>
  <c r="P1566" i="6"/>
  <c r="O1566" i="6"/>
  <c r="U1566" i="6" s="1"/>
  <c r="N1566" i="6"/>
  <c r="V1565" i="6"/>
  <c r="T1565" i="6"/>
  <c r="S1565" i="6"/>
  <c r="R1565" i="6"/>
  <c r="Q1565" i="6"/>
  <c r="P1565" i="6"/>
  <c r="O1565" i="6"/>
  <c r="U1565" i="6" s="1"/>
  <c r="N1565" i="6"/>
  <c r="V1564" i="6"/>
  <c r="T1564" i="6"/>
  <c r="S1564" i="6"/>
  <c r="R1564" i="6"/>
  <c r="Q1564" i="6"/>
  <c r="P1564" i="6"/>
  <c r="O1564" i="6"/>
  <c r="U1564" i="6" s="1"/>
  <c r="N1564" i="6"/>
  <c r="V1563" i="6"/>
  <c r="T1563" i="6"/>
  <c r="S1563" i="6"/>
  <c r="R1563" i="6"/>
  <c r="Q1563" i="6"/>
  <c r="P1563" i="6"/>
  <c r="O1563" i="6"/>
  <c r="U1563" i="6" s="1"/>
  <c r="N1563" i="6"/>
  <c r="V1562" i="6"/>
  <c r="T1562" i="6"/>
  <c r="S1562" i="6"/>
  <c r="R1562" i="6"/>
  <c r="Q1562" i="6"/>
  <c r="P1562" i="6"/>
  <c r="O1562" i="6"/>
  <c r="U1562" i="6" s="1"/>
  <c r="N1562" i="6"/>
  <c r="V1561" i="6"/>
  <c r="T1561" i="6"/>
  <c r="S1561" i="6"/>
  <c r="R1561" i="6"/>
  <c r="Q1561" i="6"/>
  <c r="P1561" i="6"/>
  <c r="O1561" i="6"/>
  <c r="U1561" i="6" s="1"/>
  <c r="N1561" i="6"/>
  <c r="V1560" i="6"/>
  <c r="T1560" i="6"/>
  <c r="S1560" i="6"/>
  <c r="R1560" i="6"/>
  <c r="Q1560" i="6"/>
  <c r="P1560" i="6"/>
  <c r="O1560" i="6"/>
  <c r="U1560" i="6" s="1"/>
  <c r="N1560" i="6"/>
  <c r="V1559" i="6"/>
  <c r="T1559" i="6"/>
  <c r="S1559" i="6"/>
  <c r="R1559" i="6"/>
  <c r="Q1559" i="6"/>
  <c r="P1559" i="6"/>
  <c r="O1559" i="6"/>
  <c r="U1559" i="6" s="1"/>
  <c r="N1559" i="6"/>
  <c r="V1558" i="6"/>
  <c r="T1558" i="6"/>
  <c r="S1558" i="6"/>
  <c r="R1558" i="6"/>
  <c r="Q1558" i="6"/>
  <c r="P1558" i="6"/>
  <c r="O1558" i="6"/>
  <c r="U1558" i="6" s="1"/>
  <c r="N1558" i="6"/>
  <c r="V1557" i="6"/>
  <c r="T1557" i="6"/>
  <c r="S1557" i="6"/>
  <c r="R1557" i="6"/>
  <c r="Q1557" i="6"/>
  <c r="P1557" i="6"/>
  <c r="O1557" i="6"/>
  <c r="U1557" i="6" s="1"/>
  <c r="N1557" i="6"/>
  <c r="V1556" i="6"/>
  <c r="T1556" i="6"/>
  <c r="S1556" i="6"/>
  <c r="R1556" i="6"/>
  <c r="Q1556" i="6"/>
  <c r="P1556" i="6"/>
  <c r="O1556" i="6"/>
  <c r="U1556" i="6" s="1"/>
  <c r="N1556" i="6"/>
  <c r="V1555" i="6"/>
  <c r="T1555" i="6"/>
  <c r="S1555" i="6"/>
  <c r="R1555" i="6"/>
  <c r="Q1555" i="6"/>
  <c r="P1555" i="6"/>
  <c r="O1555" i="6"/>
  <c r="U1555" i="6" s="1"/>
  <c r="N1555" i="6"/>
  <c r="V1554" i="6"/>
  <c r="T1554" i="6"/>
  <c r="S1554" i="6"/>
  <c r="R1554" i="6"/>
  <c r="Q1554" i="6"/>
  <c r="P1554" i="6"/>
  <c r="O1554" i="6"/>
  <c r="U1554" i="6" s="1"/>
  <c r="N1554" i="6"/>
  <c r="V1553" i="6"/>
  <c r="T1553" i="6"/>
  <c r="S1553" i="6"/>
  <c r="R1553" i="6"/>
  <c r="Q1553" i="6"/>
  <c r="P1553" i="6"/>
  <c r="O1553" i="6"/>
  <c r="U1553" i="6" s="1"/>
  <c r="N1553" i="6"/>
  <c r="V1552" i="6"/>
  <c r="T1552" i="6"/>
  <c r="S1552" i="6"/>
  <c r="R1552" i="6"/>
  <c r="Q1552" i="6"/>
  <c r="P1552" i="6"/>
  <c r="O1552" i="6"/>
  <c r="U1552" i="6" s="1"/>
  <c r="N1552" i="6"/>
  <c r="V1551" i="6"/>
  <c r="T1551" i="6"/>
  <c r="S1551" i="6"/>
  <c r="R1551" i="6"/>
  <c r="Q1551" i="6"/>
  <c r="P1551" i="6"/>
  <c r="O1551" i="6"/>
  <c r="U1551" i="6" s="1"/>
  <c r="N1551" i="6"/>
  <c r="V1550" i="6"/>
  <c r="T1550" i="6"/>
  <c r="S1550" i="6"/>
  <c r="R1550" i="6"/>
  <c r="Q1550" i="6"/>
  <c r="P1550" i="6"/>
  <c r="O1550" i="6"/>
  <c r="U1550" i="6" s="1"/>
  <c r="N1550" i="6"/>
  <c r="V1549" i="6"/>
  <c r="T1549" i="6"/>
  <c r="S1549" i="6"/>
  <c r="R1549" i="6"/>
  <c r="Q1549" i="6"/>
  <c r="P1549" i="6"/>
  <c r="O1549" i="6"/>
  <c r="U1549" i="6" s="1"/>
  <c r="N1549" i="6"/>
  <c r="V1548" i="6"/>
  <c r="T1548" i="6"/>
  <c r="S1548" i="6"/>
  <c r="R1548" i="6"/>
  <c r="Q1548" i="6"/>
  <c r="P1548" i="6"/>
  <c r="O1548" i="6"/>
  <c r="U1548" i="6" s="1"/>
  <c r="N1548" i="6"/>
  <c r="V1547" i="6"/>
  <c r="T1547" i="6"/>
  <c r="S1547" i="6"/>
  <c r="R1547" i="6"/>
  <c r="Q1547" i="6"/>
  <c r="P1547" i="6"/>
  <c r="O1547" i="6"/>
  <c r="U1547" i="6" s="1"/>
  <c r="N1547" i="6"/>
  <c r="V1546" i="6"/>
  <c r="T1546" i="6"/>
  <c r="S1546" i="6"/>
  <c r="R1546" i="6"/>
  <c r="Q1546" i="6"/>
  <c r="P1546" i="6"/>
  <c r="O1546" i="6"/>
  <c r="U1546" i="6" s="1"/>
  <c r="N1546" i="6"/>
  <c r="V1545" i="6"/>
  <c r="T1545" i="6"/>
  <c r="S1545" i="6"/>
  <c r="R1545" i="6"/>
  <c r="Q1545" i="6"/>
  <c r="P1545" i="6"/>
  <c r="O1545" i="6"/>
  <c r="U1545" i="6" s="1"/>
  <c r="N1545" i="6"/>
  <c r="V1544" i="6"/>
  <c r="T1544" i="6"/>
  <c r="S1544" i="6"/>
  <c r="R1544" i="6"/>
  <c r="Q1544" i="6"/>
  <c r="P1544" i="6"/>
  <c r="O1544" i="6"/>
  <c r="U1544" i="6" s="1"/>
  <c r="N1544" i="6"/>
  <c r="V1543" i="6"/>
  <c r="T1543" i="6"/>
  <c r="S1543" i="6"/>
  <c r="R1543" i="6"/>
  <c r="Q1543" i="6"/>
  <c r="P1543" i="6"/>
  <c r="O1543" i="6"/>
  <c r="U1543" i="6" s="1"/>
  <c r="N1543" i="6"/>
  <c r="V1542" i="6"/>
  <c r="T1542" i="6"/>
  <c r="S1542" i="6"/>
  <c r="R1542" i="6"/>
  <c r="Q1542" i="6"/>
  <c r="P1542" i="6"/>
  <c r="O1542" i="6"/>
  <c r="U1542" i="6" s="1"/>
  <c r="N1542" i="6"/>
  <c r="V1541" i="6"/>
  <c r="T1541" i="6"/>
  <c r="S1541" i="6"/>
  <c r="R1541" i="6"/>
  <c r="Q1541" i="6"/>
  <c r="P1541" i="6"/>
  <c r="O1541" i="6"/>
  <c r="U1541" i="6" s="1"/>
  <c r="N1541" i="6"/>
  <c r="V1540" i="6"/>
  <c r="T1540" i="6"/>
  <c r="S1540" i="6"/>
  <c r="R1540" i="6"/>
  <c r="Q1540" i="6"/>
  <c r="P1540" i="6"/>
  <c r="O1540" i="6"/>
  <c r="U1540" i="6" s="1"/>
  <c r="N1540" i="6"/>
  <c r="V1539" i="6"/>
  <c r="T1539" i="6"/>
  <c r="S1539" i="6"/>
  <c r="R1539" i="6"/>
  <c r="Q1539" i="6"/>
  <c r="P1539" i="6"/>
  <c r="O1539" i="6"/>
  <c r="U1539" i="6" s="1"/>
  <c r="N1539" i="6"/>
  <c r="V1538" i="6"/>
  <c r="T1538" i="6"/>
  <c r="S1538" i="6"/>
  <c r="R1538" i="6"/>
  <c r="Q1538" i="6"/>
  <c r="P1538" i="6"/>
  <c r="O1538" i="6"/>
  <c r="U1538" i="6" s="1"/>
  <c r="N1538" i="6"/>
  <c r="V1537" i="6"/>
  <c r="T1537" i="6"/>
  <c r="S1537" i="6"/>
  <c r="R1537" i="6"/>
  <c r="Q1537" i="6"/>
  <c r="P1537" i="6"/>
  <c r="O1537" i="6"/>
  <c r="U1537" i="6" s="1"/>
  <c r="N1537" i="6"/>
  <c r="V1536" i="6"/>
  <c r="T1536" i="6"/>
  <c r="S1536" i="6"/>
  <c r="R1536" i="6"/>
  <c r="Q1536" i="6"/>
  <c r="P1536" i="6"/>
  <c r="O1536" i="6"/>
  <c r="U1536" i="6" s="1"/>
  <c r="N1536" i="6"/>
  <c r="V1535" i="6"/>
  <c r="T1535" i="6"/>
  <c r="S1535" i="6"/>
  <c r="R1535" i="6"/>
  <c r="Q1535" i="6"/>
  <c r="P1535" i="6"/>
  <c r="O1535" i="6"/>
  <c r="U1535" i="6" s="1"/>
  <c r="N1535" i="6"/>
  <c r="V1534" i="6"/>
  <c r="T1534" i="6"/>
  <c r="S1534" i="6"/>
  <c r="R1534" i="6"/>
  <c r="Q1534" i="6"/>
  <c r="P1534" i="6"/>
  <c r="O1534" i="6"/>
  <c r="U1534" i="6" s="1"/>
  <c r="N1534" i="6"/>
  <c r="V1533" i="6"/>
  <c r="T1533" i="6"/>
  <c r="S1533" i="6"/>
  <c r="R1533" i="6"/>
  <c r="Q1533" i="6"/>
  <c r="P1533" i="6"/>
  <c r="O1533" i="6"/>
  <c r="U1533" i="6" s="1"/>
  <c r="N1533" i="6"/>
  <c r="V1532" i="6"/>
  <c r="T1532" i="6"/>
  <c r="S1532" i="6"/>
  <c r="R1532" i="6"/>
  <c r="Q1532" i="6"/>
  <c r="P1532" i="6"/>
  <c r="O1532" i="6"/>
  <c r="U1532" i="6" s="1"/>
  <c r="N1532" i="6"/>
  <c r="V1531" i="6"/>
  <c r="T1531" i="6"/>
  <c r="S1531" i="6"/>
  <c r="R1531" i="6"/>
  <c r="Q1531" i="6"/>
  <c r="P1531" i="6"/>
  <c r="O1531" i="6"/>
  <c r="U1531" i="6" s="1"/>
  <c r="N1531" i="6"/>
  <c r="V1530" i="6"/>
  <c r="T1530" i="6"/>
  <c r="S1530" i="6"/>
  <c r="R1530" i="6"/>
  <c r="Q1530" i="6"/>
  <c r="P1530" i="6"/>
  <c r="O1530" i="6"/>
  <c r="U1530" i="6" s="1"/>
  <c r="N1530" i="6"/>
  <c r="V1529" i="6"/>
  <c r="T1529" i="6"/>
  <c r="S1529" i="6"/>
  <c r="R1529" i="6"/>
  <c r="Q1529" i="6"/>
  <c r="P1529" i="6"/>
  <c r="O1529" i="6"/>
  <c r="U1529" i="6" s="1"/>
  <c r="N1529" i="6"/>
  <c r="V1528" i="6"/>
  <c r="T1528" i="6"/>
  <c r="S1528" i="6"/>
  <c r="R1528" i="6"/>
  <c r="Q1528" i="6"/>
  <c r="P1528" i="6"/>
  <c r="O1528" i="6"/>
  <c r="U1528" i="6" s="1"/>
  <c r="N1528" i="6"/>
  <c r="V1527" i="6"/>
  <c r="T1527" i="6"/>
  <c r="S1527" i="6"/>
  <c r="R1527" i="6"/>
  <c r="Q1527" i="6"/>
  <c r="P1527" i="6"/>
  <c r="O1527" i="6"/>
  <c r="U1527" i="6" s="1"/>
  <c r="N1527" i="6"/>
  <c r="V1526" i="6"/>
  <c r="T1526" i="6"/>
  <c r="S1526" i="6"/>
  <c r="R1526" i="6"/>
  <c r="Q1526" i="6"/>
  <c r="P1526" i="6"/>
  <c r="O1526" i="6"/>
  <c r="U1526" i="6" s="1"/>
  <c r="N1526" i="6"/>
  <c r="V1525" i="6"/>
  <c r="T1525" i="6"/>
  <c r="S1525" i="6"/>
  <c r="R1525" i="6"/>
  <c r="Q1525" i="6"/>
  <c r="P1525" i="6"/>
  <c r="O1525" i="6"/>
  <c r="U1525" i="6" s="1"/>
  <c r="N1525" i="6"/>
  <c r="V1524" i="6"/>
  <c r="T1524" i="6"/>
  <c r="S1524" i="6"/>
  <c r="R1524" i="6"/>
  <c r="Q1524" i="6"/>
  <c r="P1524" i="6"/>
  <c r="O1524" i="6"/>
  <c r="U1524" i="6" s="1"/>
  <c r="N1524" i="6"/>
  <c r="V1523" i="6"/>
  <c r="T1523" i="6"/>
  <c r="S1523" i="6"/>
  <c r="R1523" i="6"/>
  <c r="Q1523" i="6"/>
  <c r="P1523" i="6"/>
  <c r="O1523" i="6"/>
  <c r="U1523" i="6" s="1"/>
  <c r="N1523" i="6"/>
  <c r="V1522" i="6"/>
  <c r="T1522" i="6"/>
  <c r="S1522" i="6"/>
  <c r="R1522" i="6"/>
  <c r="Q1522" i="6"/>
  <c r="P1522" i="6"/>
  <c r="O1522" i="6"/>
  <c r="U1522" i="6" s="1"/>
  <c r="N1522" i="6"/>
  <c r="V1521" i="6"/>
  <c r="T1521" i="6"/>
  <c r="S1521" i="6"/>
  <c r="R1521" i="6"/>
  <c r="Q1521" i="6"/>
  <c r="P1521" i="6"/>
  <c r="O1521" i="6"/>
  <c r="U1521" i="6" s="1"/>
  <c r="N1521" i="6"/>
  <c r="V1520" i="6"/>
  <c r="T1520" i="6"/>
  <c r="S1520" i="6"/>
  <c r="R1520" i="6"/>
  <c r="Q1520" i="6"/>
  <c r="P1520" i="6"/>
  <c r="O1520" i="6"/>
  <c r="U1520" i="6" s="1"/>
  <c r="N1520" i="6"/>
  <c r="V1519" i="6"/>
  <c r="T1519" i="6"/>
  <c r="S1519" i="6"/>
  <c r="R1519" i="6"/>
  <c r="Q1519" i="6"/>
  <c r="P1519" i="6"/>
  <c r="O1519" i="6"/>
  <c r="U1519" i="6" s="1"/>
  <c r="N1519" i="6"/>
  <c r="V1518" i="6"/>
  <c r="T1518" i="6"/>
  <c r="S1518" i="6"/>
  <c r="R1518" i="6"/>
  <c r="Q1518" i="6"/>
  <c r="P1518" i="6"/>
  <c r="O1518" i="6"/>
  <c r="U1518" i="6" s="1"/>
  <c r="N1518" i="6"/>
  <c r="V1517" i="6"/>
  <c r="T1517" i="6"/>
  <c r="S1517" i="6"/>
  <c r="R1517" i="6"/>
  <c r="Q1517" i="6"/>
  <c r="P1517" i="6"/>
  <c r="O1517" i="6"/>
  <c r="U1517" i="6" s="1"/>
  <c r="N1517" i="6"/>
  <c r="V1516" i="6"/>
  <c r="T1516" i="6"/>
  <c r="S1516" i="6"/>
  <c r="R1516" i="6"/>
  <c r="Q1516" i="6"/>
  <c r="P1516" i="6"/>
  <c r="O1516" i="6"/>
  <c r="U1516" i="6" s="1"/>
  <c r="N1516" i="6"/>
  <c r="V1515" i="6"/>
  <c r="T1515" i="6"/>
  <c r="S1515" i="6"/>
  <c r="R1515" i="6"/>
  <c r="Q1515" i="6"/>
  <c r="P1515" i="6"/>
  <c r="O1515" i="6"/>
  <c r="U1515" i="6" s="1"/>
  <c r="N1515" i="6"/>
  <c r="V1514" i="6"/>
  <c r="T1514" i="6"/>
  <c r="S1514" i="6"/>
  <c r="R1514" i="6"/>
  <c r="Q1514" i="6"/>
  <c r="P1514" i="6"/>
  <c r="O1514" i="6"/>
  <c r="U1514" i="6" s="1"/>
  <c r="N1514" i="6"/>
  <c r="V1513" i="6"/>
  <c r="T1513" i="6"/>
  <c r="S1513" i="6"/>
  <c r="R1513" i="6"/>
  <c r="Q1513" i="6"/>
  <c r="P1513" i="6"/>
  <c r="O1513" i="6"/>
  <c r="U1513" i="6" s="1"/>
  <c r="N1513" i="6"/>
  <c r="V1512" i="6"/>
  <c r="T1512" i="6"/>
  <c r="S1512" i="6"/>
  <c r="R1512" i="6"/>
  <c r="Q1512" i="6"/>
  <c r="P1512" i="6"/>
  <c r="O1512" i="6"/>
  <c r="U1512" i="6" s="1"/>
  <c r="N1512" i="6"/>
  <c r="V1511" i="6"/>
  <c r="T1511" i="6"/>
  <c r="S1511" i="6"/>
  <c r="R1511" i="6"/>
  <c r="Q1511" i="6"/>
  <c r="P1511" i="6"/>
  <c r="O1511" i="6"/>
  <c r="U1511" i="6" s="1"/>
  <c r="N1511" i="6"/>
  <c r="V1510" i="6"/>
  <c r="T1510" i="6"/>
  <c r="S1510" i="6"/>
  <c r="R1510" i="6"/>
  <c r="Q1510" i="6"/>
  <c r="P1510" i="6"/>
  <c r="O1510" i="6"/>
  <c r="U1510" i="6" s="1"/>
  <c r="N1510" i="6"/>
  <c r="V1509" i="6"/>
  <c r="T1509" i="6"/>
  <c r="S1509" i="6"/>
  <c r="R1509" i="6"/>
  <c r="Q1509" i="6"/>
  <c r="P1509" i="6"/>
  <c r="O1509" i="6"/>
  <c r="U1509" i="6" s="1"/>
  <c r="N1509" i="6"/>
  <c r="V1508" i="6"/>
  <c r="T1508" i="6"/>
  <c r="S1508" i="6"/>
  <c r="R1508" i="6"/>
  <c r="Q1508" i="6"/>
  <c r="P1508" i="6"/>
  <c r="O1508" i="6"/>
  <c r="U1508" i="6" s="1"/>
  <c r="N1508" i="6"/>
  <c r="V1507" i="6"/>
  <c r="T1507" i="6"/>
  <c r="S1507" i="6"/>
  <c r="R1507" i="6"/>
  <c r="Q1507" i="6"/>
  <c r="P1507" i="6"/>
  <c r="O1507" i="6"/>
  <c r="U1507" i="6" s="1"/>
  <c r="N1507" i="6"/>
  <c r="V1506" i="6"/>
  <c r="T1506" i="6"/>
  <c r="S1506" i="6"/>
  <c r="R1506" i="6"/>
  <c r="Q1506" i="6"/>
  <c r="P1506" i="6"/>
  <c r="O1506" i="6"/>
  <c r="U1506" i="6" s="1"/>
  <c r="N1506" i="6"/>
  <c r="V1505" i="6"/>
  <c r="T1505" i="6"/>
  <c r="S1505" i="6"/>
  <c r="R1505" i="6"/>
  <c r="Q1505" i="6"/>
  <c r="P1505" i="6"/>
  <c r="O1505" i="6"/>
  <c r="U1505" i="6" s="1"/>
  <c r="N1505" i="6"/>
  <c r="V1504" i="6"/>
  <c r="T1504" i="6"/>
  <c r="S1504" i="6"/>
  <c r="R1504" i="6"/>
  <c r="Q1504" i="6"/>
  <c r="P1504" i="6"/>
  <c r="O1504" i="6"/>
  <c r="U1504" i="6" s="1"/>
  <c r="N1504" i="6"/>
  <c r="V1503" i="6"/>
  <c r="T1503" i="6"/>
  <c r="S1503" i="6"/>
  <c r="R1503" i="6"/>
  <c r="Q1503" i="6"/>
  <c r="P1503" i="6"/>
  <c r="O1503" i="6"/>
  <c r="U1503" i="6" s="1"/>
  <c r="N1503" i="6"/>
  <c r="V1502" i="6"/>
  <c r="T1502" i="6"/>
  <c r="S1502" i="6"/>
  <c r="R1502" i="6"/>
  <c r="Q1502" i="6"/>
  <c r="P1502" i="6"/>
  <c r="O1502" i="6"/>
  <c r="U1502" i="6" s="1"/>
  <c r="N1502" i="6"/>
  <c r="V1501" i="6"/>
  <c r="T1501" i="6"/>
  <c r="S1501" i="6"/>
  <c r="R1501" i="6"/>
  <c r="Q1501" i="6"/>
  <c r="P1501" i="6"/>
  <c r="O1501" i="6"/>
  <c r="U1501" i="6" s="1"/>
  <c r="N1501" i="6"/>
  <c r="V1500" i="6"/>
  <c r="T1500" i="6"/>
  <c r="S1500" i="6"/>
  <c r="R1500" i="6"/>
  <c r="Q1500" i="6"/>
  <c r="P1500" i="6"/>
  <c r="O1500" i="6"/>
  <c r="U1500" i="6" s="1"/>
  <c r="N1500" i="6"/>
  <c r="V1499" i="6"/>
  <c r="T1499" i="6"/>
  <c r="S1499" i="6"/>
  <c r="R1499" i="6"/>
  <c r="Q1499" i="6"/>
  <c r="P1499" i="6"/>
  <c r="O1499" i="6"/>
  <c r="U1499" i="6" s="1"/>
  <c r="N1499" i="6"/>
  <c r="V1498" i="6"/>
  <c r="T1498" i="6"/>
  <c r="S1498" i="6"/>
  <c r="R1498" i="6"/>
  <c r="Q1498" i="6"/>
  <c r="P1498" i="6"/>
  <c r="O1498" i="6"/>
  <c r="U1498" i="6" s="1"/>
  <c r="N1498" i="6"/>
  <c r="V1497" i="6"/>
  <c r="T1497" i="6"/>
  <c r="S1497" i="6"/>
  <c r="R1497" i="6"/>
  <c r="Q1497" i="6"/>
  <c r="P1497" i="6"/>
  <c r="O1497" i="6"/>
  <c r="U1497" i="6" s="1"/>
  <c r="N1497" i="6"/>
  <c r="V1496" i="6"/>
  <c r="T1496" i="6"/>
  <c r="S1496" i="6"/>
  <c r="R1496" i="6"/>
  <c r="Q1496" i="6"/>
  <c r="P1496" i="6"/>
  <c r="O1496" i="6"/>
  <c r="U1496" i="6" s="1"/>
  <c r="N1496" i="6"/>
  <c r="V1495" i="6"/>
  <c r="T1495" i="6"/>
  <c r="S1495" i="6"/>
  <c r="R1495" i="6"/>
  <c r="Q1495" i="6"/>
  <c r="P1495" i="6"/>
  <c r="O1495" i="6"/>
  <c r="U1495" i="6" s="1"/>
  <c r="N1495" i="6"/>
  <c r="V1494" i="6"/>
  <c r="T1494" i="6"/>
  <c r="S1494" i="6"/>
  <c r="R1494" i="6"/>
  <c r="Q1494" i="6"/>
  <c r="P1494" i="6"/>
  <c r="O1494" i="6"/>
  <c r="U1494" i="6" s="1"/>
  <c r="N1494" i="6"/>
  <c r="V1493" i="6"/>
  <c r="T1493" i="6"/>
  <c r="S1493" i="6"/>
  <c r="R1493" i="6"/>
  <c r="Q1493" i="6"/>
  <c r="P1493" i="6"/>
  <c r="O1493" i="6"/>
  <c r="U1493" i="6" s="1"/>
  <c r="N1493" i="6"/>
  <c r="V1492" i="6"/>
  <c r="T1492" i="6"/>
  <c r="S1492" i="6"/>
  <c r="R1492" i="6"/>
  <c r="Q1492" i="6"/>
  <c r="P1492" i="6"/>
  <c r="O1492" i="6"/>
  <c r="U1492" i="6" s="1"/>
  <c r="N1492" i="6"/>
  <c r="V1491" i="6"/>
  <c r="T1491" i="6"/>
  <c r="S1491" i="6"/>
  <c r="R1491" i="6"/>
  <c r="Q1491" i="6"/>
  <c r="P1491" i="6"/>
  <c r="O1491" i="6"/>
  <c r="U1491" i="6" s="1"/>
  <c r="N1491" i="6"/>
  <c r="V1490" i="6"/>
  <c r="T1490" i="6"/>
  <c r="S1490" i="6"/>
  <c r="R1490" i="6"/>
  <c r="Q1490" i="6"/>
  <c r="P1490" i="6"/>
  <c r="O1490" i="6"/>
  <c r="U1490" i="6" s="1"/>
  <c r="N1490" i="6"/>
  <c r="V1489" i="6"/>
  <c r="T1489" i="6"/>
  <c r="S1489" i="6"/>
  <c r="R1489" i="6"/>
  <c r="Q1489" i="6"/>
  <c r="P1489" i="6"/>
  <c r="O1489" i="6"/>
  <c r="U1489" i="6" s="1"/>
  <c r="N1489" i="6"/>
  <c r="V1488" i="6"/>
  <c r="T1488" i="6"/>
  <c r="S1488" i="6"/>
  <c r="R1488" i="6"/>
  <c r="Q1488" i="6"/>
  <c r="P1488" i="6"/>
  <c r="O1488" i="6"/>
  <c r="U1488" i="6" s="1"/>
  <c r="N1488" i="6"/>
  <c r="V1487" i="6"/>
  <c r="T1487" i="6"/>
  <c r="S1487" i="6"/>
  <c r="R1487" i="6"/>
  <c r="Q1487" i="6"/>
  <c r="P1487" i="6"/>
  <c r="O1487" i="6"/>
  <c r="U1487" i="6" s="1"/>
  <c r="N1487" i="6"/>
  <c r="V1486" i="6"/>
  <c r="T1486" i="6"/>
  <c r="S1486" i="6"/>
  <c r="R1486" i="6"/>
  <c r="Q1486" i="6"/>
  <c r="P1486" i="6"/>
  <c r="O1486" i="6"/>
  <c r="U1486" i="6" s="1"/>
  <c r="N1486" i="6"/>
  <c r="V1485" i="6"/>
  <c r="T1485" i="6"/>
  <c r="S1485" i="6"/>
  <c r="R1485" i="6"/>
  <c r="Q1485" i="6"/>
  <c r="P1485" i="6"/>
  <c r="O1485" i="6"/>
  <c r="U1485" i="6" s="1"/>
  <c r="N1485" i="6"/>
  <c r="V1484" i="6"/>
  <c r="T1484" i="6"/>
  <c r="S1484" i="6"/>
  <c r="R1484" i="6"/>
  <c r="Q1484" i="6"/>
  <c r="P1484" i="6"/>
  <c r="O1484" i="6"/>
  <c r="U1484" i="6" s="1"/>
  <c r="N1484" i="6"/>
  <c r="V1483" i="6"/>
  <c r="T1483" i="6"/>
  <c r="S1483" i="6"/>
  <c r="R1483" i="6"/>
  <c r="Q1483" i="6"/>
  <c r="P1483" i="6"/>
  <c r="O1483" i="6"/>
  <c r="U1483" i="6" s="1"/>
  <c r="N1483" i="6"/>
  <c r="V1482" i="6"/>
  <c r="T1482" i="6"/>
  <c r="S1482" i="6"/>
  <c r="R1482" i="6"/>
  <c r="Q1482" i="6"/>
  <c r="P1482" i="6"/>
  <c r="O1482" i="6"/>
  <c r="U1482" i="6" s="1"/>
  <c r="N1482" i="6"/>
  <c r="V1481" i="6"/>
  <c r="T1481" i="6"/>
  <c r="S1481" i="6"/>
  <c r="R1481" i="6"/>
  <c r="Q1481" i="6"/>
  <c r="P1481" i="6"/>
  <c r="O1481" i="6"/>
  <c r="U1481" i="6" s="1"/>
  <c r="N1481" i="6"/>
  <c r="V1480" i="6"/>
  <c r="T1480" i="6"/>
  <c r="S1480" i="6"/>
  <c r="R1480" i="6"/>
  <c r="Q1480" i="6"/>
  <c r="P1480" i="6"/>
  <c r="O1480" i="6"/>
  <c r="U1480" i="6" s="1"/>
  <c r="N1480" i="6"/>
  <c r="V1479" i="6"/>
  <c r="T1479" i="6"/>
  <c r="S1479" i="6"/>
  <c r="R1479" i="6"/>
  <c r="Q1479" i="6"/>
  <c r="P1479" i="6"/>
  <c r="O1479" i="6"/>
  <c r="U1479" i="6" s="1"/>
  <c r="N1479" i="6"/>
  <c r="V1478" i="6"/>
  <c r="T1478" i="6"/>
  <c r="S1478" i="6"/>
  <c r="R1478" i="6"/>
  <c r="Q1478" i="6"/>
  <c r="P1478" i="6"/>
  <c r="O1478" i="6"/>
  <c r="U1478" i="6" s="1"/>
  <c r="N1478" i="6"/>
  <c r="V1477" i="6"/>
  <c r="T1477" i="6"/>
  <c r="S1477" i="6"/>
  <c r="R1477" i="6"/>
  <c r="Q1477" i="6"/>
  <c r="P1477" i="6"/>
  <c r="O1477" i="6"/>
  <c r="U1477" i="6" s="1"/>
  <c r="N1477" i="6"/>
  <c r="V1476" i="6"/>
  <c r="T1476" i="6"/>
  <c r="S1476" i="6"/>
  <c r="R1476" i="6"/>
  <c r="Q1476" i="6"/>
  <c r="P1476" i="6"/>
  <c r="O1476" i="6"/>
  <c r="U1476" i="6" s="1"/>
  <c r="N1476" i="6"/>
  <c r="V1475" i="6"/>
  <c r="T1475" i="6"/>
  <c r="S1475" i="6"/>
  <c r="R1475" i="6"/>
  <c r="Q1475" i="6"/>
  <c r="P1475" i="6"/>
  <c r="O1475" i="6"/>
  <c r="U1475" i="6" s="1"/>
  <c r="N1475" i="6"/>
  <c r="V1474" i="6"/>
  <c r="T1474" i="6"/>
  <c r="S1474" i="6"/>
  <c r="R1474" i="6"/>
  <c r="Q1474" i="6"/>
  <c r="P1474" i="6"/>
  <c r="O1474" i="6"/>
  <c r="U1474" i="6" s="1"/>
  <c r="N1474" i="6"/>
  <c r="V1473" i="6"/>
  <c r="T1473" i="6"/>
  <c r="S1473" i="6"/>
  <c r="R1473" i="6"/>
  <c r="Q1473" i="6"/>
  <c r="P1473" i="6"/>
  <c r="O1473" i="6"/>
  <c r="U1473" i="6" s="1"/>
  <c r="N1473" i="6"/>
  <c r="V1472" i="6"/>
  <c r="T1472" i="6"/>
  <c r="S1472" i="6"/>
  <c r="R1472" i="6"/>
  <c r="Q1472" i="6"/>
  <c r="P1472" i="6"/>
  <c r="O1472" i="6"/>
  <c r="U1472" i="6" s="1"/>
  <c r="N1472" i="6"/>
  <c r="V1471" i="6"/>
  <c r="T1471" i="6"/>
  <c r="S1471" i="6"/>
  <c r="R1471" i="6"/>
  <c r="Q1471" i="6"/>
  <c r="P1471" i="6"/>
  <c r="O1471" i="6"/>
  <c r="U1471" i="6" s="1"/>
  <c r="N1471" i="6"/>
  <c r="V1470" i="6"/>
  <c r="T1470" i="6"/>
  <c r="S1470" i="6"/>
  <c r="R1470" i="6"/>
  <c r="Q1470" i="6"/>
  <c r="P1470" i="6"/>
  <c r="O1470" i="6"/>
  <c r="U1470" i="6" s="1"/>
  <c r="N1470" i="6"/>
  <c r="V1469" i="6"/>
  <c r="T1469" i="6"/>
  <c r="S1469" i="6"/>
  <c r="R1469" i="6"/>
  <c r="Q1469" i="6"/>
  <c r="P1469" i="6"/>
  <c r="O1469" i="6"/>
  <c r="U1469" i="6" s="1"/>
  <c r="N1469" i="6"/>
  <c r="V1468" i="6"/>
  <c r="T1468" i="6"/>
  <c r="S1468" i="6"/>
  <c r="R1468" i="6"/>
  <c r="Q1468" i="6"/>
  <c r="P1468" i="6"/>
  <c r="O1468" i="6"/>
  <c r="U1468" i="6" s="1"/>
  <c r="N1468" i="6"/>
  <c r="V1467" i="6"/>
  <c r="T1467" i="6"/>
  <c r="S1467" i="6"/>
  <c r="R1467" i="6"/>
  <c r="Q1467" i="6"/>
  <c r="P1467" i="6"/>
  <c r="O1467" i="6"/>
  <c r="U1467" i="6" s="1"/>
  <c r="N1467" i="6"/>
  <c r="V1466" i="6"/>
  <c r="T1466" i="6"/>
  <c r="S1466" i="6"/>
  <c r="R1466" i="6"/>
  <c r="Q1466" i="6"/>
  <c r="P1466" i="6"/>
  <c r="O1466" i="6"/>
  <c r="U1466" i="6" s="1"/>
  <c r="N1466" i="6"/>
  <c r="V1465" i="6"/>
  <c r="T1465" i="6"/>
  <c r="S1465" i="6"/>
  <c r="R1465" i="6"/>
  <c r="Q1465" i="6"/>
  <c r="P1465" i="6"/>
  <c r="O1465" i="6"/>
  <c r="U1465" i="6" s="1"/>
  <c r="N1465" i="6"/>
  <c r="V1464" i="6"/>
  <c r="T1464" i="6"/>
  <c r="S1464" i="6"/>
  <c r="R1464" i="6"/>
  <c r="Q1464" i="6"/>
  <c r="P1464" i="6"/>
  <c r="O1464" i="6"/>
  <c r="U1464" i="6" s="1"/>
  <c r="N1464" i="6"/>
  <c r="V1463" i="6"/>
  <c r="T1463" i="6"/>
  <c r="S1463" i="6"/>
  <c r="R1463" i="6"/>
  <c r="Q1463" i="6"/>
  <c r="P1463" i="6"/>
  <c r="O1463" i="6"/>
  <c r="U1463" i="6" s="1"/>
  <c r="N1463" i="6"/>
  <c r="V1462" i="6"/>
  <c r="T1462" i="6"/>
  <c r="S1462" i="6"/>
  <c r="R1462" i="6"/>
  <c r="Q1462" i="6"/>
  <c r="P1462" i="6"/>
  <c r="O1462" i="6"/>
  <c r="U1462" i="6" s="1"/>
  <c r="N1462" i="6"/>
  <c r="V1461" i="6"/>
  <c r="T1461" i="6"/>
  <c r="S1461" i="6"/>
  <c r="R1461" i="6"/>
  <c r="Q1461" i="6"/>
  <c r="P1461" i="6"/>
  <c r="O1461" i="6"/>
  <c r="U1461" i="6" s="1"/>
  <c r="N1461" i="6"/>
  <c r="V1460" i="6"/>
  <c r="T1460" i="6"/>
  <c r="S1460" i="6"/>
  <c r="R1460" i="6"/>
  <c r="Q1460" i="6"/>
  <c r="P1460" i="6"/>
  <c r="O1460" i="6"/>
  <c r="U1460" i="6" s="1"/>
  <c r="N1460" i="6"/>
  <c r="V1459" i="6"/>
  <c r="T1459" i="6"/>
  <c r="S1459" i="6"/>
  <c r="R1459" i="6"/>
  <c r="Q1459" i="6"/>
  <c r="P1459" i="6"/>
  <c r="O1459" i="6"/>
  <c r="U1459" i="6" s="1"/>
  <c r="N1459" i="6"/>
  <c r="V1458" i="6"/>
  <c r="T1458" i="6"/>
  <c r="S1458" i="6"/>
  <c r="R1458" i="6"/>
  <c r="Q1458" i="6"/>
  <c r="P1458" i="6"/>
  <c r="O1458" i="6"/>
  <c r="U1458" i="6" s="1"/>
  <c r="N1458" i="6"/>
  <c r="V1457" i="6"/>
  <c r="T1457" i="6"/>
  <c r="S1457" i="6"/>
  <c r="R1457" i="6"/>
  <c r="Q1457" i="6"/>
  <c r="P1457" i="6"/>
  <c r="O1457" i="6"/>
  <c r="U1457" i="6" s="1"/>
  <c r="N1457" i="6"/>
  <c r="V1456" i="6"/>
  <c r="T1456" i="6"/>
  <c r="S1456" i="6"/>
  <c r="R1456" i="6"/>
  <c r="Q1456" i="6"/>
  <c r="P1456" i="6"/>
  <c r="O1456" i="6"/>
  <c r="U1456" i="6" s="1"/>
  <c r="N1456" i="6"/>
  <c r="V1455" i="6"/>
  <c r="T1455" i="6"/>
  <c r="S1455" i="6"/>
  <c r="R1455" i="6"/>
  <c r="Q1455" i="6"/>
  <c r="P1455" i="6"/>
  <c r="O1455" i="6"/>
  <c r="U1455" i="6" s="1"/>
  <c r="N1455" i="6"/>
  <c r="V1454" i="6"/>
  <c r="T1454" i="6"/>
  <c r="S1454" i="6"/>
  <c r="R1454" i="6"/>
  <c r="Q1454" i="6"/>
  <c r="P1454" i="6"/>
  <c r="O1454" i="6"/>
  <c r="U1454" i="6" s="1"/>
  <c r="N1454" i="6"/>
  <c r="V1453" i="6"/>
  <c r="T1453" i="6"/>
  <c r="S1453" i="6"/>
  <c r="R1453" i="6"/>
  <c r="Q1453" i="6"/>
  <c r="P1453" i="6"/>
  <c r="O1453" i="6"/>
  <c r="U1453" i="6" s="1"/>
  <c r="N1453" i="6"/>
  <c r="V1452" i="6"/>
  <c r="T1452" i="6"/>
  <c r="S1452" i="6"/>
  <c r="R1452" i="6"/>
  <c r="Q1452" i="6"/>
  <c r="P1452" i="6"/>
  <c r="O1452" i="6"/>
  <c r="U1452" i="6" s="1"/>
  <c r="N1452" i="6"/>
  <c r="V1451" i="6"/>
  <c r="T1451" i="6"/>
  <c r="S1451" i="6"/>
  <c r="R1451" i="6"/>
  <c r="Q1451" i="6"/>
  <c r="P1451" i="6"/>
  <c r="O1451" i="6"/>
  <c r="U1451" i="6" s="1"/>
  <c r="N1451" i="6"/>
  <c r="V1450" i="6"/>
  <c r="T1450" i="6"/>
  <c r="S1450" i="6"/>
  <c r="R1450" i="6"/>
  <c r="Q1450" i="6"/>
  <c r="P1450" i="6"/>
  <c r="O1450" i="6"/>
  <c r="U1450" i="6" s="1"/>
  <c r="N1450" i="6"/>
  <c r="V1449" i="6"/>
  <c r="T1449" i="6"/>
  <c r="S1449" i="6"/>
  <c r="R1449" i="6"/>
  <c r="Q1449" i="6"/>
  <c r="P1449" i="6"/>
  <c r="O1449" i="6"/>
  <c r="U1449" i="6" s="1"/>
  <c r="N1449" i="6"/>
  <c r="V1448" i="6"/>
  <c r="T1448" i="6"/>
  <c r="S1448" i="6"/>
  <c r="R1448" i="6"/>
  <c r="Q1448" i="6"/>
  <c r="P1448" i="6"/>
  <c r="O1448" i="6"/>
  <c r="U1448" i="6" s="1"/>
  <c r="N1448" i="6"/>
  <c r="V1447" i="6"/>
  <c r="T1447" i="6"/>
  <c r="S1447" i="6"/>
  <c r="R1447" i="6"/>
  <c r="Q1447" i="6"/>
  <c r="P1447" i="6"/>
  <c r="O1447" i="6"/>
  <c r="U1447" i="6" s="1"/>
  <c r="N1447" i="6"/>
  <c r="V1446" i="6"/>
  <c r="T1446" i="6"/>
  <c r="S1446" i="6"/>
  <c r="R1446" i="6"/>
  <c r="Q1446" i="6"/>
  <c r="P1446" i="6"/>
  <c r="O1446" i="6"/>
  <c r="U1446" i="6" s="1"/>
  <c r="N1446" i="6"/>
  <c r="V1445" i="6"/>
  <c r="T1445" i="6"/>
  <c r="S1445" i="6"/>
  <c r="R1445" i="6"/>
  <c r="Q1445" i="6"/>
  <c r="P1445" i="6"/>
  <c r="O1445" i="6"/>
  <c r="U1445" i="6" s="1"/>
  <c r="N1445" i="6"/>
  <c r="V1444" i="6"/>
  <c r="T1444" i="6"/>
  <c r="S1444" i="6"/>
  <c r="R1444" i="6"/>
  <c r="Q1444" i="6"/>
  <c r="P1444" i="6"/>
  <c r="O1444" i="6"/>
  <c r="U1444" i="6" s="1"/>
  <c r="N1444" i="6"/>
  <c r="V1443" i="6"/>
  <c r="T1443" i="6"/>
  <c r="S1443" i="6"/>
  <c r="R1443" i="6"/>
  <c r="Q1443" i="6"/>
  <c r="P1443" i="6"/>
  <c r="O1443" i="6"/>
  <c r="U1443" i="6" s="1"/>
  <c r="N1443" i="6"/>
  <c r="V1442" i="6"/>
  <c r="T1442" i="6"/>
  <c r="S1442" i="6"/>
  <c r="R1442" i="6"/>
  <c r="Q1442" i="6"/>
  <c r="P1442" i="6"/>
  <c r="O1442" i="6"/>
  <c r="U1442" i="6" s="1"/>
  <c r="N1442" i="6"/>
  <c r="V1441" i="6"/>
  <c r="T1441" i="6"/>
  <c r="S1441" i="6"/>
  <c r="R1441" i="6"/>
  <c r="Q1441" i="6"/>
  <c r="P1441" i="6"/>
  <c r="O1441" i="6"/>
  <c r="U1441" i="6" s="1"/>
  <c r="N1441" i="6"/>
  <c r="V1440" i="6"/>
  <c r="T1440" i="6"/>
  <c r="S1440" i="6"/>
  <c r="R1440" i="6"/>
  <c r="Q1440" i="6"/>
  <c r="P1440" i="6"/>
  <c r="O1440" i="6"/>
  <c r="U1440" i="6" s="1"/>
  <c r="N1440" i="6"/>
  <c r="V1439" i="6"/>
  <c r="T1439" i="6"/>
  <c r="S1439" i="6"/>
  <c r="R1439" i="6"/>
  <c r="Q1439" i="6"/>
  <c r="P1439" i="6"/>
  <c r="O1439" i="6"/>
  <c r="U1439" i="6" s="1"/>
  <c r="N1439" i="6"/>
  <c r="V1438" i="6"/>
  <c r="T1438" i="6"/>
  <c r="S1438" i="6"/>
  <c r="R1438" i="6"/>
  <c r="Q1438" i="6"/>
  <c r="P1438" i="6"/>
  <c r="O1438" i="6"/>
  <c r="U1438" i="6" s="1"/>
  <c r="N1438" i="6"/>
  <c r="V1437" i="6"/>
  <c r="T1437" i="6"/>
  <c r="S1437" i="6"/>
  <c r="R1437" i="6"/>
  <c r="Q1437" i="6"/>
  <c r="P1437" i="6"/>
  <c r="O1437" i="6"/>
  <c r="U1437" i="6" s="1"/>
  <c r="N1437" i="6"/>
  <c r="V1436" i="6"/>
  <c r="T1436" i="6"/>
  <c r="S1436" i="6"/>
  <c r="R1436" i="6"/>
  <c r="Q1436" i="6"/>
  <c r="P1436" i="6"/>
  <c r="O1436" i="6"/>
  <c r="U1436" i="6" s="1"/>
  <c r="N1436" i="6"/>
  <c r="V1435" i="6"/>
  <c r="T1435" i="6"/>
  <c r="S1435" i="6"/>
  <c r="R1435" i="6"/>
  <c r="Q1435" i="6"/>
  <c r="P1435" i="6"/>
  <c r="O1435" i="6"/>
  <c r="U1435" i="6" s="1"/>
  <c r="N1435" i="6"/>
  <c r="V1434" i="6"/>
  <c r="T1434" i="6"/>
  <c r="S1434" i="6"/>
  <c r="R1434" i="6"/>
  <c r="Q1434" i="6"/>
  <c r="P1434" i="6"/>
  <c r="O1434" i="6"/>
  <c r="U1434" i="6" s="1"/>
  <c r="N1434" i="6"/>
  <c r="V1433" i="6"/>
  <c r="T1433" i="6"/>
  <c r="S1433" i="6"/>
  <c r="R1433" i="6"/>
  <c r="Q1433" i="6"/>
  <c r="P1433" i="6"/>
  <c r="O1433" i="6"/>
  <c r="U1433" i="6" s="1"/>
  <c r="N1433" i="6"/>
  <c r="V1432" i="6"/>
  <c r="T1432" i="6"/>
  <c r="S1432" i="6"/>
  <c r="R1432" i="6"/>
  <c r="Q1432" i="6"/>
  <c r="P1432" i="6"/>
  <c r="O1432" i="6"/>
  <c r="U1432" i="6" s="1"/>
  <c r="N1432" i="6"/>
  <c r="V1431" i="6"/>
  <c r="T1431" i="6"/>
  <c r="S1431" i="6"/>
  <c r="R1431" i="6"/>
  <c r="Q1431" i="6"/>
  <c r="P1431" i="6"/>
  <c r="O1431" i="6"/>
  <c r="U1431" i="6" s="1"/>
  <c r="N1431" i="6"/>
  <c r="V1430" i="6"/>
  <c r="T1430" i="6"/>
  <c r="S1430" i="6"/>
  <c r="R1430" i="6"/>
  <c r="Q1430" i="6"/>
  <c r="P1430" i="6"/>
  <c r="O1430" i="6"/>
  <c r="U1430" i="6" s="1"/>
  <c r="N1430" i="6"/>
  <c r="V1429" i="6"/>
  <c r="T1429" i="6"/>
  <c r="S1429" i="6"/>
  <c r="R1429" i="6"/>
  <c r="Q1429" i="6"/>
  <c r="P1429" i="6"/>
  <c r="O1429" i="6"/>
  <c r="U1429" i="6" s="1"/>
  <c r="N1429" i="6"/>
  <c r="V1428" i="6"/>
  <c r="T1428" i="6"/>
  <c r="S1428" i="6"/>
  <c r="R1428" i="6"/>
  <c r="Q1428" i="6"/>
  <c r="P1428" i="6"/>
  <c r="O1428" i="6"/>
  <c r="U1428" i="6" s="1"/>
  <c r="N1428" i="6"/>
  <c r="V1427" i="6"/>
  <c r="T1427" i="6"/>
  <c r="S1427" i="6"/>
  <c r="R1427" i="6"/>
  <c r="Q1427" i="6"/>
  <c r="P1427" i="6"/>
  <c r="O1427" i="6"/>
  <c r="U1427" i="6" s="1"/>
  <c r="N1427" i="6"/>
  <c r="V1426" i="6"/>
  <c r="T1426" i="6"/>
  <c r="S1426" i="6"/>
  <c r="R1426" i="6"/>
  <c r="Q1426" i="6"/>
  <c r="P1426" i="6"/>
  <c r="O1426" i="6"/>
  <c r="U1426" i="6" s="1"/>
  <c r="N1426" i="6"/>
  <c r="V1425" i="6"/>
  <c r="T1425" i="6"/>
  <c r="S1425" i="6"/>
  <c r="R1425" i="6"/>
  <c r="Q1425" i="6"/>
  <c r="P1425" i="6"/>
  <c r="O1425" i="6"/>
  <c r="U1425" i="6" s="1"/>
  <c r="N1425" i="6"/>
  <c r="V1424" i="6"/>
  <c r="T1424" i="6"/>
  <c r="S1424" i="6"/>
  <c r="R1424" i="6"/>
  <c r="Q1424" i="6"/>
  <c r="P1424" i="6"/>
  <c r="O1424" i="6"/>
  <c r="U1424" i="6" s="1"/>
  <c r="N1424" i="6"/>
  <c r="V1423" i="6"/>
  <c r="T1423" i="6"/>
  <c r="S1423" i="6"/>
  <c r="R1423" i="6"/>
  <c r="Q1423" i="6"/>
  <c r="P1423" i="6"/>
  <c r="O1423" i="6"/>
  <c r="U1423" i="6" s="1"/>
  <c r="N1423" i="6"/>
  <c r="V1422" i="6"/>
  <c r="T1422" i="6"/>
  <c r="S1422" i="6"/>
  <c r="R1422" i="6"/>
  <c r="Q1422" i="6"/>
  <c r="P1422" i="6"/>
  <c r="O1422" i="6"/>
  <c r="U1422" i="6" s="1"/>
  <c r="N1422" i="6"/>
  <c r="V1421" i="6"/>
  <c r="T1421" i="6"/>
  <c r="S1421" i="6"/>
  <c r="R1421" i="6"/>
  <c r="Q1421" i="6"/>
  <c r="P1421" i="6"/>
  <c r="O1421" i="6"/>
  <c r="U1421" i="6" s="1"/>
  <c r="N1421" i="6"/>
  <c r="V1420" i="6"/>
  <c r="T1420" i="6"/>
  <c r="S1420" i="6"/>
  <c r="R1420" i="6"/>
  <c r="Q1420" i="6"/>
  <c r="P1420" i="6"/>
  <c r="O1420" i="6"/>
  <c r="U1420" i="6" s="1"/>
  <c r="N1420" i="6"/>
  <c r="V1419" i="6"/>
  <c r="T1419" i="6"/>
  <c r="S1419" i="6"/>
  <c r="R1419" i="6"/>
  <c r="Q1419" i="6"/>
  <c r="P1419" i="6"/>
  <c r="O1419" i="6"/>
  <c r="U1419" i="6" s="1"/>
  <c r="N1419" i="6"/>
  <c r="V1418" i="6"/>
  <c r="T1418" i="6"/>
  <c r="S1418" i="6"/>
  <c r="R1418" i="6"/>
  <c r="Q1418" i="6"/>
  <c r="P1418" i="6"/>
  <c r="O1418" i="6"/>
  <c r="U1418" i="6" s="1"/>
  <c r="N1418" i="6"/>
  <c r="V1417" i="6"/>
  <c r="T1417" i="6"/>
  <c r="S1417" i="6"/>
  <c r="R1417" i="6"/>
  <c r="Q1417" i="6"/>
  <c r="P1417" i="6"/>
  <c r="O1417" i="6"/>
  <c r="U1417" i="6" s="1"/>
  <c r="N1417" i="6"/>
  <c r="V1416" i="6"/>
  <c r="T1416" i="6"/>
  <c r="S1416" i="6"/>
  <c r="R1416" i="6"/>
  <c r="Q1416" i="6"/>
  <c r="P1416" i="6"/>
  <c r="O1416" i="6"/>
  <c r="U1416" i="6" s="1"/>
  <c r="N1416" i="6"/>
  <c r="V1415" i="6"/>
  <c r="T1415" i="6"/>
  <c r="S1415" i="6"/>
  <c r="R1415" i="6"/>
  <c r="Q1415" i="6"/>
  <c r="P1415" i="6"/>
  <c r="O1415" i="6"/>
  <c r="U1415" i="6" s="1"/>
  <c r="N1415" i="6"/>
  <c r="V1414" i="6"/>
  <c r="T1414" i="6"/>
  <c r="S1414" i="6"/>
  <c r="R1414" i="6"/>
  <c r="Q1414" i="6"/>
  <c r="P1414" i="6"/>
  <c r="O1414" i="6"/>
  <c r="U1414" i="6" s="1"/>
  <c r="N1414" i="6"/>
  <c r="V1413" i="6"/>
  <c r="T1413" i="6"/>
  <c r="S1413" i="6"/>
  <c r="R1413" i="6"/>
  <c r="Q1413" i="6"/>
  <c r="P1413" i="6"/>
  <c r="O1413" i="6"/>
  <c r="U1413" i="6" s="1"/>
  <c r="N1413" i="6"/>
  <c r="V1412" i="6"/>
  <c r="T1412" i="6"/>
  <c r="S1412" i="6"/>
  <c r="R1412" i="6"/>
  <c r="Q1412" i="6"/>
  <c r="P1412" i="6"/>
  <c r="O1412" i="6"/>
  <c r="U1412" i="6" s="1"/>
  <c r="N1412" i="6"/>
  <c r="V1411" i="6"/>
  <c r="T1411" i="6"/>
  <c r="S1411" i="6"/>
  <c r="R1411" i="6"/>
  <c r="Q1411" i="6"/>
  <c r="P1411" i="6"/>
  <c r="O1411" i="6"/>
  <c r="U1411" i="6" s="1"/>
  <c r="N1411" i="6"/>
  <c r="V1410" i="6"/>
  <c r="T1410" i="6"/>
  <c r="S1410" i="6"/>
  <c r="R1410" i="6"/>
  <c r="Q1410" i="6"/>
  <c r="P1410" i="6"/>
  <c r="O1410" i="6"/>
  <c r="U1410" i="6" s="1"/>
  <c r="N1410" i="6"/>
  <c r="V1409" i="6"/>
  <c r="T1409" i="6"/>
  <c r="S1409" i="6"/>
  <c r="R1409" i="6"/>
  <c r="Q1409" i="6"/>
  <c r="P1409" i="6"/>
  <c r="O1409" i="6"/>
  <c r="U1409" i="6" s="1"/>
  <c r="N1409" i="6"/>
  <c r="V1408" i="6"/>
  <c r="T1408" i="6"/>
  <c r="S1408" i="6"/>
  <c r="R1408" i="6"/>
  <c r="Q1408" i="6"/>
  <c r="P1408" i="6"/>
  <c r="O1408" i="6"/>
  <c r="U1408" i="6" s="1"/>
  <c r="N1408" i="6"/>
  <c r="V1407" i="6"/>
  <c r="T1407" i="6"/>
  <c r="S1407" i="6"/>
  <c r="R1407" i="6"/>
  <c r="Q1407" i="6"/>
  <c r="P1407" i="6"/>
  <c r="O1407" i="6"/>
  <c r="U1407" i="6" s="1"/>
  <c r="N1407" i="6"/>
  <c r="V1406" i="6"/>
  <c r="T1406" i="6"/>
  <c r="S1406" i="6"/>
  <c r="R1406" i="6"/>
  <c r="Q1406" i="6"/>
  <c r="P1406" i="6"/>
  <c r="O1406" i="6"/>
  <c r="U1406" i="6" s="1"/>
  <c r="N1406" i="6"/>
  <c r="V1405" i="6"/>
  <c r="T1405" i="6"/>
  <c r="S1405" i="6"/>
  <c r="R1405" i="6"/>
  <c r="Q1405" i="6"/>
  <c r="P1405" i="6"/>
  <c r="O1405" i="6"/>
  <c r="U1405" i="6" s="1"/>
  <c r="N1405" i="6"/>
  <c r="V1404" i="6"/>
  <c r="T1404" i="6"/>
  <c r="S1404" i="6"/>
  <c r="R1404" i="6"/>
  <c r="Q1404" i="6"/>
  <c r="P1404" i="6"/>
  <c r="O1404" i="6"/>
  <c r="U1404" i="6" s="1"/>
  <c r="N1404" i="6"/>
  <c r="V1403" i="6"/>
  <c r="T1403" i="6"/>
  <c r="S1403" i="6"/>
  <c r="R1403" i="6"/>
  <c r="Q1403" i="6"/>
  <c r="P1403" i="6"/>
  <c r="O1403" i="6"/>
  <c r="U1403" i="6" s="1"/>
  <c r="N1403" i="6"/>
  <c r="V1402" i="6"/>
  <c r="T1402" i="6"/>
  <c r="S1402" i="6"/>
  <c r="R1402" i="6"/>
  <c r="Q1402" i="6"/>
  <c r="P1402" i="6"/>
  <c r="O1402" i="6"/>
  <c r="U1402" i="6" s="1"/>
  <c r="N1402" i="6"/>
  <c r="V1401" i="6"/>
  <c r="T1401" i="6"/>
  <c r="S1401" i="6"/>
  <c r="R1401" i="6"/>
  <c r="Q1401" i="6"/>
  <c r="P1401" i="6"/>
  <c r="O1401" i="6"/>
  <c r="U1401" i="6" s="1"/>
  <c r="N1401" i="6"/>
  <c r="V1400" i="6"/>
  <c r="T1400" i="6"/>
  <c r="S1400" i="6"/>
  <c r="R1400" i="6"/>
  <c r="Q1400" i="6"/>
  <c r="P1400" i="6"/>
  <c r="O1400" i="6"/>
  <c r="U1400" i="6" s="1"/>
  <c r="N1400" i="6"/>
  <c r="V1399" i="6"/>
  <c r="T1399" i="6"/>
  <c r="S1399" i="6"/>
  <c r="R1399" i="6"/>
  <c r="Q1399" i="6"/>
  <c r="P1399" i="6"/>
  <c r="O1399" i="6"/>
  <c r="U1399" i="6" s="1"/>
  <c r="N1399" i="6"/>
  <c r="V1398" i="6"/>
  <c r="T1398" i="6"/>
  <c r="S1398" i="6"/>
  <c r="R1398" i="6"/>
  <c r="Q1398" i="6"/>
  <c r="P1398" i="6"/>
  <c r="O1398" i="6"/>
  <c r="U1398" i="6" s="1"/>
  <c r="N1398" i="6"/>
  <c r="V1397" i="6"/>
  <c r="T1397" i="6"/>
  <c r="S1397" i="6"/>
  <c r="R1397" i="6"/>
  <c r="Q1397" i="6"/>
  <c r="P1397" i="6"/>
  <c r="O1397" i="6"/>
  <c r="U1397" i="6" s="1"/>
  <c r="N1397" i="6"/>
  <c r="V1396" i="6"/>
  <c r="T1396" i="6"/>
  <c r="S1396" i="6"/>
  <c r="R1396" i="6"/>
  <c r="Q1396" i="6"/>
  <c r="P1396" i="6"/>
  <c r="O1396" i="6"/>
  <c r="U1396" i="6" s="1"/>
  <c r="N1396" i="6"/>
  <c r="V1395" i="6"/>
  <c r="T1395" i="6"/>
  <c r="S1395" i="6"/>
  <c r="R1395" i="6"/>
  <c r="Q1395" i="6"/>
  <c r="P1395" i="6"/>
  <c r="O1395" i="6"/>
  <c r="U1395" i="6" s="1"/>
  <c r="N1395" i="6"/>
  <c r="V1394" i="6"/>
  <c r="T1394" i="6"/>
  <c r="S1394" i="6"/>
  <c r="R1394" i="6"/>
  <c r="Q1394" i="6"/>
  <c r="P1394" i="6"/>
  <c r="O1394" i="6"/>
  <c r="U1394" i="6" s="1"/>
  <c r="N1394" i="6"/>
  <c r="V1393" i="6"/>
  <c r="T1393" i="6"/>
  <c r="S1393" i="6"/>
  <c r="R1393" i="6"/>
  <c r="Q1393" i="6"/>
  <c r="P1393" i="6"/>
  <c r="O1393" i="6"/>
  <c r="U1393" i="6" s="1"/>
  <c r="N1393" i="6"/>
  <c r="V1392" i="6"/>
  <c r="T1392" i="6"/>
  <c r="S1392" i="6"/>
  <c r="R1392" i="6"/>
  <c r="Q1392" i="6"/>
  <c r="P1392" i="6"/>
  <c r="O1392" i="6"/>
  <c r="U1392" i="6" s="1"/>
  <c r="N1392" i="6"/>
  <c r="V1391" i="6"/>
  <c r="T1391" i="6"/>
  <c r="S1391" i="6"/>
  <c r="R1391" i="6"/>
  <c r="Q1391" i="6"/>
  <c r="P1391" i="6"/>
  <c r="O1391" i="6"/>
  <c r="U1391" i="6" s="1"/>
  <c r="N1391" i="6"/>
  <c r="V1390" i="6"/>
  <c r="T1390" i="6"/>
  <c r="S1390" i="6"/>
  <c r="R1390" i="6"/>
  <c r="Q1390" i="6"/>
  <c r="P1390" i="6"/>
  <c r="O1390" i="6"/>
  <c r="U1390" i="6" s="1"/>
  <c r="N1390" i="6"/>
  <c r="V1389" i="6"/>
  <c r="T1389" i="6"/>
  <c r="S1389" i="6"/>
  <c r="R1389" i="6"/>
  <c r="Q1389" i="6"/>
  <c r="P1389" i="6"/>
  <c r="O1389" i="6"/>
  <c r="U1389" i="6" s="1"/>
  <c r="N1389" i="6"/>
  <c r="V1388" i="6"/>
  <c r="T1388" i="6"/>
  <c r="S1388" i="6"/>
  <c r="R1388" i="6"/>
  <c r="Q1388" i="6"/>
  <c r="P1388" i="6"/>
  <c r="O1388" i="6"/>
  <c r="U1388" i="6" s="1"/>
  <c r="N1388" i="6"/>
  <c r="V1387" i="6"/>
  <c r="T1387" i="6"/>
  <c r="S1387" i="6"/>
  <c r="R1387" i="6"/>
  <c r="Q1387" i="6"/>
  <c r="P1387" i="6"/>
  <c r="O1387" i="6"/>
  <c r="U1387" i="6" s="1"/>
  <c r="N1387" i="6"/>
  <c r="V1386" i="6"/>
  <c r="T1386" i="6"/>
  <c r="S1386" i="6"/>
  <c r="R1386" i="6"/>
  <c r="Q1386" i="6"/>
  <c r="P1386" i="6"/>
  <c r="O1386" i="6"/>
  <c r="U1386" i="6" s="1"/>
  <c r="N1386" i="6"/>
  <c r="V1385" i="6"/>
  <c r="T1385" i="6"/>
  <c r="S1385" i="6"/>
  <c r="R1385" i="6"/>
  <c r="Q1385" i="6"/>
  <c r="P1385" i="6"/>
  <c r="O1385" i="6"/>
  <c r="U1385" i="6" s="1"/>
  <c r="N1385" i="6"/>
  <c r="V1384" i="6"/>
  <c r="T1384" i="6"/>
  <c r="S1384" i="6"/>
  <c r="R1384" i="6"/>
  <c r="Q1384" i="6"/>
  <c r="P1384" i="6"/>
  <c r="O1384" i="6"/>
  <c r="U1384" i="6" s="1"/>
  <c r="N1384" i="6"/>
  <c r="V1383" i="6"/>
  <c r="T1383" i="6"/>
  <c r="S1383" i="6"/>
  <c r="R1383" i="6"/>
  <c r="Q1383" i="6"/>
  <c r="P1383" i="6"/>
  <c r="O1383" i="6"/>
  <c r="U1383" i="6" s="1"/>
  <c r="N1383" i="6"/>
  <c r="V1382" i="6"/>
  <c r="T1382" i="6"/>
  <c r="S1382" i="6"/>
  <c r="R1382" i="6"/>
  <c r="Q1382" i="6"/>
  <c r="P1382" i="6"/>
  <c r="O1382" i="6"/>
  <c r="U1382" i="6" s="1"/>
  <c r="N1382" i="6"/>
  <c r="V1381" i="6"/>
  <c r="T1381" i="6"/>
  <c r="S1381" i="6"/>
  <c r="R1381" i="6"/>
  <c r="Q1381" i="6"/>
  <c r="P1381" i="6"/>
  <c r="O1381" i="6"/>
  <c r="U1381" i="6" s="1"/>
  <c r="N1381" i="6"/>
  <c r="V1380" i="6"/>
  <c r="T1380" i="6"/>
  <c r="S1380" i="6"/>
  <c r="R1380" i="6"/>
  <c r="Q1380" i="6"/>
  <c r="P1380" i="6"/>
  <c r="O1380" i="6"/>
  <c r="U1380" i="6" s="1"/>
  <c r="N1380" i="6"/>
  <c r="V1379" i="6"/>
  <c r="T1379" i="6"/>
  <c r="S1379" i="6"/>
  <c r="R1379" i="6"/>
  <c r="Q1379" i="6"/>
  <c r="P1379" i="6"/>
  <c r="O1379" i="6"/>
  <c r="U1379" i="6" s="1"/>
  <c r="N1379" i="6"/>
  <c r="V1378" i="6"/>
  <c r="T1378" i="6"/>
  <c r="S1378" i="6"/>
  <c r="R1378" i="6"/>
  <c r="Q1378" i="6"/>
  <c r="P1378" i="6"/>
  <c r="O1378" i="6"/>
  <c r="U1378" i="6" s="1"/>
  <c r="N1378" i="6"/>
  <c r="V1377" i="6"/>
  <c r="T1377" i="6"/>
  <c r="S1377" i="6"/>
  <c r="R1377" i="6"/>
  <c r="Q1377" i="6"/>
  <c r="P1377" i="6"/>
  <c r="O1377" i="6"/>
  <c r="U1377" i="6" s="1"/>
  <c r="N1377" i="6"/>
  <c r="V1376" i="6"/>
  <c r="T1376" i="6"/>
  <c r="S1376" i="6"/>
  <c r="R1376" i="6"/>
  <c r="Q1376" i="6"/>
  <c r="P1376" i="6"/>
  <c r="O1376" i="6"/>
  <c r="U1376" i="6" s="1"/>
  <c r="N1376" i="6"/>
  <c r="V1375" i="6"/>
  <c r="T1375" i="6"/>
  <c r="S1375" i="6"/>
  <c r="R1375" i="6"/>
  <c r="Q1375" i="6"/>
  <c r="P1375" i="6"/>
  <c r="O1375" i="6"/>
  <c r="U1375" i="6" s="1"/>
  <c r="N1375" i="6"/>
  <c r="V1374" i="6"/>
  <c r="T1374" i="6"/>
  <c r="S1374" i="6"/>
  <c r="R1374" i="6"/>
  <c r="Q1374" i="6"/>
  <c r="P1374" i="6"/>
  <c r="O1374" i="6"/>
  <c r="U1374" i="6" s="1"/>
  <c r="N1374" i="6"/>
  <c r="V1373" i="6"/>
  <c r="T1373" i="6"/>
  <c r="S1373" i="6"/>
  <c r="R1373" i="6"/>
  <c r="Q1373" i="6"/>
  <c r="P1373" i="6"/>
  <c r="O1373" i="6"/>
  <c r="U1373" i="6" s="1"/>
  <c r="N1373" i="6"/>
  <c r="V1372" i="6"/>
  <c r="T1372" i="6"/>
  <c r="S1372" i="6"/>
  <c r="R1372" i="6"/>
  <c r="Q1372" i="6"/>
  <c r="P1372" i="6"/>
  <c r="O1372" i="6"/>
  <c r="U1372" i="6" s="1"/>
  <c r="N1372" i="6"/>
  <c r="V1371" i="6"/>
  <c r="T1371" i="6"/>
  <c r="S1371" i="6"/>
  <c r="R1371" i="6"/>
  <c r="Q1371" i="6"/>
  <c r="P1371" i="6"/>
  <c r="O1371" i="6"/>
  <c r="U1371" i="6" s="1"/>
  <c r="N1371" i="6"/>
  <c r="V1370" i="6"/>
  <c r="T1370" i="6"/>
  <c r="S1370" i="6"/>
  <c r="R1370" i="6"/>
  <c r="Q1370" i="6"/>
  <c r="P1370" i="6"/>
  <c r="O1370" i="6"/>
  <c r="U1370" i="6" s="1"/>
  <c r="N1370" i="6"/>
  <c r="V1369" i="6"/>
  <c r="T1369" i="6"/>
  <c r="S1369" i="6"/>
  <c r="R1369" i="6"/>
  <c r="Q1369" i="6"/>
  <c r="P1369" i="6"/>
  <c r="O1369" i="6"/>
  <c r="U1369" i="6" s="1"/>
  <c r="N1369" i="6"/>
  <c r="V1368" i="6"/>
  <c r="T1368" i="6"/>
  <c r="S1368" i="6"/>
  <c r="R1368" i="6"/>
  <c r="Q1368" i="6"/>
  <c r="P1368" i="6"/>
  <c r="O1368" i="6"/>
  <c r="U1368" i="6" s="1"/>
  <c r="N1368" i="6"/>
  <c r="V1367" i="6"/>
  <c r="T1367" i="6"/>
  <c r="S1367" i="6"/>
  <c r="R1367" i="6"/>
  <c r="Q1367" i="6"/>
  <c r="P1367" i="6"/>
  <c r="O1367" i="6"/>
  <c r="U1367" i="6" s="1"/>
  <c r="N1367" i="6"/>
  <c r="V1366" i="6"/>
  <c r="T1366" i="6"/>
  <c r="S1366" i="6"/>
  <c r="R1366" i="6"/>
  <c r="Q1366" i="6"/>
  <c r="P1366" i="6"/>
  <c r="O1366" i="6"/>
  <c r="U1366" i="6" s="1"/>
  <c r="N1366" i="6"/>
  <c r="V1365" i="6"/>
  <c r="T1365" i="6"/>
  <c r="S1365" i="6"/>
  <c r="R1365" i="6"/>
  <c r="Q1365" i="6"/>
  <c r="P1365" i="6"/>
  <c r="O1365" i="6"/>
  <c r="U1365" i="6" s="1"/>
  <c r="N1365" i="6"/>
  <c r="V1364" i="6"/>
  <c r="T1364" i="6"/>
  <c r="S1364" i="6"/>
  <c r="R1364" i="6"/>
  <c r="Q1364" i="6"/>
  <c r="P1364" i="6"/>
  <c r="O1364" i="6"/>
  <c r="U1364" i="6" s="1"/>
  <c r="N1364" i="6"/>
  <c r="V1363" i="6"/>
  <c r="T1363" i="6"/>
  <c r="S1363" i="6"/>
  <c r="R1363" i="6"/>
  <c r="Q1363" i="6"/>
  <c r="P1363" i="6"/>
  <c r="O1363" i="6"/>
  <c r="U1363" i="6" s="1"/>
  <c r="N1363" i="6"/>
  <c r="V1362" i="6"/>
  <c r="T1362" i="6"/>
  <c r="S1362" i="6"/>
  <c r="R1362" i="6"/>
  <c r="Q1362" i="6"/>
  <c r="P1362" i="6"/>
  <c r="O1362" i="6"/>
  <c r="U1362" i="6" s="1"/>
  <c r="N1362" i="6"/>
  <c r="V1361" i="6"/>
  <c r="T1361" i="6"/>
  <c r="S1361" i="6"/>
  <c r="R1361" i="6"/>
  <c r="Q1361" i="6"/>
  <c r="P1361" i="6"/>
  <c r="O1361" i="6"/>
  <c r="U1361" i="6" s="1"/>
  <c r="N1361" i="6"/>
  <c r="V1360" i="6"/>
  <c r="T1360" i="6"/>
  <c r="S1360" i="6"/>
  <c r="R1360" i="6"/>
  <c r="Q1360" i="6"/>
  <c r="P1360" i="6"/>
  <c r="O1360" i="6"/>
  <c r="U1360" i="6" s="1"/>
  <c r="N1360" i="6"/>
  <c r="V1359" i="6"/>
  <c r="T1359" i="6"/>
  <c r="S1359" i="6"/>
  <c r="R1359" i="6"/>
  <c r="Q1359" i="6"/>
  <c r="P1359" i="6"/>
  <c r="O1359" i="6"/>
  <c r="U1359" i="6" s="1"/>
  <c r="N1359" i="6"/>
  <c r="V1358" i="6"/>
  <c r="T1358" i="6"/>
  <c r="S1358" i="6"/>
  <c r="R1358" i="6"/>
  <c r="Q1358" i="6"/>
  <c r="P1358" i="6"/>
  <c r="O1358" i="6"/>
  <c r="U1358" i="6" s="1"/>
  <c r="N1358" i="6"/>
  <c r="V1357" i="6"/>
  <c r="T1357" i="6"/>
  <c r="S1357" i="6"/>
  <c r="R1357" i="6"/>
  <c r="Q1357" i="6"/>
  <c r="P1357" i="6"/>
  <c r="O1357" i="6"/>
  <c r="U1357" i="6" s="1"/>
  <c r="N1357" i="6"/>
  <c r="V1356" i="6"/>
  <c r="T1356" i="6"/>
  <c r="S1356" i="6"/>
  <c r="R1356" i="6"/>
  <c r="Q1356" i="6"/>
  <c r="P1356" i="6"/>
  <c r="O1356" i="6"/>
  <c r="U1356" i="6" s="1"/>
  <c r="N1356" i="6"/>
  <c r="V1355" i="6"/>
  <c r="T1355" i="6"/>
  <c r="S1355" i="6"/>
  <c r="R1355" i="6"/>
  <c r="Q1355" i="6"/>
  <c r="P1355" i="6"/>
  <c r="O1355" i="6"/>
  <c r="U1355" i="6" s="1"/>
  <c r="N1355" i="6"/>
  <c r="V1354" i="6"/>
  <c r="T1354" i="6"/>
  <c r="S1354" i="6"/>
  <c r="R1354" i="6"/>
  <c r="Q1354" i="6"/>
  <c r="P1354" i="6"/>
  <c r="O1354" i="6"/>
  <c r="U1354" i="6" s="1"/>
  <c r="N1354" i="6"/>
  <c r="V1353" i="6"/>
  <c r="T1353" i="6"/>
  <c r="S1353" i="6"/>
  <c r="R1353" i="6"/>
  <c r="Q1353" i="6"/>
  <c r="P1353" i="6"/>
  <c r="O1353" i="6"/>
  <c r="U1353" i="6" s="1"/>
  <c r="N1353" i="6"/>
  <c r="V1352" i="6"/>
  <c r="T1352" i="6"/>
  <c r="S1352" i="6"/>
  <c r="R1352" i="6"/>
  <c r="Q1352" i="6"/>
  <c r="P1352" i="6"/>
  <c r="O1352" i="6"/>
  <c r="U1352" i="6" s="1"/>
  <c r="N1352" i="6"/>
  <c r="V1351" i="6"/>
  <c r="T1351" i="6"/>
  <c r="S1351" i="6"/>
  <c r="R1351" i="6"/>
  <c r="Q1351" i="6"/>
  <c r="P1351" i="6"/>
  <c r="O1351" i="6"/>
  <c r="U1351" i="6" s="1"/>
  <c r="N1351" i="6"/>
  <c r="V1350" i="6"/>
  <c r="T1350" i="6"/>
  <c r="S1350" i="6"/>
  <c r="R1350" i="6"/>
  <c r="Q1350" i="6"/>
  <c r="P1350" i="6"/>
  <c r="O1350" i="6"/>
  <c r="U1350" i="6" s="1"/>
  <c r="N1350" i="6"/>
  <c r="V1349" i="6"/>
  <c r="T1349" i="6"/>
  <c r="S1349" i="6"/>
  <c r="R1349" i="6"/>
  <c r="Q1349" i="6"/>
  <c r="P1349" i="6"/>
  <c r="O1349" i="6"/>
  <c r="U1349" i="6" s="1"/>
  <c r="N1349" i="6"/>
  <c r="V1348" i="6"/>
  <c r="T1348" i="6"/>
  <c r="S1348" i="6"/>
  <c r="R1348" i="6"/>
  <c r="Q1348" i="6"/>
  <c r="P1348" i="6"/>
  <c r="O1348" i="6"/>
  <c r="U1348" i="6" s="1"/>
  <c r="N1348" i="6"/>
  <c r="V1347" i="6"/>
  <c r="T1347" i="6"/>
  <c r="S1347" i="6"/>
  <c r="R1347" i="6"/>
  <c r="Q1347" i="6"/>
  <c r="P1347" i="6"/>
  <c r="O1347" i="6"/>
  <c r="U1347" i="6" s="1"/>
  <c r="N1347" i="6"/>
  <c r="V1346" i="6"/>
  <c r="T1346" i="6"/>
  <c r="S1346" i="6"/>
  <c r="R1346" i="6"/>
  <c r="Q1346" i="6"/>
  <c r="P1346" i="6"/>
  <c r="O1346" i="6"/>
  <c r="U1346" i="6" s="1"/>
  <c r="N1346" i="6"/>
  <c r="V1345" i="6"/>
  <c r="T1345" i="6"/>
  <c r="S1345" i="6"/>
  <c r="R1345" i="6"/>
  <c r="Q1345" i="6"/>
  <c r="P1345" i="6"/>
  <c r="O1345" i="6"/>
  <c r="U1345" i="6" s="1"/>
  <c r="N1345" i="6"/>
  <c r="V1344" i="6"/>
  <c r="T1344" i="6"/>
  <c r="S1344" i="6"/>
  <c r="R1344" i="6"/>
  <c r="Q1344" i="6"/>
  <c r="P1344" i="6"/>
  <c r="O1344" i="6"/>
  <c r="U1344" i="6" s="1"/>
  <c r="N1344" i="6"/>
  <c r="V1343" i="6"/>
  <c r="T1343" i="6"/>
  <c r="S1343" i="6"/>
  <c r="R1343" i="6"/>
  <c r="Q1343" i="6"/>
  <c r="P1343" i="6"/>
  <c r="O1343" i="6"/>
  <c r="U1343" i="6" s="1"/>
  <c r="N1343" i="6"/>
  <c r="V1342" i="6"/>
  <c r="T1342" i="6"/>
  <c r="S1342" i="6"/>
  <c r="R1342" i="6"/>
  <c r="Q1342" i="6"/>
  <c r="P1342" i="6"/>
  <c r="O1342" i="6"/>
  <c r="U1342" i="6" s="1"/>
  <c r="N1342" i="6"/>
  <c r="V1341" i="6"/>
  <c r="T1341" i="6"/>
  <c r="S1341" i="6"/>
  <c r="R1341" i="6"/>
  <c r="Q1341" i="6"/>
  <c r="P1341" i="6"/>
  <c r="O1341" i="6"/>
  <c r="U1341" i="6" s="1"/>
  <c r="N1341" i="6"/>
  <c r="V1340" i="6"/>
  <c r="T1340" i="6"/>
  <c r="S1340" i="6"/>
  <c r="R1340" i="6"/>
  <c r="Q1340" i="6"/>
  <c r="P1340" i="6"/>
  <c r="O1340" i="6"/>
  <c r="U1340" i="6" s="1"/>
  <c r="N1340" i="6"/>
  <c r="V1339" i="6"/>
  <c r="T1339" i="6"/>
  <c r="S1339" i="6"/>
  <c r="R1339" i="6"/>
  <c r="Q1339" i="6"/>
  <c r="P1339" i="6"/>
  <c r="O1339" i="6"/>
  <c r="U1339" i="6" s="1"/>
  <c r="N1339" i="6"/>
  <c r="V1338" i="6"/>
  <c r="T1338" i="6"/>
  <c r="S1338" i="6"/>
  <c r="R1338" i="6"/>
  <c r="Q1338" i="6"/>
  <c r="P1338" i="6"/>
  <c r="O1338" i="6"/>
  <c r="U1338" i="6" s="1"/>
  <c r="N1338" i="6"/>
  <c r="V1337" i="6"/>
  <c r="T1337" i="6"/>
  <c r="S1337" i="6"/>
  <c r="R1337" i="6"/>
  <c r="Q1337" i="6"/>
  <c r="P1337" i="6"/>
  <c r="O1337" i="6"/>
  <c r="U1337" i="6" s="1"/>
  <c r="N1337" i="6"/>
  <c r="V1336" i="6"/>
  <c r="T1336" i="6"/>
  <c r="S1336" i="6"/>
  <c r="R1336" i="6"/>
  <c r="Q1336" i="6"/>
  <c r="P1336" i="6"/>
  <c r="O1336" i="6"/>
  <c r="U1336" i="6" s="1"/>
  <c r="N1336" i="6"/>
  <c r="V1335" i="6"/>
  <c r="T1335" i="6"/>
  <c r="S1335" i="6"/>
  <c r="R1335" i="6"/>
  <c r="Q1335" i="6"/>
  <c r="P1335" i="6"/>
  <c r="O1335" i="6"/>
  <c r="U1335" i="6" s="1"/>
  <c r="N1335" i="6"/>
  <c r="V1334" i="6"/>
  <c r="T1334" i="6"/>
  <c r="S1334" i="6"/>
  <c r="R1334" i="6"/>
  <c r="Q1334" i="6"/>
  <c r="P1334" i="6"/>
  <c r="O1334" i="6"/>
  <c r="U1334" i="6" s="1"/>
  <c r="N1334" i="6"/>
  <c r="V1333" i="6"/>
  <c r="T1333" i="6"/>
  <c r="S1333" i="6"/>
  <c r="R1333" i="6"/>
  <c r="Q1333" i="6"/>
  <c r="P1333" i="6"/>
  <c r="O1333" i="6"/>
  <c r="U1333" i="6" s="1"/>
  <c r="N1333" i="6"/>
  <c r="V1332" i="6"/>
  <c r="T1332" i="6"/>
  <c r="S1332" i="6"/>
  <c r="R1332" i="6"/>
  <c r="Q1332" i="6"/>
  <c r="P1332" i="6"/>
  <c r="O1332" i="6"/>
  <c r="U1332" i="6" s="1"/>
  <c r="N1332" i="6"/>
  <c r="V1331" i="6"/>
  <c r="T1331" i="6"/>
  <c r="S1331" i="6"/>
  <c r="R1331" i="6"/>
  <c r="Q1331" i="6"/>
  <c r="P1331" i="6"/>
  <c r="O1331" i="6"/>
  <c r="U1331" i="6" s="1"/>
  <c r="N1331" i="6"/>
  <c r="V1330" i="6"/>
  <c r="T1330" i="6"/>
  <c r="S1330" i="6"/>
  <c r="R1330" i="6"/>
  <c r="Q1330" i="6"/>
  <c r="P1330" i="6"/>
  <c r="O1330" i="6"/>
  <c r="U1330" i="6" s="1"/>
  <c r="N1330" i="6"/>
  <c r="V1329" i="6"/>
  <c r="T1329" i="6"/>
  <c r="S1329" i="6"/>
  <c r="R1329" i="6"/>
  <c r="Q1329" i="6"/>
  <c r="P1329" i="6"/>
  <c r="O1329" i="6"/>
  <c r="U1329" i="6" s="1"/>
  <c r="N1329" i="6"/>
  <c r="V1328" i="6"/>
  <c r="T1328" i="6"/>
  <c r="S1328" i="6"/>
  <c r="R1328" i="6"/>
  <c r="Q1328" i="6"/>
  <c r="P1328" i="6"/>
  <c r="O1328" i="6"/>
  <c r="U1328" i="6" s="1"/>
  <c r="N1328" i="6"/>
  <c r="V1327" i="6"/>
  <c r="T1327" i="6"/>
  <c r="S1327" i="6"/>
  <c r="R1327" i="6"/>
  <c r="Q1327" i="6"/>
  <c r="P1327" i="6"/>
  <c r="O1327" i="6"/>
  <c r="U1327" i="6" s="1"/>
  <c r="N1327" i="6"/>
  <c r="V1326" i="6"/>
  <c r="T1326" i="6"/>
  <c r="S1326" i="6"/>
  <c r="R1326" i="6"/>
  <c r="Q1326" i="6"/>
  <c r="P1326" i="6"/>
  <c r="O1326" i="6"/>
  <c r="U1326" i="6" s="1"/>
  <c r="N1326" i="6"/>
  <c r="V1325" i="6"/>
  <c r="T1325" i="6"/>
  <c r="S1325" i="6"/>
  <c r="R1325" i="6"/>
  <c r="Q1325" i="6"/>
  <c r="P1325" i="6"/>
  <c r="O1325" i="6"/>
  <c r="U1325" i="6" s="1"/>
  <c r="N1325" i="6"/>
  <c r="V1324" i="6"/>
  <c r="T1324" i="6"/>
  <c r="S1324" i="6"/>
  <c r="R1324" i="6"/>
  <c r="Q1324" i="6"/>
  <c r="P1324" i="6"/>
  <c r="O1324" i="6"/>
  <c r="U1324" i="6" s="1"/>
  <c r="N1324" i="6"/>
  <c r="V1323" i="6"/>
  <c r="T1323" i="6"/>
  <c r="S1323" i="6"/>
  <c r="R1323" i="6"/>
  <c r="Q1323" i="6"/>
  <c r="P1323" i="6"/>
  <c r="O1323" i="6"/>
  <c r="U1323" i="6" s="1"/>
  <c r="N1323" i="6"/>
  <c r="V1322" i="6"/>
  <c r="T1322" i="6"/>
  <c r="S1322" i="6"/>
  <c r="R1322" i="6"/>
  <c r="Q1322" i="6"/>
  <c r="P1322" i="6"/>
  <c r="O1322" i="6"/>
  <c r="U1322" i="6" s="1"/>
  <c r="N1322" i="6"/>
  <c r="V1321" i="6"/>
  <c r="T1321" i="6"/>
  <c r="S1321" i="6"/>
  <c r="R1321" i="6"/>
  <c r="Q1321" i="6"/>
  <c r="P1321" i="6"/>
  <c r="O1321" i="6"/>
  <c r="U1321" i="6" s="1"/>
  <c r="N1321" i="6"/>
  <c r="V1320" i="6"/>
  <c r="T1320" i="6"/>
  <c r="S1320" i="6"/>
  <c r="R1320" i="6"/>
  <c r="Q1320" i="6"/>
  <c r="P1320" i="6"/>
  <c r="O1320" i="6"/>
  <c r="U1320" i="6" s="1"/>
  <c r="N1320" i="6"/>
  <c r="V1319" i="6"/>
  <c r="T1319" i="6"/>
  <c r="S1319" i="6"/>
  <c r="R1319" i="6"/>
  <c r="Q1319" i="6"/>
  <c r="P1319" i="6"/>
  <c r="O1319" i="6"/>
  <c r="U1319" i="6" s="1"/>
  <c r="N1319" i="6"/>
  <c r="V1318" i="6"/>
  <c r="T1318" i="6"/>
  <c r="S1318" i="6"/>
  <c r="R1318" i="6"/>
  <c r="Q1318" i="6"/>
  <c r="P1318" i="6"/>
  <c r="O1318" i="6"/>
  <c r="U1318" i="6" s="1"/>
  <c r="N1318" i="6"/>
  <c r="V1317" i="6"/>
  <c r="T1317" i="6"/>
  <c r="S1317" i="6"/>
  <c r="R1317" i="6"/>
  <c r="Q1317" i="6"/>
  <c r="P1317" i="6"/>
  <c r="O1317" i="6"/>
  <c r="U1317" i="6" s="1"/>
  <c r="N1317" i="6"/>
  <c r="V1316" i="6"/>
  <c r="T1316" i="6"/>
  <c r="S1316" i="6"/>
  <c r="R1316" i="6"/>
  <c r="Q1316" i="6"/>
  <c r="P1316" i="6"/>
  <c r="O1316" i="6"/>
  <c r="U1316" i="6" s="1"/>
  <c r="N1316" i="6"/>
  <c r="V1315" i="6"/>
  <c r="T1315" i="6"/>
  <c r="S1315" i="6"/>
  <c r="R1315" i="6"/>
  <c r="Q1315" i="6"/>
  <c r="P1315" i="6"/>
  <c r="O1315" i="6"/>
  <c r="U1315" i="6" s="1"/>
  <c r="N1315" i="6"/>
  <c r="V1314" i="6"/>
  <c r="T1314" i="6"/>
  <c r="S1314" i="6"/>
  <c r="R1314" i="6"/>
  <c r="Q1314" i="6"/>
  <c r="P1314" i="6"/>
  <c r="O1314" i="6"/>
  <c r="U1314" i="6" s="1"/>
  <c r="N1314" i="6"/>
  <c r="V1313" i="6"/>
  <c r="T1313" i="6"/>
  <c r="S1313" i="6"/>
  <c r="R1313" i="6"/>
  <c r="Q1313" i="6"/>
  <c r="P1313" i="6"/>
  <c r="O1313" i="6"/>
  <c r="U1313" i="6" s="1"/>
  <c r="N1313" i="6"/>
  <c r="V1312" i="6"/>
  <c r="T1312" i="6"/>
  <c r="S1312" i="6"/>
  <c r="R1312" i="6"/>
  <c r="Q1312" i="6"/>
  <c r="P1312" i="6"/>
  <c r="O1312" i="6"/>
  <c r="U1312" i="6" s="1"/>
  <c r="N1312" i="6"/>
  <c r="V1311" i="6"/>
  <c r="T1311" i="6"/>
  <c r="S1311" i="6"/>
  <c r="R1311" i="6"/>
  <c r="Q1311" i="6"/>
  <c r="P1311" i="6"/>
  <c r="O1311" i="6"/>
  <c r="U1311" i="6" s="1"/>
  <c r="N1311" i="6"/>
  <c r="V1310" i="6"/>
  <c r="T1310" i="6"/>
  <c r="S1310" i="6"/>
  <c r="R1310" i="6"/>
  <c r="Q1310" i="6"/>
  <c r="P1310" i="6"/>
  <c r="O1310" i="6"/>
  <c r="U1310" i="6" s="1"/>
  <c r="N1310" i="6"/>
  <c r="V1309" i="6"/>
  <c r="T1309" i="6"/>
  <c r="S1309" i="6"/>
  <c r="R1309" i="6"/>
  <c r="Q1309" i="6"/>
  <c r="P1309" i="6"/>
  <c r="O1309" i="6"/>
  <c r="U1309" i="6" s="1"/>
  <c r="N1309" i="6"/>
  <c r="V1308" i="6"/>
  <c r="T1308" i="6"/>
  <c r="S1308" i="6"/>
  <c r="R1308" i="6"/>
  <c r="Q1308" i="6"/>
  <c r="P1308" i="6"/>
  <c r="O1308" i="6"/>
  <c r="U1308" i="6" s="1"/>
  <c r="N1308" i="6"/>
  <c r="V1307" i="6"/>
  <c r="T1307" i="6"/>
  <c r="S1307" i="6"/>
  <c r="R1307" i="6"/>
  <c r="Q1307" i="6"/>
  <c r="P1307" i="6"/>
  <c r="O1307" i="6"/>
  <c r="U1307" i="6" s="1"/>
  <c r="N1307" i="6"/>
  <c r="V1306" i="6"/>
  <c r="T1306" i="6"/>
  <c r="S1306" i="6"/>
  <c r="R1306" i="6"/>
  <c r="Q1306" i="6"/>
  <c r="P1306" i="6"/>
  <c r="O1306" i="6"/>
  <c r="U1306" i="6" s="1"/>
  <c r="N1306" i="6"/>
  <c r="V1305" i="6"/>
  <c r="T1305" i="6"/>
  <c r="S1305" i="6"/>
  <c r="R1305" i="6"/>
  <c r="Q1305" i="6"/>
  <c r="P1305" i="6"/>
  <c r="O1305" i="6"/>
  <c r="U1305" i="6" s="1"/>
  <c r="N1305" i="6"/>
  <c r="V1304" i="6"/>
  <c r="T1304" i="6"/>
  <c r="S1304" i="6"/>
  <c r="R1304" i="6"/>
  <c r="Q1304" i="6"/>
  <c r="P1304" i="6"/>
  <c r="O1304" i="6"/>
  <c r="U1304" i="6" s="1"/>
  <c r="N1304" i="6"/>
  <c r="V1303" i="6"/>
  <c r="T1303" i="6"/>
  <c r="S1303" i="6"/>
  <c r="R1303" i="6"/>
  <c r="Q1303" i="6"/>
  <c r="P1303" i="6"/>
  <c r="O1303" i="6"/>
  <c r="U1303" i="6" s="1"/>
  <c r="N1303" i="6"/>
  <c r="V1302" i="6"/>
  <c r="T1302" i="6"/>
  <c r="S1302" i="6"/>
  <c r="R1302" i="6"/>
  <c r="Q1302" i="6"/>
  <c r="P1302" i="6"/>
  <c r="O1302" i="6"/>
  <c r="U1302" i="6" s="1"/>
  <c r="N1302" i="6"/>
  <c r="V1301" i="6"/>
  <c r="T1301" i="6"/>
  <c r="S1301" i="6"/>
  <c r="R1301" i="6"/>
  <c r="Q1301" i="6"/>
  <c r="P1301" i="6"/>
  <c r="O1301" i="6"/>
  <c r="U1301" i="6" s="1"/>
  <c r="N1301" i="6"/>
  <c r="V1300" i="6"/>
  <c r="T1300" i="6"/>
  <c r="S1300" i="6"/>
  <c r="R1300" i="6"/>
  <c r="Q1300" i="6"/>
  <c r="P1300" i="6"/>
  <c r="O1300" i="6"/>
  <c r="U1300" i="6" s="1"/>
  <c r="N1300" i="6"/>
  <c r="V1299" i="6"/>
  <c r="T1299" i="6"/>
  <c r="S1299" i="6"/>
  <c r="R1299" i="6"/>
  <c r="Q1299" i="6"/>
  <c r="P1299" i="6"/>
  <c r="O1299" i="6"/>
  <c r="U1299" i="6" s="1"/>
  <c r="N1299" i="6"/>
  <c r="V1298" i="6"/>
  <c r="T1298" i="6"/>
  <c r="S1298" i="6"/>
  <c r="R1298" i="6"/>
  <c r="Q1298" i="6"/>
  <c r="P1298" i="6"/>
  <c r="O1298" i="6"/>
  <c r="U1298" i="6" s="1"/>
  <c r="N1298" i="6"/>
  <c r="V1297" i="6"/>
  <c r="T1297" i="6"/>
  <c r="S1297" i="6"/>
  <c r="R1297" i="6"/>
  <c r="Q1297" i="6"/>
  <c r="P1297" i="6"/>
  <c r="O1297" i="6"/>
  <c r="U1297" i="6" s="1"/>
  <c r="N1297" i="6"/>
  <c r="V1296" i="6"/>
  <c r="T1296" i="6"/>
  <c r="S1296" i="6"/>
  <c r="R1296" i="6"/>
  <c r="Q1296" i="6"/>
  <c r="P1296" i="6"/>
  <c r="O1296" i="6"/>
  <c r="U1296" i="6" s="1"/>
  <c r="N1296" i="6"/>
  <c r="V1295" i="6"/>
  <c r="T1295" i="6"/>
  <c r="S1295" i="6"/>
  <c r="R1295" i="6"/>
  <c r="Q1295" i="6"/>
  <c r="P1295" i="6"/>
  <c r="O1295" i="6"/>
  <c r="U1295" i="6" s="1"/>
  <c r="N1295" i="6"/>
  <c r="V1294" i="6"/>
  <c r="T1294" i="6"/>
  <c r="S1294" i="6"/>
  <c r="R1294" i="6"/>
  <c r="Q1294" i="6"/>
  <c r="P1294" i="6"/>
  <c r="O1294" i="6"/>
  <c r="U1294" i="6" s="1"/>
  <c r="N1294" i="6"/>
  <c r="V1293" i="6"/>
  <c r="T1293" i="6"/>
  <c r="S1293" i="6"/>
  <c r="R1293" i="6"/>
  <c r="Q1293" i="6"/>
  <c r="P1293" i="6"/>
  <c r="O1293" i="6"/>
  <c r="U1293" i="6" s="1"/>
  <c r="N1293" i="6"/>
  <c r="V1292" i="6"/>
  <c r="T1292" i="6"/>
  <c r="S1292" i="6"/>
  <c r="R1292" i="6"/>
  <c r="Q1292" i="6"/>
  <c r="P1292" i="6"/>
  <c r="O1292" i="6"/>
  <c r="U1292" i="6" s="1"/>
  <c r="N1292" i="6"/>
  <c r="V1291" i="6"/>
  <c r="T1291" i="6"/>
  <c r="S1291" i="6"/>
  <c r="R1291" i="6"/>
  <c r="Q1291" i="6"/>
  <c r="P1291" i="6"/>
  <c r="O1291" i="6"/>
  <c r="U1291" i="6" s="1"/>
  <c r="N1291" i="6"/>
  <c r="V1290" i="6"/>
  <c r="T1290" i="6"/>
  <c r="S1290" i="6"/>
  <c r="R1290" i="6"/>
  <c r="Q1290" i="6"/>
  <c r="P1290" i="6"/>
  <c r="O1290" i="6"/>
  <c r="U1290" i="6" s="1"/>
  <c r="N1290" i="6"/>
  <c r="V1289" i="6"/>
  <c r="T1289" i="6"/>
  <c r="S1289" i="6"/>
  <c r="R1289" i="6"/>
  <c r="Q1289" i="6"/>
  <c r="P1289" i="6"/>
  <c r="O1289" i="6"/>
  <c r="U1289" i="6" s="1"/>
  <c r="N1289" i="6"/>
  <c r="V1288" i="6"/>
  <c r="T1288" i="6"/>
  <c r="S1288" i="6"/>
  <c r="R1288" i="6"/>
  <c r="Q1288" i="6"/>
  <c r="P1288" i="6"/>
  <c r="O1288" i="6"/>
  <c r="U1288" i="6" s="1"/>
  <c r="N1288" i="6"/>
  <c r="V1287" i="6"/>
  <c r="T1287" i="6"/>
  <c r="S1287" i="6"/>
  <c r="R1287" i="6"/>
  <c r="Q1287" i="6"/>
  <c r="P1287" i="6"/>
  <c r="O1287" i="6"/>
  <c r="U1287" i="6" s="1"/>
  <c r="N1287" i="6"/>
  <c r="V1286" i="6"/>
  <c r="T1286" i="6"/>
  <c r="S1286" i="6"/>
  <c r="R1286" i="6"/>
  <c r="Q1286" i="6"/>
  <c r="P1286" i="6"/>
  <c r="O1286" i="6"/>
  <c r="U1286" i="6" s="1"/>
  <c r="N1286" i="6"/>
  <c r="V1285" i="6"/>
  <c r="T1285" i="6"/>
  <c r="S1285" i="6"/>
  <c r="R1285" i="6"/>
  <c r="Q1285" i="6"/>
  <c r="P1285" i="6"/>
  <c r="O1285" i="6"/>
  <c r="U1285" i="6" s="1"/>
  <c r="N1285" i="6"/>
  <c r="V1284" i="6"/>
  <c r="T1284" i="6"/>
  <c r="S1284" i="6"/>
  <c r="R1284" i="6"/>
  <c r="Q1284" i="6"/>
  <c r="P1284" i="6"/>
  <c r="O1284" i="6"/>
  <c r="U1284" i="6" s="1"/>
  <c r="N1284" i="6"/>
  <c r="V1283" i="6"/>
  <c r="T1283" i="6"/>
  <c r="S1283" i="6"/>
  <c r="R1283" i="6"/>
  <c r="Q1283" i="6"/>
  <c r="P1283" i="6"/>
  <c r="O1283" i="6"/>
  <c r="U1283" i="6" s="1"/>
  <c r="N1283" i="6"/>
  <c r="V1282" i="6"/>
  <c r="T1282" i="6"/>
  <c r="S1282" i="6"/>
  <c r="R1282" i="6"/>
  <c r="Q1282" i="6"/>
  <c r="P1282" i="6"/>
  <c r="O1282" i="6"/>
  <c r="U1282" i="6" s="1"/>
  <c r="N1282" i="6"/>
  <c r="V1281" i="6"/>
  <c r="T1281" i="6"/>
  <c r="S1281" i="6"/>
  <c r="R1281" i="6"/>
  <c r="Q1281" i="6"/>
  <c r="P1281" i="6"/>
  <c r="O1281" i="6"/>
  <c r="U1281" i="6" s="1"/>
  <c r="N1281" i="6"/>
  <c r="V1280" i="6"/>
  <c r="T1280" i="6"/>
  <c r="S1280" i="6"/>
  <c r="R1280" i="6"/>
  <c r="Q1280" i="6"/>
  <c r="P1280" i="6"/>
  <c r="O1280" i="6"/>
  <c r="U1280" i="6" s="1"/>
  <c r="N1280" i="6"/>
  <c r="V1279" i="6"/>
  <c r="T1279" i="6"/>
  <c r="S1279" i="6"/>
  <c r="R1279" i="6"/>
  <c r="Q1279" i="6"/>
  <c r="P1279" i="6"/>
  <c r="O1279" i="6"/>
  <c r="U1279" i="6" s="1"/>
  <c r="N1279" i="6"/>
  <c r="V1278" i="6"/>
  <c r="T1278" i="6"/>
  <c r="S1278" i="6"/>
  <c r="R1278" i="6"/>
  <c r="Q1278" i="6"/>
  <c r="P1278" i="6"/>
  <c r="O1278" i="6"/>
  <c r="U1278" i="6" s="1"/>
  <c r="N1278" i="6"/>
  <c r="V1277" i="6"/>
  <c r="T1277" i="6"/>
  <c r="S1277" i="6"/>
  <c r="R1277" i="6"/>
  <c r="Q1277" i="6"/>
  <c r="P1277" i="6"/>
  <c r="O1277" i="6"/>
  <c r="U1277" i="6" s="1"/>
  <c r="N1277" i="6"/>
  <c r="V1276" i="6"/>
  <c r="T1276" i="6"/>
  <c r="S1276" i="6"/>
  <c r="R1276" i="6"/>
  <c r="Q1276" i="6"/>
  <c r="P1276" i="6"/>
  <c r="O1276" i="6"/>
  <c r="U1276" i="6" s="1"/>
  <c r="N1276" i="6"/>
  <c r="V1275" i="6"/>
  <c r="T1275" i="6"/>
  <c r="S1275" i="6"/>
  <c r="R1275" i="6"/>
  <c r="Q1275" i="6"/>
  <c r="P1275" i="6"/>
  <c r="O1275" i="6"/>
  <c r="U1275" i="6" s="1"/>
  <c r="N1275" i="6"/>
  <c r="V1274" i="6"/>
  <c r="T1274" i="6"/>
  <c r="S1274" i="6"/>
  <c r="R1274" i="6"/>
  <c r="Q1274" i="6"/>
  <c r="P1274" i="6"/>
  <c r="O1274" i="6"/>
  <c r="U1274" i="6" s="1"/>
  <c r="N1274" i="6"/>
  <c r="V1273" i="6"/>
  <c r="T1273" i="6"/>
  <c r="S1273" i="6"/>
  <c r="R1273" i="6"/>
  <c r="Q1273" i="6"/>
  <c r="P1273" i="6"/>
  <c r="O1273" i="6"/>
  <c r="U1273" i="6" s="1"/>
  <c r="N1273" i="6"/>
  <c r="V1272" i="6"/>
  <c r="T1272" i="6"/>
  <c r="S1272" i="6"/>
  <c r="R1272" i="6"/>
  <c r="Q1272" i="6"/>
  <c r="P1272" i="6"/>
  <c r="O1272" i="6"/>
  <c r="U1272" i="6" s="1"/>
  <c r="N1272" i="6"/>
  <c r="V1271" i="6"/>
  <c r="T1271" i="6"/>
  <c r="S1271" i="6"/>
  <c r="R1271" i="6"/>
  <c r="Q1271" i="6"/>
  <c r="P1271" i="6"/>
  <c r="O1271" i="6"/>
  <c r="U1271" i="6" s="1"/>
  <c r="N1271" i="6"/>
  <c r="V1270" i="6"/>
  <c r="T1270" i="6"/>
  <c r="S1270" i="6"/>
  <c r="R1270" i="6"/>
  <c r="Q1270" i="6"/>
  <c r="P1270" i="6"/>
  <c r="O1270" i="6"/>
  <c r="U1270" i="6" s="1"/>
  <c r="N1270" i="6"/>
  <c r="V1269" i="6"/>
  <c r="T1269" i="6"/>
  <c r="S1269" i="6"/>
  <c r="R1269" i="6"/>
  <c r="Q1269" i="6"/>
  <c r="P1269" i="6"/>
  <c r="O1269" i="6"/>
  <c r="U1269" i="6" s="1"/>
  <c r="N1269" i="6"/>
  <c r="V1268" i="6"/>
  <c r="T1268" i="6"/>
  <c r="S1268" i="6"/>
  <c r="R1268" i="6"/>
  <c r="Q1268" i="6"/>
  <c r="P1268" i="6"/>
  <c r="O1268" i="6"/>
  <c r="U1268" i="6" s="1"/>
  <c r="N1268" i="6"/>
  <c r="V1267" i="6"/>
  <c r="T1267" i="6"/>
  <c r="S1267" i="6"/>
  <c r="R1267" i="6"/>
  <c r="Q1267" i="6"/>
  <c r="P1267" i="6"/>
  <c r="O1267" i="6"/>
  <c r="U1267" i="6" s="1"/>
  <c r="N1267" i="6"/>
  <c r="V1266" i="6"/>
  <c r="T1266" i="6"/>
  <c r="S1266" i="6"/>
  <c r="R1266" i="6"/>
  <c r="Q1266" i="6"/>
  <c r="P1266" i="6"/>
  <c r="O1266" i="6"/>
  <c r="U1266" i="6" s="1"/>
  <c r="N1266" i="6"/>
  <c r="V1265" i="6"/>
  <c r="T1265" i="6"/>
  <c r="S1265" i="6"/>
  <c r="R1265" i="6"/>
  <c r="Q1265" i="6"/>
  <c r="P1265" i="6"/>
  <c r="O1265" i="6"/>
  <c r="U1265" i="6" s="1"/>
  <c r="N1265" i="6"/>
  <c r="V1264" i="6"/>
  <c r="T1264" i="6"/>
  <c r="S1264" i="6"/>
  <c r="R1264" i="6"/>
  <c r="Q1264" i="6"/>
  <c r="P1264" i="6"/>
  <c r="O1264" i="6"/>
  <c r="U1264" i="6" s="1"/>
  <c r="N1264" i="6"/>
  <c r="V1263" i="6"/>
  <c r="T1263" i="6"/>
  <c r="S1263" i="6"/>
  <c r="R1263" i="6"/>
  <c r="Q1263" i="6"/>
  <c r="P1263" i="6"/>
  <c r="O1263" i="6"/>
  <c r="U1263" i="6" s="1"/>
  <c r="N1263" i="6"/>
  <c r="V1262" i="6"/>
  <c r="T1262" i="6"/>
  <c r="S1262" i="6"/>
  <c r="R1262" i="6"/>
  <c r="Q1262" i="6"/>
  <c r="P1262" i="6"/>
  <c r="O1262" i="6"/>
  <c r="U1262" i="6" s="1"/>
  <c r="N1262" i="6"/>
  <c r="V1261" i="6"/>
  <c r="T1261" i="6"/>
  <c r="S1261" i="6"/>
  <c r="R1261" i="6"/>
  <c r="Q1261" i="6"/>
  <c r="P1261" i="6"/>
  <c r="O1261" i="6"/>
  <c r="U1261" i="6" s="1"/>
  <c r="N1261" i="6"/>
  <c r="V1260" i="6"/>
  <c r="T1260" i="6"/>
  <c r="S1260" i="6"/>
  <c r="R1260" i="6"/>
  <c r="Q1260" i="6"/>
  <c r="P1260" i="6"/>
  <c r="O1260" i="6"/>
  <c r="U1260" i="6" s="1"/>
  <c r="N1260" i="6"/>
  <c r="V1259" i="6"/>
  <c r="T1259" i="6"/>
  <c r="S1259" i="6"/>
  <c r="R1259" i="6"/>
  <c r="Q1259" i="6"/>
  <c r="P1259" i="6"/>
  <c r="O1259" i="6"/>
  <c r="U1259" i="6" s="1"/>
  <c r="N1259" i="6"/>
  <c r="V1258" i="6"/>
  <c r="T1258" i="6"/>
  <c r="S1258" i="6"/>
  <c r="R1258" i="6"/>
  <c r="Q1258" i="6"/>
  <c r="P1258" i="6"/>
  <c r="O1258" i="6"/>
  <c r="U1258" i="6" s="1"/>
  <c r="N1258" i="6"/>
  <c r="V1257" i="6"/>
  <c r="T1257" i="6"/>
  <c r="S1257" i="6"/>
  <c r="R1257" i="6"/>
  <c r="Q1257" i="6"/>
  <c r="P1257" i="6"/>
  <c r="O1257" i="6"/>
  <c r="U1257" i="6" s="1"/>
  <c r="N1257" i="6"/>
  <c r="V1256" i="6"/>
  <c r="T1256" i="6"/>
  <c r="S1256" i="6"/>
  <c r="R1256" i="6"/>
  <c r="Q1256" i="6"/>
  <c r="P1256" i="6"/>
  <c r="O1256" i="6"/>
  <c r="U1256" i="6" s="1"/>
  <c r="N1256" i="6"/>
  <c r="V1255" i="6"/>
  <c r="T1255" i="6"/>
  <c r="S1255" i="6"/>
  <c r="R1255" i="6"/>
  <c r="Q1255" i="6"/>
  <c r="P1255" i="6"/>
  <c r="O1255" i="6"/>
  <c r="U1255" i="6" s="1"/>
  <c r="N1255" i="6"/>
  <c r="V1254" i="6"/>
  <c r="T1254" i="6"/>
  <c r="S1254" i="6"/>
  <c r="R1254" i="6"/>
  <c r="Q1254" i="6"/>
  <c r="P1254" i="6"/>
  <c r="O1254" i="6"/>
  <c r="U1254" i="6" s="1"/>
  <c r="N1254" i="6"/>
  <c r="V1253" i="6"/>
  <c r="T1253" i="6"/>
  <c r="S1253" i="6"/>
  <c r="R1253" i="6"/>
  <c r="Q1253" i="6"/>
  <c r="P1253" i="6"/>
  <c r="O1253" i="6"/>
  <c r="U1253" i="6" s="1"/>
  <c r="N1253" i="6"/>
  <c r="V1252" i="6"/>
  <c r="T1252" i="6"/>
  <c r="S1252" i="6"/>
  <c r="R1252" i="6"/>
  <c r="Q1252" i="6"/>
  <c r="P1252" i="6"/>
  <c r="O1252" i="6"/>
  <c r="U1252" i="6" s="1"/>
  <c r="N1252" i="6"/>
  <c r="V1251" i="6"/>
  <c r="T1251" i="6"/>
  <c r="S1251" i="6"/>
  <c r="R1251" i="6"/>
  <c r="Q1251" i="6"/>
  <c r="P1251" i="6"/>
  <c r="O1251" i="6"/>
  <c r="U1251" i="6" s="1"/>
  <c r="N1251" i="6"/>
  <c r="V1250" i="6"/>
  <c r="T1250" i="6"/>
  <c r="S1250" i="6"/>
  <c r="R1250" i="6"/>
  <c r="Q1250" i="6"/>
  <c r="P1250" i="6"/>
  <c r="O1250" i="6"/>
  <c r="U1250" i="6" s="1"/>
  <c r="N1250" i="6"/>
  <c r="V1249" i="6"/>
  <c r="T1249" i="6"/>
  <c r="S1249" i="6"/>
  <c r="R1249" i="6"/>
  <c r="Q1249" i="6"/>
  <c r="P1249" i="6"/>
  <c r="O1249" i="6"/>
  <c r="U1249" i="6" s="1"/>
  <c r="N1249" i="6"/>
  <c r="V1248" i="6"/>
  <c r="T1248" i="6"/>
  <c r="S1248" i="6"/>
  <c r="R1248" i="6"/>
  <c r="Q1248" i="6"/>
  <c r="P1248" i="6"/>
  <c r="O1248" i="6"/>
  <c r="U1248" i="6" s="1"/>
  <c r="N1248" i="6"/>
  <c r="V1247" i="6"/>
  <c r="T1247" i="6"/>
  <c r="S1247" i="6"/>
  <c r="R1247" i="6"/>
  <c r="Q1247" i="6"/>
  <c r="P1247" i="6"/>
  <c r="O1247" i="6"/>
  <c r="U1247" i="6" s="1"/>
  <c r="N1247" i="6"/>
  <c r="V1246" i="6"/>
  <c r="T1246" i="6"/>
  <c r="S1246" i="6"/>
  <c r="R1246" i="6"/>
  <c r="Q1246" i="6"/>
  <c r="P1246" i="6"/>
  <c r="O1246" i="6"/>
  <c r="U1246" i="6" s="1"/>
  <c r="N1246" i="6"/>
  <c r="V1245" i="6"/>
  <c r="T1245" i="6"/>
  <c r="S1245" i="6"/>
  <c r="R1245" i="6"/>
  <c r="Q1245" i="6"/>
  <c r="P1245" i="6"/>
  <c r="O1245" i="6"/>
  <c r="U1245" i="6" s="1"/>
  <c r="N1245" i="6"/>
  <c r="V1244" i="6"/>
  <c r="T1244" i="6"/>
  <c r="S1244" i="6"/>
  <c r="R1244" i="6"/>
  <c r="Q1244" i="6"/>
  <c r="P1244" i="6"/>
  <c r="O1244" i="6"/>
  <c r="U1244" i="6" s="1"/>
  <c r="N1244" i="6"/>
  <c r="V1243" i="6"/>
  <c r="T1243" i="6"/>
  <c r="S1243" i="6"/>
  <c r="R1243" i="6"/>
  <c r="Q1243" i="6"/>
  <c r="P1243" i="6"/>
  <c r="O1243" i="6"/>
  <c r="U1243" i="6" s="1"/>
  <c r="N1243" i="6"/>
  <c r="V1242" i="6"/>
  <c r="T1242" i="6"/>
  <c r="S1242" i="6"/>
  <c r="R1242" i="6"/>
  <c r="Q1242" i="6"/>
  <c r="P1242" i="6"/>
  <c r="O1242" i="6"/>
  <c r="U1242" i="6" s="1"/>
  <c r="N1242" i="6"/>
  <c r="V1241" i="6"/>
  <c r="T1241" i="6"/>
  <c r="S1241" i="6"/>
  <c r="R1241" i="6"/>
  <c r="Q1241" i="6"/>
  <c r="P1241" i="6"/>
  <c r="O1241" i="6"/>
  <c r="U1241" i="6" s="1"/>
  <c r="N1241" i="6"/>
  <c r="V1240" i="6"/>
  <c r="T1240" i="6"/>
  <c r="S1240" i="6"/>
  <c r="R1240" i="6"/>
  <c r="Q1240" i="6"/>
  <c r="P1240" i="6"/>
  <c r="O1240" i="6"/>
  <c r="U1240" i="6" s="1"/>
  <c r="N1240" i="6"/>
  <c r="V1239" i="6"/>
  <c r="T1239" i="6"/>
  <c r="S1239" i="6"/>
  <c r="R1239" i="6"/>
  <c r="Q1239" i="6"/>
  <c r="P1239" i="6"/>
  <c r="O1239" i="6"/>
  <c r="U1239" i="6" s="1"/>
  <c r="N1239" i="6"/>
  <c r="V1238" i="6"/>
  <c r="T1238" i="6"/>
  <c r="S1238" i="6"/>
  <c r="R1238" i="6"/>
  <c r="Q1238" i="6"/>
  <c r="P1238" i="6"/>
  <c r="O1238" i="6"/>
  <c r="U1238" i="6" s="1"/>
  <c r="N1238" i="6"/>
  <c r="V1237" i="6"/>
  <c r="T1237" i="6"/>
  <c r="S1237" i="6"/>
  <c r="R1237" i="6"/>
  <c r="Q1237" i="6"/>
  <c r="P1237" i="6"/>
  <c r="O1237" i="6"/>
  <c r="U1237" i="6" s="1"/>
  <c r="N1237" i="6"/>
  <c r="V1236" i="6"/>
  <c r="T1236" i="6"/>
  <c r="S1236" i="6"/>
  <c r="R1236" i="6"/>
  <c r="Q1236" i="6"/>
  <c r="P1236" i="6"/>
  <c r="O1236" i="6"/>
  <c r="U1236" i="6" s="1"/>
  <c r="N1236" i="6"/>
  <c r="V1235" i="6"/>
  <c r="T1235" i="6"/>
  <c r="S1235" i="6"/>
  <c r="R1235" i="6"/>
  <c r="Q1235" i="6"/>
  <c r="P1235" i="6"/>
  <c r="O1235" i="6"/>
  <c r="U1235" i="6" s="1"/>
  <c r="N1235" i="6"/>
  <c r="V1234" i="6"/>
  <c r="T1234" i="6"/>
  <c r="S1234" i="6"/>
  <c r="R1234" i="6"/>
  <c r="Q1234" i="6"/>
  <c r="P1234" i="6"/>
  <c r="O1234" i="6"/>
  <c r="U1234" i="6" s="1"/>
  <c r="N1234" i="6"/>
  <c r="V1233" i="6"/>
  <c r="T1233" i="6"/>
  <c r="S1233" i="6"/>
  <c r="R1233" i="6"/>
  <c r="Q1233" i="6"/>
  <c r="P1233" i="6"/>
  <c r="O1233" i="6"/>
  <c r="U1233" i="6" s="1"/>
  <c r="N1233" i="6"/>
  <c r="V1232" i="6"/>
  <c r="T1232" i="6"/>
  <c r="S1232" i="6"/>
  <c r="R1232" i="6"/>
  <c r="Q1232" i="6"/>
  <c r="P1232" i="6"/>
  <c r="O1232" i="6"/>
  <c r="U1232" i="6" s="1"/>
  <c r="N1232" i="6"/>
  <c r="V1231" i="6"/>
  <c r="T1231" i="6"/>
  <c r="S1231" i="6"/>
  <c r="R1231" i="6"/>
  <c r="Q1231" i="6"/>
  <c r="P1231" i="6"/>
  <c r="O1231" i="6"/>
  <c r="U1231" i="6" s="1"/>
  <c r="N1231" i="6"/>
  <c r="V1230" i="6"/>
  <c r="T1230" i="6"/>
  <c r="S1230" i="6"/>
  <c r="R1230" i="6"/>
  <c r="Q1230" i="6"/>
  <c r="P1230" i="6"/>
  <c r="O1230" i="6"/>
  <c r="U1230" i="6" s="1"/>
  <c r="N1230" i="6"/>
  <c r="V1229" i="6"/>
  <c r="T1229" i="6"/>
  <c r="S1229" i="6"/>
  <c r="R1229" i="6"/>
  <c r="Q1229" i="6"/>
  <c r="P1229" i="6"/>
  <c r="O1229" i="6"/>
  <c r="U1229" i="6" s="1"/>
  <c r="N1229" i="6"/>
  <c r="V1228" i="6"/>
  <c r="T1228" i="6"/>
  <c r="S1228" i="6"/>
  <c r="R1228" i="6"/>
  <c r="Q1228" i="6"/>
  <c r="P1228" i="6"/>
  <c r="O1228" i="6"/>
  <c r="U1228" i="6" s="1"/>
  <c r="N1228" i="6"/>
  <c r="V1227" i="6"/>
  <c r="T1227" i="6"/>
  <c r="S1227" i="6"/>
  <c r="R1227" i="6"/>
  <c r="Q1227" i="6"/>
  <c r="P1227" i="6"/>
  <c r="O1227" i="6"/>
  <c r="U1227" i="6" s="1"/>
  <c r="N1227" i="6"/>
  <c r="V1226" i="6"/>
  <c r="T1226" i="6"/>
  <c r="S1226" i="6"/>
  <c r="R1226" i="6"/>
  <c r="Q1226" i="6"/>
  <c r="P1226" i="6"/>
  <c r="O1226" i="6"/>
  <c r="U1226" i="6" s="1"/>
  <c r="N1226" i="6"/>
  <c r="V1225" i="6"/>
  <c r="T1225" i="6"/>
  <c r="S1225" i="6"/>
  <c r="R1225" i="6"/>
  <c r="Q1225" i="6"/>
  <c r="P1225" i="6"/>
  <c r="O1225" i="6"/>
  <c r="U1225" i="6" s="1"/>
  <c r="N1225" i="6"/>
  <c r="V1224" i="6"/>
  <c r="T1224" i="6"/>
  <c r="S1224" i="6"/>
  <c r="R1224" i="6"/>
  <c r="Q1224" i="6"/>
  <c r="P1224" i="6"/>
  <c r="O1224" i="6"/>
  <c r="U1224" i="6" s="1"/>
  <c r="N1224" i="6"/>
  <c r="V1223" i="6"/>
  <c r="T1223" i="6"/>
  <c r="S1223" i="6"/>
  <c r="R1223" i="6"/>
  <c r="Q1223" i="6"/>
  <c r="P1223" i="6"/>
  <c r="O1223" i="6"/>
  <c r="U1223" i="6" s="1"/>
  <c r="N1223" i="6"/>
  <c r="V1222" i="6"/>
  <c r="T1222" i="6"/>
  <c r="S1222" i="6"/>
  <c r="R1222" i="6"/>
  <c r="Q1222" i="6"/>
  <c r="P1222" i="6"/>
  <c r="O1222" i="6"/>
  <c r="U1222" i="6" s="1"/>
  <c r="N1222" i="6"/>
  <c r="V1221" i="6"/>
  <c r="T1221" i="6"/>
  <c r="S1221" i="6"/>
  <c r="R1221" i="6"/>
  <c r="Q1221" i="6"/>
  <c r="P1221" i="6"/>
  <c r="O1221" i="6"/>
  <c r="U1221" i="6" s="1"/>
  <c r="N1221" i="6"/>
  <c r="V1220" i="6"/>
  <c r="T1220" i="6"/>
  <c r="S1220" i="6"/>
  <c r="R1220" i="6"/>
  <c r="Q1220" i="6"/>
  <c r="P1220" i="6"/>
  <c r="O1220" i="6"/>
  <c r="U1220" i="6" s="1"/>
  <c r="N1220" i="6"/>
  <c r="V1219" i="6"/>
  <c r="T1219" i="6"/>
  <c r="S1219" i="6"/>
  <c r="R1219" i="6"/>
  <c r="Q1219" i="6"/>
  <c r="P1219" i="6"/>
  <c r="O1219" i="6"/>
  <c r="U1219" i="6" s="1"/>
  <c r="N1219" i="6"/>
  <c r="V1218" i="6"/>
  <c r="T1218" i="6"/>
  <c r="S1218" i="6"/>
  <c r="R1218" i="6"/>
  <c r="Q1218" i="6"/>
  <c r="P1218" i="6"/>
  <c r="O1218" i="6"/>
  <c r="U1218" i="6" s="1"/>
  <c r="N1218" i="6"/>
  <c r="V1217" i="6"/>
  <c r="T1217" i="6"/>
  <c r="S1217" i="6"/>
  <c r="R1217" i="6"/>
  <c r="Q1217" i="6"/>
  <c r="P1217" i="6"/>
  <c r="O1217" i="6"/>
  <c r="U1217" i="6" s="1"/>
  <c r="N1217" i="6"/>
  <c r="V1216" i="6"/>
  <c r="T1216" i="6"/>
  <c r="S1216" i="6"/>
  <c r="R1216" i="6"/>
  <c r="Q1216" i="6"/>
  <c r="P1216" i="6"/>
  <c r="O1216" i="6"/>
  <c r="U1216" i="6" s="1"/>
  <c r="N1216" i="6"/>
  <c r="V1215" i="6"/>
  <c r="T1215" i="6"/>
  <c r="S1215" i="6"/>
  <c r="R1215" i="6"/>
  <c r="Q1215" i="6"/>
  <c r="P1215" i="6"/>
  <c r="O1215" i="6"/>
  <c r="U1215" i="6" s="1"/>
  <c r="N1215" i="6"/>
  <c r="V1214" i="6"/>
  <c r="T1214" i="6"/>
  <c r="S1214" i="6"/>
  <c r="R1214" i="6"/>
  <c r="Q1214" i="6"/>
  <c r="P1214" i="6"/>
  <c r="O1214" i="6"/>
  <c r="U1214" i="6" s="1"/>
  <c r="N1214" i="6"/>
  <c r="V1213" i="6"/>
  <c r="T1213" i="6"/>
  <c r="S1213" i="6"/>
  <c r="R1213" i="6"/>
  <c r="Q1213" i="6"/>
  <c r="P1213" i="6"/>
  <c r="O1213" i="6"/>
  <c r="U1213" i="6" s="1"/>
  <c r="N1213" i="6"/>
  <c r="V1212" i="6"/>
  <c r="T1212" i="6"/>
  <c r="S1212" i="6"/>
  <c r="R1212" i="6"/>
  <c r="Q1212" i="6"/>
  <c r="P1212" i="6"/>
  <c r="O1212" i="6"/>
  <c r="U1212" i="6" s="1"/>
  <c r="N1212" i="6"/>
  <c r="V1211" i="6"/>
  <c r="T1211" i="6"/>
  <c r="S1211" i="6"/>
  <c r="R1211" i="6"/>
  <c r="Q1211" i="6"/>
  <c r="P1211" i="6"/>
  <c r="O1211" i="6"/>
  <c r="U1211" i="6" s="1"/>
  <c r="N1211" i="6"/>
  <c r="V1210" i="6"/>
  <c r="T1210" i="6"/>
  <c r="S1210" i="6"/>
  <c r="R1210" i="6"/>
  <c r="Q1210" i="6"/>
  <c r="P1210" i="6"/>
  <c r="O1210" i="6"/>
  <c r="U1210" i="6" s="1"/>
  <c r="N1210" i="6"/>
  <c r="V1209" i="6"/>
  <c r="T1209" i="6"/>
  <c r="S1209" i="6"/>
  <c r="R1209" i="6"/>
  <c r="Q1209" i="6"/>
  <c r="P1209" i="6"/>
  <c r="O1209" i="6"/>
  <c r="U1209" i="6" s="1"/>
  <c r="N1209" i="6"/>
  <c r="V1208" i="6"/>
  <c r="T1208" i="6"/>
  <c r="S1208" i="6"/>
  <c r="R1208" i="6"/>
  <c r="Q1208" i="6"/>
  <c r="P1208" i="6"/>
  <c r="O1208" i="6"/>
  <c r="U1208" i="6" s="1"/>
  <c r="N1208" i="6"/>
  <c r="V1207" i="6"/>
  <c r="T1207" i="6"/>
  <c r="S1207" i="6"/>
  <c r="R1207" i="6"/>
  <c r="Q1207" i="6"/>
  <c r="P1207" i="6"/>
  <c r="O1207" i="6"/>
  <c r="U1207" i="6" s="1"/>
  <c r="N1207" i="6"/>
  <c r="V1206" i="6"/>
  <c r="T1206" i="6"/>
  <c r="S1206" i="6"/>
  <c r="R1206" i="6"/>
  <c r="Q1206" i="6"/>
  <c r="P1206" i="6"/>
  <c r="O1206" i="6"/>
  <c r="U1206" i="6" s="1"/>
  <c r="N1206" i="6"/>
  <c r="V1205" i="6"/>
  <c r="T1205" i="6"/>
  <c r="S1205" i="6"/>
  <c r="R1205" i="6"/>
  <c r="Q1205" i="6"/>
  <c r="P1205" i="6"/>
  <c r="O1205" i="6"/>
  <c r="U1205" i="6" s="1"/>
  <c r="N1205" i="6"/>
  <c r="V1204" i="6"/>
  <c r="T1204" i="6"/>
  <c r="S1204" i="6"/>
  <c r="R1204" i="6"/>
  <c r="Q1204" i="6"/>
  <c r="P1204" i="6"/>
  <c r="O1204" i="6"/>
  <c r="U1204" i="6" s="1"/>
  <c r="N1204" i="6"/>
  <c r="V1203" i="6"/>
  <c r="T1203" i="6"/>
  <c r="S1203" i="6"/>
  <c r="R1203" i="6"/>
  <c r="Q1203" i="6"/>
  <c r="P1203" i="6"/>
  <c r="O1203" i="6"/>
  <c r="U1203" i="6" s="1"/>
  <c r="N1203" i="6"/>
  <c r="V1202" i="6"/>
  <c r="T1202" i="6"/>
  <c r="S1202" i="6"/>
  <c r="R1202" i="6"/>
  <c r="Q1202" i="6"/>
  <c r="P1202" i="6"/>
  <c r="O1202" i="6"/>
  <c r="U1202" i="6" s="1"/>
  <c r="N1202" i="6"/>
  <c r="V1201" i="6"/>
  <c r="T1201" i="6"/>
  <c r="S1201" i="6"/>
  <c r="R1201" i="6"/>
  <c r="Q1201" i="6"/>
  <c r="P1201" i="6"/>
  <c r="O1201" i="6"/>
  <c r="U1201" i="6" s="1"/>
  <c r="N1201" i="6"/>
  <c r="V1200" i="6"/>
  <c r="T1200" i="6"/>
  <c r="S1200" i="6"/>
  <c r="R1200" i="6"/>
  <c r="Q1200" i="6"/>
  <c r="P1200" i="6"/>
  <c r="O1200" i="6"/>
  <c r="U1200" i="6" s="1"/>
  <c r="N1200" i="6"/>
  <c r="V1199" i="6"/>
  <c r="T1199" i="6"/>
  <c r="S1199" i="6"/>
  <c r="R1199" i="6"/>
  <c r="Q1199" i="6"/>
  <c r="P1199" i="6"/>
  <c r="O1199" i="6"/>
  <c r="U1199" i="6" s="1"/>
  <c r="N1199" i="6"/>
  <c r="V1198" i="6"/>
  <c r="T1198" i="6"/>
  <c r="S1198" i="6"/>
  <c r="R1198" i="6"/>
  <c r="Q1198" i="6"/>
  <c r="P1198" i="6"/>
  <c r="O1198" i="6"/>
  <c r="U1198" i="6" s="1"/>
  <c r="N1198" i="6"/>
  <c r="V1197" i="6"/>
  <c r="T1197" i="6"/>
  <c r="S1197" i="6"/>
  <c r="R1197" i="6"/>
  <c r="Q1197" i="6"/>
  <c r="P1197" i="6"/>
  <c r="O1197" i="6"/>
  <c r="U1197" i="6" s="1"/>
  <c r="N1197" i="6"/>
  <c r="V1196" i="6"/>
  <c r="T1196" i="6"/>
  <c r="S1196" i="6"/>
  <c r="R1196" i="6"/>
  <c r="Q1196" i="6"/>
  <c r="P1196" i="6"/>
  <c r="O1196" i="6"/>
  <c r="U1196" i="6" s="1"/>
  <c r="N1196" i="6"/>
  <c r="V1195" i="6"/>
  <c r="T1195" i="6"/>
  <c r="S1195" i="6"/>
  <c r="R1195" i="6"/>
  <c r="Q1195" i="6"/>
  <c r="P1195" i="6"/>
  <c r="O1195" i="6"/>
  <c r="U1195" i="6" s="1"/>
  <c r="N1195" i="6"/>
  <c r="V1194" i="6"/>
  <c r="T1194" i="6"/>
  <c r="S1194" i="6"/>
  <c r="R1194" i="6"/>
  <c r="Q1194" i="6"/>
  <c r="P1194" i="6"/>
  <c r="O1194" i="6"/>
  <c r="U1194" i="6" s="1"/>
  <c r="N1194" i="6"/>
  <c r="V1193" i="6"/>
  <c r="T1193" i="6"/>
  <c r="S1193" i="6"/>
  <c r="R1193" i="6"/>
  <c r="Q1193" i="6"/>
  <c r="P1193" i="6"/>
  <c r="O1193" i="6"/>
  <c r="U1193" i="6" s="1"/>
  <c r="N1193" i="6"/>
  <c r="V1192" i="6"/>
  <c r="T1192" i="6"/>
  <c r="S1192" i="6"/>
  <c r="R1192" i="6"/>
  <c r="Q1192" i="6"/>
  <c r="P1192" i="6"/>
  <c r="O1192" i="6"/>
  <c r="U1192" i="6" s="1"/>
  <c r="N1192" i="6"/>
  <c r="V1191" i="6"/>
  <c r="T1191" i="6"/>
  <c r="S1191" i="6"/>
  <c r="R1191" i="6"/>
  <c r="Q1191" i="6"/>
  <c r="P1191" i="6"/>
  <c r="O1191" i="6"/>
  <c r="U1191" i="6" s="1"/>
  <c r="N1191" i="6"/>
  <c r="V1190" i="6"/>
  <c r="T1190" i="6"/>
  <c r="S1190" i="6"/>
  <c r="R1190" i="6"/>
  <c r="Q1190" i="6"/>
  <c r="P1190" i="6"/>
  <c r="O1190" i="6"/>
  <c r="U1190" i="6" s="1"/>
  <c r="N1190" i="6"/>
  <c r="V1189" i="6"/>
  <c r="T1189" i="6"/>
  <c r="S1189" i="6"/>
  <c r="R1189" i="6"/>
  <c r="Q1189" i="6"/>
  <c r="P1189" i="6"/>
  <c r="O1189" i="6"/>
  <c r="U1189" i="6" s="1"/>
  <c r="N1189" i="6"/>
  <c r="V1188" i="6"/>
  <c r="T1188" i="6"/>
  <c r="S1188" i="6"/>
  <c r="R1188" i="6"/>
  <c r="Q1188" i="6"/>
  <c r="P1188" i="6"/>
  <c r="O1188" i="6"/>
  <c r="U1188" i="6" s="1"/>
  <c r="N1188" i="6"/>
  <c r="V1187" i="6"/>
  <c r="T1187" i="6"/>
  <c r="S1187" i="6"/>
  <c r="R1187" i="6"/>
  <c r="Q1187" i="6"/>
  <c r="P1187" i="6"/>
  <c r="O1187" i="6"/>
  <c r="U1187" i="6" s="1"/>
  <c r="N1187" i="6"/>
  <c r="V1186" i="6"/>
  <c r="T1186" i="6"/>
  <c r="S1186" i="6"/>
  <c r="R1186" i="6"/>
  <c r="Q1186" i="6"/>
  <c r="P1186" i="6"/>
  <c r="O1186" i="6"/>
  <c r="U1186" i="6" s="1"/>
  <c r="N1186" i="6"/>
  <c r="V1185" i="6"/>
  <c r="T1185" i="6"/>
  <c r="S1185" i="6"/>
  <c r="R1185" i="6"/>
  <c r="Q1185" i="6"/>
  <c r="P1185" i="6"/>
  <c r="O1185" i="6"/>
  <c r="U1185" i="6" s="1"/>
  <c r="N1185" i="6"/>
  <c r="V1184" i="6"/>
  <c r="T1184" i="6"/>
  <c r="S1184" i="6"/>
  <c r="R1184" i="6"/>
  <c r="Q1184" i="6"/>
  <c r="P1184" i="6"/>
  <c r="O1184" i="6"/>
  <c r="U1184" i="6" s="1"/>
  <c r="N1184" i="6"/>
  <c r="V1183" i="6"/>
  <c r="T1183" i="6"/>
  <c r="S1183" i="6"/>
  <c r="R1183" i="6"/>
  <c r="Q1183" i="6"/>
  <c r="P1183" i="6"/>
  <c r="O1183" i="6"/>
  <c r="U1183" i="6" s="1"/>
  <c r="N1183" i="6"/>
  <c r="V1182" i="6"/>
  <c r="T1182" i="6"/>
  <c r="S1182" i="6"/>
  <c r="R1182" i="6"/>
  <c r="Q1182" i="6"/>
  <c r="P1182" i="6"/>
  <c r="O1182" i="6"/>
  <c r="U1182" i="6" s="1"/>
  <c r="N1182" i="6"/>
  <c r="V1181" i="6"/>
  <c r="T1181" i="6"/>
  <c r="S1181" i="6"/>
  <c r="R1181" i="6"/>
  <c r="Q1181" i="6"/>
  <c r="P1181" i="6"/>
  <c r="O1181" i="6"/>
  <c r="U1181" i="6" s="1"/>
  <c r="N1181" i="6"/>
  <c r="V1180" i="6"/>
  <c r="T1180" i="6"/>
  <c r="S1180" i="6"/>
  <c r="R1180" i="6"/>
  <c r="Q1180" i="6"/>
  <c r="P1180" i="6"/>
  <c r="O1180" i="6"/>
  <c r="U1180" i="6" s="1"/>
  <c r="N1180" i="6"/>
  <c r="V1179" i="6"/>
  <c r="T1179" i="6"/>
  <c r="S1179" i="6"/>
  <c r="R1179" i="6"/>
  <c r="Q1179" i="6"/>
  <c r="P1179" i="6"/>
  <c r="O1179" i="6"/>
  <c r="U1179" i="6" s="1"/>
  <c r="N1179" i="6"/>
  <c r="V1178" i="6"/>
  <c r="T1178" i="6"/>
  <c r="S1178" i="6"/>
  <c r="R1178" i="6"/>
  <c r="Q1178" i="6"/>
  <c r="P1178" i="6"/>
  <c r="O1178" i="6"/>
  <c r="U1178" i="6" s="1"/>
  <c r="N1178" i="6"/>
  <c r="V1177" i="6"/>
  <c r="T1177" i="6"/>
  <c r="S1177" i="6"/>
  <c r="R1177" i="6"/>
  <c r="Q1177" i="6"/>
  <c r="P1177" i="6"/>
  <c r="O1177" i="6"/>
  <c r="U1177" i="6" s="1"/>
  <c r="N1177" i="6"/>
  <c r="V1176" i="6"/>
  <c r="T1176" i="6"/>
  <c r="S1176" i="6"/>
  <c r="R1176" i="6"/>
  <c r="Q1176" i="6"/>
  <c r="P1176" i="6"/>
  <c r="O1176" i="6"/>
  <c r="U1176" i="6" s="1"/>
  <c r="N1176" i="6"/>
  <c r="V1175" i="6"/>
  <c r="T1175" i="6"/>
  <c r="S1175" i="6"/>
  <c r="R1175" i="6"/>
  <c r="Q1175" i="6"/>
  <c r="P1175" i="6"/>
  <c r="O1175" i="6"/>
  <c r="U1175" i="6" s="1"/>
  <c r="N1175" i="6"/>
  <c r="V1174" i="6"/>
  <c r="T1174" i="6"/>
  <c r="S1174" i="6"/>
  <c r="R1174" i="6"/>
  <c r="Q1174" i="6"/>
  <c r="P1174" i="6"/>
  <c r="O1174" i="6"/>
  <c r="U1174" i="6" s="1"/>
  <c r="N1174" i="6"/>
  <c r="V1173" i="6"/>
  <c r="T1173" i="6"/>
  <c r="S1173" i="6"/>
  <c r="R1173" i="6"/>
  <c r="Q1173" i="6"/>
  <c r="P1173" i="6"/>
  <c r="O1173" i="6"/>
  <c r="U1173" i="6" s="1"/>
  <c r="N1173" i="6"/>
  <c r="V1172" i="6"/>
  <c r="T1172" i="6"/>
  <c r="S1172" i="6"/>
  <c r="R1172" i="6"/>
  <c r="Q1172" i="6"/>
  <c r="P1172" i="6"/>
  <c r="O1172" i="6"/>
  <c r="U1172" i="6" s="1"/>
  <c r="N1172" i="6"/>
  <c r="V1171" i="6"/>
  <c r="T1171" i="6"/>
  <c r="S1171" i="6"/>
  <c r="R1171" i="6"/>
  <c r="Q1171" i="6"/>
  <c r="P1171" i="6"/>
  <c r="O1171" i="6"/>
  <c r="U1171" i="6" s="1"/>
  <c r="N1171" i="6"/>
  <c r="V1170" i="6"/>
  <c r="T1170" i="6"/>
  <c r="S1170" i="6"/>
  <c r="R1170" i="6"/>
  <c r="Q1170" i="6"/>
  <c r="P1170" i="6"/>
  <c r="O1170" i="6"/>
  <c r="U1170" i="6" s="1"/>
  <c r="N1170" i="6"/>
  <c r="V1169" i="6"/>
  <c r="T1169" i="6"/>
  <c r="S1169" i="6"/>
  <c r="R1169" i="6"/>
  <c r="Q1169" i="6"/>
  <c r="P1169" i="6"/>
  <c r="O1169" i="6"/>
  <c r="U1169" i="6" s="1"/>
  <c r="N1169" i="6"/>
  <c r="V1168" i="6"/>
  <c r="T1168" i="6"/>
  <c r="S1168" i="6"/>
  <c r="R1168" i="6"/>
  <c r="Q1168" i="6"/>
  <c r="P1168" i="6"/>
  <c r="O1168" i="6"/>
  <c r="U1168" i="6" s="1"/>
  <c r="N1168" i="6"/>
  <c r="V1167" i="6"/>
  <c r="T1167" i="6"/>
  <c r="S1167" i="6"/>
  <c r="R1167" i="6"/>
  <c r="Q1167" i="6"/>
  <c r="P1167" i="6"/>
  <c r="O1167" i="6"/>
  <c r="U1167" i="6" s="1"/>
  <c r="N1167" i="6"/>
  <c r="V1166" i="6"/>
  <c r="T1166" i="6"/>
  <c r="S1166" i="6"/>
  <c r="R1166" i="6"/>
  <c r="Q1166" i="6"/>
  <c r="P1166" i="6"/>
  <c r="O1166" i="6"/>
  <c r="U1166" i="6" s="1"/>
  <c r="N1166" i="6"/>
  <c r="V1165" i="6"/>
  <c r="T1165" i="6"/>
  <c r="S1165" i="6"/>
  <c r="R1165" i="6"/>
  <c r="Q1165" i="6"/>
  <c r="P1165" i="6"/>
  <c r="O1165" i="6"/>
  <c r="U1165" i="6" s="1"/>
  <c r="N1165" i="6"/>
  <c r="V1164" i="6"/>
  <c r="T1164" i="6"/>
  <c r="S1164" i="6"/>
  <c r="R1164" i="6"/>
  <c r="Q1164" i="6"/>
  <c r="P1164" i="6"/>
  <c r="O1164" i="6"/>
  <c r="U1164" i="6" s="1"/>
  <c r="N1164" i="6"/>
  <c r="V1163" i="6"/>
  <c r="T1163" i="6"/>
  <c r="S1163" i="6"/>
  <c r="R1163" i="6"/>
  <c r="Q1163" i="6"/>
  <c r="P1163" i="6"/>
  <c r="O1163" i="6"/>
  <c r="U1163" i="6" s="1"/>
  <c r="N1163" i="6"/>
  <c r="V1162" i="6"/>
  <c r="T1162" i="6"/>
  <c r="S1162" i="6"/>
  <c r="R1162" i="6"/>
  <c r="Q1162" i="6"/>
  <c r="P1162" i="6"/>
  <c r="O1162" i="6"/>
  <c r="U1162" i="6" s="1"/>
  <c r="N1162" i="6"/>
  <c r="V1161" i="6"/>
  <c r="T1161" i="6"/>
  <c r="S1161" i="6"/>
  <c r="R1161" i="6"/>
  <c r="Q1161" i="6"/>
  <c r="P1161" i="6"/>
  <c r="O1161" i="6"/>
  <c r="U1161" i="6" s="1"/>
  <c r="N1161" i="6"/>
  <c r="V1160" i="6"/>
  <c r="T1160" i="6"/>
  <c r="S1160" i="6"/>
  <c r="R1160" i="6"/>
  <c r="Q1160" i="6"/>
  <c r="P1160" i="6"/>
  <c r="O1160" i="6"/>
  <c r="U1160" i="6" s="1"/>
  <c r="N1160" i="6"/>
  <c r="V1159" i="6"/>
  <c r="T1159" i="6"/>
  <c r="S1159" i="6"/>
  <c r="R1159" i="6"/>
  <c r="Q1159" i="6"/>
  <c r="P1159" i="6"/>
  <c r="O1159" i="6"/>
  <c r="U1159" i="6" s="1"/>
  <c r="N1159" i="6"/>
  <c r="V1158" i="6"/>
  <c r="T1158" i="6"/>
  <c r="S1158" i="6"/>
  <c r="R1158" i="6"/>
  <c r="Q1158" i="6"/>
  <c r="P1158" i="6"/>
  <c r="O1158" i="6"/>
  <c r="U1158" i="6" s="1"/>
  <c r="N1158" i="6"/>
  <c r="V1157" i="6"/>
  <c r="T1157" i="6"/>
  <c r="S1157" i="6"/>
  <c r="R1157" i="6"/>
  <c r="Q1157" i="6"/>
  <c r="P1157" i="6"/>
  <c r="O1157" i="6"/>
  <c r="U1157" i="6" s="1"/>
  <c r="N1157" i="6"/>
  <c r="V1156" i="6"/>
  <c r="T1156" i="6"/>
  <c r="S1156" i="6"/>
  <c r="R1156" i="6"/>
  <c r="Q1156" i="6"/>
  <c r="P1156" i="6"/>
  <c r="O1156" i="6"/>
  <c r="U1156" i="6" s="1"/>
  <c r="N1156" i="6"/>
  <c r="V1155" i="6"/>
  <c r="T1155" i="6"/>
  <c r="S1155" i="6"/>
  <c r="R1155" i="6"/>
  <c r="Q1155" i="6"/>
  <c r="P1155" i="6"/>
  <c r="O1155" i="6"/>
  <c r="U1155" i="6" s="1"/>
  <c r="N1155" i="6"/>
  <c r="V1154" i="6"/>
  <c r="T1154" i="6"/>
  <c r="S1154" i="6"/>
  <c r="R1154" i="6"/>
  <c r="Q1154" i="6"/>
  <c r="P1154" i="6"/>
  <c r="O1154" i="6"/>
  <c r="U1154" i="6" s="1"/>
  <c r="N1154" i="6"/>
  <c r="V1153" i="6"/>
  <c r="T1153" i="6"/>
  <c r="S1153" i="6"/>
  <c r="R1153" i="6"/>
  <c r="Q1153" i="6"/>
  <c r="P1153" i="6"/>
  <c r="O1153" i="6"/>
  <c r="U1153" i="6" s="1"/>
  <c r="N1153" i="6"/>
  <c r="V1152" i="6"/>
  <c r="T1152" i="6"/>
  <c r="S1152" i="6"/>
  <c r="R1152" i="6"/>
  <c r="Q1152" i="6"/>
  <c r="P1152" i="6"/>
  <c r="O1152" i="6"/>
  <c r="U1152" i="6" s="1"/>
  <c r="N1152" i="6"/>
  <c r="V1151" i="6"/>
  <c r="T1151" i="6"/>
  <c r="S1151" i="6"/>
  <c r="R1151" i="6"/>
  <c r="Q1151" i="6"/>
  <c r="P1151" i="6"/>
  <c r="O1151" i="6"/>
  <c r="U1151" i="6" s="1"/>
  <c r="N1151" i="6"/>
  <c r="V1150" i="6"/>
  <c r="T1150" i="6"/>
  <c r="S1150" i="6"/>
  <c r="R1150" i="6"/>
  <c r="Q1150" i="6"/>
  <c r="P1150" i="6"/>
  <c r="O1150" i="6"/>
  <c r="U1150" i="6" s="1"/>
  <c r="N1150" i="6"/>
  <c r="V1149" i="6"/>
  <c r="T1149" i="6"/>
  <c r="S1149" i="6"/>
  <c r="R1149" i="6"/>
  <c r="Q1149" i="6"/>
  <c r="P1149" i="6"/>
  <c r="O1149" i="6"/>
  <c r="U1149" i="6" s="1"/>
  <c r="N1149" i="6"/>
  <c r="V1148" i="6"/>
  <c r="T1148" i="6"/>
  <c r="S1148" i="6"/>
  <c r="R1148" i="6"/>
  <c r="Q1148" i="6"/>
  <c r="P1148" i="6"/>
  <c r="O1148" i="6"/>
  <c r="U1148" i="6" s="1"/>
  <c r="N1148" i="6"/>
  <c r="V1147" i="6"/>
  <c r="T1147" i="6"/>
  <c r="S1147" i="6"/>
  <c r="R1147" i="6"/>
  <c r="Q1147" i="6"/>
  <c r="P1147" i="6"/>
  <c r="O1147" i="6"/>
  <c r="U1147" i="6" s="1"/>
  <c r="N1147" i="6"/>
  <c r="V1146" i="6"/>
  <c r="T1146" i="6"/>
  <c r="S1146" i="6"/>
  <c r="R1146" i="6"/>
  <c r="Q1146" i="6"/>
  <c r="P1146" i="6"/>
  <c r="O1146" i="6"/>
  <c r="U1146" i="6" s="1"/>
  <c r="N1146" i="6"/>
  <c r="V1145" i="6"/>
  <c r="T1145" i="6"/>
  <c r="S1145" i="6"/>
  <c r="R1145" i="6"/>
  <c r="Q1145" i="6"/>
  <c r="P1145" i="6"/>
  <c r="O1145" i="6"/>
  <c r="U1145" i="6" s="1"/>
  <c r="N1145" i="6"/>
  <c r="V1144" i="6"/>
  <c r="T1144" i="6"/>
  <c r="S1144" i="6"/>
  <c r="R1144" i="6"/>
  <c r="Q1144" i="6"/>
  <c r="P1144" i="6"/>
  <c r="O1144" i="6"/>
  <c r="U1144" i="6" s="1"/>
  <c r="N1144" i="6"/>
  <c r="V1143" i="6"/>
  <c r="T1143" i="6"/>
  <c r="S1143" i="6"/>
  <c r="R1143" i="6"/>
  <c r="Q1143" i="6"/>
  <c r="P1143" i="6"/>
  <c r="O1143" i="6"/>
  <c r="U1143" i="6" s="1"/>
  <c r="N1143" i="6"/>
  <c r="V1142" i="6"/>
  <c r="T1142" i="6"/>
  <c r="S1142" i="6"/>
  <c r="R1142" i="6"/>
  <c r="Q1142" i="6"/>
  <c r="P1142" i="6"/>
  <c r="O1142" i="6"/>
  <c r="U1142" i="6" s="1"/>
  <c r="N1142" i="6"/>
  <c r="V1141" i="6"/>
  <c r="T1141" i="6"/>
  <c r="S1141" i="6"/>
  <c r="R1141" i="6"/>
  <c r="Q1141" i="6"/>
  <c r="P1141" i="6"/>
  <c r="O1141" i="6"/>
  <c r="U1141" i="6" s="1"/>
  <c r="N1141" i="6"/>
  <c r="V1140" i="6"/>
  <c r="T1140" i="6"/>
  <c r="S1140" i="6"/>
  <c r="R1140" i="6"/>
  <c r="Q1140" i="6"/>
  <c r="P1140" i="6"/>
  <c r="O1140" i="6"/>
  <c r="U1140" i="6" s="1"/>
  <c r="N1140" i="6"/>
  <c r="V1139" i="6"/>
  <c r="T1139" i="6"/>
  <c r="S1139" i="6"/>
  <c r="R1139" i="6"/>
  <c r="Q1139" i="6"/>
  <c r="P1139" i="6"/>
  <c r="O1139" i="6"/>
  <c r="U1139" i="6" s="1"/>
  <c r="N1139" i="6"/>
  <c r="V1138" i="6"/>
  <c r="T1138" i="6"/>
  <c r="S1138" i="6"/>
  <c r="R1138" i="6"/>
  <c r="Q1138" i="6"/>
  <c r="P1138" i="6"/>
  <c r="O1138" i="6"/>
  <c r="U1138" i="6" s="1"/>
  <c r="N1138" i="6"/>
  <c r="V1137" i="6"/>
  <c r="T1137" i="6"/>
  <c r="S1137" i="6"/>
  <c r="R1137" i="6"/>
  <c r="Q1137" i="6"/>
  <c r="P1137" i="6"/>
  <c r="O1137" i="6"/>
  <c r="U1137" i="6" s="1"/>
  <c r="N1137" i="6"/>
  <c r="V1136" i="6"/>
  <c r="T1136" i="6"/>
  <c r="S1136" i="6"/>
  <c r="R1136" i="6"/>
  <c r="Q1136" i="6"/>
  <c r="P1136" i="6"/>
  <c r="O1136" i="6"/>
  <c r="U1136" i="6" s="1"/>
  <c r="N1136" i="6"/>
  <c r="V1135" i="6"/>
  <c r="T1135" i="6"/>
  <c r="S1135" i="6"/>
  <c r="R1135" i="6"/>
  <c r="Q1135" i="6"/>
  <c r="P1135" i="6"/>
  <c r="O1135" i="6"/>
  <c r="U1135" i="6" s="1"/>
  <c r="N1135" i="6"/>
  <c r="V1134" i="6"/>
  <c r="T1134" i="6"/>
  <c r="S1134" i="6"/>
  <c r="R1134" i="6"/>
  <c r="Q1134" i="6"/>
  <c r="P1134" i="6"/>
  <c r="O1134" i="6"/>
  <c r="U1134" i="6" s="1"/>
  <c r="N1134" i="6"/>
  <c r="V1133" i="6"/>
  <c r="T1133" i="6"/>
  <c r="S1133" i="6"/>
  <c r="R1133" i="6"/>
  <c r="Q1133" i="6"/>
  <c r="P1133" i="6"/>
  <c r="O1133" i="6"/>
  <c r="U1133" i="6" s="1"/>
  <c r="N1133" i="6"/>
  <c r="V1132" i="6"/>
  <c r="T1132" i="6"/>
  <c r="S1132" i="6"/>
  <c r="R1132" i="6"/>
  <c r="Q1132" i="6"/>
  <c r="P1132" i="6"/>
  <c r="O1132" i="6"/>
  <c r="U1132" i="6" s="1"/>
  <c r="N1132" i="6"/>
  <c r="V1131" i="6"/>
  <c r="T1131" i="6"/>
  <c r="S1131" i="6"/>
  <c r="R1131" i="6"/>
  <c r="Q1131" i="6"/>
  <c r="P1131" i="6"/>
  <c r="O1131" i="6"/>
  <c r="U1131" i="6" s="1"/>
  <c r="N1131" i="6"/>
  <c r="V1130" i="6"/>
  <c r="T1130" i="6"/>
  <c r="S1130" i="6"/>
  <c r="R1130" i="6"/>
  <c r="Q1130" i="6"/>
  <c r="P1130" i="6"/>
  <c r="O1130" i="6"/>
  <c r="U1130" i="6" s="1"/>
  <c r="N1130" i="6"/>
  <c r="V1129" i="6"/>
  <c r="T1129" i="6"/>
  <c r="S1129" i="6"/>
  <c r="R1129" i="6"/>
  <c r="Q1129" i="6"/>
  <c r="P1129" i="6"/>
  <c r="O1129" i="6"/>
  <c r="U1129" i="6" s="1"/>
  <c r="N1129" i="6"/>
  <c r="V1128" i="6"/>
  <c r="T1128" i="6"/>
  <c r="S1128" i="6"/>
  <c r="R1128" i="6"/>
  <c r="Q1128" i="6"/>
  <c r="P1128" i="6"/>
  <c r="O1128" i="6"/>
  <c r="U1128" i="6" s="1"/>
  <c r="N1128" i="6"/>
  <c r="V1127" i="6"/>
  <c r="T1127" i="6"/>
  <c r="S1127" i="6"/>
  <c r="R1127" i="6"/>
  <c r="Q1127" i="6"/>
  <c r="P1127" i="6"/>
  <c r="O1127" i="6"/>
  <c r="U1127" i="6" s="1"/>
  <c r="N1127" i="6"/>
  <c r="V1126" i="6"/>
  <c r="T1126" i="6"/>
  <c r="S1126" i="6"/>
  <c r="R1126" i="6"/>
  <c r="Q1126" i="6"/>
  <c r="P1126" i="6"/>
  <c r="O1126" i="6"/>
  <c r="U1126" i="6" s="1"/>
  <c r="N1126" i="6"/>
  <c r="V1125" i="6"/>
  <c r="T1125" i="6"/>
  <c r="S1125" i="6"/>
  <c r="R1125" i="6"/>
  <c r="Q1125" i="6"/>
  <c r="P1125" i="6"/>
  <c r="O1125" i="6"/>
  <c r="U1125" i="6" s="1"/>
  <c r="N1125" i="6"/>
  <c r="V1124" i="6"/>
  <c r="T1124" i="6"/>
  <c r="S1124" i="6"/>
  <c r="R1124" i="6"/>
  <c r="Q1124" i="6"/>
  <c r="P1124" i="6"/>
  <c r="O1124" i="6"/>
  <c r="U1124" i="6" s="1"/>
  <c r="N1124" i="6"/>
  <c r="V1123" i="6"/>
  <c r="T1123" i="6"/>
  <c r="S1123" i="6"/>
  <c r="R1123" i="6"/>
  <c r="Q1123" i="6"/>
  <c r="P1123" i="6"/>
  <c r="O1123" i="6"/>
  <c r="U1123" i="6" s="1"/>
  <c r="N1123" i="6"/>
  <c r="V1122" i="6"/>
  <c r="T1122" i="6"/>
  <c r="S1122" i="6"/>
  <c r="R1122" i="6"/>
  <c r="Q1122" i="6"/>
  <c r="P1122" i="6"/>
  <c r="O1122" i="6"/>
  <c r="U1122" i="6" s="1"/>
  <c r="N1122" i="6"/>
  <c r="V1121" i="6"/>
  <c r="T1121" i="6"/>
  <c r="S1121" i="6"/>
  <c r="R1121" i="6"/>
  <c r="Q1121" i="6"/>
  <c r="P1121" i="6"/>
  <c r="O1121" i="6"/>
  <c r="U1121" i="6" s="1"/>
  <c r="N1121" i="6"/>
  <c r="V1120" i="6"/>
  <c r="T1120" i="6"/>
  <c r="S1120" i="6"/>
  <c r="R1120" i="6"/>
  <c r="Q1120" i="6"/>
  <c r="P1120" i="6"/>
  <c r="O1120" i="6"/>
  <c r="U1120" i="6" s="1"/>
  <c r="N1120" i="6"/>
  <c r="V1119" i="6"/>
  <c r="T1119" i="6"/>
  <c r="S1119" i="6"/>
  <c r="R1119" i="6"/>
  <c r="Q1119" i="6"/>
  <c r="P1119" i="6"/>
  <c r="O1119" i="6"/>
  <c r="U1119" i="6" s="1"/>
  <c r="N1119" i="6"/>
  <c r="V1118" i="6"/>
  <c r="T1118" i="6"/>
  <c r="S1118" i="6"/>
  <c r="R1118" i="6"/>
  <c r="Q1118" i="6"/>
  <c r="P1118" i="6"/>
  <c r="O1118" i="6"/>
  <c r="U1118" i="6" s="1"/>
  <c r="N1118" i="6"/>
  <c r="V1117" i="6"/>
  <c r="T1117" i="6"/>
  <c r="S1117" i="6"/>
  <c r="R1117" i="6"/>
  <c r="Q1117" i="6"/>
  <c r="P1117" i="6"/>
  <c r="O1117" i="6"/>
  <c r="U1117" i="6" s="1"/>
  <c r="N1117" i="6"/>
  <c r="V1116" i="6"/>
  <c r="T1116" i="6"/>
  <c r="S1116" i="6"/>
  <c r="R1116" i="6"/>
  <c r="Q1116" i="6"/>
  <c r="P1116" i="6"/>
  <c r="O1116" i="6"/>
  <c r="U1116" i="6" s="1"/>
  <c r="N1116" i="6"/>
  <c r="V1115" i="6"/>
  <c r="T1115" i="6"/>
  <c r="S1115" i="6"/>
  <c r="R1115" i="6"/>
  <c r="Q1115" i="6"/>
  <c r="P1115" i="6"/>
  <c r="O1115" i="6"/>
  <c r="U1115" i="6" s="1"/>
  <c r="N1115" i="6"/>
  <c r="V1114" i="6"/>
  <c r="T1114" i="6"/>
  <c r="S1114" i="6"/>
  <c r="R1114" i="6"/>
  <c r="Q1114" i="6"/>
  <c r="P1114" i="6"/>
  <c r="O1114" i="6"/>
  <c r="U1114" i="6" s="1"/>
  <c r="N1114" i="6"/>
  <c r="V1113" i="6"/>
  <c r="T1113" i="6"/>
  <c r="S1113" i="6"/>
  <c r="R1113" i="6"/>
  <c r="Q1113" i="6"/>
  <c r="P1113" i="6"/>
  <c r="O1113" i="6"/>
  <c r="U1113" i="6" s="1"/>
  <c r="N1113" i="6"/>
  <c r="V1112" i="6"/>
  <c r="T1112" i="6"/>
  <c r="S1112" i="6"/>
  <c r="R1112" i="6"/>
  <c r="Q1112" i="6"/>
  <c r="P1112" i="6"/>
  <c r="O1112" i="6"/>
  <c r="U1112" i="6" s="1"/>
  <c r="N1112" i="6"/>
  <c r="V1111" i="6"/>
  <c r="T1111" i="6"/>
  <c r="S1111" i="6"/>
  <c r="R1111" i="6"/>
  <c r="Q1111" i="6"/>
  <c r="P1111" i="6"/>
  <c r="O1111" i="6"/>
  <c r="U1111" i="6" s="1"/>
  <c r="N1111" i="6"/>
  <c r="V1110" i="6"/>
  <c r="T1110" i="6"/>
  <c r="S1110" i="6"/>
  <c r="R1110" i="6"/>
  <c r="Q1110" i="6"/>
  <c r="P1110" i="6"/>
  <c r="O1110" i="6"/>
  <c r="U1110" i="6" s="1"/>
  <c r="N1110" i="6"/>
  <c r="V1109" i="6"/>
  <c r="T1109" i="6"/>
  <c r="S1109" i="6"/>
  <c r="R1109" i="6"/>
  <c r="Q1109" i="6"/>
  <c r="P1109" i="6"/>
  <c r="O1109" i="6"/>
  <c r="U1109" i="6" s="1"/>
  <c r="N1109" i="6"/>
  <c r="V1108" i="6"/>
  <c r="T1108" i="6"/>
  <c r="S1108" i="6"/>
  <c r="R1108" i="6"/>
  <c r="Q1108" i="6"/>
  <c r="P1108" i="6"/>
  <c r="O1108" i="6"/>
  <c r="U1108" i="6" s="1"/>
  <c r="N1108" i="6"/>
  <c r="V1107" i="6"/>
  <c r="T1107" i="6"/>
  <c r="S1107" i="6"/>
  <c r="R1107" i="6"/>
  <c r="Q1107" i="6"/>
  <c r="P1107" i="6"/>
  <c r="O1107" i="6"/>
  <c r="U1107" i="6" s="1"/>
  <c r="N1107" i="6"/>
  <c r="V1106" i="6"/>
  <c r="T1106" i="6"/>
  <c r="S1106" i="6"/>
  <c r="R1106" i="6"/>
  <c r="Q1106" i="6"/>
  <c r="P1106" i="6"/>
  <c r="O1106" i="6"/>
  <c r="U1106" i="6" s="1"/>
  <c r="N1106" i="6"/>
  <c r="V1105" i="6"/>
  <c r="T1105" i="6"/>
  <c r="S1105" i="6"/>
  <c r="R1105" i="6"/>
  <c r="Q1105" i="6"/>
  <c r="P1105" i="6"/>
  <c r="O1105" i="6"/>
  <c r="U1105" i="6" s="1"/>
  <c r="N1105" i="6"/>
  <c r="V1104" i="6"/>
  <c r="T1104" i="6"/>
  <c r="S1104" i="6"/>
  <c r="R1104" i="6"/>
  <c r="Q1104" i="6"/>
  <c r="P1104" i="6"/>
  <c r="O1104" i="6"/>
  <c r="U1104" i="6" s="1"/>
  <c r="N1104" i="6"/>
  <c r="V1103" i="6"/>
  <c r="T1103" i="6"/>
  <c r="S1103" i="6"/>
  <c r="R1103" i="6"/>
  <c r="Q1103" i="6"/>
  <c r="P1103" i="6"/>
  <c r="O1103" i="6"/>
  <c r="U1103" i="6" s="1"/>
  <c r="N1103" i="6"/>
  <c r="V1102" i="6"/>
  <c r="T1102" i="6"/>
  <c r="S1102" i="6"/>
  <c r="R1102" i="6"/>
  <c r="Q1102" i="6"/>
  <c r="P1102" i="6"/>
  <c r="O1102" i="6"/>
  <c r="U1102" i="6" s="1"/>
  <c r="N1102" i="6"/>
  <c r="V1101" i="6"/>
  <c r="T1101" i="6"/>
  <c r="S1101" i="6"/>
  <c r="R1101" i="6"/>
  <c r="Q1101" i="6"/>
  <c r="P1101" i="6"/>
  <c r="O1101" i="6"/>
  <c r="U1101" i="6" s="1"/>
  <c r="N1101" i="6"/>
  <c r="V1100" i="6"/>
  <c r="T1100" i="6"/>
  <c r="S1100" i="6"/>
  <c r="R1100" i="6"/>
  <c r="Q1100" i="6"/>
  <c r="P1100" i="6"/>
  <c r="O1100" i="6"/>
  <c r="U1100" i="6" s="1"/>
  <c r="N1100" i="6"/>
  <c r="V1099" i="6"/>
  <c r="T1099" i="6"/>
  <c r="S1099" i="6"/>
  <c r="R1099" i="6"/>
  <c r="Q1099" i="6"/>
  <c r="P1099" i="6"/>
  <c r="O1099" i="6"/>
  <c r="U1099" i="6" s="1"/>
  <c r="N1099" i="6"/>
  <c r="V1098" i="6"/>
  <c r="T1098" i="6"/>
  <c r="S1098" i="6"/>
  <c r="R1098" i="6"/>
  <c r="Q1098" i="6"/>
  <c r="P1098" i="6"/>
  <c r="O1098" i="6"/>
  <c r="U1098" i="6" s="1"/>
  <c r="N1098" i="6"/>
  <c r="V1097" i="6"/>
  <c r="T1097" i="6"/>
  <c r="S1097" i="6"/>
  <c r="R1097" i="6"/>
  <c r="Q1097" i="6"/>
  <c r="P1097" i="6"/>
  <c r="O1097" i="6"/>
  <c r="U1097" i="6" s="1"/>
  <c r="N1097" i="6"/>
  <c r="V1096" i="6"/>
  <c r="T1096" i="6"/>
  <c r="S1096" i="6"/>
  <c r="R1096" i="6"/>
  <c r="Q1096" i="6"/>
  <c r="P1096" i="6"/>
  <c r="O1096" i="6"/>
  <c r="U1096" i="6" s="1"/>
  <c r="N1096" i="6"/>
  <c r="V1095" i="6"/>
  <c r="T1095" i="6"/>
  <c r="S1095" i="6"/>
  <c r="R1095" i="6"/>
  <c r="Q1095" i="6"/>
  <c r="P1095" i="6"/>
  <c r="O1095" i="6"/>
  <c r="U1095" i="6" s="1"/>
  <c r="N1095" i="6"/>
  <c r="V1094" i="6"/>
  <c r="T1094" i="6"/>
  <c r="S1094" i="6"/>
  <c r="R1094" i="6"/>
  <c r="Q1094" i="6"/>
  <c r="P1094" i="6"/>
  <c r="O1094" i="6"/>
  <c r="U1094" i="6" s="1"/>
  <c r="N1094" i="6"/>
  <c r="V1093" i="6"/>
  <c r="T1093" i="6"/>
  <c r="S1093" i="6"/>
  <c r="R1093" i="6"/>
  <c r="Q1093" i="6"/>
  <c r="P1093" i="6"/>
  <c r="O1093" i="6"/>
  <c r="U1093" i="6" s="1"/>
  <c r="N1093" i="6"/>
  <c r="V1092" i="6"/>
  <c r="T1092" i="6"/>
  <c r="S1092" i="6"/>
  <c r="R1092" i="6"/>
  <c r="Q1092" i="6"/>
  <c r="P1092" i="6"/>
  <c r="O1092" i="6"/>
  <c r="U1092" i="6" s="1"/>
  <c r="N1092" i="6"/>
  <c r="V1091" i="6"/>
  <c r="T1091" i="6"/>
  <c r="S1091" i="6"/>
  <c r="R1091" i="6"/>
  <c r="Q1091" i="6"/>
  <c r="P1091" i="6"/>
  <c r="O1091" i="6"/>
  <c r="U1091" i="6" s="1"/>
  <c r="N1091" i="6"/>
  <c r="V1090" i="6"/>
  <c r="T1090" i="6"/>
  <c r="S1090" i="6"/>
  <c r="R1090" i="6"/>
  <c r="Q1090" i="6"/>
  <c r="P1090" i="6"/>
  <c r="O1090" i="6"/>
  <c r="U1090" i="6" s="1"/>
  <c r="N1090" i="6"/>
  <c r="V1089" i="6"/>
  <c r="T1089" i="6"/>
  <c r="S1089" i="6"/>
  <c r="R1089" i="6"/>
  <c r="Q1089" i="6"/>
  <c r="P1089" i="6"/>
  <c r="O1089" i="6"/>
  <c r="U1089" i="6" s="1"/>
  <c r="N1089" i="6"/>
  <c r="V1088" i="6"/>
  <c r="T1088" i="6"/>
  <c r="S1088" i="6"/>
  <c r="R1088" i="6"/>
  <c r="Q1088" i="6"/>
  <c r="P1088" i="6"/>
  <c r="O1088" i="6"/>
  <c r="U1088" i="6" s="1"/>
  <c r="N1088" i="6"/>
  <c r="V1087" i="6"/>
  <c r="T1087" i="6"/>
  <c r="S1087" i="6"/>
  <c r="R1087" i="6"/>
  <c r="Q1087" i="6"/>
  <c r="P1087" i="6"/>
  <c r="O1087" i="6"/>
  <c r="U1087" i="6" s="1"/>
  <c r="N1087" i="6"/>
  <c r="V1086" i="6"/>
  <c r="T1086" i="6"/>
  <c r="S1086" i="6"/>
  <c r="R1086" i="6"/>
  <c r="Q1086" i="6"/>
  <c r="P1086" i="6"/>
  <c r="O1086" i="6"/>
  <c r="U1086" i="6" s="1"/>
  <c r="N1086" i="6"/>
  <c r="V1085" i="6"/>
  <c r="T1085" i="6"/>
  <c r="S1085" i="6"/>
  <c r="R1085" i="6"/>
  <c r="Q1085" i="6"/>
  <c r="P1085" i="6"/>
  <c r="O1085" i="6"/>
  <c r="U1085" i="6" s="1"/>
  <c r="N1085" i="6"/>
  <c r="V1084" i="6"/>
  <c r="T1084" i="6"/>
  <c r="S1084" i="6"/>
  <c r="R1084" i="6"/>
  <c r="Q1084" i="6"/>
  <c r="P1084" i="6"/>
  <c r="O1084" i="6"/>
  <c r="U1084" i="6" s="1"/>
  <c r="N1084" i="6"/>
  <c r="V1083" i="6"/>
  <c r="T1083" i="6"/>
  <c r="S1083" i="6"/>
  <c r="R1083" i="6"/>
  <c r="Q1083" i="6"/>
  <c r="P1083" i="6"/>
  <c r="O1083" i="6"/>
  <c r="U1083" i="6" s="1"/>
  <c r="N1083" i="6"/>
  <c r="V1082" i="6"/>
  <c r="T1082" i="6"/>
  <c r="S1082" i="6"/>
  <c r="R1082" i="6"/>
  <c r="Q1082" i="6"/>
  <c r="P1082" i="6"/>
  <c r="O1082" i="6"/>
  <c r="U1082" i="6" s="1"/>
  <c r="N1082" i="6"/>
  <c r="V1081" i="6"/>
  <c r="T1081" i="6"/>
  <c r="S1081" i="6"/>
  <c r="R1081" i="6"/>
  <c r="Q1081" i="6"/>
  <c r="P1081" i="6"/>
  <c r="O1081" i="6"/>
  <c r="U1081" i="6" s="1"/>
  <c r="N1081" i="6"/>
  <c r="V1080" i="6"/>
  <c r="T1080" i="6"/>
  <c r="S1080" i="6"/>
  <c r="R1080" i="6"/>
  <c r="Q1080" i="6"/>
  <c r="P1080" i="6"/>
  <c r="O1080" i="6"/>
  <c r="U1080" i="6" s="1"/>
  <c r="N1080" i="6"/>
  <c r="V1079" i="6"/>
  <c r="T1079" i="6"/>
  <c r="S1079" i="6"/>
  <c r="R1079" i="6"/>
  <c r="Q1079" i="6"/>
  <c r="P1079" i="6"/>
  <c r="O1079" i="6"/>
  <c r="U1079" i="6" s="1"/>
  <c r="N1079" i="6"/>
  <c r="V1078" i="6"/>
  <c r="T1078" i="6"/>
  <c r="S1078" i="6"/>
  <c r="R1078" i="6"/>
  <c r="Q1078" i="6"/>
  <c r="P1078" i="6"/>
  <c r="O1078" i="6"/>
  <c r="U1078" i="6" s="1"/>
  <c r="N1078" i="6"/>
  <c r="V1077" i="6"/>
  <c r="T1077" i="6"/>
  <c r="S1077" i="6"/>
  <c r="R1077" i="6"/>
  <c r="Q1077" i="6"/>
  <c r="P1077" i="6"/>
  <c r="O1077" i="6"/>
  <c r="U1077" i="6" s="1"/>
  <c r="N1077" i="6"/>
  <c r="V1076" i="6"/>
  <c r="T1076" i="6"/>
  <c r="S1076" i="6"/>
  <c r="R1076" i="6"/>
  <c r="Q1076" i="6"/>
  <c r="P1076" i="6"/>
  <c r="O1076" i="6"/>
  <c r="U1076" i="6" s="1"/>
  <c r="N1076" i="6"/>
  <c r="V1075" i="6"/>
  <c r="T1075" i="6"/>
  <c r="S1075" i="6"/>
  <c r="R1075" i="6"/>
  <c r="Q1075" i="6"/>
  <c r="P1075" i="6"/>
  <c r="O1075" i="6"/>
  <c r="U1075" i="6" s="1"/>
  <c r="N1075" i="6"/>
  <c r="V1074" i="6"/>
  <c r="T1074" i="6"/>
  <c r="S1074" i="6"/>
  <c r="R1074" i="6"/>
  <c r="Q1074" i="6"/>
  <c r="P1074" i="6"/>
  <c r="O1074" i="6"/>
  <c r="U1074" i="6" s="1"/>
  <c r="N1074" i="6"/>
  <c r="V1073" i="6"/>
  <c r="T1073" i="6"/>
  <c r="S1073" i="6"/>
  <c r="R1073" i="6"/>
  <c r="Q1073" i="6"/>
  <c r="P1073" i="6"/>
  <c r="O1073" i="6"/>
  <c r="U1073" i="6" s="1"/>
  <c r="N1073" i="6"/>
  <c r="V1072" i="6"/>
  <c r="T1072" i="6"/>
  <c r="S1072" i="6"/>
  <c r="R1072" i="6"/>
  <c r="Q1072" i="6"/>
  <c r="P1072" i="6"/>
  <c r="O1072" i="6"/>
  <c r="U1072" i="6" s="1"/>
  <c r="N1072" i="6"/>
  <c r="V1071" i="6"/>
  <c r="T1071" i="6"/>
  <c r="S1071" i="6"/>
  <c r="R1071" i="6"/>
  <c r="Q1071" i="6"/>
  <c r="P1071" i="6"/>
  <c r="O1071" i="6"/>
  <c r="U1071" i="6" s="1"/>
  <c r="N1071" i="6"/>
  <c r="V1070" i="6"/>
  <c r="T1070" i="6"/>
  <c r="S1070" i="6"/>
  <c r="R1070" i="6"/>
  <c r="Q1070" i="6"/>
  <c r="P1070" i="6"/>
  <c r="O1070" i="6"/>
  <c r="U1070" i="6" s="1"/>
  <c r="N1070" i="6"/>
  <c r="V1069" i="6"/>
  <c r="T1069" i="6"/>
  <c r="S1069" i="6"/>
  <c r="R1069" i="6"/>
  <c r="Q1069" i="6"/>
  <c r="P1069" i="6"/>
  <c r="O1069" i="6"/>
  <c r="U1069" i="6" s="1"/>
  <c r="N1069" i="6"/>
  <c r="V1068" i="6"/>
  <c r="T1068" i="6"/>
  <c r="S1068" i="6"/>
  <c r="R1068" i="6"/>
  <c r="Q1068" i="6"/>
  <c r="P1068" i="6"/>
  <c r="O1068" i="6"/>
  <c r="U1068" i="6" s="1"/>
  <c r="N1068" i="6"/>
  <c r="V1067" i="6"/>
  <c r="T1067" i="6"/>
  <c r="S1067" i="6"/>
  <c r="R1067" i="6"/>
  <c r="Q1067" i="6"/>
  <c r="P1067" i="6"/>
  <c r="O1067" i="6"/>
  <c r="U1067" i="6" s="1"/>
  <c r="N1067" i="6"/>
  <c r="V1066" i="6"/>
  <c r="T1066" i="6"/>
  <c r="S1066" i="6"/>
  <c r="R1066" i="6"/>
  <c r="Q1066" i="6"/>
  <c r="P1066" i="6"/>
  <c r="O1066" i="6"/>
  <c r="U1066" i="6" s="1"/>
  <c r="N1066" i="6"/>
  <c r="V1065" i="6"/>
  <c r="T1065" i="6"/>
  <c r="S1065" i="6"/>
  <c r="R1065" i="6"/>
  <c r="Q1065" i="6"/>
  <c r="P1065" i="6"/>
  <c r="O1065" i="6"/>
  <c r="U1065" i="6" s="1"/>
  <c r="N1065" i="6"/>
  <c r="V1064" i="6"/>
  <c r="T1064" i="6"/>
  <c r="S1064" i="6"/>
  <c r="R1064" i="6"/>
  <c r="Q1064" i="6"/>
  <c r="P1064" i="6"/>
  <c r="O1064" i="6"/>
  <c r="U1064" i="6" s="1"/>
  <c r="N1064" i="6"/>
  <c r="V1063" i="6"/>
  <c r="T1063" i="6"/>
  <c r="S1063" i="6"/>
  <c r="R1063" i="6"/>
  <c r="Q1063" i="6"/>
  <c r="P1063" i="6"/>
  <c r="O1063" i="6"/>
  <c r="U1063" i="6" s="1"/>
  <c r="N1063" i="6"/>
  <c r="V1062" i="6"/>
  <c r="T1062" i="6"/>
  <c r="S1062" i="6"/>
  <c r="R1062" i="6"/>
  <c r="Q1062" i="6"/>
  <c r="P1062" i="6"/>
  <c r="O1062" i="6"/>
  <c r="U1062" i="6" s="1"/>
  <c r="N1062" i="6"/>
  <c r="V1061" i="6"/>
  <c r="T1061" i="6"/>
  <c r="S1061" i="6"/>
  <c r="R1061" i="6"/>
  <c r="Q1061" i="6"/>
  <c r="P1061" i="6"/>
  <c r="O1061" i="6"/>
  <c r="U1061" i="6" s="1"/>
  <c r="N1061" i="6"/>
  <c r="V1060" i="6"/>
  <c r="T1060" i="6"/>
  <c r="S1060" i="6"/>
  <c r="R1060" i="6"/>
  <c r="Q1060" i="6"/>
  <c r="P1060" i="6"/>
  <c r="O1060" i="6"/>
  <c r="U1060" i="6" s="1"/>
  <c r="N1060" i="6"/>
  <c r="V1059" i="6"/>
  <c r="T1059" i="6"/>
  <c r="S1059" i="6"/>
  <c r="R1059" i="6"/>
  <c r="Q1059" i="6"/>
  <c r="P1059" i="6"/>
  <c r="O1059" i="6"/>
  <c r="U1059" i="6" s="1"/>
  <c r="N1059" i="6"/>
  <c r="V1058" i="6"/>
  <c r="T1058" i="6"/>
  <c r="S1058" i="6"/>
  <c r="R1058" i="6"/>
  <c r="Q1058" i="6"/>
  <c r="P1058" i="6"/>
  <c r="O1058" i="6"/>
  <c r="U1058" i="6" s="1"/>
  <c r="N1058" i="6"/>
  <c r="V1057" i="6"/>
  <c r="T1057" i="6"/>
  <c r="S1057" i="6"/>
  <c r="R1057" i="6"/>
  <c r="Q1057" i="6"/>
  <c r="P1057" i="6"/>
  <c r="O1057" i="6"/>
  <c r="U1057" i="6" s="1"/>
  <c r="N1057" i="6"/>
  <c r="V1056" i="6"/>
  <c r="T1056" i="6"/>
  <c r="S1056" i="6"/>
  <c r="R1056" i="6"/>
  <c r="Q1056" i="6"/>
  <c r="P1056" i="6"/>
  <c r="O1056" i="6"/>
  <c r="U1056" i="6" s="1"/>
  <c r="N1056" i="6"/>
  <c r="V1055" i="6"/>
  <c r="T1055" i="6"/>
  <c r="S1055" i="6"/>
  <c r="R1055" i="6"/>
  <c r="Q1055" i="6"/>
  <c r="P1055" i="6"/>
  <c r="O1055" i="6"/>
  <c r="U1055" i="6" s="1"/>
  <c r="N1055" i="6"/>
  <c r="V1054" i="6"/>
  <c r="T1054" i="6"/>
  <c r="S1054" i="6"/>
  <c r="R1054" i="6"/>
  <c r="Q1054" i="6"/>
  <c r="P1054" i="6"/>
  <c r="O1054" i="6"/>
  <c r="U1054" i="6" s="1"/>
  <c r="N1054" i="6"/>
  <c r="V1053" i="6"/>
  <c r="T1053" i="6"/>
  <c r="S1053" i="6"/>
  <c r="R1053" i="6"/>
  <c r="Q1053" i="6"/>
  <c r="P1053" i="6"/>
  <c r="O1053" i="6"/>
  <c r="U1053" i="6" s="1"/>
  <c r="N1053" i="6"/>
  <c r="V1052" i="6"/>
  <c r="T1052" i="6"/>
  <c r="S1052" i="6"/>
  <c r="R1052" i="6"/>
  <c r="Q1052" i="6"/>
  <c r="P1052" i="6"/>
  <c r="O1052" i="6"/>
  <c r="U1052" i="6" s="1"/>
  <c r="N1052" i="6"/>
  <c r="V1051" i="6"/>
  <c r="T1051" i="6"/>
  <c r="S1051" i="6"/>
  <c r="R1051" i="6"/>
  <c r="Q1051" i="6"/>
  <c r="P1051" i="6"/>
  <c r="O1051" i="6"/>
  <c r="U1051" i="6" s="1"/>
  <c r="N1051" i="6"/>
  <c r="V1050" i="6"/>
  <c r="T1050" i="6"/>
  <c r="S1050" i="6"/>
  <c r="R1050" i="6"/>
  <c r="Q1050" i="6"/>
  <c r="P1050" i="6"/>
  <c r="O1050" i="6"/>
  <c r="U1050" i="6" s="1"/>
  <c r="N1050" i="6"/>
  <c r="V1049" i="6"/>
  <c r="T1049" i="6"/>
  <c r="S1049" i="6"/>
  <c r="R1049" i="6"/>
  <c r="Q1049" i="6"/>
  <c r="P1049" i="6"/>
  <c r="O1049" i="6"/>
  <c r="U1049" i="6" s="1"/>
  <c r="N1049" i="6"/>
  <c r="V1048" i="6"/>
  <c r="T1048" i="6"/>
  <c r="S1048" i="6"/>
  <c r="R1048" i="6"/>
  <c r="Q1048" i="6"/>
  <c r="P1048" i="6"/>
  <c r="O1048" i="6"/>
  <c r="U1048" i="6" s="1"/>
  <c r="N1048" i="6"/>
  <c r="V1047" i="6"/>
  <c r="T1047" i="6"/>
  <c r="S1047" i="6"/>
  <c r="R1047" i="6"/>
  <c r="Q1047" i="6"/>
  <c r="P1047" i="6"/>
  <c r="O1047" i="6"/>
  <c r="U1047" i="6" s="1"/>
  <c r="N1047" i="6"/>
  <c r="V1046" i="6"/>
  <c r="T1046" i="6"/>
  <c r="S1046" i="6"/>
  <c r="R1046" i="6"/>
  <c r="Q1046" i="6"/>
  <c r="P1046" i="6"/>
  <c r="O1046" i="6"/>
  <c r="U1046" i="6" s="1"/>
  <c r="N1046" i="6"/>
  <c r="V1045" i="6"/>
  <c r="T1045" i="6"/>
  <c r="S1045" i="6"/>
  <c r="R1045" i="6"/>
  <c r="Q1045" i="6"/>
  <c r="P1045" i="6"/>
  <c r="O1045" i="6"/>
  <c r="U1045" i="6" s="1"/>
  <c r="N1045" i="6"/>
  <c r="V1044" i="6"/>
  <c r="T1044" i="6"/>
  <c r="S1044" i="6"/>
  <c r="R1044" i="6"/>
  <c r="Q1044" i="6"/>
  <c r="P1044" i="6"/>
  <c r="O1044" i="6"/>
  <c r="U1044" i="6" s="1"/>
  <c r="N1044" i="6"/>
  <c r="V1043" i="6"/>
  <c r="T1043" i="6"/>
  <c r="S1043" i="6"/>
  <c r="R1043" i="6"/>
  <c r="Q1043" i="6"/>
  <c r="P1043" i="6"/>
  <c r="O1043" i="6"/>
  <c r="U1043" i="6" s="1"/>
  <c r="N1043" i="6"/>
  <c r="V1042" i="6"/>
  <c r="T1042" i="6"/>
  <c r="S1042" i="6"/>
  <c r="R1042" i="6"/>
  <c r="Q1042" i="6"/>
  <c r="P1042" i="6"/>
  <c r="O1042" i="6"/>
  <c r="U1042" i="6" s="1"/>
  <c r="N1042" i="6"/>
  <c r="V1041" i="6"/>
  <c r="T1041" i="6"/>
  <c r="S1041" i="6"/>
  <c r="R1041" i="6"/>
  <c r="Q1041" i="6"/>
  <c r="P1041" i="6"/>
  <c r="O1041" i="6"/>
  <c r="U1041" i="6" s="1"/>
  <c r="N1041" i="6"/>
  <c r="V1040" i="6"/>
  <c r="T1040" i="6"/>
  <c r="S1040" i="6"/>
  <c r="R1040" i="6"/>
  <c r="Q1040" i="6"/>
  <c r="P1040" i="6"/>
  <c r="O1040" i="6"/>
  <c r="U1040" i="6" s="1"/>
  <c r="N1040" i="6"/>
  <c r="V1039" i="6"/>
  <c r="T1039" i="6"/>
  <c r="S1039" i="6"/>
  <c r="R1039" i="6"/>
  <c r="Q1039" i="6"/>
  <c r="P1039" i="6"/>
  <c r="O1039" i="6"/>
  <c r="U1039" i="6" s="1"/>
  <c r="N1039" i="6"/>
  <c r="V1038" i="6"/>
  <c r="T1038" i="6"/>
  <c r="S1038" i="6"/>
  <c r="R1038" i="6"/>
  <c r="Q1038" i="6"/>
  <c r="P1038" i="6"/>
  <c r="O1038" i="6"/>
  <c r="U1038" i="6" s="1"/>
  <c r="N1038" i="6"/>
  <c r="V1037" i="6"/>
  <c r="T1037" i="6"/>
  <c r="S1037" i="6"/>
  <c r="R1037" i="6"/>
  <c r="Q1037" i="6"/>
  <c r="P1037" i="6"/>
  <c r="O1037" i="6"/>
  <c r="U1037" i="6" s="1"/>
  <c r="N1037" i="6"/>
  <c r="V1036" i="6"/>
  <c r="T1036" i="6"/>
  <c r="S1036" i="6"/>
  <c r="R1036" i="6"/>
  <c r="Q1036" i="6"/>
  <c r="P1036" i="6"/>
  <c r="O1036" i="6"/>
  <c r="U1036" i="6" s="1"/>
  <c r="N1036" i="6"/>
  <c r="V1035" i="6"/>
  <c r="T1035" i="6"/>
  <c r="S1035" i="6"/>
  <c r="R1035" i="6"/>
  <c r="Q1035" i="6"/>
  <c r="P1035" i="6"/>
  <c r="O1035" i="6"/>
  <c r="U1035" i="6" s="1"/>
  <c r="N1035" i="6"/>
  <c r="V1034" i="6"/>
  <c r="T1034" i="6"/>
  <c r="S1034" i="6"/>
  <c r="R1034" i="6"/>
  <c r="Q1034" i="6"/>
  <c r="P1034" i="6"/>
  <c r="O1034" i="6"/>
  <c r="U1034" i="6" s="1"/>
  <c r="N1034" i="6"/>
  <c r="V1033" i="6"/>
  <c r="T1033" i="6"/>
  <c r="S1033" i="6"/>
  <c r="R1033" i="6"/>
  <c r="Q1033" i="6"/>
  <c r="P1033" i="6"/>
  <c r="O1033" i="6"/>
  <c r="U1033" i="6" s="1"/>
  <c r="N1033" i="6"/>
  <c r="V1032" i="6"/>
  <c r="T1032" i="6"/>
  <c r="S1032" i="6"/>
  <c r="R1032" i="6"/>
  <c r="Q1032" i="6"/>
  <c r="P1032" i="6"/>
  <c r="O1032" i="6"/>
  <c r="U1032" i="6" s="1"/>
  <c r="N1032" i="6"/>
  <c r="V1031" i="6"/>
  <c r="T1031" i="6"/>
  <c r="S1031" i="6"/>
  <c r="R1031" i="6"/>
  <c r="Q1031" i="6"/>
  <c r="P1031" i="6"/>
  <c r="O1031" i="6"/>
  <c r="U1031" i="6" s="1"/>
  <c r="N1031" i="6"/>
  <c r="V1030" i="6"/>
  <c r="T1030" i="6"/>
  <c r="S1030" i="6"/>
  <c r="R1030" i="6"/>
  <c r="Q1030" i="6"/>
  <c r="P1030" i="6"/>
  <c r="O1030" i="6"/>
  <c r="U1030" i="6" s="1"/>
  <c r="N1030" i="6"/>
  <c r="V1029" i="6"/>
  <c r="T1029" i="6"/>
  <c r="S1029" i="6"/>
  <c r="R1029" i="6"/>
  <c r="Q1029" i="6"/>
  <c r="P1029" i="6"/>
  <c r="O1029" i="6"/>
  <c r="U1029" i="6" s="1"/>
  <c r="N1029" i="6"/>
  <c r="V1028" i="6"/>
  <c r="T1028" i="6"/>
  <c r="S1028" i="6"/>
  <c r="R1028" i="6"/>
  <c r="Q1028" i="6"/>
  <c r="P1028" i="6"/>
  <c r="O1028" i="6"/>
  <c r="U1028" i="6" s="1"/>
  <c r="N1028" i="6"/>
  <c r="V1027" i="6"/>
  <c r="T1027" i="6"/>
  <c r="S1027" i="6"/>
  <c r="R1027" i="6"/>
  <c r="Q1027" i="6"/>
  <c r="P1027" i="6"/>
  <c r="O1027" i="6"/>
  <c r="U1027" i="6" s="1"/>
  <c r="N1027" i="6"/>
  <c r="V1026" i="6"/>
  <c r="T1026" i="6"/>
  <c r="S1026" i="6"/>
  <c r="R1026" i="6"/>
  <c r="Q1026" i="6"/>
  <c r="P1026" i="6"/>
  <c r="O1026" i="6"/>
  <c r="U1026" i="6" s="1"/>
  <c r="N1026" i="6"/>
  <c r="V1025" i="6"/>
  <c r="T1025" i="6"/>
  <c r="S1025" i="6"/>
  <c r="R1025" i="6"/>
  <c r="Q1025" i="6"/>
  <c r="P1025" i="6"/>
  <c r="O1025" i="6"/>
  <c r="U1025" i="6" s="1"/>
  <c r="N1025" i="6"/>
  <c r="V1024" i="6"/>
  <c r="T1024" i="6"/>
  <c r="S1024" i="6"/>
  <c r="R1024" i="6"/>
  <c r="Q1024" i="6"/>
  <c r="P1024" i="6"/>
  <c r="O1024" i="6"/>
  <c r="U1024" i="6" s="1"/>
  <c r="N1024" i="6"/>
  <c r="V1023" i="6"/>
  <c r="T1023" i="6"/>
  <c r="S1023" i="6"/>
  <c r="R1023" i="6"/>
  <c r="Q1023" i="6"/>
  <c r="P1023" i="6"/>
  <c r="O1023" i="6"/>
  <c r="U1023" i="6" s="1"/>
  <c r="N1023" i="6"/>
  <c r="V1022" i="6"/>
  <c r="T1022" i="6"/>
  <c r="S1022" i="6"/>
  <c r="R1022" i="6"/>
  <c r="Q1022" i="6"/>
  <c r="P1022" i="6"/>
  <c r="O1022" i="6"/>
  <c r="U1022" i="6" s="1"/>
  <c r="N1022" i="6"/>
  <c r="V1021" i="6"/>
  <c r="T1021" i="6"/>
  <c r="S1021" i="6"/>
  <c r="R1021" i="6"/>
  <c r="Q1021" i="6"/>
  <c r="P1021" i="6"/>
  <c r="O1021" i="6"/>
  <c r="U1021" i="6" s="1"/>
  <c r="N1021" i="6"/>
  <c r="V1020" i="6"/>
  <c r="T1020" i="6"/>
  <c r="S1020" i="6"/>
  <c r="R1020" i="6"/>
  <c r="Q1020" i="6"/>
  <c r="P1020" i="6"/>
  <c r="O1020" i="6"/>
  <c r="U1020" i="6" s="1"/>
  <c r="N1020" i="6"/>
  <c r="V1019" i="6"/>
  <c r="T1019" i="6"/>
  <c r="S1019" i="6"/>
  <c r="R1019" i="6"/>
  <c r="Q1019" i="6"/>
  <c r="P1019" i="6"/>
  <c r="O1019" i="6"/>
  <c r="U1019" i="6" s="1"/>
  <c r="N1019" i="6"/>
  <c r="V1018" i="6"/>
  <c r="T1018" i="6"/>
  <c r="S1018" i="6"/>
  <c r="R1018" i="6"/>
  <c r="Q1018" i="6"/>
  <c r="P1018" i="6"/>
  <c r="O1018" i="6"/>
  <c r="U1018" i="6" s="1"/>
  <c r="N1018" i="6"/>
  <c r="V1017" i="6"/>
  <c r="T1017" i="6"/>
  <c r="S1017" i="6"/>
  <c r="R1017" i="6"/>
  <c r="Q1017" i="6"/>
  <c r="P1017" i="6"/>
  <c r="O1017" i="6"/>
  <c r="U1017" i="6" s="1"/>
  <c r="N1017" i="6"/>
  <c r="V1016" i="6"/>
  <c r="T1016" i="6"/>
  <c r="S1016" i="6"/>
  <c r="R1016" i="6"/>
  <c r="Q1016" i="6"/>
  <c r="P1016" i="6"/>
  <c r="O1016" i="6"/>
  <c r="U1016" i="6" s="1"/>
  <c r="N1016" i="6"/>
  <c r="V1015" i="6"/>
  <c r="T1015" i="6"/>
  <c r="S1015" i="6"/>
  <c r="R1015" i="6"/>
  <c r="Q1015" i="6"/>
  <c r="P1015" i="6"/>
  <c r="O1015" i="6"/>
  <c r="U1015" i="6" s="1"/>
  <c r="N1015" i="6"/>
  <c r="V1014" i="6"/>
  <c r="T1014" i="6"/>
  <c r="S1014" i="6"/>
  <c r="R1014" i="6"/>
  <c r="Q1014" i="6"/>
  <c r="P1014" i="6"/>
  <c r="O1014" i="6"/>
  <c r="U1014" i="6" s="1"/>
  <c r="N1014" i="6"/>
  <c r="V1013" i="6"/>
  <c r="T1013" i="6"/>
  <c r="S1013" i="6"/>
  <c r="R1013" i="6"/>
  <c r="Q1013" i="6"/>
  <c r="P1013" i="6"/>
  <c r="O1013" i="6"/>
  <c r="U1013" i="6" s="1"/>
  <c r="N1013" i="6"/>
  <c r="V1012" i="6"/>
  <c r="T1012" i="6"/>
  <c r="S1012" i="6"/>
  <c r="R1012" i="6"/>
  <c r="Q1012" i="6"/>
  <c r="P1012" i="6"/>
  <c r="O1012" i="6"/>
  <c r="U1012" i="6" s="1"/>
  <c r="N1012" i="6"/>
  <c r="V1011" i="6"/>
  <c r="T1011" i="6"/>
  <c r="S1011" i="6"/>
  <c r="R1011" i="6"/>
  <c r="Q1011" i="6"/>
  <c r="P1011" i="6"/>
  <c r="O1011" i="6"/>
  <c r="U1011" i="6" s="1"/>
  <c r="N1011" i="6"/>
  <c r="V1010" i="6"/>
  <c r="T1010" i="6"/>
  <c r="S1010" i="6"/>
  <c r="R1010" i="6"/>
  <c r="Q1010" i="6"/>
  <c r="P1010" i="6"/>
  <c r="O1010" i="6"/>
  <c r="U1010" i="6" s="1"/>
  <c r="N1010" i="6"/>
  <c r="V1009" i="6"/>
  <c r="T1009" i="6"/>
  <c r="S1009" i="6"/>
  <c r="R1009" i="6"/>
  <c r="Q1009" i="6"/>
  <c r="P1009" i="6"/>
  <c r="O1009" i="6"/>
  <c r="U1009" i="6" s="1"/>
  <c r="N1009" i="6"/>
  <c r="V1008" i="6"/>
  <c r="T1008" i="6"/>
  <c r="S1008" i="6"/>
  <c r="R1008" i="6"/>
  <c r="Q1008" i="6"/>
  <c r="P1008" i="6"/>
  <c r="O1008" i="6"/>
  <c r="U1008" i="6" s="1"/>
  <c r="N1008" i="6"/>
  <c r="V1007" i="6"/>
  <c r="T1007" i="6"/>
  <c r="S1007" i="6"/>
  <c r="R1007" i="6"/>
  <c r="Q1007" i="6"/>
  <c r="P1007" i="6"/>
  <c r="O1007" i="6"/>
  <c r="U1007" i="6" s="1"/>
  <c r="N1007" i="6"/>
  <c r="V1006" i="6"/>
  <c r="T1006" i="6"/>
  <c r="S1006" i="6"/>
  <c r="R1006" i="6"/>
  <c r="Q1006" i="6"/>
  <c r="P1006" i="6"/>
  <c r="O1006" i="6"/>
  <c r="U1006" i="6" s="1"/>
  <c r="N1006" i="6"/>
  <c r="V1005" i="6"/>
  <c r="T1005" i="6"/>
  <c r="S1005" i="6"/>
  <c r="R1005" i="6"/>
  <c r="Q1005" i="6"/>
  <c r="P1005" i="6"/>
  <c r="O1005" i="6"/>
  <c r="U1005" i="6" s="1"/>
  <c r="N1005" i="6"/>
  <c r="V1004" i="6"/>
  <c r="T1004" i="6"/>
  <c r="S1004" i="6"/>
  <c r="R1004" i="6"/>
  <c r="Q1004" i="6"/>
  <c r="P1004" i="6"/>
  <c r="O1004" i="6"/>
  <c r="U1004" i="6" s="1"/>
  <c r="N1004" i="6"/>
  <c r="V1003" i="6"/>
  <c r="T1003" i="6"/>
  <c r="S1003" i="6"/>
  <c r="R1003" i="6"/>
  <c r="Q1003" i="6"/>
  <c r="P1003" i="6"/>
  <c r="O1003" i="6"/>
  <c r="U1003" i="6" s="1"/>
  <c r="N1003" i="6"/>
  <c r="V1002" i="6"/>
  <c r="T1002" i="6"/>
  <c r="S1002" i="6"/>
  <c r="R1002" i="6"/>
  <c r="Q1002" i="6"/>
  <c r="P1002" i="6"/>
  <c r="O1002" i="6"/>
  <c r="U1002" i="6" s="1"/>
  <c r="N1002" i="6"/>
  <c r="V1001" i="6"/>
  <c r="T1001" i="6"/>
  <c r="S1001" i="6"/>
  <c r="R1001" i="6"/>
  <c r="Q1001" i="6"/>
  <c r="P1001" i="6"/>
  <c r="O1001" i="6"/>
  <c r="U1001" i="6" s="1"/>
  <c r="N1001" i="6"/>
  <c r="V1000" i="6"/>
  <c r="T1000" i="6"/>
  <c r="S1000" i="6"/>
  <c r="R1000" i="6"/>
  <c r="Q1000" i="6"/>
  <c r="P1000" i="6"/>
  <c r="O1000" i="6"/>
  <c r="U1000" i="6" s="1"/>
  <c r="N1000" i="6"/>
  <c r="V999" i="6"/>
  <c r="T999" i="6"/>
  <c r="S999" i="6"/>
  <c r="R999" i="6"/>
  <c r="Q999" i="6"/>
  <c r="P999" i="6"/>
  <c r="O999" i="6"/>
  <c r="U999" i="6" s="1"/>
  <c r="N999" i="6"/>
  <c r="V998" i="6"/>
  <c r="T998" i="6"/>
  <c r="S998" i="6"/>
  <c r="R998" i="6"/>
  <c r="Q998" i="6"/>
  <c r="P998" i="6"/>
  <c r="O998" i="6"/>
  <c r="U998" i="6" s="1"/>
  <c r="N998" i="6"/>
  <c r="V997" i="6"/>
  <c r="T997" i="6"/>
  <c r="S997" i="6"/>
  <c r="R997" i="6"/>
  <c r="Q997" i="6"/>
  <c r="P997" i="6"/>
  <c r="O997" i="6"/>
  <c r="U997" i="6" s="1"/>
  <c r="N997" i="6"/>
  <c r="V996" i="6"/>
  <c r="T996" i="6"/>
  <c r="S996" i="6"/>
  <c r="R996" i="6"/>
  <c r="Q996" i="6"/>
  <c r="P996" i="6"/>
  <c r="O996" i="6"/>
  <c r="U996" i="6" s="1"/>
  <c r="N996" i="6"/>
  <c r="V995" i="6"/>
  <c r="T995" i="6"/>
  <c r="S995" i="6"/>
  <c r="R995" i="6"/>
  <c r="Q995" i="6"/>
  <c r="P995" i="6"/>
  <c r="O995" i="6"/>
  <c r="U995" i="6" s="1"/>
  <c r="N995" i="6"/>
  <c r="V994" i="6"/>
  <c r="T994" i="6"/>
  <c r="S994" i="6"/>
  <c r="R994" i="6"/>
  <c r="Q994" i="6"/>
  <c r="P994" i="6"/>
  <c r="O994" i="6"/>
  <c r="U994" i="6" s="1"/>
  <c r="N994" i="6"/>
  <c r="V993" i="6"/>
  <c r="T993" i="6"/>
  <c r="S993" i="6"/>
  <c r="R993" i="6"/>
  <c r="Q993" i="6"/>
  <c r="P993" i="6"/>
  <c r="O993" i="6"/>
  <c r="U993" i="6" s="1"/>
  <c r="N993" i="6"/>
  <c r="V992" i="6"/>
  <c r="T992" i="6"/>
  <c r="S992" i="6"/>
  <c r="R992" i="6"/>
  <c r="Q992" i="6"/>
  <c r="P992" i="6"/>
  <c r="O992" i="6"/>
  <c r="U992" i="6" s="1"/>
  <c r="N992" i="6"/>
  <c r="V991" i="6"/>
  <c r="T991" i="6"/>
  <c r="S991" i="6"/>
  <c r="R991" i="6"/>
  <c r="Q991" i="6"/>
  <c r="P991" i="6"/>
  <c r="O991" i="6"/>
  <c r="U991" i="6" s="1"/>
  <c r="N991" i="6"/>
  <c r="V990" i="6"/>
  <c r="T990" i="6"/>
  <c r="S990" i="6"/>
  <c r="R990" i="6"/>
  <c r="Q990" i="6"/>
  <c r="P990" i="6"/>
  <c r="O990" i="6"/>
  <c r="U990" i="6" s="1"/>
  <c r="N990" i="6"/>
  <c r="V989" i="6"/>
  <c r="T989" i="6"/>
  <c r="S989" i="6"/>
  <c r="R989" i="6"/>
  <c r="Q989" i="6"/>
  <c r="P989" i="6"/>
  <c r="O989" i="6"/>
  <c r="U989" i="6" s="1"/>
  <c r="N989" i="6"/>
  <c r="V988" i="6"/>
  <c r="T988" i="6"/>
  <c r="S988" i="6"/>
  <c r="R988" i="6"/>
  <c r="Q988" i="6"/>
  <c r="P988" i="6"/>
  <c r="O988" i="6"/>
  <c r="U988" i="6" s="1"/>
  <c r="N988" i="6"/>
  <c r="V987" i="6"/>
  <c r="T987" i="6"/>
  <c r="S987" i="6"/>
  <c r="R987" i="6"/>
  <c r="Q987" i="6"/>
  <c r="P987" i="6"/>
  <c r="O987" i="6"/>
  <c r="U987" i="6" s="1"/>
  <c r="N987" i="6"/>
  <c r="V986" i="6"/>
  <c r="T986" i="6"/>
  <c r="S986" i="6"/>
  <c r="R986" i="6"/>
  <c r="Q986" i="6"/>
  <c r="P986" i="6"/>
  <c r="O986" i="6"/>
  <c r="U986" i="6" s="1"/>
  <c r="N986" i="6"/>
  <c r="V985" i="6"/>
  <c r="T985" i="6"/>
  <c r="S985" i="6"/>
  <c r="R985" i="6"/>
  <c r="Q985" i="6"/>
  <c r="P985" i="6"/>
  <c r="O985" i="6"/>
  <c r="U985" i="6" s="1"/>
  <c r="N985" i="6"/>
  <c r="V984" i="6"/>
  <c r="T984" i="6"/>
  <c r="S984" i="6"/>
  <c r="R984" i="6"/>
  <c r="Q984" i="6"/>
  <c r="P984" i="6"/>
  <c r="O984" i="6"/>
  <c r="U984" i="6" s="1"/>
  <c r="N984" i="6"/>
  <c r="V983" i="6"/>
  <c r="T983" i="6"/>
  <c r="S983" i="6"/>
  <c r="R983" i="6"/>
  <c r="Q983" i="6"/>
  <c r="P983" i="6"/>
  <c r="O983" i="6"/>
  <c r="U983" i="6" s="1"/>
  <c r="N983" i="6"/>
  <c r="V982" i="6"/>
  <c r="T982" i="6"/>
  <c r="S982" i="6"/>
  <c r="R982" i="6"/>
  <c r="Q982" i="6"/>
  <c r="P982" i="6"/>
  <c r="O982" i="6"/>
  <c r="U982" i="6" s="1"/>
  <c r="N982" i="6"/>
  <c r="V981" i="6"/>
  <c r="T981" i="6"/>
  <c r="S981" i="6"/>
  <c r="R981" i="6"/>
  <c r="Q981" i="6"/>
  <c r="P981" i="6"/>
  <c r="O981" i="6"/>
  <c r="U981" i="6" s="1"/>
  <c r="N981" i="6"/>
  <c r="V980" i="6"/>
  <c r="T980" i="6"/>
  <c r="S980" i="6"/>
  <c r="R980" i="6"/>
  <c r="Q980" i="6"/>
  <c r="P980" i="6"/>
  <c r="O980" i="6"/>
  <c r="U980" i="6" s="1"/>
  <c r="N980" i="6"/>
  <c r="V979" i="6"/>
  <c r="T979" i="6"/>
  <c r="S979" i="6"/>
  <c r="R979" i="6"/>
  <c r="Q979" i="6"/>
  <c r="P979" i="6"/>
  <c r="O979" i="6"/>
  <c r="U979" i="6" s="1"/>
  <c r="N979" i="6"/>
  <c r="V978" i="6"/>
  <c r="T978" i="6"/>
  <c r="S978" i="6"/>
  <c r="R978" i="6"/>
  <c r="Q978" i="6"/>
  <c r="P978" i="6"/>
  <c r="O978" i="6"/>
  <c r="U978" i="6" s="1"/>
  <c r="N978" i="6"/>
  <c r="V977" i="6"/>
  <c r="T977" i="6"/>
  <c r="S977" i="6"/>
  <c r="R977" i="6"/>
  <c r="Q977" i="6"/>
  <c r="P977" i="6"/>
  <c r="O977" i="6"/>
  <c r="U977" i="6" s="1"/>
  <c r="N977" i="6"/>
  <c r="V976" i="6"/>
  <c r="T976" i="6"/>
  <c r="S976" i="6"/>
  <c r="R976" i="6"/>
  <c r="Q976" i="6"/>
  <c r="P976" i="6"/>
  <c r="O976" i="6"/>
  <c r="U976" i="6" s="1"/>
  <c r="N976" i="6"/>
  <c r="V975" i="6"/>
  <c r="T975" i="6"/>
  <c r="S975" i="6"/>
  <c r="R975" i="6"/>
  <c r="Q975" i="6"/>
  <c r="P975" i="6"/>
  <c r="O975" i="6"/>
  <c r="U975" i="6" s="1"/>
  <c r="N975" i="6"/>
  <c r="V974" i="6"/>
  <c r="T974" i="6"/>
  <c r="S974" i="6"/>
  <c r="R974" i="6"/>
  <c r="Q974" i="6"/>
  <c r="P974" i="6"/>
  <c r="O974" i="6"/>
  <c r="U974" i="6" s="1"/>
  <c r="N974" i="6"/>
  <c r="V973" i="6"/>
  <c r="T973" i="6"/>
  <c r="S973" i="6"/>
  <c r="R973" i="6"/>
  <c r="Q973" i="6"/>
  <c r="P973" i="6"/>
  <c r="O973" i="6"/>
  <c r="U973" i="6" s="1"/>
  <c r="N973" i="6"/>
  <c r="V972" i="6"/>
  <c r="T972" i="6"/>
  <c r="S972" i="6"/>
  <c r="R972" i="6"/>
  <c r="Q972" i="6"/>
  <c r="P972" i="6"/>
  <c r="O972" i="6"/>
  <c r="U972" i="6" s="1"/>
  <c r="N972" i="6"/>
  <c r="V971" i="6"/>
  <c r="T971" i="6"/>
  <c r="S971" i="6"/>
  <c r="R971" i="6"/>
  <c r="Q971" i="6"/>
  <c r="P971" i="6"/>
  <c r="O971" i="6"/>
  <c r="U971" i="6" s="1"/>
  <c r="N971" i="6"/>
  <c r="V970" i="6"/>
  <c r="T970" i="6"/>
  <c r="S970" i="6"/>
  <c r="R970" i="6"/>
  <c r="Q970" i="6"/>
  <c r="P970" i="6"/>
  <c r="O970" i="6"/>
  <c r="U970" i="6" s="1"/>
  <c r="N970" i="6"/>
  <c r="V969" i="6"/>
  <c r="T969" i="6"/>
  <c r="S969" i="6"/>
  <c r="R969" i="6"/>
  <c r="Q969" i="6"/>
  <c r="P969" i="6"/>
  <c r="O969" i="6"/>
  <c r="U969" i="6" s="1"/>
  <c r="N969" i="6"/>
  <c r="V968" i="6"/>
  <c r="T968" i="6"/>
  <c r="S968" i="6"/>
  <c r="R968" i="6"/>
  <c r="Q968" i="6"/>
  <c r="P968" i="6"/>
  <c r="O968" i="6"/>
  <c r="U968" i="6" s="1"/>
  <c r="N968" i="6"/>
  <c r="V967" i="6"/>
  <c r="T967" i="6"/>
  <c r="S967" i="6"/>
  <c r="R967" i="6"/>
  <c r="Q967" i="6"/>
  <c r="P967" i="6"/>
  <c r="O967" i="6"/>
  <c r="U967" i="6" s="1"/>
  <c r="N967" i="6"/>
  <c r="V966" i="6"/>
  <c r="T966" i="6"/>
  <c r="S966" i="6"/>
  <c r="R966" i="6"/>
  <c r="Q966" i="6"/>
  <c r="P966" i="6"/>
  <c r="O966" i="6"/>
  <c r="U966" i="6" s="1"/>
  <c r="N966" i="6"/>
  <c r="V965" i="6"/>
  <c r="T965" i="6"/>
  <c r="S965" i="6"/>
  <c r="R965" i="6"/>
  <c r="Q965" i="6"/>
  <c r="P965" i="6"/>
  <c r="O965" i="6"/>
  <c r="U965" i="6" s="1"/>
  <c r="N965" i="6"/>
  <c r="V964" i="6"/>
  <c r="T964" i="6"/>
  <c r="S964" i="6"/>
  <c r="R964" i="6"/>
  <c r="Q964" i="6"/>
  <c r="P964" i="6"/>
  <c r="O964" i="6"/>
  <c r="U964" i="6" s="1"/>
  <c r="N964" i="6"/>
  <c r="V963" i="6"/>
  <c r="T963" i="6"/>
  <c r="S963" i="6"/>
  <c r="R963" i="6"/>
  <c r="Q963" i="6"/>
  <c r="P963" i="6"/>
  <c r="O963" i="6"/>
  <c r="U963" i="6" s="1"/>
  <c r="N963" i="6"/>
  <c r="V962" i="6"/>
  <c r="T962" i="6"/>
  <c r="S962" i="6"/>
  <c r="R962" i="6"/>
  <c r="Q962" i="6"/>
  <c r="P962" i="6"/>
  <c r="O962" i="6"/>
  <c r="U962" i="6" s="1"/>
  <c r="N962" i="6"/>
  <c r="V961" i="6"/>
  <c r="T961" i="6"/>
  <c r="S961" i="6"/>
  <c r="R961" i="6"/>
  <c r="Q961" i="6"/>
  <c r="P961" i="6"/>
  <c r="O961" i="6"/>
  <c r="U961" i="6" s="1"/>
  <c r="N961" i="6"/>
  <c r="V960" i="6"/>
  <c r="T960" i="6"/>
  <c r="S960" i="6"/>
  <c r="R960" i="6"/>
  <c r="Q960" i="6"/>
  <c r="P960" i="6"/>
  <c r="O960" i="6"/>
  <c r="U960" i="6" s="1"/>
  <c r="N960" i="6"/>
  <c r="V959" i="6"/>
  <c r="T959" i="6"/>
  <c r="S959" i="6"/>
  <c r="R959" i="6"/>
  <c r="Q959" i="6"/>
  <c r="P959" i="6"/>
  <c r="O959" i="6"/>
  <c r="U959" i="6" s="1"/>
  <c r="N959" i="6"/>
  <c r="V958" i="6"/>
  <c r="T958" i="6"/>
  <c r="S958" i="6"/>
  <c r="R958" i="6"/>
  <c r="Q958" i="6"/>
  <c r="P958" i="6"/>
  <c r="O958" i="6"/>
  <c r="U958" i="6" s="1"/>
  <c r="N958" i="6"/>
  <c r="V957" i="6"/>
  <c r="T957" i="6"/>
  <c r="S957" i="6"/>
  <c r="R957" i="6"/>
  <c r="Q957" i="6"/>
  <c r="P957" i="6"/>
  <c r="O957" i="6"/>
  <c r="U957" i="6" s="1"/>
  <c r="N957" i="6"/>
  <c r="V956" i="6"/>
  <c r="T956" i="6"/>
  <c r="S956" i="6"/>
  <c r="R956" i="6"/>
  <c r="Q956" i="6"/>
  <c r="P956" i="6"/>
  <c r="O956" i="6"/>
  <c r="U956" i="6" s="1"/>
  <c r="N956" i="6"/>
  <c r="V955" i="6"/>
  <c r="T955" i="6"/>
  <c r="S955" i="6"/>
  <c r="R955" i="6"/>
  <c r="Q955" i="6"/>
  <c r="P955" i="6"/>
  <c r="O955" i="6"/>
  <c r="U955" i="6" s="1"/>
  <c r="N955" i="6"/>
  <c r="V954" i="6"/>
  <c r="T954" i="6"/>
  <c r="S954" i="6"/>
  <c r="R954" i="6"/>
  <c r="Q954" i="6"/>
  <c r="P954" i="6"/>
  <c r="O954" i="6"/>
  <c r="U954" i="6" s="1"/>
  <c r="N954" i="6"/>
  <c r="V953" i="6"/>
  <c r="T953" i="6"/>
  <c r="S953" i="6"/>
  <c r="R953" i="6"/>
  <c r="Q953" i="6"/>
  <c r="P953" i="6"/>
  <c r="O953" i="6"/>
  <c r="U953" i="6" s="1"/>
  <c r="N953" i="6"/>
  <c r="V952" i="6"/>
  <c r="T952" i="6"/>
  <c r="S952" i="6"/>
  <c r="R952" i="6"/>
  <c r="Q952" i="6"/>
  <c r="P952" i="6"/>
  <c r="O952" i="6"/>
  <c r="U952" i="6" s="1"/>
  <c r="N952" i="6"/>
  <c r="V951" i="6"/>
  <c r="T951" i="6"/>
  <c r="S951" i="6"/>
  <c r="R951" i="6"/>
  <c r="Q951" i="6"/>
  <c r="P951" i="6"/>
  <c r="O951" i="6"/>
  <c r="U951" i="6" s="1"/>
  <c r="N951" i="6"/>
  <c r="V950" i="6"/>
  <c r="T950" i="6"/>
  <c r="S950" i="6"/>
  <c r="R950" i="6"/>
  <c r="Q950" i="6"/>
  <c r="P950" i="6"/>
  <c r="O950" i="6"/>
  <c r="U950" i="6" s="1"/>
  <c r="N950" i="6"/>
  <c r="V949" i="6"/>
  <c r="T949" i="6"/>
  <c r="S949" i="6"/>
  <c r="R949" i="6"/>
  <c r="Q949" i="6"/>
  <c r="P949" i="6"/>
  <c r="O949" i="6"/>
  <c r="U949" i="6" s="1"/>
  <c r="N949" i="6"/>
  <c r="V948" i="6"/>
  <c r="T948" i="6"/>
  <c r="S948" i="6"/>
  <c r="R948" i="6"/>
  <c r="Q948" i="6"/>
  <c r="P948" i="6"/>
  <c r="O948" i="6"/>
  <c r="U948" i="6" s="1"/>
  <c r="N948" i="6"/>
  <c r="V947" i="6"/>
  <c r="T947" i="6"/>
  <c r="S947" i="6"/>
  <c r="R947" i="6"/>
  <c r="Q947" i="6"/>
  <c r="P947" i="6"/>
  <c r="O947" i="6"/>
  <c r="U947" i="6" s="1"/>
  <c r="N947" i="6"/>
  <c r="V946" i="6"/>
  <c r="T946" i="6"/>
  <c r="S946" i="6"/>
  <c r="R946" i="6"/>
  <c r="Q946" i="6"/>
  <c r="P946" i="6"/>
  <c r="O946" i="6"/>
  <c r="U946" i="6" s="1"/>
  <c r="N946" i="6"/>
  <c r="V945" i="6"/>
  <c r="T945" i="6"/>
  <c r="S945" i="6"/>
  <c r="R945" i="6"/>
  <c r="Q945" i="6"/>
  <c r="P945" i="6"/>
  <c r="O945" i="6"/>
  <c r="U945" i="6" s="1"/>
  <c r="N945" i="6"/>
  <c r="V944" i="6"/>
  <c r="T944" i="6"/>
  <c r="S944" i="6"/>
  <c r="R944" i="6"/>
  <c r="Q944" i="6"/>
  <c r="P944" i="6"/>
  <c r="O944" i="6"/>
  <c r="U944" i="6" s="1"/>
  <c r="N944" i="6"/>
  <c r="V943" i="6"/>
  <c r="T943" i="6"/>
  <c r="S943" i="6"/>
  <c r="R943" i="6"/>
  <c r="Q943" i="6"/>
  <c r="P943" i="6"/>
  <c r="O943" i="6"/>
  <c r="U943" i="6" s="1"/>
  <c r="N943" i="6"/>
  <c r="V942" i="6"/>
  <c r="T942" i="6"/>
  <c r="S942" i="6"/>
  <c r="R942" i="6"/>
  <c r="Q942" i="6"/>
  <c r="P942" i="6"/>
  <c r="O942" i="6"/>
  <c r="U942" i="6" s="1"/>
  <c r="N942" i="6"/>
  <c r="V941" i="6"/>
  <c r="T941" i="6"/>
  <c r="S941" i="6"/>
  <c r="R941" i="6"/>
  <c r="Q941" i="6"/>
  <c r="P941" i="6"/>
  <c r="O941" i="6"/>
  <c r="U941" i="6" s="1"/>
  <c r="N941" i="6"/>
  <c r="V940" i="6"/>
  <c r="T940" i="6"/>
  <c r="S940" i="6"/>
  <c r="R940" i="6"/>
  <c r="Q940" i="6"/>
  <c r="P940" i="6"/>
  <c r="O940" i="6"/>
  <c r="U940" i="6" s="1"/>
  <c r="N940" i="6"/>
  <c r="V939" i="6"/>
  <c r="T939" i="6"/>
  <c r="S939" i="6"/>
  <c r="R939" i="6"/>
  <c r="Q939" i="6"/>
  <c r="P939" i="6"/>
  <c r="O939" i="6"/>
  <c r="U939" i="6" s="1"/>
  <c r="N939" i="6"/>
  <c r="V938" i="6"/>
  <c r="T938" i="6"/>
  <c r="S938" i="6"/>
  <c r="R938" i="6"/>
  <c r="Q938" i="6"/>
  <c r="P938" i="6"/>
  <c r="O938" i="6"/>
  <c r="U938" i="6" s="1"/>
  <c r="N938" i="6"/>
  <c r="V937" i="6"/>
  <c r="T937" i="6"/>
  <c r="S937" i="6"/>
  <c r="R937" i="6"/>
  <c r="Q937" i="6"/>
  <c r="P937" i="6"/>
  <c r="O937" i="6"/>
  <c r="U937" i="6" s="1"/>
  <c r="N937" i="6"/>
  <c r="V936" i="6"/>
  <c r="T936" i="6"/>
  <c r="S936" i="6"/>
  <c r="R936" i="6"/>
  <c r="Q936" i="6"/>
  <c r="P936" i="6"/>
  <c r="O936" i="6"/>
  <c r="U936" i="6" s="1"/>
  <c r="N936" i="6"/>
  <c r="V935" i="6"/>
  <c r="T935" i="6"/>
  <c r="S935" i="6"/>
  <c r="R935" i="6"/>
  <c r="Q935" i="6"/>
  <c r="P935" i="6"/>
  <c r="O935" i="6"/>
  <c r="U935" i="6" s="1"/>
  <c r="N935" i="6"/>
  <c r="V934" i="6"/>
  <c r="T934" i="6"/>
  <c r="S934" i="6"/>
  <c r="R934" i="6"/>
  <c r="Q934" i="6"/>
  <c r="P934" i="6"/>
  <c r="O934" i="6"/>
  <c r="U934" i="6" s="1"/>
  <c r="N934" i="6"/>
  <c r="V933" i="6"/>
  <c r="T933" i="6"/>
  <c r="S933" i="6"/>
  <c r="R933" i="6"/>
  <c r="Q933" i="6"/>
  <c r="P933" i="6"/>
  <c r="O933" i="6"/>
  <c r="U933" i="6" s="1"/>
  <c r="N933" i="6"/>
  <c r="V932" i="6"/>
  <c r="T932" i="6"/>
  <c r="S932" i="6"/>
  <c r="R932" i="6"/>
  <c r="Q932" i="6"/>
  <c r="P932" i="6"/>
  <c r="O932" i="6"/>
  <c r="U932" i="6" s="1"/>
  <c r="N932" i="6"/>
  <c r="V931" i="6"/>
  <c r="T931" i="6"/>
  <c r="S931" i="6"/>
  <c r="R931" i="6"/>
  <c r="Q931" i="6"/>
  <c r="P931" i="6"/>
  <c r="O931" i="6"/>
  <c r="U931" i="6" s="1"/>
  <c r="N931" i="6"/>
  <c r="V930" i="6"/>
  <c r="T930" i="6"/>
  <c r="S930" i="6"/>
  <c r="R930" i="6"/>
  <c r="Q930" i="6"/>
  <c r="P930" i="6"/>
  <c r="O930" i="6"/>
  <c r="U930" i="6" s="1"/>
  <c r="N930" i="6"/>
  <c r="V929" i="6"/>
  <c r="T929" i="6"/>
  <c r="S929" i="6"/>
  <c r="R929" i="6"/>
  <c r="Q929" i="6"/>
  <c r="P929" i="6"/>
  <c r="O929" i="6"/>
  <c r="U929" i="6" s="1"/>
  <c r="N929" i="6"/>
  <c r="V928" i="6"/>
  <c r="T928" i="6"/>
  <c r="S928" i="6"/>
  <c r="R928" i="6"/>
  <c r="Q928" i="6"/>
  <c r="P928" i="6"/>
  <c r="O928" i="6"/>
  <c r="U928" i="6" s="1"/>
  <c r="N928" i="6"/>
  <c r="V927" i="6"/>
  <c r="T927" i="6"/>
  <c r="S927" i="6"/>
  <c r="R927" i="6"/>
  <c r="Q927" i="6"/>
  <c r="P927" i="6"/>
  <c r="O927" i="6"/>
  <c r="U927" i="6" s="1"/>
  <c r="N927" i="6"/>
  <c r="V926" i="6"/>
  <c r="T926" i="6"/>
  <c r="S926" i="6"/>
  <c r="R926" i="6"/>
  <c r="Q926" i="6"/>
  <c r="P926" i="6"/>
  <c r="O926" i="6"/>
  <c r="U926" i="6" s="1"/>
  <c r="N926" i="6"/>
  <c r="V925" i="6"/>
  <c r="T925" i="6"/>
  <c r="S925" i="6"/>
  <c r="R925" i="6"/>
  <c r="Q925" i="6"/>
  <c r="P925" i="6"/>
  <c r="O925" i="6"/>
  <c r="U925" i="6" s="1"/>
  <c r="N925" i="6"/>
  <c r="V924" i="6"/>
  <c r="T924" i="6"/>
  <c r="S924" i="6"/>
  <c r="R924" i="6"/>
  <c r="Q924" i="6"/>
  <c r="P924" i="6"/>
  <c r="O924" i="6"/>
  <c r="U924" i="6" s="1"/>
  <c r="N924" i="6"/>
  <c r="V923" i="6"/>
  <c r="T923" i="6"/>
  <c r="S923" i="6"/>
  <c r="R923" i="6"/>
  <c r="Q923" i="6"/>
  <c r="P923" i="6"/>
  <c r="O923" i="6"/>
  <c r="U923" i="6" s="1"/>
  <c r="N923" i="6"/>
  <c r="V922" i="6"/>
  <c r="T922" i="6"/>
  <c r="S922" i="6"/>
  <c r="R922" i="6"/>
  <c r="Q922" i="6"/>
  <c r="P922" i="6"/>
  <c r="O922" i="6"/>
  <c r="U922" i="6" s="1"/>
  <c r="N922" i="6"/>
  <c r="V921" i="6"/>
  <c r="T921" i="6"/>
  <c r="S921" i="6"/>
  <c r="R921" i="6"/>
  <c r="Q921" i="6"/>
  <c r="P921" i="6"/>
  <c r="O921" i="6"/>
  <c r="U921" i="6" s="1"/>
  <c r="N921" i="6"/>
  <c r="V920" i="6"/>
  <c r="T920" i="6"/>
  <c r="S920" i="6"/>
  <c r="R920" i="6"/>
  <c r="Q920" i="6"/>
  <c r="P920" i="6"/>
  <c r="O920" i="6"/>
  <c r="U920" i="6" s="1"/>
  <c r="N920" i="6"/>
  <c r="V919" i="6"/>
  <c r="T919" i="6"/>
  <c r="S919" i="6"/>
  <c r="R919" i="6"/>
  <c r="Q919" i="6"/>
  <c r="P919" i="6"/>
  <c r="O919" i="6"/>
  <c r="U919" i="6" s="1"/>
  <c r="N919" i="6"/>
  <c r="V918" i="6"/>
  <c r="T918" i="6"/>
  <c r="S918" i="6"/>
  <c r="R918" i="6"/>
  <c r="Q918" i="6"/>
  <c r="P918" i="6"/>
  <c r="O918" i="6"/>
  <c r="U918" i="6" s="1"/>
  <c r="N918" i="6"/>
  <c r="V917" i="6"/>
  <c r="T917" i="6"/>
  <c r="S917" i="6"/>
  <c r="R917" i="6"/>
  <c r="Q917" i="6"/>
  <c r="P917" i="6"/>
  <c r="O917" i="6"/>
  <c r="U917" i="6" s="1"/>
  <c r="N917" i="6"/>
  <c r="V916" i="6"/>
  <c r="T916" i="6"/>
  <c r="S916" i="6"/>
  <c r="R916" i="6"/>
  <c r="Q916" i="6"/>
  <c r="P916" i="6"/>
  <c r="O916" i="6"/>
  <c r="U916" i="6" s="1"/>
  <c r="N916" i="6"/>
  <c r="V915" i="6"/>
  <c r="T915" i="6"/>
  <c r="S915" i="6"/>
  <c r="R915" i="6"/>
  <c r="Q915" i="6"/>
  <c r="P915" i="6"/>
  <c r="O915" i="6"/>
  <c r="U915" i="6" s="1"/>
  <c r="N915" i="6"/>
  <c r="V914" i="6"/>
  <c r="T914" i="6"/>
  <c r="S914" i="6"/>
  <c r="R914" i="6"/>
  <c r="Q914" i="6"/>
  <c r="P914" i="6"/>
  <c r="O914" i="6"/>
  <c r="U914" i="6" s="1"/>
  <c r="N914" i="6"/>
  <c r="V913" i="6"/>
  <c r="T913" i="6"/>
  <c r="S913" i="6"/>
  <c r="R913" i="6"/>
  <c r="Q913" i="6"/>
  <c r="P913" i="6"/>
  <c r="O913" i="6"/>
  <c r="U913" i="6" s="1"/>
  <c r="N913" i="6"/>
  <c r="V912" i="6"/>
  <c r="T912" i="6"/>
  <c r="S912" i="6"/>
  <c r="R912" i="6"/>
  <c r="Q912" i="6"/>
  <c r="P912" i="6"/>
  <c r="O912" i="6"/>
  <c r="U912" i="6" s="1"/>
  <c r="N912" i="6"/>
  <c r="V911" i="6"/>
  <c r="T911" i="6"/>
  <c r="S911" i="6"/>
  <c r="R911" i="6"/>
  <c r="Q911" i="6"/>
  <c r="P911" i="6"/>
  <c r="O911" i="6"/>
  <c r="U911" i="6" s="1"/>
  <c r="N911" i="6"/>
  <c r="V910" i="6"/>
  <c r="T910" i="6"/>
  <c r="S910" i="6"/>
  <c r="R910" i="6"/>
  <c r="Q910" i="6"/>
  <c r="P910" i="6"/>
  <c r="O910" i="6"/>
  <c r="U910" i="6" s="1"/>
  <c r="N910" i="6"/>
  <c r="V909" i="6"/>
  <c r="T909" i="6"/>
  <c r="S909" i="6"/>
  <c r="R909" i="6"/>
  <c r="Q909" i="6"/>
  <c r="P909" i="6"/>
  <c r="O909" i="6"/>
  <c r="U909" i="6" s="1"/>
  <c r="N909" i="6"/>
  <c r="V908" i="6"/>
  <c r="T908" i="6"/>
  <c r="S908" i="6"/>
  <c r="R908" i="6"/>
  <c r="Q908" i="6"/>
  <c r="P908" i="6"/>
  <c r="O908" i="6"/>
  <c r="U908" i="6" s="1"/>
  <c r="N908" i="6"/>
  <c r="V907" i="6"/>
  <c r="T907" i="6"/>
  <c r="S907" i="6"/>
  <c r="R907" i="6"/>
  <c r="Q907" i="6"/>
  <c r="P907" i="6"/>
  <c r="O907" i="6"/>
  <c r="U907" i="6" s="1"/>
  <c r="N907" i="6"/>
  <c r="V906" i="6"/>
  <c r="T906" i="6"/>
  <c r="S906" i="6"/>
  <c r="R906" i="6"/>
  <c r="Q906" i="6"/>
  <c r="P906" i="6"/>
  <c r="O906" i="6"/>
  <c r="U906" i="6" s="1"/>
  <c r="N906" i="6"/>
  <c r="V905" i="6"/>
  <c r="T905" i="6"/>
  <c r="S905" i="6"/>
  <c r="R905" i="6"/>
  <c r="Q905" i="6"/>
  <c r="P905" i="6"/>
  <c r="O905" i="6"/>
  <c r="U905" i="6" s="1"/>
  <c r="N905" i="6"/>
  <c r="V904" i="6"/>
  <c r="T904" i="6"/>
  <c r="S904" i="6"/>
  <c r="R904" i="6"/>
  <c r="Q904" i="6"/>
  <c r="P904" i="6"/>
  <c r="O904" i="6"/>
  <c r="U904" i="6" s="1"/>
  <c r="N904" i="6"/>
  <c r="V903" i="6"/>
  <c r="T903" i="6"/>
  <c r="S903" i="6"/>
  <c r="R903" i="6"/>
  <c r="Q903" i="6"/>
  <c r="P903" i="6"/>
  <c r="O903" i="6"/>
  <c r="U903" i="6" s="1"/>
  <c r="N903" i="6"/>
  <c r="V902" i="6"/>
  <c r="T902" i="6"/>
  <c r="S902" i="6"/>
  <c r="R902" i="6"/>
  <c r="Q902" i="6"/>
  <c r="P902" i="6"/>
  <c r="O902" i="6"/>
  <c r="U902" i="6" s="1"/>
  <c r="N902" i="6"/>
  <c r="V901" i="6"/>
  <c r="T901" i="6"/>
  <c r="S901" i="6"/>
  <c r="R901" i="6"/>
  <c r="Q901" i="6"/>
  <c r="P901" i="6"/>
  <c r="O901" i="6"/>
  <c r="U901" i="6" s="1"/>
  <c r="N901" i="6"/>
  <c r="V900" i="6"/>
  <c r="T900" i="6"/>
  <c r="S900" i="6"/>
  <c r="R900" i="6"/>
  <c r="Q900" i="6"/>
  <c r="P900" i="6"/>
  <c r="O900" i="6"/>
  <c r="U900" i="6" s="1"/>
  <c r="N900" i="6"/>
  <c r="V899" i="6"/>
  <c r="T899" i="6"/>
  <c r="S899" i="6"/>
  <c r="R899" i="6"/>
  <c r="Q899" i="6"/>
  <c r="P899" i="6"/>
  <c r="O899" i="6"/>
  <c r="U899" i="6" s="1"/>
  <c r="N899" i="6"/>
  <c r="V898" i="6"/>
  <c r="T898" i="6"/>
  <c r="S898" i="6"/>
  <c r="R898" i="6"/>
  <c r="Q898" i="6"/>
  <c r="P898" i="6"/>
  <c r="O898" i="6"/>
  <c r="U898" i="6" s="1"/>
  <c r="N898" i="6"/>
  <c r="V897" i="6"/>
  <c r="T897" i="6"/>
  <c r="S897" i="6"/>
  <c r="R897" i="6"/>
  <c r="Q897" i="6"/>
  <c r="P897" i="6"/>
  <c r="O897" i="6"/>
  <c r="U897" i="6" s="1"/>
  <c r="N897" i="6"/>
  <c r="V896" i="6"/>
  <c r="T896" i="6"/>
  <c r="S896" i="6"/>
  <c r="R896" i="6"/>
  <c r="Q896" i="6"/>
  <c r="P896" i="6"/>
  <c r="O896" i="6"/>
  <c r="U896" i="6" s="1"/>
  <c r="N896" i="6"/>
  <c r="V895" i="6"/>
  <c r="T895" i="6"/>
  <c r="S895" i="6"/>
  <c r="R895" i="6"/>
  <c r="Q895" i="6"/>
  <c r="P895" i="6"/>
  <c r="O895" i="6"/>
  <c r="U895" i="6" s="1"/>
  <c r="N895" i="6"/>
  <c r="V894" i="6"/>
  <c r="T894" i="6"/>
  <c r="S894" i="6"/>
  <c r="R894" i="6"/>
  <c r="Q894" i="6"/>
  <c r="P894" i="6"/>
  <c r="O894" i="6"/>
  <c r="U894" i="6" s="1"/>
  <c r="N894" i="6"/>
  <c r="V893" i="6"/>
  <c r="T893" i="6"/>
  <c r="S893" i="6"/>
  <c r="R893" i="6"/>
  <c r="Q893" i="6"/>
  <c r="P893" i="6"/>
  <c r="O893" i="6"/>
  <c r="U893" i="6" s="1"/>
  <c r="N893" i="6"/>
  <c r="V892" i="6"/>
  <c r="T892" i="6"/>
  <c r="S892" i="6"/>
  <c r="R892" i="6"/>
  <c r="Q892" i="6"/>
  <c r="P892" i="6"/>
  <c r="O892" i="6"/>
  <c r="U892" i="6" s="1"/>
  <c r="N892" i="6"/>
  <c r="V891" i="6"/>
  <c r="T891" i="6"/>
  <c r="S891" i="6"/>
  <c r="R891" i="6"/>
  <c r="Q891" i="6"/>
  <c r="P891" i="6"/>
  <c r="O891" i="6"/>
  <c r="U891" i="6" s="1"/>
  <c r="N891" i="6"/>
  <c r="V890" i="6"/>
  <c r="T890" i="6"/>
  <c r="S890" i="6"/>
  <c r="R890" i="6"/>
  <c r="Q890" i="6"/>
  <c r="P890" i="6"/>
  <c r="O890" i="6"/>
  <c r="U890" i="6" s="1"/>
  <c r="N890" i="6"/>
  <c r="V889" i="6"/>
  <c r="T889" i="6"/>
  <c r="S889" i="6"/>
  <c r="R889" i="6"/>
  <c r="Q889" i="6"/>
  <c r="P889" i="6"/>
  <c r="O889" i="6"/>
  <c r="U889" i="6" s="1"/>
  <c r="N889" i="6"/>
  <c r="V888" i="6"/>
  <c r="T888" i="6"/>
  <c r="S888" i="6"/>
  <c r="R888" i="6"/>
  <c r="Q888" i="6"/>
  <c r="P888" i="6"/>
  <c r="O888" i="6"/>
  <c r="U888" i="6" s="1"/>
  <c r="N888" i="6"/>
  <c r="V887" i="6"/>
  <c r="T887" i="6"/>
  <c r="S887" i="6"/>
  <c r="R887" i="6"/>
  <c r="Q887" i="6"/>
  <c r="P887" i="6"/>
  <c r="O887" i="6"/>
  <c r="U887" i="6" s="1"/>
  <c r="N887" i="6"/>
  <c r="V886" i="6"/>
  <c r="T886" i="6"/>
  <c r="S886" i="6"/>
  <c r="R886" i="6"/>
  <c r="Q886" i="6"/>
  <c r="P886" i="6"/>
  <c r="O886" i="6"/>
  <c r="U886" i="6" s="1"/>
  <c r="N886" i="6"/>
  <c r="V885" i="6"/>
  <c r="T885" i="6"/>
  <c r="S885" i="6"/>
  <c r="R885" i="6"/>
  <c r="Q885" i="6"/>
  <c r="P885" i="6"/>
  <c r="O885" i="6"/>
  <c r="U885" i="6" s="1"/>
  <c r="N885" i="6"/>
  <c r="V884" i="6"/>
  <c r="T884" i="6"/>
  <c r="S884" i="6"/>
  <c r="R884" i="6"/>
  <c r="Q884" i="6"/>
  <c r="P884" i="6"/>
  <c r="O884" i="6"/>
  <c r="U884" i="6" s="1"/>
  <c r="N884" i="6"/>
  <c r="V883" i="6"/>
  <c r="T883" i="6"/>
  <c r="S883" i="6"/>
  <c r="R883" i="6"/>
  <c r="Q883" i="6"/>
  <c r="P883" i="6"/>
  <c r="O883" i="6"/>
  <c r="U883" i="6" s="1"/>
  <c r="N883" i="6"/>
  <c r="V882" i="6"/>
  <c r="T882" i="6"/>
  <c r="S882" i="6"/>
  <c r="R882" i="6"/>
  <c r="Q882" i="6"/>
  <c r="P882" i="6"/>
  <c r="O882" i="6"/>
  <c r="U882" i="6" s="1"/>
  <c r="N882" i="6"/>
  <c r="V881" i="6"/>
  <c r="T881" i="6"/>
  <c r="S881" i="6"/>
  <c r="R881" i="6"/>
  <c r="Q881" i="6"/>
  <c r="P881" i="6"/>
  <c r="O881" i="6"/>
  <c r="U881" i="6" s="1"/>
  <c r="N881" i="6"/>
  <c r="V880" i="6"/>
  <c r="T880" i="6"/>
  <c r="S880" i="6"/>
  <c r="R880" i="6"/>
  <c r="Q880" i="6"/>
  <c r="P880" i="6"/>
  <c r="O880" i="6"/>
  <c r="U880" i="6" s="1"/>
  <c r="N880" i="6"/>
  <c r="V879" i="6"/>
  <c r="T879" i="6"/>
  <c r="S879" i="6"/>
  <c r="R879" i="6"/>
  <c r="Q879" i="6"/>
  <c r="P879" i="6"/>
  <c r="O879" i="6"/>
  <c r="U879" i="6" s="1"/>
  <c r="N879" i="6"/>
  <c r="V878" i="6"/>
  <c r="T878" i="6"/>
  <c r="S878" i="6"/>
  <c r="R878" i="6"/>
  <c r="Q878" i="6"/>
  <c r="P878" i="6"/>
  <c r="O878" i="6"/>
  <c r="U878" i="6" s="1"/>
  <c r="N878" i="6"/>
  <c r="V877" i="6"/>
  <c r="T877" i="6"/>
  <c r="S877" i="6"/>
  <c r="R877" i="6"/>
  <c r="Q877" i="6"/>
  <c r="P877" i="6"/>
  <c r="O877" i="6"/>
  <c r="U877" i="6" s="1"/>
  <c r="N877" i="6"/>
  <c r="V876" i="6"/>
  <c r="T876" i="6"/>
  <c r="S876" i="6"/>
  <c r="R876" i="6"/>
  <c r="Q876" i="6"/>
  <c r="P876" i="6"/>
  <c r="O876" i="6"/>
  <c r="U876" i="6" s="1"/>
  <c r="N876" i="6"/>
  <c r="V875" i="6"/>
  <c r="T875" i="6"/>
  <c r="S875" i="6"/>
  <c r="R875" i="6"/>
  <c r="Q875" i="6"/>
  <c r="P875" i="6"/>
  <c r="O875" i="6"/>
  <c r="U875" i="6" s="1"/>
  <c r="N875" i="6"/>
  <c r="V874" i="6"/>
  <c r="T874" i="6"/>
  <c r="S874" i="6"/>
  <c r="R874" i="6"/>
  <c r="Q874" i="6"/>
  <c r="P874" i="6"/>
  <c r="O874" i="6"/>
  <c r="U874" i="6" s="1"/>
  <c r="N874" i="6"/>
  <c r="V873" i="6"/>
  <c r="T873" i="6"/>
  <c r="S873" i="6"/>
  <c r="R873" i="6"/>
  <c r="Q873" i="6"/>
  <c r="P873" i="6"/>
  <c r="O873" i="6"/>
  <c r="U873" i="6" s="1"/>
  <c r="N873" i="6"/>
  <c r="V872" i="6"/>
  <c r="T872" i="6"/>
  <c r="S872" i="6"/>
  <c r="R872" i="6"/>
  <c r="Q872" i="6"/>
  <c r="P872" i="6"/>
  <c r="O872" i="6"/>
  <c r="U872" i="6" s="1"/>
  <c r="N872" i="6"/>
  <c r="V871" i="6"/>
  <c r="T871" i="6"/>
  <c r="S871" i="6"/>
  <c r="R871" i="6"/>
  <c r="Q871" i="6"/>
  <c r="P871" i="6"/>
  <c r="O871" i="6"/>
  <c r="U871" i="6" s="1"/>
  <c r="N871" i="6"/>
  <c r="V870" i="6"/>
  <c r="T870" i="6"/>
  <c r="S870" i="6"/>
  <c r="R870" i="6"/>
  <c r="Q870" i="6"/>
  <c r="P870" i="6"/>
  <c r="O870" i="6"/>
  <c r="U870" i="6" s="1"/>
  <c r="N870" i="6"/>
  <c r="V869" i="6"/>
  <c r="T869" i="6"/>
  <c r="S869" i="6"/>
  <c r="R869" i="6"/>
  <c r="Q869" i="6"/>
  <c r="P869" i="6"/>
  <c r="O869" i="6"/>
  <c r="U869" i="6" s="1"/>
  <c r="N869" i="6"/>
  <c r="V868" i="6"/>
  <c r="T868" i="6"/>
  <c r="S868" i="6"/>
  <c r="R868" i="6"/>
  <c r="Q868" i="6"/>
  <c r="P868" i="6"/>
  <c r="O868" i="6"/>
  <c r="U868" i="6" s="1"/>
  <c r="N868" i="6"/>
  <c r="V867" i="6"/>
  <c r="T867" i="6"/>
  <c r="S867" i="6"/>
  <c r="R867" i="6"/>
  <c r="Q867" i="6"/>
  <c r="P867" i="6"/>
  <c r="O867" i="6"/>
  <c r="U867" i="6" s="1"/>
  <c r="N867" i="6"/>
  <c r="V866" i="6"/>
  <c r="T866" i="6"/>
  <c r="S866" i="6"/>
  <c r="R866" i="6"/>
  <c r="Q866" i="6"/>
  <c r="P866" i="6"/>
  <c r="O866" i="6"/>
  <c r="U866" i="6" s="1"/>
  <c r="N866" i="6"/>
  <c r="V865" i="6"/>
  <c r="T865" i="6"/>
  <c r="S865" i="6"/>
  <c r="R865" i="6"/>
  <c r="Q865" i="6"/>
  <c r="P865" i="6"/>
  <c r="O865" i="6"/>
  <c r="U865" i="6" s="1"/>
  <c r="N865" i="6"/>
  <c r="V864" i="6"/>
  <c r="T864" i="6"/>
  <c r="S864" i="6"/>
  <c r="R864" i="6"/>
  <c r="Q864" i="6"/>
  <c r="P864" i="6"/>
  <c r="O864" i="6"/>
  <c r="U864" i="6" s="1"/>
  <c r="N864" i="6"/>
  <c r="V863" i="6"/>
  <c r="T863" i="6"/>
  <c r="S863" i="6"/>
  <c r="R863" i="6"/>
  <c r="Q863" i="6"/>
  <c r="P863" i="6"/>
  <c r="O863" i="6"/>
  <c r="U863" i="6" s="1"/>
  <c r="N863" i="6"/>
  <c r="V862" i="6"/>
  <c r="T862" i="6"/>
  <c r="S862" i="6"/>
  <c r="R862" i="6"/>
  <c r="Q862" i="6"/>
  <c r="P862" i="6"/>
  <c r="O862" i="6"/>
  <c r="U862" i="6" s="1"/>
  <c r="N862" i="6"/>
  <c r="V861" i="6"/>
  <c r="T861" i="6"/>
  <c r="S861" i="6"/>
  <c r="R861" i="6"/>
  <c r="Q861" i="6"/>
  <c r="P861" i="6"/>
  <c r="O861" i="6"/>
  <c r="U861" i="6" s="1"/>
  <c r="N861" i="6"/>
  <c r="V860" i="6"/>
  <c r="T860" i="6"/>
  <c r="S860" i="6"/>
  <c r="R860" i="6"/>
  <c r="Q860" i="6"/>
  <c r="P860" i="6"/>
  <c r="O860" i="6"/>
  <c r="U860" i="6" s="1"/>
  <c r="N860" i="6"/>
  <c r="V859" i="6"/>
  <c r="T859" i="6"/>
  <c r="S859" i="6"/>
  <c r="R859" i="6"/>
  <c r="Q859" i="6"/>
  <c r="P859" i="6"/>
  <c r="O859" i="6"/>
  <c r="U859" i="6" s="1"/>
  <c r="N859" i="6"/>
  <c r="V858" i="6"/>
  <c r="T858" i="6"/>
  <c r="S858" i="6"/>
  <c r="R858" i="6"/>
  <c r="Q858" i="6"/>
  <c r="P858" i="6"/>
  <c r="O858" i="6"/>
  <c r="U858" i="6" s="1"/>
  <c r="N858" i="6"/>
  <c r="V857" i="6"/>
  <c r="T857" i="6"/>
  <c r="S857" i="6"/>
  <c r="R857" i="6"/>
  <c r="Q857" i="6"/>
  <c r="P857" i="6"/>
  <c r="O857" i="6"/>
  <c r="U857" i="6" s="1"/>
  <c r="N857" i="6"/>
  <c r="V856" i="6"/>
  <c r="T856" i="6"/>
  <c r="S856" i="6"/>
  <c r="R856" i="6"/>
  <c r="Q856" i="6"/>
  <c r="P856" i="6"/>
  <c r="O856" i="6"/>
  <c r="U856" i="6" s="1"/>
  <c r="N856" i="6"/>
  <c r="V855" i="6"/>
  <c r="T855" i="6"/>
  <c r="S855" i="6"/>
  <c r="R855" i="6"/>
  <c r="Q855" i="6"/>
  <c r="P855" i="6"/>
  <c r="O855" i="6"/>
  <c r="U855" i="6" s="1"/>
  <c r="N855" i="6"/>
  <c r="V854" i="6"/>
  <c r="T854" i="6"/>
  <c r="S854" i="6"/>
  <c r="R854" i="6"/>
  <c r="Q854" i="6"/>
  <c r="P854" i="6"/>
  <c r="O854" i="6"/>
  <c r="U854" i="6" s="1"/>
  <c r="N854" i="6"/>
  <c r="V853" i="6"/>
  <c r="T853" i="6"/>
  <c r="S853" i="6"/>
  <c r="R853" i="6"/>
  <c r="Q853" i="6"/>
  <c r="P853" i="6"/>
  <c r="O853" i="6"/>
  <c r="U853" i="6" s="1"/>
  <c r="N853" i="6"/>
  <c r="V852" i="6"/>
  <c r="T852" i="6"/>
  <c r="S852" i="6"/>
  <c r="R852" i="6"/>
  <c r="Q852" i="6"/>
  <c r="P852" i="6"/>
  <c r="O852" i="6"/>
  <c r="U852" i="6" s="1"/>
  <c r="N852" i="6"/>
  <c r="V851" i="6"/>
  <c r="T851" i="6"/>
  <c r="S851" i="6"/>
  <c r="R851" i="6"/>
  <c r="Q851" i="6"/>
  <c r="P851" i="6"/>
  <c r="O851" i="6"/>
  <c r="U851" i="6" s="1"/>
  <c r="N851" i="6"/>
  <c r="V850" i="6"/>
  <c r="T850" i="6"/>
  <c r="S850" i="6"/>
  <c r="R850" i="6"/>
  <c r="Q850" i="6"/>
  <c r="P850" i="6"/>
  <c r="O850" i="6"/>
  <c r="U850" i="6" s="1"/>
  <c r="N850" i="6"/>
  <c r="V849" i="6"/>
  <c r="T849" i="6"/>
  <c r="S849" i="6"/>
  <c r="R849" i="6"/>
  <c r="Q849" i="6"/>
  <c r="P849" i="6"/>
  <c r="O849" i="6"/>
  <c r="U849" i="6" s="1"/>
  <c r="N849" i="6"/>
  <c r="V848" i="6"/>
  <c r="T848" i="6"/>
  <c r="S848" i="6"/>
  <c r="R848" i="6"/>
  <c r="Q848" i="6"/>
  <c r="P848" i="6"/>
  <c r="O848" i="6"/>
  <c r="U848" i="6" s="1"/>
  <c r="N848" i="6"/>
  <c r="V847" i="6"/>
  <c r="T847" i="6"/>
  <c r="S847" i="6"/>
  <c r="R847" i="6"/>
  <c r="Q847" i="6"/>
  <c r="P847" i="6"/>
  <c r="O847" i="6"/>
  <c r="U847" i="6" s="1"/>
  <c r="N847" i="6"/>
  <c r="V846" i="6"/>
  <c r="T846" i="6"/>
  <c r="S846" i="6"/>
  <c r="R846" i="6"/>
  <c r="Q846" i="6"/>
  <c r="P846" i="6"/>
  <c r="O846" i="6"/>
  <c r="U846" i="6" s="1"/>
  <c r="N846" i="6"/>
  <c r="V845" i="6"/>
  <c r="T845" i="6"/>
  <c r="S845" i="6"/>
  <c r="R845" i="6"/>
  <c r="Q845" i="6"/>
  <c r="P845" i="6"/>
  <c r="O845" i="6"/>
  <c r="U845" i="6" s="1"/>
  <c r="N845" i="6"/>
  <c r="V844" i="6"/>
  <c r="T844" i="6"/>
  <c r="S844" i="6"/>
  <c r="R844" i="6"/>
  <c r="Q844" i="6"/>
  <c r="P844" i="6"/>
  <c r="O844" i="6"/>
  <c r="U844" i="6" s="1"/>
  <c r="N844" i="6"/>
  <c r="V843" i="6"/>
  <c r="T843" i="6"/>
  <c r="S843" i="6"/>
  <c r="R843" i="6"/>
  <c r="Q843" i="6"/>
  <c r="P843" i="6"/>
  <c r="O843" i="6"/>
  <c r="U843" i="6" s="1"/>
  <c r="N843" i="6"/>
  <c r="V842" i="6"/>
  <c r="T842" i="6"/>
  <c r="S842" i="6"/>
  <c r="R842" i="6"/>
  <c r="Q842" i="6"/>
  <c r="P842" i="6"/>
  <c r="O842" i="6"/>
  <c r="U842" i="6" s="1"/>
  <c r="N842" i="6"/>
  <c r="V841" i="6"/>
  <c r="T841" i="6"/>
  <c r="S841" i="6"/>
  <c r="R841" i="6"/>
  <c r="Q841" i="6"/>
  <c r="P841" i="6"/>
  <c r="O841" i="6"/>
  <c r="U841" i="6" s="1"/>
  <c r="N841" i="6"/>
  <c r="V840" i="6"/>
  <c r="T840" i="6"/>
  <c r="S840" i="6"/>
  <c r="R840" i="6"/>
  <c r="Q840" i="6"/>
  <c r="P840" i="6"/>
  <c r="O840" i="6"/>
  <c r="U840" i="6" s="1"/>
  <c r="N840" i="6"/>
  <c r="V839" i="6"/>
  <c r="T839" i="6"/>
  <c r="S839" i="6"/>
  <c r="R839" i="6"/>
  <c r="Q839" i="6"/>
  <c r="P839" i="6"/>
  <c r="O839" i="6"/>
  <c r="U839" i="6" s="1"/>
  <c r="N839" i="6"/>
  <c r="V838" i="6"/>
  <c r="T838" i="6"/>
  <c r="S838" i="6"/>
  <c r="R838" i="6"/>
  <c r="Q838" i="6"/>
  <c r="P838" i="6"/>
  <c r="O838" i="6"/>
  <c r="U838" i="6" s="1"/>
  <c r="N838" i="6"/>
  <c r="V837" i="6"/>
  <c r="T837" i="6"/>
  <c r="S837" i="6"/>
  <c r="R837" i="6"/>
  <c r="Q837" i="6"/>
  <c r="P837" i="6"/>
  <c r="O837" i="6"/>
  <c r="U837" i="6" s="1"/>
  <c r="N837" i="6"/>
  <c r="V836" i="6"/>
  <c r="T836" i="6"/>
  <c r="S836" i="6"/>
  <c r="R836" i="6"/>
  <c r="Q836" i="6"/>
  <c r="P836" i="6"/>
  <c r="O836" i="6"/>
  <c r="U836" i="6" s="1"/>
  <c r="N836" i="6"/>
  <c r="V835" i="6"/>
  <c r="T835" i="6"/>
  <c r="S835" i="6"/>
  <c r="R835" i="6"/>
  <c r="Q835" i="6"/>
  <c r="P835" i="6"/>
  <c r="O835" i="6"/>
  <c r="U835" i="6" s="1"/>
  <c r="N835" i="6"/>
  <c r="V834" i="6"/>
  <c r="T834" i="6"/>
  <c r="S834" i="6"/>
  <c r="R834" i="6"/>
  <c r="Q834" i="6"/>
  <c r="P834" i="6"/>
  <c r="O834" i="6"/>
  <c r="U834" i="6" s="1"/>
  <c r="N834" i="6"/>
  <c r="V833" i="6"/>
  <c r="T833" i="6"/>
  <c r="S833" i="6"/>
  <c r="R833" i="6"/>
  <c r="Q833" i="6"/>
  <c r="P833" i="6"/>
  <c r="O833" i="6"/>
  <c r="U833" i="6" s="1"/>
  <c r="N833" i="6"/>
  <c r="V832" i="6"/>
  <c r="T832" i="6"/>
  <c r="S832" i="6"/>
  <c r="R832" i="6"/>
  <c r="Q832" i="6"/>
  <c r="P832" i="6"/>
  <c r="O832" i="6"/>
  <c r="U832" i="6" s="1"/>
  <c r="N832" i="6"/>
  <c r="V831" i="6"/>
  <c r="T831" i="6"/>
  <c r="S831" i="6"/>
  <c r="R831" i="6"/>
  <c r="Q831" i="6"/>
  <c r="P831" i="6"/>
  <c r="O831" i="6"/>
  <c r="U831" i="6" s="1"/>
  <c r="N831" i="6"/>
  <c r="V830" i="6"/>
  <c r="T830" i="6"/>
  <c r="S830" i="6"/>
  <c r="R830" i="6"/>
  <c r="Q830" i="6"/>
  <c r="P830" i="6"/>
  <c r="O830" i="6"/>
  <c r="U830" i="6" s="1"/>
  <c r="N830" i="6"/>
  <c r="V829" i="6"/>
  <c r="T829" i="6"/>
  <c r="S829" i="6"/>
  <c r="R829" i="6"/>
  <c r="Q829" i="6"/>
  <c r="P829" i="6"/>
  <c r="O829" i="6"/>
  <c r="U829" i="6" s="1"/>
  <c r="N829" i="6"/>
  <c r="V828" i="6"/>
  <c r="T828" i="6"/>
  <c r="S828" i="6"/>
  <c r="R828" i="6"/>
  <c r="Q828" i="6"/>
  <c r="P828" i="6"/>
  <c r="O828" i="6"/>
  <c r="U828" i="6" s="1"/>
  <c r="N828" i="6"/>
  <c r="V827" i="6"/>
  <c r="T827" i="6"/>
  <c r="S827" i="6"/>
  <c r="R827" i="6"/>
  <c r="Q827" i="6"/>
  <c r="P827" i="6"/>
  <c r="O827" i="6"/>
  <c r="U827" i="6" s="1"/>
  <c r="N827" i="6"/>
  <c r="V826" i="6"/>
  <c r="T826" i="6"/>
  <c r="S826" i="6"/>
  <c r="R826" i="6"/>
  <c r="Q826" i="6"/>
  <c r="P826" i="6"/>
  <c r="O826" i="6"/>
  <c r="U826" i="6" s="1"/>
  <c r="N826" i="6"/>
  <c r="V825" i="6"/>
  <c r="T825" i="6"/>
  <c r="S825" i="6"/>
  <c r="R825" i="6"/>
  <c r="Q825" i="6"/>
  <c r="P825" i="6"/>
  <c r="O825" i="6"/>
  <c r="U825" i="6" s="1"/>
  <c r="N825" i="6"/>
  <c r="V824" i="6"/>
  <c r="T824" i="6"/>
  <c r="S824" i="6"/>
  <c r="R824" i="6"/>
  <c r="Q824" i="6"/>
  <c r="P824" i="6"/>
  <c r="O824" i="6"/>
  <c r="U824" i="6" s="1"/>
  <c r="N824" i="6"/>
  <c r="V823" i="6"/>
  <c r="T823" i="6"/>
  <c r="S823" i="6"/>
  <c r="R823" i="6"/>
  <c r="Q823" i="6"/>
  <c r="P823" i="6"/>
  <c r="O823" i="6"/>
  <c r="U823" i="6" s="1"/>
  <c r="N823" i="6"/>
  <c r="V822" i="6"/>
  <c r="T822" i="6"/>
  <c r="S822" i="6"/>
  <c r="R822" i="6"/>
  <c r="Q822" i="6"/>
  <c r="P822" i="6"/>
  <c r="O822" i="6"/>
  <c r="U822" i="6" s="1"/>
  <c r="N822" i="6"/>
  <c r="V821" i="6"/>
  <c r="T821" i="6"/>
  <c r="S821" i="6"/>
  <c r="R821" i="6"/>
  <c r="Q821" i="6"/>
  <c r="P821" i="6"/>
  <c r="O821" i="6"/>
  <c r="U821" i="6" s="1"/>
  <c r="N821" i="6"/>
  <c r="V820" i="6"/>
  <c r="T820" i="6"/>
  <c r="S820" i="6"/>
  <c r="R820" i="6"/>
  <c r="Q820" i="6"/>
  <c r="P820" i="6"/>
  <c r="O820" i="6"/>
  <c r="U820" i="6" s="1"/>
  <c r="N820" i="6"/>
  <c r="V819" i="6"/>
  <c r="T819" i="6"/>
  <c r="S819" i="6"/>
  <c r="R819" i="6"/>
  <c r="Q819" i="6"/>
  <c r="P819" i="6"/>
  <c r="O819" i="6"/>
  <c r="U819" i="6" s="1"/>
  <c r="N819" i="6"/>
  <c r="V818" i="6"/>
  <c r="T818" i="6"/>
  <c r="S818" i="6"/>
  <c r="R818" i="6"/>
  <c r="Q818" i="6"/>
  <c r="P818" i="6"/>
  <c r="O818" i="6"/>
  <c r="U818" i="6" s="1"/>
  <c r="N818" i="6"/>
  <c r="V817" i="6"/>
  <c r="T817" i="6"/>
  <c r="S817" i="6"/>
  <c r="R817" i="6"/>
  <c r="Q817" i="6"/>
  <c r="P817" i="6"/>
  <c r="O817" i="6"/>
  <c r="U817" i="6" s="1"/>
  <c r="N817" i="6"/>
  <c r="V816" i="6"/>
  <c r="T816" i="6"/>
  <c r="S816" i="6"/>
  <c r="R816" i="6"/>
  <c r="Q816" i="6"/>
  <c r="P816" i="6"/>
  <c r="O816" i="6"/>
  <c r="U816" i="6" s="1"/>
  <c r="N816" i="6"/>
  <c r="V815" i="6"/>
  <c r="T815" i="6"/>
  <c r="S815" i="6"/>
  <c r="R815" i="6"/>
  <c r="Q815" i="6"/>
  <c r="P815" i="6"/>
  <c r="O815" i="6"/>
  <c r="U815" i="6" s="1"/>
  <c r="N815" i="6"/>
  <c r="V814" i="6"/>
  <c r="T814" i="6"/>
  <c r="S814" i="6"/>
  <c r="R814" i="6"/>
  <c r="Q814" i="6"/>
  <c r="P814" i="6"/>
  <c r="O814" i="6"/>
  <c r="U814" i="6" s="1"/>
  <c r="N814" i="6"/>
  <c r="V813" i="6"/>
  <c r="T813" i="6"/>
  <c r="S813" i="6"/>
  <c r="R813" i="6"/>
  <c r="Q813" i="6"/>
  <c r="P813" i="6"/>
  <c r="O813" i="6"/>
  <c r="U813" i="6" s="1"/>
  <c r="N813" i="6"/>
  <c r="V812" i="6"/>
  <c r="T812" i="6"/>
  <c r="S812" i="6"/>
  <c r="R812" i="6"/>
  <c r="Q812" i="6"/>
  <c r="P812" i="6"/>
  <c r="O812" i="6"/>
  <c r="U812" i="6" s="1"/>
  <c r="N812" i="6"/>
  <c r="V811" i="6"/>
  <c r="T811" i="6"/>
  <c r="S811" i="6"/>
  <c r="R811" i="6"/>
  <c r="Q811" i="6"/>
  <c r="P811" i="6"/>
  <c r="O811" i="6"/>
  <c r="U811" i="6" s="1"/>
  <c r="N811" i="6"/>
  <c r="V810" i="6"/>
  <c r="T810" i="6"/>
  <c r="S810" i="6"/>
  <c r="R810" i="6"/>
  <c r="Q810" i="6"/>
  <c r="P810" i="6"/>
  <c r="O810" i="6"/>
  <c r="U810" i="6" s="1"/>
  <c r="N810" i="6"/>
  <c r="V809" i="6"/>
  <c r="T809" i="6"/>
  <c r="S809" i="6"/>
  <c r="R809" i="6"/>
  <c r="Q809" i="6"/>
  <c r="P809" i="6"/>
  <c r="O809" i="6"/>
  <c r="U809" i="6" s="1"/>
  <c r="N809" i="6"/>
  <c r="V808" i="6"/>
  <c r="T808" i="6"/>
  <c r="S808" i="6"/>
  <c r="R808" i="6"/>
  <c r="Q808" i="6"/>
  <c r="P808" i="6"/>
  <c r="O808" i="6"/>
  <c r="U808" i="6" s="1"/>
  <c r="N808" i="6"/>
  <c r="V807" i="6"/>
  <c r="T807" i="6"/>
  <c r="S807" i="6"/>
  <c r="R807" i="6"/>
  <c r="Q807" i="6"/>
  <c r="P807" i="6"/>
  <c r="O807" i="6"/>
  <c r="U807" i="6" s="1"/>
  <c r="N807" i="6"/>
  <c r="V806" i="6"/>
  <c r="T806" i="6"/>
  <c r="S806" i="6"/>
  <c r="R806" i="6"/>
  <c r="Q806" i="6"/>
  <c r="P806" i="6"/>
  <c r="O806" i="6"/>
  <c r="U806" i="6" s="1"/>
  <c r="N806" i="6"/>
  <c r="V805" i="6"/>
  <c r="T805" i="6"/>
  <c r="S805" i="6"/>
  <c r="R805" i="6"/>
  <c r="Q805" i="6"/>
  <c r="P805" i="6"/>
  <c r="O805" i="6"/>
  <c r="U805" i="6" s="1"/>
  <c r="N805" i="6"/>
  <c r="V804" i="6"/>
  <c r="T804" i="6"/>
  <c r="S804" i="6"/>
  <c r="R804" i="6"/>
  <c r="Q804" i="6"/>
  <c r="P804" i="6"/>
  <c r="O804" i="6"/>
  <c r="U804" i="6" s="1"/>
  <c r="N804" i="6"/>
  <c r="V803" i="6"/>
  <c r="T803" i="6"/>
  <c r="S803" i="6"/>
  <c r="R803" i="6"/>
  <c r="Q803" i="6"/>
  <c r="P803" i="6"/>
  <c r="O803" i="6"/>
  <c r="U803" i="6" s="1"/>
  <c r="N803" i="6"/>
  <c r="V802" i="6"/>
  <c r="T802" i="6"/>
  <c r="S802" i="6"/>
  <c r="R802" i="6"/>
  <c r="Q802" i="6"/>
  <c r="P802" i="6"/>
  <c r="O802" i="6"/>
  <c r="U802" i="6" s="1"/>
  <c r="N802" i="6"/>
  <c r="V801" i="6"/>
  <c r="T801" i="6"/>
  <c r="S801" i="6"/>
  <c r="R801" i="6"/>
  <c r="Q801" i="6"/>
  <c r="P801" i="6"/>
  <c r="O801" i="6"/>
  <c r="U801" i="6" s="1"/>
  <c r="N801" i="6"/>
  <c r="V800" i="6"/>
  <c r="T800" i="6"/>
  <c r="S800" i="6"/>
  <c r="R800" i="6"/>
  <c r="Q800" i="6"/>
  <c r="P800" i="6"/>
  <c r="O800" i="6"/>
  <c r="U800" i="6" s="1"/>
  <c r="N800" i="6"/>
  <c r="V799" i="6"/>
  <c r="T799" i="6"/>
  <c r="S799" i="6"/>
  <c r="R799" i="6"/>
  <c r="Q799" i="6"/>
  <c r="P799" i="6"/>
  <c r="O799" i="6"/>
  <c r="U799" i="6" s="1"/>
  <c r="N799" i="6"/>
  <c r="V798" i="6"/>
  <c r="T798" i="6"/>
  <c r="S798" i="6"/>
  <c r="R798" i="6"/>
  <c r="Q798" i="6"/>
  <c r="P798" i="6"/>
  <c r="O798" i="6"/>
  <c r="U798" i="6" s="1"/>
  <c r="N798" i="6"/>
  <c r="V797" i="6"/>
  <c r="T797" i="6"/>
  <c r="S797" i="6"/>
  <c r="R797" i="6"/>
  <c r="Q797" i="6"/>
  <c r="P797" i="6"/>
  <c r="O797" i="6"/>
  <c r="U797" i="6" s="1"/>
  <c r="N797" i="6"/>
  <c r="V796" i="6"/>
  <c r="T796" i="6"/>
  <c r="S796" i="6"/>
  <c r="R796" i="6"/>
  <c r="Q796" i="6"/>
  <c r="P796" i="6"/>
  <c r="O796" i="6"/>
  <c r="U796" i="6" s="1"/>
  <c r="N796" i="6"/>
  <c r="V795" i="6"/>
  <c r="T795" i="6"/>
  <c r="S795" i="6"/>
  <c r="R795" i="6"/>
  <c r="Q795" i="6"/>
  <c r="P795" i="6"/>
  <c r="O795" i="6"/>
  <c r="U795" i="6" s="1"/>
  <c r="N795" i="6"/>
  <c r="V794" i="6"/>
  <c r="T794" i="6"/>
  <c r="S794" i="6"/>
  <c r="R794" i="6"/>
  <c r="Q794" i="6"/>
  <c r="P794" i="6"/>
  <c r="O794" i="6"/>
  <c r="U794" i="6" s="1"/>
  <c r="N794" i="6"/>
  <c r="V793" i="6"/>
  <c r="T793" i="6"/>
  <c r="S793" i="6"/>
  <c r="R793" i="6"/>
  <c r="Q793" i="6"/>
  <c r="P793" i="6"/>
  <c r="O793" i="6"/>
  <c r="U793" i="6" s="1"/>
  <c r="N793" i="6"/>
  <c r="V792" i="6"/>
  <c r="T792" i="6"/>
  <c r="S792" i="6"/>
  <c r="R792" i="6"/>
  <c r="Q792" i="6"/>
  <c r="P792" i="6"/>
  <c r="O792" i="6"/>
  <c r="U792" i="6" s="1"/>
  <c r="N792" i="6"/>
  <c r="V791" i="6"/>
  <c r="T791" i="6"/>
  <c r="S791" i="6"/>
  <c r="R791" i="6"/>
  <c r="Q791" i="6"/>
  <c r="P791" i="6"/>
  <c r="O791" i="6"/>
  <c r="U791" i="6" s="1"/>
  <c r="N791" i="6"/>
  <c r="V790" i="6"/>
  <c r="T790" i="6"/>
  <c r="S790" i="6"/>
  <c r="R790" i="6"/>
  <c r="Q790" i="6"/>
  <c r="P790" i="6"/>
  <c r="O790" i="6"/>
  <c r="U790" i="6" s="1"/>
  <c r="N790" i="6"/>
  <c r="V789" i="6"/>
  <c r="T789" i="6"/>
  <c r="S789" i="6"/>
  <c r="R789" i="6"/>
  <c r="Q789" i="6"/>
  <c r="P789" i="6"/>
  <c r="O789" i="6"/>
  <c r="U789" i="6" s="1"/>
  <c r="N789" i="6"/>
  <c r="V788" i="6"/>
  <c r="T788" i="6"/>
  <c r="S788" i="6"/>
  <c r="R788" i="6"/>
  <c r="Q788" i="6"/>
  <c r="P788" i="6"/>
  <c r="O788" i="6"/>
  <c r="U788" i="6" s="1"/>
  <c r="N788" i="6"/>
  <c r="V787" i="6"/>
  <c r="T787" i="6"/>
  <c r="S787" i="6"/>
  <c r="R787" i="6"/>
  <c r="Q787" i="6"/>
  <c r="P787" i="6"/>
  <c r="O787" i="6"/>
  <c r="U787" i="6" s="1"/>
  <c r="N787" i="6"/>
  <c r="V786" i="6"/>
  <c r="T786" i="6"/>
  <c r="S786" i="6"/>
  <c r="R786" i="6"/>
  <c r="Q786" i="6"/>
  <c r="P786" i="6"/>
  <c r="O786" i="6"/>
  <c r="U786" i="6" s="1"/>
  <c r="N786" i="6"/>
  <c r="V785" i="6"/>
  <c r="T785" i="6"/>
  <c r="S785" i="6"/>
  <c r="R785" i="6"/>
  <c r="Q785" i="6"/>
  <c r="P785" i="6"/>
  <c r="O785" i="6"/>
  <c r="U785" i="6" s="1"/>
  <c r="N785" i="6"/>
  <c r="V784" i="6"/>
  <c r="T784" i="6"/>
  <c r="S784" i="6"/>
  <c r="R784" i="6"/>
  <c r="Q784" i="6"/>
  <c r="P784" i="6"/>
  <c r="O784" i="6"/>
  <c r="U784" i="6" s="1"/>
  <c r="N784" i="6"/>
  <c r="V783" i="6"/>
  <c r="T783" i="6"/>
  <c r="S783" i="6"/>
  <c r="R783" i="6"/>
  <c r="Q783" i="6"/>
  <c r="P783" i="6"/>
  <c r="O783" i="6"/>
  <c r="U783" i="6" s="1"/>
  <c r="N783" i="6"/>
  <c r="V782" i="6"/>
  <c r="T782" i="6"/>
  <c r="S782" i="6"/>
  <c r="R782" i="6"/>
  <c r="Q782" i="6"/>
  <c r="P782" i="6"/>
  <c r="O782" i="6"/>
  <c r="U782" i="6" s="1"/>
  <c r="N782" i="6"/>
  <c r="V781" i="6"/>
  <c r="T781" i="6"/>
  <c r="S781" i="6"/>
  <c r="R781" i="6"/>
  <c r="Q781" i="6"/>
  <c r="P781" i="6"/>
  <c r="O781" i="6"/>
  <c r="U781" i="6" s="1"/>
  <c r="N781" i="6"/>
  <c r="V780" i="6"/>
  <c r="T780" i="6"/>
  <c r="S780" i="6"/>
  <c r="R780" i="6"/>
  <c r="Q780" i="6"/>
  <c r="P780" i="6"/>
  <c r="O780" i="6"/>
  <c r="U780" i="6" s="1"/>
  <c r="N780" i="6"/>
  <c r="V779" i="6"/>
  <c r="T779" i="6"/>
  <c r="S779" i="6"/>
  <c r="R779" i="6"/>
  <c r="Q779" i="6"/>
  <c r="P779" i="6"/>
  <c r="O779" i="6"/>
  <c r="U779" i="6" s="1"/>
  <c r="N779" i="6"/>
  <c r="V778" i="6"/>
  <c r="T778" i="6"/>
  <c r="S778" i="6"/>
  <c r="R778" i="6"/>
  <c r="Q778" i="6"/>
  <c r="P778" i="6"/>
  <c r="O778" i="6"/>
  <c r="U778" i="6" s="1"/>
  <c r="N778" i="6"/>
  <c r="V777" i="6"/>
  <c r="T777" i="6"/>
  <c r="S777" i="6"/>
  <c r="R777" i="6"/>
  <c r="Q777" i="6"/>
  <c r="P777" i="6"/>
  <c r="O777" i="6"/>
  <c r="U777" i="6" s="1"/>
  <c r="N777" i="6"/>
  <c r="V776" i="6"/>
  <c r="T776" i="6"/>
  <c r="S776" i="6"/>
  <c r="R776" i="6"/>
  <c r="Q776" i="6"/>
  <c r="P776" i="6"/>
  <c r="O776" i="6"/>
  <c r="U776" i="6" s="1"/>
  <c r="N776" i="6"/>
  <c r="V775" i="6"/>
  <c r="T775" i="6"/>
  <c r="S775" i="6"/>
  <c r="R775" i="6"/>
  <c r="Q775" i="6"/>
  <c r="P775" i="6"/>
  <c r="O775" i="6"/>
  <c r="U775" i="6" s="1"/>
  <c r="N775" i="6"/>
  <c r="V774" i="6"/>
  <c r="T774" i="6"/>
  <c r="S774" i="6"/>
  <c r="R774" i="6"/>
  <c r="Q774" i="6"/>
  <c r="P774" i="6"/>
  <c r="O774" i="6"/>
  <c r="U774" i="6" s="1"/>
  <c r="N774" i="6"/>
  <c r="V773" i="6"/>
  <c r="T773" i="6"/>
  <c r="S773" i="6"/>
  <c r="R773" i="6"/>
  <c r="Q773" i="6"/>
  <c r="P773" i="6"/>
  <c r="O773" i="6"/>
  <c r="U773" i="6" s="1"/>
  <c r="N773" i="6"/>
  <c r="V772" i="6"/>
  <c r="T772" i="6"/>
  <c r="S772" i="6"/>
  <c r="R772" i="6"/>
  <c r="Q772" i="6"/>
  <c r="P772" i="6"/>
  <c r="O772" i="6"/>
  <c r="U772" i="6" s="1"/>
  <c r="N772" i="6"/>
  <c r="V771" i="6"/>
  <c r="T771" i="6"/>
  <c r="S771" i="6"/>
  <c r="R771" i="6"/>
  <c r="Q771" i="6"/>
  <c r="P771" i="6"/>
  <c r="O771" i="6"/>
  <c r="U771" i="6" s="1"/>
  <c r="N771" i="6"/>
  <c r="V770" i="6"/>
  <c r="T770" i="6"/>
  <c r="S770" i="6"/>
  <c r="R770" i="6"/>
  <c r="Q770" i="6"/>
  <c r="P770" i="6"/>
  <c r="O770" i="6"/>
  <c r="U770" i="6" s="1"/>
  <c r="N770" i="6"/>
  <c r="V769" i="6"/>
  <c r="T769" i="6"/>
  <c r="S769" i="6"/>
  <c r="R769" i="6"/>
  <c r="Q769" i="6"/>
  <c r="P769" i="6"/>
  <c r="O769" i="6"/>
  <c r="U769" i="6" s="1"/>
  <c r="N769" i="6"/>
  <c r="V768" i="6"/>
  <c r="T768" i="6"/>
  <c r="S768" i="6"/>
  <c r="R768" i="6"/>
  <c r="Q768" i="6"/>
  <c r="P768" i="6"/>
  <c r="O768" i="6"/>
  <c r="U768" i="6" s="1"/>
  <c r="N768" i="6"/>
  <c r="V767" i="6"/>
  <c r="T767" i="6"/>
  <c r="S767" i="6"/>
  <c r="R767" i="6"/>
  <c r="Q767" i="6"/>
  <c r="P767" i="6"/>
  <c r="O767" i="6"/>
  <c r="U767" i="6" s="1"/>
  <c r="N767" i="6"/>
  <c r="V766" i="6"/>
  <c r="T766" i="6"/>
  <c r="S766" i="6"/>
  <c r="R766" i="6"/>
  <c r="Q766" i="6"/>
  <c r="P766" i="6"/>
  <c r="O766" i="6"/>
  <c r="U766" i="6" s="1"/>
  <c r="N766" i="6"/>
  <c r="V765" i="6"/>
  <c r="T765" i="6"/>
  <c r="S765" i="6"/>
  <c r="R765" i="6"/>
  <c r="Q765" i="6"/>
  <c r="P765" i="6"/>
  <c r="O765" i="6"/>
  <c r="U765" i="6" s="1"/>
  <c r="N765" i="6"/>
  <c r="V764" i="6"/>
  <c r="T764" i="6"/>
  <c r="S764" i="6"/>
  <c r="R764" i="6"/>
  <c r="Q764" i="6"/>
  <c r="P764" i="6"/>
  <c r="O764" i="6"/>
  <c r="U764" i="6" s="1"/>
  <c r="N764" i="6"/>
  <c r="V763" i="6"/>
  <c r="T763" i="6"/>
  <c r="S763" i="6"/>
  <c r="R763" i="6"/>
  <c r="Q763" i="6"/>
  <c r="P763" i="6"/>
  <c r="O763" i="6"/>
  <c r="U763" i="6" s="1"/>
  <c r="N763" i="6"/>
  <c r="V762" i="6"/>
  <c r="T762" i="6"/>
  <c r="S762" i="6"/>
  <c r="R762" i="6"/>
  <c r="Q762" i="6"/>
  <c r="P762" i="6"/>
  <c r="O762" i="6"/>
  <c r="U762" i="6" s="1"/>
  <c r="N762" i="6"/>
  <c r="V761" i="6"/>
  <c r="T761" i="6"/>
  <c r="S761" i="6"/>
  <c r="R761" i="6"/>
  <c r="Q761" i="6"/>
  <c r="P761" i="6"/>
  <c r="O761" i="6"/>
  <c r="U761" i="6" s="1"/>
  <c r="N761" i="6"/>
  <c r="V760" i="6"/>
  <c r="T760" i="6"/>
  <c r="S760" i="6"/>
  <c r="R760" i="6"/>
  <c r="Q760" i="6"/>
  <c r="P760" i="6"/>
  <c r="O760" i="6"/>
  <c r="U760" i="6" s="1"/>
  <c r="N760" i="6"/>
  <c r="V759" i="6"/>
  <c r="T759" i="6"/>
  <c r="S759" i="6"/>
  <c r="R759" i="6"/>
  <c r="Q759" i="6"/>
  <c r="P759" i="6"/>
  <c r="O759" i="6"/>
  <c r="U759" i="6" s="1"/>
  <c r="N759" i="6"/>
  <c r="V758" i="6"/>
  <c r="T758" i="6"/>
  <c r="S758" i="6"/>
  <c r="R758" i="6"/>
  <c r="Q758" i="6"/>
  <c r="P758" i="6"/>
  <c r="O758" i="6"/>
  <c r="U758" i="6" s="1"/>
  <c r="N758" i="6"/>
  <c r="V757" i="6"/>
  <c r="T757" i="6"/>
  <c r="S757" i="6"/>
  <c r="R757" i="6"/>
  <c r="Q757" i="6"/>
  <c r="P757" i="6"/>
  <c r="O757" i="6"/>
  <c r="U757" i="6" s="1"/>
  <c r="N757" i="6"/>
  <c r="V756" i="6"/>
  <c r="T756" i="6"/>
  <c r="S756" i="6"/>
  <c r="R756" i="6"/>
  <c r="Q756" i="6"/>
  <c r="P756" i="6"/>
  <c r="O756" i="6"/>
  <c r="U756" i="6" s="1"/>
  <c r="N756" i="6"/>
  <c r="V755" i="6"/>
  <c r="T755" i="6"/>
  <c r="S755" i="6"/>
  <c r="R755" i="6"/>
  <c r="Q755" i="6"/>
  <c r="P755" i="6"/>
  <c r="O755" i="6"/>
  <c r="U755" i="6" s="1"/>
  <c r="N755" i="6"/>
  <c r="V754" i="6"/>
  <c r="T754" i="6"/>
  <c r="S754" i="6"/>
  <c r="R754" i="6"/>
  <c r="Q754" i="6"/>
  <c r="P754" i="6"/>
  <c r="O754" i="6"/>
  <c r="U754" i="6" s="1"/>
  <c r="N754" i="6"/>
  <c r="V753" i="6"/>
  <c r="T753" i="6"/>
  <c r="S753" i="6"/>
  <c r="R753" i="6"/>
  <c r="Q753" i="6"/>
  <c r="P753" i="6"/>
  <c r="O753" i="6"/>
  <c r="U753" i="6" s="1"/>
  <c r="N753" i="6"/>
  <c r="V752" i="6"/>
  <c r="T752" i="6"/>
  <c r="S752" i="6"/>
  <c r="R752" i="6"/>
  <c r="Q752" i="6"/>
  <c r="P752" i="6"/>
  <c r="O752" i="6"/>
  <c r="U752" i="6" s="1"/>
  <c r="N752" i="6"/>
  <c r="V751" i="6"/>
  <c r="T751" i="6"/>
  <c r="S751" i="6"/>
  <c r="R751" i="6"/>
  <c r="Q751" i="6"/>
  <c r="P751" i="6"/>
  <c r="O751" i="6"/>
  <c r="U751" i="6" s="1"/>
  <c r="N751" i="6"/>
  <c r="V750" i="6"/>
  <c r="T750" i="6"/>
  <c r="S750" i="6"/>
  <c r="R750" i="6"/>
  <c r="Q750" i="6"/>
  <c r="P750" i="6"/>
  <c r="O750" i="6"/>
  <c r="U750" i="6" s="1"/>
  <c r="N750" i="6"/>
  <c r="V749" i="6"/>
  <c r="T749" i="6"/>
  <c r="S749" i="6"/>
  <c r="R749" i="6"/>
  <c r="Q749" i="6"/>
  <c r="P749" i="6"/>
  <c r="O749" i="6"/>
  <c r="U749" i="6" s="1"/>
  <c r="N749" i="6"/>
  <c r="V748" i="6"/>
  <c r="T748" i="6"/>
  <c r="S748" i="6"/>
  <c r="R748" i="6"/>
  <c r="Q748" i="6"/>
  <c r="P748" i="6"/>
  <c r="O748" i="6"/>
  <c r="U748" i="6" s="1"/>
  <c r="N748" i="6"/>
  <c r="V747" i="6"/>
  <c r="T747" i="6"/>
  <c r="S747" i="6"/>
  <c r="R747" i="6"/>
  <c r="Q747" i="6"/>
  <c r="P747" i="6"/>
  <c r="O747" i="6"/>
  <c r="U747" i="6" s="1"/>
  <c r="N747" i="6"/>
  <c r="V746" i="6"/>
  <c r="T746" i="6"/>
  <c r="S746" i="6"/>
  <c r="R746" i="6"/>
  <c r="Q746" i="6"/>
  <c r="P746" i="6"/>
  <c r="O746" i="6"/>
  <c r="U746" i="6" s="1"/>
  <c r="N746" i="6"/>
  <c r="V745" i="6"/>
  <c r="T745" i="6"/>
  <c r="S745" i="6"/>
  <c r="R745" i="6"/>
  <c r="Q745" i="6"/>
  <c r="P745" i="6"/>
  <c r="O745" i="6"/>
  <c r="U745" i="6" s="1"/>
  <c r="N745" i="6"/>
  <c r="V744" i="6"/>
  <c r="T744" i="6"/>
  <c r="S744" i="6"/>
  <c r="R744" i="6"/>
  <c r="Q744" i="6"/>
  <c r="P744" i="6"/>
  <c r="O744" i="6"/>
  <c r="U744" i="6" s="1"/>
  <c r="N744" i="6"/>
  <c r="V743" i="6"/>
  <c r="T743" i="6"/>
  <c r="S743" i="6"/>
  <c r="R743" i="6"/>
  <c r="Q743" i="6"/>
  <c r="P743" i="6"/>
  <c r="O743" i="6"/>
  <c r="U743" i="6" s="1"/>
  <c r="N743" i="6"/>
  <c r="V742" i="6"/>
  <c r="T742" i="6"/>
  <c r="S742" i="6"/>
  <c r="R742" i="6"/>
  <c r="Q742" i="6"/>
  <c r="P742" i="6"/>
  <c r="O742" i="6"/>
  <c r="U742" i="6" s="1"/>
  <c r="N742" i="6"/>
  <c r="V741" i="6"/>
  <c r="T741" i="6"/>
  <c r="S741" i="6"/>
  <c r="R741" i="6"/>
  <c r="Q741" i="6"/>
  <c r="P741" i="6"/>
  <c r="O741" i="6"/>
  <c r="U741" i="6" s="1"/>
  <c r="N741" i="6"/>
  <c r="V740" i="6"/>
  <c r="T740" i="6"/>
  <c r="S740" i="6"/>
  <c r="R740" i="6"/>
  <c r="Q740" i="6"/>
  <c r="P740" i="6"/>
  <c r="O740" i="6"/>
  <c r="U740" i="6" s="1"/>
  <c r="N740" i="6"/>
  <c r="V739" i="6"/>
  <c r="T739" i="6"/>
  <c r="S739" i="6"/>
  <c r="R739" i="6"/>
  <c r="Q739" i="6"/>
  <c r="P739" i="6"/>
  <c r="O739" i="6"/>
  <c r="U739" i="6" s="1"/>
  <c r="N739" i="6"/>
  <c r="V738" i="6"/>
  <c r="T738" i="6"/>
  <c r="S738" i="6"/>
  <c r="R738" i="6"/>
  <c r="Q738" i="6"/>
  <c r="P738" i="6"/>
  <c r="O738" i="6"/>
  <c r="U738" i="6" s="1"/>
  <c r="N738" i="6"/>
  <c r="V737" i="6"/>
  <c r="T737" i="6"/>
  <c r="S737" i="6"/>
  <c r="R737" i="6"/>
  <c r="Q737" i="6"/>
  <c r="P737" i="6"/>
  <c r="O737" i="6"/>
  <c r="U737" i="6" s="1"/>
  <c r="N737" i="6"/>
  <c r="V736" i="6"/>
  <c r="T736" i="6"/>
  <c r="S736" i="6"/>
  <c r="R736" i="6"/>
  <c r="Q736" i="6"/>
  <c r="P736" i="6"/>
  <c r="O736" i="6"/>
  <c r="U736" i="6" s="1"/>
  <c r="N736" i="6"/>
  <c r="V735" i="6"/>
  <c r="T735" i="6"/>
  <c r="S735" i="6"/>
  <c r="R735" i="6"/>
  <c r="Q735" i="6"/>
  <c r="P735" i="6"/>
  <c r="O735" i="6"/>
  <c r="U735" i="6" s="1"/>
  <c r="N735" i="6"/>
  <c r="V734" i="6"/>
  <c r="T734" i="6"/>
  <c r="S734" i="6"/>
  <c r="R734" i="6"/>
  <c r="Q734" i="6"/>
  <c r="P734" i="6"/>
  <c r="O734" i="6"/>
  <c r="U734" i="6" s="1"/>
  <c r="N734" i="6"/>
  <c r="V733" i="6"/>
  <c r="T733" i="6"/>
  <c r="S733" i="6"/>
  <c r="R733" i="6"/>
  <c r="Q733" i="6"/>
  <c r="P733" i="6"/>
  <c r="O733" i="6"/>
  <c r="U733" i="6" s="1"/>
  <c r="N733" i="6"/>
  <c r="V732" i="6"/>
  <c r="T732" i="6"/>
  <c r="S732" i="6"/>
  <c r="R732" i="6"/>
  <c r="Q732" i="6"/>
  <c r="P732" i="6"/>
  <c r="O732" i="6"/>
  <c r="U732" i="6" s="1"/>
  <c r="N732" i="6"/>
  <c r="V731" i="6"/>
  <c r="T731" i="6"/>
  <c r="S731" i="6"/>
  <c r="R731" i="6"/>
  <c r="Q731" i="6"/>
  <c r="P731" i="6"/>
  <c r="O731" i="6"/>
  <c r="U731" i="6" s="1"/>
  <c r="N731" i="6"/>
  <c r="V730" i="6"/>
  <c r="T730" i="6"/>
  <c r="S730" i="6"/>
  <c r="R730" i="6"/>
  <c r="Q730" i="6"/>
  <c r="P730" i="6"/>
  <c r="O730" i="6"/>
  <c r="U730" i="6" s="1"/>
  <c r="N730" i="6"/>
  <c r="V729" i="6"/>
  <c r="T729" i="6"/>
  <c r="S729" i="6"/>
  <c r="R729" i="6"/>
  <c r="Q729" i="6"/>
  <c r="P729" i="6"/>
  <c r="O729" i="6"/>
  <c r="U729" i="6" s="1"/>
  <c r="N729" i="6"/>
  <c r="V728" i="6"/>
  <c r="T728" i="6"/>
  <c r="S728" i="6"/>
  <c r="R728" i="6"/>
  <c r="Q728" i="6"/>
  <c r="P728" i="6"/>
  <c r="O728" i="6"/>
  <c r="U728" i="6" s="1"/>
  <c r="N728" i="6"/>
  <c r="V727" i="6"/>
  <c r="T727" i="6"/>
  <c r="S727" i="6"/>
  <c r="R727" i="6"/>
  <c r="Q727" i="6"/>
  <c r="P727" i="6"/>
  <c r="O727" i="6"/>
  <c r="U727" i="6" s="1"/>
  <c r="N727" i="6"/>
  <c r="V726" i="6"/>
  <c r="T726" i="6"/>
  <c r="S726" i="6"/>
  <c r="U726" i="6" s="1"/>
  <c r="R726" i="6"/>
  <c r="Q726" i="6"/>
  <c r="P726" i="6"/>
  <c r="O726" i="6"/>
  <c r="N726" i="6"/>
  <c r="V725" i="6"/>
  <c r="T725" i="6"/>
  <c r="S725" i="6"/>
  <c r="R725" i="6"/>
  <c r="Q725" i="6"/>
  <c r="P725" i="6"/>
  <c r="O725" i="6"/>
  <c r="U725" i="6" s="1"/>
  <c r="N725" i="6"/>
  <c r="V724" i="6"/>
  <c r="T724" i="6"/>
  <c r="S724" i="6"/>
  <c r="R724" i="6"/>
  <c r="Q724" i="6"/>
  <c r="P724" i="6"/>
  <c r="O724" i="6"/>
  <c r="U724" i="6" s="1"/>
  <c r="N724" i="6"/>
  <c r="V723" i="6"/>
  <c r="T723" i="6"/>
  <c r="S723" i="6"/>
  <c r="R723" i="6"/>
  <c r="Q723" i="6"/>
  <c r="P723" i="6"/>
  <c r="O723" i="6"/>
  <c r="U723" i="6" s="1"/>
  <c r="N723" i="6"/>
  <c r="V722" i="6"/>
  <c r="T722" i="6"/>
  <c r="S722" i="6"/>
  <c r="R722" i="6"/>
  <c r="Q722" i="6"/>
  <c r="P722" i="6"/>
  <c r="O722" i="6"/>
  <c r="U722" i="6" s="1"/>
  <c r="N722" i="6"/>
  <c r="V721" i="6"/>
  <c r="T721" i="6"/>
  <c r="S721" i="6"/>
  <c r="R721" i="6"/>
  <c r="Q721" i="6"/>
  <c r="P721" i="6"/>
  <c r="O721" i="6"/>
  <c r="U721" i="6" s="1"/>
  <c r="N721" i="6"/>
  <c r="V720" i="6"/>
  <c r="T720" i="6"/>
  <c r="S720" i="6"/>
  <c r="R720" i="6"/>
  <c r="Q720" i="6"/>
  <c r="P720" i="6"/>
  <c r="O720" i="6"/>
  <c r="U720" i="6" s="1"/>
  <c r="N720" i="6"/>
  <c r="V719" i="6"/>
  <c r="T719" i="6"/>
  <c r="S719" i="6"/>
  <c r="R719" i="6"/>
  <c r="Q719" i="6"/>
  <c r="P719" i="6"/>
  <c r="O719" i="6"/>
  <c r="U719" i="6" s="1"/>
  <c r="N719" i="6"/>
  <c r="V718" i="6"/>
  <c r="T718" i="6"/>
  <c r="S718" i="6"/>
  <c r="R718" i="6"/>
  <c r="Q718" i="6"/>
  <c r="P718" i="6"/>
  <c r="O718" i="6"/>
  <c r="U718" i="6" s="1"/>
  <c r="N718" i="6"/>
  <c r="V717" i="6"/>
  <c r="T717" i="6"/>
  <c r="S717" i="6"/>
  <c r="R717" i="6"/>
  <c r="Q717" i="6"/>
  <c r="P717" i="6"/>
  <c r="O717" i="6"/>
  <c r="U717" i="6" s="1"/>
  <c r="N717" i="6"/>
  <c r="V716" i="6"/>
  <c r="T716" i="6"/>
  <c r="S716" i="6"/>
  <c r="R716" i="6"/>
  <c r="Q716" i="6"/>
  <c r="P716" i="6"/>
  <c r="O716" i="6"/>
  <c r="U716" i="6" s="1"/>
  <c r="N716" i="6"/>
  <c r="V715" i="6"/>
  <c r="T715" i="6"/>
  <c r="S715" i="6"/>
  <c r="R715" i="6"/>
  <c r="Q715" i="6"/>
  <c r="P715" i="6"/>
  <c r="O715" i="6"/>
  <c r="U715" i="6" s="1"/>
  <c r="N715" i="6"/>
  <c r="V714" i="6"/>
  <c r="T714" i="6"/>
  <c r="S714" i="6"/>
  <c r="R714" i="6"/>
  <c r="Q714" i="6"/>
  <c r="P714" i="6"/>
  <c r="O714" i="6"/>
  <c r="U714" i="6" s="1"/>
  <c r="N714" i="6"/>
  <c r="V713" i="6"/>
  <c r="T713" i="6"/>
  <c r="S713" i="6"/>
  <c r="R713" i="6"/>
  <c r="Q713" i="6"/>
  <c r="P713" i="6"/>
  <c r="O713" i="6"/>
  <c r="U713" i="6" s="1"/>
  <c r="N713" i="6"/>
  <c r="V712" i="6"/>
  <c r="T712" i="6"/>
  <c r="S712" i="6"/>
  <c r="R712" i="6"/>
  <c r="Q712" i="6"/>
  <c r="P712" i="6"/>
  <c r="O712" i="6"/>
  <c r="U712" i="6" s="1"/>
  <c r="N712" i="6"/>
  <c r="V711" i="6"/>
  <c r="T711" i="6"/>
  <c r="S711" i="6"/>
  <c r="R711" i="6"/>
  <c r="Q711" i="6"/>
  <c r="P711" i="6"/>
  <c r="O711" i="6"/>
  <c r="U711" i="6" s="1"/>
  <c r="N711" i="6"/>
  <c r="V710" i="6"/>
  <c r="T710" i="6"/>
  <c r="S710" i="6"/>
  <c r="R710" i="6"/>
  <c r="Q710" i="6"/>
  <c r="P710" i="6"/>
  <c r="O710" i="6"/>
  <c r="U710" i="6" s="1"/>
  <c r="N710" i="6"/>
  <c r="V709" i="6"/>
  <c r="T709" i="6"/>
  <c r="S709" i="6"/>
  <c r="R709" i="6"/>
  <c r="Q709" i="6"/>
  <c r="P709" i="6"/>
  <c r="O709" i="6"/>
  <c r="U709" i="6" s="1"/>
  <c r="N709" i="6"/>
  <c r="V708" i="6"/>
  <c r="T708" i="6"/>
  <c r="S708" i="6"/>
  <c r="R708" i="6"/>
  <c r="Q708" i="6"/>
  <c r="P708" i="6"/>
  <c r="O708" i="6"/>
  <c r="U708" i="6" s="1"/>
  <c r="N708" i="6"/>
  <c r="V707" i="6"/>
  <c r="T707" i="6"/>
  <c r="S707" i="6"/>
  <c r="R707" i="6"/>
  <c r="Q707" i="6"/>
  <c r="P707" i="6"/>
  <c r="O707" i="6"/>
  <c r="U707" i="6" s="1"/>
  <c r="N707" i="6"/>
  <c r="V706" i="6"/>
  <c r="T706" i="6"/>
  <c r="S706" i="6"/>
  <c r="R706" i="6"/>
  <c r="Q706" i="6"/>
  <c r="P706" i="6"/>
  <c r="O706" i="6"/>
  <c r="U706" i="6" s="1"/>
  <c r="N706" i="6"/>
  <c r="V705" i="6"/>
  <c r="T705" i="6"/>
  <c r="S705" i="6"/>
  <c r="R705" i="6"/>
  <c r="Q705" i="6"/>
  <c r="P705" i="6"/>
  <c r="O705" i="6"/>
  <c r="U705" i="6" s="1"/>
  <c r="N705" i="6"/>
  <c r="V704" i="6"/>
  <c r="T704" i="6"/>
  <c r="S704" i="6"/>
  <c r="R704" i="6"/>
  <c r="Q704" i="6"/>
  <c r="P704" i="6"/>
  <c r="O704" i="6"/>
  <c r="U704" i="6" s="1"/>
  <c r="N704" i="6"/>
  <c r="V703" i="6"/>
  <c r="T703" i="6"/>
  <c r="S703" i="6"/>
  <c r="R703" i="6"/>
  <c r="Q703" i="6"/>
  <c r="P703" i="6"/>
  <c r="O703" i="6"/>
  <c r="U703" i="6" s="1"/>
  <c r="N703" i="6"/>
  <c r="V702" i="6"/>
  <c r="T702" i="6"/>
  <c r="S702" i="6"/>
  <c r="R702" i="6"/>
  <c r="Q702" i="6"/>
  <c r="P702" i="6"/>
  <c r="O702" i="6"/>
  <c r="U702" i="6" s="1"/>
  <c r="N702" i="6"/>
  <c r="V701" i="6"/>
  <c r="T701" i="6"/>
  <c r="S701" i="6"/>
  <c r="R701" i="6"/>
  <c r="Q701" i="6"/>
  <c r="P701" i="6"/>
  <c r="O701" i="6"/>
  <c r="U701" i="6" s="1"/>
  <c r="N701" i="6"/>
  <c r="V700" i="6"/>
  <c r="T700" i="6"/>
  <c r="S700" i="6"/>
  <c r="R700" i="6"/>
  <c r="Q700" i="6"/>
  <c r="P700" i="6"/>
  <c r="O700" i="6"/>
  <c r="U700" i="6" s="1"/>
  <c r="N700" i="6"/>
  <c r="V699" i="6"/>
  <c r="T699" i="6"/>
  <c r="S699" i="6"/>
  <c r="R699" i="6"/>
  <c r="Q699" i="6"/>
  <c r="P699" i="6"/>
  <c r="O699" i="6"/>
  <c r="U699" i="6" s="1"/>
  <c r="N699" i="6"/>
  <c r="V698" i="6"/>
  <c r="T698" i="6"/>
  <c r="S698" i="6"/>
  <c r="R698" i="6"/>
  <c r="Q698" i="6"/>
  <c r="P698" i="6"/>
  <c r="O698" i="6"/>
  <c r="U698" i="6" s="1"/>
  <c r="N698" i="6"/>
  <c r="V697" i="6"/>
  <c r="T697" i="6"/>
  <c r="S697" i="6"/>
  <c r="R697" i="6"/>
  <c r="Q697" i="6"/>
  <c r="P697" i="6"/>
  <c r="O697" i="6"/>
  <c r="U697" i="6" s="1"/>
  <c r="N697" i="6"/>
  <c r="V696" i="6"/>
  <c r="T696" i="6"/>
  <c r="S696" i="6"/>
  <c r="R696" i="6"/>
  <c r="Q696" i="6"/>
  <c r="P696" i="6"/>
  <c r="O696" i="6"/>
  <c r="U696" i="6" s="1"/>
  <c r="N696" i="6"/>
  <c r="V695" i="6"/>
  <c r="T695" i="6"/>
  <c r="S695" i="6"/>
  <c r="R695" i="6"/>
  <c r="Q695" i="6"/>
  <c r="P695" i="6"/>
  <c r="O695" i="6"/>
  <c r="U695" i="6" s="1"/>
  <c r="N695" i="6"/>
  <c r="V694" i="6"/>
  <c r="T694" i="6"/>
  <c r="S694" i="6"/>
  <c r="R694" i="6"/>
  <c r="Q694" i="6"/>
  <c r="P694" i="6"/>
  <c r="O694" i="6"/>
  <c r="U694" i="6" s="1"/>
  <c r="N694" i="6"/>
  <c r="V693" i="6"/>
  <c r="T693" i="6"/>
  <c r="S693" i="6"/>
  <c r="R693" i="6"/>
  <c r="Q693" i="6"/>
  <c r="P693" i="6"/>
  <c r="O693" i="6"/>
  <c r="U693" i="6" s="1"/>
  <c r="N693" i="6"/>
  <c r="V692" i="6"/>
  <c r="T692" i="6"/>
  <c r="S692" i="6"/>
  <c r="R692" i="6"/>
  <c r="Q692" i="6"/>
  <c r="P692" i="6"/>
  <c r="O692" i="6"/>
  <c r="U692" i="6" s="1"/>
  <c r="N692" i="6"/>
  <c r="V691" i="6"/>
  <c r="T691" i="6"/>
  <c r="S691" i="6"/>
  <c r="R691" i="6"/>
  <c r="Q691" i="6"/>
  <c r="P691" i="6"/>
  <c r="O691" i="6"/>
  <c r="U691" i="6" s="1"/>
  <c r="N691" i="6"/>
  <c r="V690" i="6"/>
  <c r="T690" i="6"/>
  <c r="S690" i="6"/>
  <c r="R690" i="6"/>
  <c r="Q690" i="6"/>
  <c r="P690" i="6"/>
  <c r="O690" i="6"/>
  <c r="U690" i="6" s="1"/>
  <c r="N690" i="6"/>
  <c r="V689" i="6"/>
  <c r="T689" i="6"/>
  <c r="S689" i="6"/>
  <c r="R689" i="6"/>
  <c r="Q689" i="6"/>
  <c r="P689" i="6"/>
  <c r="O689" i="6"/>
  <c r="U689" i="6" s="1"/>
  <c r="N689" i="6"/>
  <c r="V688" i="6"/>
  <c r="T688" i="6"/>
  <c r="S688" i="6"/>
  <c r="R688" i="6"/>
  <c r="Q688" i="6"/>
  <c r="P688" i="6"/>
  <c r="O688" i="6"/>
  <c r="U688" i="6" s="1"/>
  <c r="N688" i="6"/>
  <c r="V687" i="6"/>
  <c r="T687" i="6"/>
  <c r="S687" i="6"/>
  <c r="R687" i="6"/>
  <c r="Q687" i="6"/>
  <c r="P687" i="6"/>
  <c r="O687" i="6"/>
  <c r="U687" i="6" s="1"/>
  <c r="N687" i="6"/>
  <c r="V686" i="6"/>
  <c r="T686" i="6"/>
  <c r="S686" i="6"/>
  <c r="R686" i="6"/>
  <c r="Q686" i="6"/>
  <c r="P686" i="6"/>
  <c r="O686" i="6"/>
  <c r="U686" i="6" s="1"/>
  <c r="N686" i="6"/>
  <c r="V685" i="6"/>
  <c r="T685" i="6"/>
  <c r="S685" i="6"/>
  <c r="R685" i="6"/>
  <c r="Q685" i="6"/>
  <c r="P685" i="6"/>
  <c r="O685" i="6"/>
  <c r="U685" i="6" s="1"/>
  <c r="N685" i="6"/>
  <c r="V684" i="6"/>
  <c r="T684" i="6"/>
  <c r="S684" i="6"/>
  <c r="R684" i="6"/>
  <c r="Q684" i="6"/>
  <c r="P684" i="6"/>
  <c r="O684" i="6"/>
  <c r="U684" i="6" s="1"/>
  <c r="N684" i="6"/>
  <c r="V683" i="6"/>
  <c r="T683" i="6"/>
  <c r="S683" i="6"/>
  <c r="R683" i="6"/>
  <c r="Q683" i="6"/>
  <c r="P683" i="6"/>
  <c r="O683" i="6"/>
  <c r="U683" i="6" s="1"/>
  <c r="N683" i="6"/>
  <c r="V682" i="6"/>
  <c r="T682" i="6"/>
  <c r="S682" i="6"/>
  <c r="R682" i="6"/>
  <c r="Q682" i="6"/>
  <c r="P682" i="6"/>
  <c r="O682" i="6"/>
  <c r="U682" i="6" s="1"/>
  <c r="N682" i="6"/>
  <c r="V681" i="6"/>
  <c r="T681" i="6"/>
  <c r="S681" i="6"/>
  <c r="R681" i="6"/>
  <c r="Q681" i="6"/>
  <c r="P681" i="6"/>
  <c r="O681" i="6"/>
  <c r="U681" i="6" s="1"/>
  <c r="N681" i="6"/>
  <c r="V680" i="6"/>
  <c r="T680" i="6"/>
  <c r="S680" i="6"/>
  <c r="R680" i="6"/>
  <c r="Q680" i="6"/>
  <c r="P680" i="6"/>
  <c r="O680" i="6"/>
  <c r="U680" i="6" s="1"/>
  <c r="N680" i="6"/>
  <c r="V679" i="6"/>
  <c r="T679" i="6"/>
  <c r="S679" i="6"/>
  <c r="R679" i="6"/>
  <c r="Q679" i="6"/>
  <c r="P679" i="6"/>
  <c r="O679" i="6"/>
  <c r="U679" i="6" s="1"/>
  <c r="N679" i="6"/>
  <c r="V678" i="6"/>
  <c r="T678" i="6"/>
  <c r="S678" i="6"/>
  <c r="R678" i="6"/>
  <c r="Q678" i="6"/>
  <c r="P678" i="6"/>
  <c r="O678" i="6"/>
  <c r="U678" i="6" s="1"/>
  <c r="N678" i="6"/>
  <c r="V677" i="6"/>
  <c r="T677" i="6"/>
  <c r="S677" i="6"/>
  <c r="R677" i="6"/>
  <c r="Q677" i="6"/>
  <c r="P677" i="6"/>
  <c r="O677" i="6"/>
  <c r="U677" i="6" s="1"/>
  <c r="N677" i="6"/>
  <c r="V676" i="6"/>
  <c r="T676" i="6"/>
  <c r="S676" i="6"/>
  <c r="R676" i="6"/>
  <c r="Q676" i="6"/>
  <c r="P676" i="6"/>
  <c r="O676" i="6"/>
  <c r="U676" i="6" s="1"/>
  <c r="N676" i="6"/>
  <c r="V675" i="6"/>
  <c r="T675" i="6"/>
  <c r="S675" i="6"/>
  <c r="R675" i="6"/>
  <c r="Q675" i="6"/>
  <c r="P675" i="6"/>
  <c r="O675" i="6"/>
  <c r="U675" i="6" s="1"/>
  <c r="N675" i="6"/>
  <c r="V674" i="6"/>
  <c r="T674" i="6"/>
  <c r="S674" i="6"/>
  <c r="R674" i="6"/>
  <c r="Q674" i="6"/>
  <c r="P674" i="6"/>
  <c r="O674" i="6"/>
  <c r="U674" i="6" s="1"/>
  <c r="N674" i="6"/>
  <c r="V673" i="6"/>
  <c r="T673" i="6"/>
  <c r="S673" i="6"/>
  <c r="R673" i="6"/>
  <c r="Q673" i="6"/>
  <c r="P673" i="6"/>
  <c r="O673" i="6"/>
  <c r="U673" i="6" s="1"/>
  <c r="N673" i="6"/>
  <c r="V672" i="6"/>
  <c r="T672" i="6"/>
  <c r="S672" i="6"/>
  <c r="R672" i="6"/>
  <c r="Q672" i="6"/>
  <c r="P672" i="6"/>
  <c r="O672" i="6"/>
  <c r="U672" i="6" s="1"/>
  <c r="N672" i="6"/>
  <c r="V671" i="6"/>
  <c r="T671" i="6"/>
  <c r="S671" i="6"/>
  <c r="R671" i="6"/>
  <c r="Q671" i="6"/>
  <c r="P671" i="6"/>
  <c r="O671" i="6"/>
  <c r="U671" i="6" s="1"/>
  <c r="N671" i="6"/>
  <c r="V670" i="6"/>
  <c r="T670" i="6"/>
  <c r="S670" i="6"/>
  <c r="R670" i="6"/>
  <c r="Q670" i="6"/>
  <c r="P670" i="6"/>
  <c r="O670" i="6"/>
  <c r="U670" i="6" s="1"/>
  <c r="N670" i="6"/>
  <c r="V669" i="6"/>
  <c r="T669" i="6"/>
  <c r="S669" i="6"/>
  <c r="R669" i="6"/>
  <c r="Q669" i="6"/>
  <c r="P669" i="6"/>
  <c r="O669" i="6"/>
  <c r="U669" i="6" s="1"/>
  <c r="N669" i="6"/>
  <c r="V668" i="6"/>
  <c r="T668" i="6"/>
  <c r="S668" i="6"/>
  <c r="R668" i="6"/>
  <c r="Q668" i="6"/>
  <c r="P668" i="6"/>
  <c r="O668" i="6"/>
  <c r="U668" i="6" s="1"/>
  <c r="N668" i="6"/>
  <c r="V667" i="6"/>
  <c r="T667" i="6"/>
  <c r="S667" i="6"/>
  <c r="R667" i="6"/>
  <c r="Q667" i="6"/>
  <c r="P667" i="6"/>
  <c r="O667" i="6"/>
  <c r="U667" i="6" s="1"/>
  <c r="N667" i="6"/>
  <c r="V666" i="6"/>
  <c r="T666" i="6"/>
  <c r="S666" i="6"/>
  <c r="R666" i="6"/>
  <c r="Q666" i="6"/>
  <c r="P666" i="6"/>
  <c r="O666" i="6"/>
  <c r="U666" i="6" s="1"/>
  <c r="N666" i="6"/>
  <c r="V665" i="6"/>
  <c r="T665" i="6"/>
  <c r="S665" i="6"/>
  <c r="R665" i="6"/>
  <c r="Q665" i="6"/>
  <c r="P665" i="6"/>
  <c r="O665" i="6"/>
  <c r="U665" i="6" s="1"/>
  <c r="N665" i="6"/>
  <c r="V664" i="6"/>
  <c r="T664" i="6"/>
  <c r="S664" i="6"/>
  <c r="R664" i="6"/>
  <c r="Q664" i="6"/>
  <c r="P664" i="6"/>
  <c r="O664" i="6"/>
  <c r="U664" i="6" s="1"/>
  <c r="N664" i="6"/>
  <c r="V663" i="6"/>
  <c r="T663" i="6"/>
  <c r="S663" i="6"/>
  <c r="R663" i="6"/>
  <c r="Q663" i="6"/>
  <c r="P663" i="6"/>
  <c r="O663" i="6"/>
  <c r="U663" i="6" s="1"/>
  <c r="N663" i="6"/>
  <c r="V662" i="6"/>
  <c r="T662" i="6"/>
  <c r="S662" i="6"/>
  <c r="R662" i="6"/>
  <c r="Q662" i="6"/>
  <c r="P662" i="6"/>
  <c r="O662" i="6"/>
  <c r="U662" i="6" s="1"/>
  <c r="N662" i="6"/>
  <c r="V661" i="6"/>
  <c r="T661" i="6"/>
  <c r="S661" i="6"/>
  <c r="R661" i="6"/>
  <c r="Q661" i="6"/>
  <c r="P661" i="6"/>
  <c r="O661" i="6"/>
  <c r="U661" i="6" s="1"/>
  <c r="N661" i="6"/>
  <c r="V660" i="6"/>
  <c r="T660" i="6"/>
  <c r="S660" i="6"/>
  <c r="R660" i="6"/>
  <c r="Q660" i="6"/>
  <c r="P660" i="6"/>
  <c r="O660" i="6"/>
  <c r="U660" i="6" s="1"/>
  <c r="N660" i="6"/>
  <c r="V659" i="6"/>
  <c r="T659" i="6"/>
  <c r="S659" i="6"/>
  <c r="R659" i="6"/>
  <c r="Q659" i="6"/>
  <c r="P659" i="6"/>
  <c r="O659" i="6"/>
  <c r="U659" i="6" s="1"/>
  <c r="N659" i="6"/>
  <c r="V658" i="6"/>
  <c r="T658" i="6"/>
  <c r="S658" i="6"/>
  <c r="R658" i="6"/>
  <c r="Q658" i="6"/>
  <c r="P658" i="6"/>
  <c r="O658" i="6"/>
  <c r="U658" i="6" s="1"/>
  <c r="N658" i="6"/>
  <c r="V657" i="6"/>
  <c r="T657" i="6"/>
  <c r="S657" i="6"/>
  <c r="R657" i="6"/>
  <c r="Q657" i="6"/>
  <c r="P657" i="6"/>
  <c r="O657" i="6"/>
  <c r="U657" i="6" s="1"/>
  <c r="N657" i="6"/>
  <c r="V656" i="6"/>
  <c r="T656" i="6"/>
  <c r="S656" i="6"/>
  <c r="R656" i="6"/>
  <c r="Q656" i="6"/>
  <c r="P656" i="6"/>
  <c r="O656" i="6"/>
  <c r="U656" i="6" s="1"/>
  <c r="N656" i="6"/>
  <c r="V655" i="6"/>
  <c r="T655" i="6"/>
  <c r="S655" i="6"/>
  <c r="R655" i="6"/>
  <c r="Q655" i="6"/>
  <c r="P655" i="6"/>
  <c r="O655" i="6"/>
  <c r="U655" i="6" s="1"/>
  <c r="N655" i="6"/>
  <c r="V654" i="6"/>
  <c r="T654" i="6"/>
  <c r="S654" i="6"/>
  <c r="R654" i="6"/>
  <c r="Q654" i="6"/>
  <c r="P654" i="6"/>
  <c r="O654" i="6"/>
  <c r="U654" i="6" s="1"/>
  <c r="N654" i="6"/>
  <c r="V653" i="6"/>
  <c r="T653" i="6"/>
  <c r="S653" i="6"/>
  <c r="R653" i="6"/>
  <c r="Q653" i="6"/>
  <c r="P653" i="6"/>
  <c r="O653" i="6"/>
  <c r="U653" i="6" s="1"/>
  <c r="N653" i="6"/>
  <c r="V652" i="6"/>
  <c r="T652" i="6"/>
  <c r="S652" i="6"/>
  <c r="R652" i="6"/>
  <c r="Q652" i="6"/>
  <c r="P652" i="6"/>
  <c r="O652" i="6"/>
  <c r="U652" i="6" s="1"/>
  <c r="N652" i="6"/>
  <c r="V651" i="6"/>
  <c r="T651" i="6"/>
  <c r="S651" i="6"/>
  <c r="R651" i="6"/>
  <c r="Q651" i="6"/>
  <c r="P651" i="6"/>
  <c r="O651" i="6"/>
  <c r="U651" i="6" s="1"/>
  <c r="N651" i="6"/>
  <c r="V650" i="6"/>
  <c r="T650" i="6"/>
  <c r="S650" i="6"/>
  <c r="R650" i="6"/>
  <c r="Q650" i="6"/>
  <c r="P650" i="6"/>
  <c r="O650" i="6"/>
  <c r="U650" i="6" s="1"/>
  <c r="N650" i="6"/>
  <c r="V649" i="6"/>
  <c r="T649" i="6"/>
  <c r="S649" i="6"/>
  <c r="R649" i="6"/>
  <c r="Q649" i="6"/>
  <c r="P649" i="6"/>
  <c r="O649" i="6"/>
  <c r="U649" i="6" s="1"/>
  <c r="N649" i="6"/>
  <c r="V648" i="6"/>
  <c r="T648" i="6"/>
  <c r="S648" i="6"/>
  <c r="R648" i="6"/>
  <c r="Q648" i="6"/>
  <c r="P648" i="6"/>
  <c r="O648" i="6"/>
  <c r="U648" i="6" s="1"/>
  <c r="N648" i="6"/>
  <c r="V647" i="6"/>
  <c r="T647" i="6"/>
  <c r="S647" i="6"/>
  <c r="R647" i="6"/>
  <c r="Q647" i="6"/>
  <c r="P647" i="6"/>
  <c r="O647" i="6"/>
  <c r="U647" i="6" s="1"/>
  <c r="N647" i="6"/>
  <c r="V646" i="6"/>
  <c r="T646" i="6"/>
  <c r="S646" i="6"/>
  <c r="R646" i="6"/>
  <c r="Q646" i="6"/>
  <c r="P646" i="6"/>
  <c r="O646" i="6"/>
  <c r="U646" i="6" s="1"/>
  <c r="N646" i="6"/>
  <c r="V645" i="6"/>
  <c r="T645" i="6"/>
  <c r="S645" i="6"/>
  <c r="R645" i="6"/>
  <c r="Q645" i="6"/>
  <c r="P645" i="6"/>
  <c r="O645" i="6"/>
  <c r="U645" i="6" s="1"/>
  <c r="N645" i="6"/>
  <c r="V644" i="6"/>
  <c r="T644" i="6"/>
  <c r="S644" i="6"/>
  <c r="R644" i="6"/>
  <c r="Q644" i="6"/>
  <c r="P644" i="6"/>
  <c r="O644" i="6"/>
  <c r="U644" i="6" s="1"/>
  <c r="N644" i="6"/>
  <c r="V643" i="6"/>
  <c r="T643" i="6"/>
  <c r="S643" i="6"/>
  <c r="R643" i="6"/>
  <c r="Q643" i="6"/>
  <c r="P643" i="6"/>
  <c r="O643" i="6"/>
  <c r="U643" i="6" s="1"/>
  <c r="N643" i="6"/>
  <c r="V642" i="6"/>
  <c r="T642" i="6"/>
  <c r="S642" i="6"/>
  <c r="R642" i="6"/>
  <c r="Q642" i="6"/>
  <c r="P642" i="6"/>
  <c r="O642" i="6"/>
  <c r="U642" i="6" s="1"/>
  <c r="N642" i="6"/>
  <c r="V641" i="6"/>
  <c r="T641" i="6"/>
  <c r="S641" i="6"/>
  <c r="R641" i="6"/>
  <c r="Q641" i="6"/>
  <c r="P641" i="6"/>
  <c r="O641" i="6"/>
  <c r="U641" i="6" s="1"/>
  <c r="N641" i="6"/>
  <c r="V640" i="6"/>
  <c r="T640" i="6"/>
  <c r="S640" i="6"/>
  <c r="R640" i="6"/>
  <c r="Q640" i="6"/>
  <c r="P640" i="6"/>
  <c r="O640" i="6"/>
  <c r="U640" i="6" s="1"/>
  <c r="N640" i="6"/>
  <c r="V639" i="6"/>
  <c r="T639" i="6"/>
  <c r="S639" i="6"/>
  <c r="R639" i="6"/>
  <c r="Q639" i="6"/>
  <c r="P639" i="6"/>
  <c r="O639" i="6"/>
  <c r="U639" i="6" s="1"/>
  <c r="N639" i="6"/>
  <c r="V638" i="6"/>
  <c r="T638" i="6"/>
  <c r="S638" i="6"/>
  <c r="R638" i="6"/>
  <c r="Q638" i="6"/>
  <c r="P638" i="6"/>
  <c r="O638" i="6"/>
  <c r="U638" i="6" s="1"/>
  <c r="N638" i="6"/>
  <c r="V637" i="6"/>
  <c r="T637" i="6"/>
  <c r="S637" i="6"/>
  <c r="R637" i="6"/>
  <c r="Q637" i="6"/>
  <c r="P637" i="6"/>
  <c r="O637" i="6"/>
  <c r="U637" i="6" s="1"/>
  <c r="N637" i="6"/>
  <c r="V636" i="6"/>
  <c r="T636" i="6"/>
  <c r="S636" i="6"/>
  <c r="R636" i="6"/>
  <c r="Q636" i="6"/>
  <c r="P636" i="6"/>
  <c r="O636" i="6"/>
  <c r="U636" i="6" s="1"/>
  <c r="N636" i="6"/>
  <c r="V635" i="6"/>
  <c r="T635" i="6"/>
  <c r="S635" i="6"/>
  <c r="R635" i="6"/>
  <c r="Q635" i="6"/>
  <c r="P635" i="6"/>
  <c r="O635" i="6"/>
  <c r="U635" i="6" s="1"/>
  <c r="N635" i="6"/>
  <c r="V634" i="6"/>
  <c r="T634" i="6"/>
  <c r="S634" i="6"/>
  <c r="R634" i="6"/>
  <c r="Q634" i="6"/>
  <c r="P634" i="6"/>
  <c r="O634" i="6"/>
  <c r="U634" i="6" s="1"/>
  <c r="N634" i="6"/>
  <c r="V633" i="6"/>
  <c r="T633" i="6"/>
  <c r="S633" i="6"/>
  <c r="R633" i="6"/>
  <c r="Q633" i="6"/>
  <c r="P633" i="6"/>
  <c r="O633" i="6"/>
  <c r="U633" i="6" s="1"/>
  <c r="N633" i="6"/>
  <c r="V632" i="6"/>
  <c r="T632" i="6"/>
  <c r="S632" i="6"/>
  <c r="R632" i="6"/>
  <c r="Q632" i="6"/>
  <c r="P632" i="6"/>
  <c r="O632" i="6"/>
  <c r="U632" i="6" s="1"/>
  <c r="N632" i="6"/>
  <c r="V631" i="6"/>
  <c r="T631" i="6"/>
  <c r="S631" i="6"/>
  <c r="R631" i="6"/>
  <c r="Q631" i="6"/>
  <c r="P631" i="6"/>
  <c r="O631" i="6"/>
  <c r="U631" i="6" s="1"/>
  <c r="N631" i="6"/>
  <c r="V630" i="6"/>
  <c r="T630" i="6"/>
  <c r="S630" i="6"/>
  <c r="R630" i="6"/>
  <c r="Q630" i="6"/>
  <c r="P630" i="6"/>
  <c r="O630" i="6"/>
  <c r="U630" i="6" s="1"/>
  <c r="N630" i="6"/>
  <c r="V629" i="6"/>
  <c r="T629" i="6"/>
  <c r="S629" i="6"/>
  <c r="R629" i="6"/>
  <c r="Q629" i="6"/>
  <c r="P629" i="6"/>
  <c r="O629" i="6"/>
  <c r="U629" i="6" s="1"/>
  <c r="N629" i="6"/>
  <c r="V628" i="6"/>
  <c r="T628" i="6"/>
  <c r="S628" i="6"/>
  <c r="R628" i="6"/>
  <c r="Q628" i="6"/>
  <c r="P628" i="6"/>
  <c r="O628" i="6"/>
  <c r="U628" i="6" s="1"/>
  <c r="N628" i="6"/>
  <c r="V627" i="6"/>
  <c r="T627" i="6"/>
  <c r="S627" i="6"/>
  <c r="R627" i="6"/>
  <c r="Q627" i="6"/>
  <c r="P627" i="6"/>
  <c r="O627" i="6"/>
  <c r="U627" i="6" s="1"/>
  <c r="N627" i="6"/>
  <c r="V626" i="6"/>
  <c r="T626" i="6"/>
  <c r="S626" i="6"/>
  <c r="R626" i="6"/>
  <c r="Q626" i="6"/>
  <c r="P626" i="6"/>
  <c r="O626" i="6"/>
  <c r="U626" i="6" s="1"/>
  <c r="N626" i="6"/>
  <c r="V625" i="6"/>
  <c r="T625" i="6"/>
  <c r="S625" i="6"/>
  <c r="R625" i="6"/>
  <c r="Q625" i="6"/>
  <c r="P625" i="6"/>
  <c r="O625" i="6"/>
  <c r="U625" i="6" s="1"/>
  <c r="N625" i="6"/>
  <c r="V624" i="6"/>
  <c r="T624" i="6"/>
  <c r="S624" i="6"/>
  <c r="R624" i="6"/>
  <c r="Q624" i="6"/>
  <c r="P624" i="6"/>
  <c r="O624" i="6"/>
  <c r="U624" i="6" s="1"/>
  <c r="N624" i="6"/>
  <c r="V623" i="6"/>
  <c r="T623" i="6"/>
  <c r="S623" i="6"/>
  <c r="R623" i="6"/>
  <c r="Q623" i="6"/>
  <c r="P623" i="6"/>
  <c r="O623" i="6"/>
  <c r="U623" i="6" s="1"/>
  <c r="N623" i="6"/>
  <c r="V622" i="6"/>
  <c r="T622" i="6"/>
  <c r="S622" i="6"/>
  <c r="R622" i="6"/>
  <c r="Q622" i="6"/>
  <c r="P622" i="6"/>
  <c r="O622" i="6"/>
  <c r="U622" i="6" s="1"/>
  <c r="N622" i="6"/>
  <c r="V621" i="6"/>
  <c r="T621" i="6"/>
  <c r="S621" i="6"/>
  <c r="R621" i="6"/>
  <c r="Q621" i="6"/>
  <c r="P621" i="6"/>
  <c r="O621" i="6"/>
  <c r="U621" i="6" s="1"/>
  <c r="N621" i="6"/>
  <c r="V620" i="6"/>
  <c r="T620" i="6"/>
  <c r="S620" i="6"/>
  <c r="R620" i="6"/>
  <c r="Q620" i="6"/>
  <c r="P620" i="6"/>
  <c r="O620" i="6"/>
  <c r="U620" i="6" s="1"/>
  <c r="N620" i="6"/>
  <c r="V619" i="6"/>
  <c r="T619" i="6"/>
  <c r="S619" i="6"/>
  <c r="R619" i="6"/>
  <c r="Q619" i="6"/>
  <c r="P619" i="6"/>
  <c r="O619" i="6"/>
  <c r="U619" i="6" s="1"/>
  <c r="N619" i="6"/>
  <c r="V618" i="6"/>
  <c r="T618" i="6"/>
  <c r="S618" i="6"/>
  <c r="R618" i="6"/>
  <c r="Q618" i="6"/>
  <c r="P618" i="6"/>
  <c r="O618" i="6"/>
  <c r="U618" i="6" s="1"/>
  <c r="N618" i="6"/>
  <c r="V617" i="6"/>
  <c r="T617" i="6"/>
  <c r="S617" i="6"/>
  <c r="R617" i="6"/>
  <c r="Q617" i="6"/>
  <c r="P617" i="6"/>
  <c r="O617" i="6"/>
  <c r="U617" i="6" s="1"/>
  <c r="N617" i="6"/>
  <c r="V616" i="6"/>
  <c r="T616" i="6"/>
  <c r="S616" i="6"/>
  <c r="R616" i="6"/>
  <c r="Q616" i="6"/>
  <c r="P616" i="6"/>
  <c r="O616" i="6"/>
  <c r="U616" i="6" s="1"/>
  <c r="N616" i="6"/>
  <c r="V615" i="6"/>
  <c r="T615" i="6"/>
  <c r="S615" i="6"/>
  <c r="R615" i="6"/>
  <c r="Q615" i="6"/>
  <c r="P615" i="6"/>
  <c r="O615" i="6"/>
  <c r="U615" i="6" s="1"/>
  <c r="N615" i="6"/>
  <c r="V614" i="6"/>
  <c r="T614" i="6"/>
  <c r="S614" i="6"/>
  <c r="R614" i="6"/>
  <c r="Q614" i="6"/>
  <c r="P614" i="6"/>
  <c r="O614" i="6"/>
  <c r="U614" i="6" s="1"/>
  <c r="N614" i="6"/>
  <c r="V613" i="6"/>
  <c r="T613" i="6"/>
  <c r="S613" i="6"/>
  <c r="R613" i="6"/>
  <c r="Q613" i="6"/>
  <c r="P613" i="6"/>
  <c r="O613" i="6"/>
  <c r="U613" i="6" s="1"/>
  <c r="N613" i="6"/>
  <c r="V612" i="6"/>
  <c r="T612" i="6"/>
  <c r="S612" i="6"/>
  <c r="R612" i="6"/>
  <c r="Q612" i="6"/>
  <c r="P612" i="6"/>
  <c r="O612" i="6"/>
  <c r="U612" i="6" s="1"/>
  <c r="N612" i="6"/>
  <c r="V611" i="6"/>
  <c r="T611" i="6"/>
  <c r="S611" i="6"/>
  <c r="R611" i="6"/>
  <c r="Q611" i="6"/>
  <c r="P611" i="6"/>
  <c r="O611" i="6"/>
  <c r="U611" i="6" s="1"/>
  <c r="N611" i="6"/>
  <c r="V610" i="6"/>
  <c r="T610" i="6"/>
  <c r="S610" i="6"/>
  <c r="R610" i="6"/>
  <c r="Q610" i="6"/>
  <c r="P610" i="6"/>
  <c r="O610" i="6"/>
  <c r="U610" i="6" s="1"/>
  <c r="N610" i="6"/>
  <c r="V609" i="6"/>
  <c r="T609" i="6"/>
  <c r="S609" i="6"/>
  <c r="R609" i="6"/>
  <c r="Q609" i="6"/>
  <c r="P609" i="6"/>
  <c r="O609" i="6"/>
  <c r="U609" i="6" s="1"/>
  <c r="N609" i="6"/>
  <c r="V608" i="6"/>
  <c r="T608" i="6"/>
  <c r="S608" i="6"/>
  <c r="R608" i="6"/>
  <c r="Q608" i="6"/>
  <c r="P608" i="6"/>
  <c r="O608" i="6"/>
  <c r="U608" i="6" s="1"/>
  <c r="N608" i="6"/>
  <c r="V607" i="6"/>
  <c r="T607" i="6"/>
  <c r="S607" i="6"/>
  <c r="R607" i="6"/>
  <c r="Q607" i="6"/>
  <c r="P607" i="6"/>
  <c r="O607" i="6"/>
  <c r="U607" i="6" s="1"/>
  <c r="N607" i="6"/>
  <c r="V606" i="6"/>
  <c r="T606" i="6"/>
  <c r="S606" i="6"/>
  <c r="R606" i="6"/>
  <c r="Q606" i="6"/>
  <c r="P606" i="6"/>
  <c r="O606" i="6"/>
  <c r="U606" i="6" s="1"/>
  <c r="N606" i="6"/>
  <c r="V605" i="6"/>
  <c r="T605" i="6"/>
  <c r="S605" i="6"/>
  <c r="R605" i="6"/>
  <c r="Q605" i="6"/>
  <c r="P605" i="6"/>
  <c r="O605" i="6"/>
  <c r="U605" i="6" s="1"/>
  <c r="N605" i="6"/>
  <c r="V604" i="6"/>
  <c r="T604" i="6"/>
  <c r="S604" i="6"/>
  <c r="R604" i="6"/>
  <c r="Q604" i="6"/>
  <c r="P604" i="6"/>
  <c r="O604" i="6"/>
  <c r="U604" i="6" s="1"/>
  <c r="N604" i="6"/>
  <c r="V603" i="6"/>
  <c r="T603" i="6"/>
  <c r="S603" i="6"/>
  <c r="R603" i="6"/>
  <c r="Q603" i="6"/>
  <c r="P603" i="6"/>
  <c r="O603" i="6"/>
  <c r="U603" i="6" s="1"/>
  <c r="N603" i="6"/>
  <c r="V602" i="6"/>
  <c r="T602" i="6"/>
  <c r="S602" i="6"/>
  <c r="R602" i="6"/>
  <c r="Q602" i="6"/>
  <c r="P602" i="6"/>
  <c r="O602" i="6"/>
  <c r="U602" i="6" s="1"/>
  <c r="N602" i="6"/>
  <c r="V601" i="6"/>
  <c r="T601" i="6"/>
  <c r="S601" i="6"/>
  <c r="R601" i="6"/>
  <c r="Q601" i="6"/>
  <c r="P601" i="6"/>
  <c r="O601" i="6"/>
  <c r="U601" i="6" s="1"/>
  <c r="N601" i="6"/>
  <c r="V600" i="6"/>
  <c r="T600" i="6"/>
  <c r="S600" i="6"/>
  <c r="R600" i="6"/>
  <c r="Q600" i="6"/>
  <c r="P600" i="6"/>
  <c r="O600" i="6"/>
  <c r="U600" i="6" s="1"/>
  <c r="N600" i="6"/>
  <c r="V599" i="6"/>
  <c r="T599" i="6"/>
  <c r="S599" i="6"/>
  <c r="R599" i="6"/>
  <c r="Q599" i="6"/>
  <c r="P599" i="6"/>
  <c r="O599" i="6"/>
  <c r="U599" i="6" s="1"/>
  <c r="N599" i="6"/>
  <c r="V598" i="6"/>
  <c r="T598" i="6"/>
  <c r="S598" i="6"/>
  <c r="R598" i="6"/>
  <c r="Q598" i="6"/>
  <c r="P598" i="6"/>
  <c r="O598" i="6"/>
  <c r="U598" i="6" s="1"/>
  <c r="N598" i="6"/>
  <c r="V597" i="6"/>
  <c r="T597" i="6"/>
  <c r="S597" i="6"/>
  <c r="R597" i="6"/>
  <c r="Q597" i="6"/>
  <c r="P597" i="6"/>
  <c r="O597" i="6"/>
  <c r="U597" i="6" s="1"/>
  <c r="N597" i="6"/>
  <c r="V596" i="6"/>
  <c r="T596" i="6"/>
  <c r="S596" i="6"/>
  <c r="R596" i="6"/>
  <c r="Q596" i="6"/>
  <c r="P596" i="6"/>
  <c r="O596" i="6"/>
  <c r="U596" i="6" s="1"/>
  <c r="N596" i="6"/>
  <c r="V595" i="6"/>
  <c r="T595" i="6"/>
  <c r="S595" i="6"/>
  <c r="R595" i="6"/>
  <c r="Q595" i="6"/>
  <c r="P595" i="6"/>
  <c r="O595" i="6"/>
  <c r="U595" i="6" s="1"/>
  <c r="N595" i="6"/>
  <c r="V594" i="6"/>
  <c r="T594" i="6"/>
  <c r="S594" i="6"/>
  <c r="R594" i="6"/>
  <c r="Q594" i="6"/>
  <c r="P594" i="6"/>
  <c r="O594" i="6"/>
  <c r="U594" i="6" s="1"/>
  <c r="N594" i="6"/>
  <c r="V593" i="6"/>
  <c r="T593" i="6"/>
  <c r="S593" i="6"/>
  <c r="R593" i="6"/>
  <c r="Q593" i="6"/>
  <c r="P593" i="6"/>
  <c r="O593" i="6"/>
  <c r="U593" i="6" s="1"/>
  <c r="N593" i="6"/>
  <c r="V592" i="6"/>
  <c r="T592" i="6"/>
  <c r="S592" i="6"/>
  <c r="R592" i="6"/>
  <c r="Q592" i="6"/>
  <c r="P592" i="6"/>
  <c r="O592" i="6"/>
  <c r="U592" i="6" s="1"/>
  <c r="N592" i="6"/>
  <c r="V591" i="6"/>
  <c r="T591" i="6"/>
  <c r="S591" i="6"/>
  <c r="R591" i="6"/>
  <c r="Q591" i="6"/>
  <c r="P591" i="6"/>
  <c r="O591" i="6"/>
  <c r="U591" i="6" s="1"/>
  <c r="N591" i="6"/>
  <c r="V590" i="6"/>
  <c r="T590" i="6"/>
  <c r="S590" i="6"/>
  <c r="R590" i="6"/>
  <c r="Q590" i="6"/>
  <c r="P590" i="6"/>
  <c r="O590" i="6"/>
  <c r="U590" i="6" s="1"/>
  <c r="N590" i="6"/>
  <c r="V589" i="6"/>
  <c r="T589" i="6"/>
  <c r="S589" i="6"/>
  <c r="R589" i="6"/>
  <c r="Q589" i="6"/>
  <c r="P589" i="6"/>
  <c r="O589" i="6"/>
  <c r="U589" i="6" s="1"/>
  <c r="N589" i="6"/>
  <c r="V588" i="6"/>
  <c r="T588" i="6"/>
  <c r="S588" i="6"/>
  <c r="R588" i="6"/>
  <c r="Q588" i="6"/>
  <c r="P588" i="6"/>
  <c r="O588" i="6"/>
  <c r="U588" i="6" s="1"/>
  <c r="N588" i="6"/>
  <c r="V587" i="6"/>
  <c r="T587" i="6"/>
  <c r="S587" i="6"/>
  <c r="R587" i="6"/>
  <c r="Q587" i="6"/>
  <c r="P587" i="6"/>
  <c r="O587" i="6"/>
  <c r="U587" i="6" s="1"/>
  <c r="N587" i="6"/>
  <c r="V586" i="6"/>
  <c r="T586" i="6"/>
  <c r="S586" i="6"/>
  <c r="R586" i="6"/>
  <c r="Q586" i="6"/>
  <c r="P586" i="6"/>
  <c r="O586" i="6"/>
  <c r="U586" i="6" s="1"/>
  <c r="N586" i="6"/>
  <c r="V585" i="6"/>
  <c r="T585" i="6"/>
  <c r="S585" i="6"/>
  <c r="R585" i="6"/>
  <c r="Q585" i="6"/>
  <c r="P585" i="6"/>
  <c r="O585" i="6"/>
  <c r="U585" i="6" s="1"/>
  <c r="N585" i="6"/>
  <c r="V584" i="6"/>
  <c r="T584" i="6"/>
  <c r="S584" i="6"/>
  <c r="R584" i="6"/>
  <c r="Q584" i="6"/>
  <c r="P584" i="6"/>
  <c r="O584" i="6"/>
  <c r="U584" i="6" s="1"/>
  <c r="N584" i="6"/>
  <c r="V583" i="6"/>
  <c r="T583" i="6"/>
  <c r="S583" i="6"/>
  <c r="R583" i="6"/>
  <c r="Q583" i="6"/>
  <c r="P583" i="6"/>
  <c r="O583" i="6"/>
  <c r="U583" i="6" s="1"/>
  <c r="N583" i="6"/>
  <c r="V582" i="6"/>
  <c r="T582" i="6"/>
  <c r="S582" i="6"/>
  <c r="R582" i="6"/>
  <c r="Q582" i="6"/>
  <c r="P582" i="6"/>
  <c r="O582" i="6"/>
  <c r="U582" i="6" s="1"/>
  <c r="N582" i="6"/>
  <c r="V581" i="6"/>
  <c r="T581" i="6"/>
  <c r="S581" i="6"/>
  <c r="R581" i="6"/>
  <c r="Q581" i="6"/>
  <c r="P581" i="6"/>
  <c r="O581" i="6"/>
  <c r="U581" i="6" s="1"/>
  <c r="N581" i="6"/>
  <c r="V580" i="6"/>
  <c r="T580" i="6"/>
  <c r="S580" i="6"/>
  <c r="R580" i="6"/>
  <c r="Q580" i="6"/>
  <c r="P580" i="6"/>
  <c r="O580" i="6"/>
  <c r="U580" i="6" s="1"/>
  <c r="N580" i="6"/>
  <c r="V579" i="6"/>
  <c r="T579" i="6"/>
  <c r="S579" i="6"/>
  <c r="R579" i="6"/>
  <c r="Q579" i="6"/>
  <c r="P579" i="6"/>
  <c r="O579" i="6"/>
  <c r="U579" i="6" s="1"/>
  <c r="N579" i="6"/>
  <c r="V578" i="6"/>
  <c r="T578" i="6"/>
  <c r="S578" i="6"/>
  <c r="R578" i="6"/>
  <c r="Q578" i="6"/>
  <c r="P578" i="6"/>
  <c r="O578" i="6"/>
  <c r="U578" i="6" s="1"/>
  <c r="N578" i="6"/>
  <c r="V577" i="6"/>
  <c r="T577" i="6"/>
  <c r="S577" i="6"/>
  <c r="R577" i="6"/>
  <c r="Q577" i="6"/>
  <c r="P577" i="6"/>
  <c r="O577" i="6"/>
  <c r="U577" i="6" s="1"/>
  <c r="N577" i="6"/>
  <c r="V576" i="6"/>
  <c r="T576" i="6"/>
  <c r="S576" i="6"/>
  <c r="R576" i="6"/>
  <c r="Q576" i="6"/>
  <c r="P576" i="6"/>
  <c r="O576" i="6"/>
  <c r="U576" i="6" s="1"/>
  <c r="N576" i="6"/>
  <c r="V575" i="6"/>
  <c r="T575" i="6"/>
  <c r="S575" i="6"/>
  <c r="R575" i="6"/>
  <c r="Q575" i="6"/>
  <c r="P575" i="6"/>
  <c r="O575" i="6"/>
  <c r="U575" i="6" s="1"/>
  <c r="N575" i="6"/>
  <c r="V574" i="6"/>
  <c r="T574" i="6"/>
  <c r="S574" i="6"/>
  <c r="R574" i="6"/>
  <c r="Q574" i="6"/>
  <c r="P574" i="6"/>
  <c r="O574" i="6"/>
  <c r="U574" i="6" s="1"/>
  <c r="N574" i="6"/>
  <c r="V573" i="6"/>
  <c r="T573" i="6"/>
  <c r="S573" i="6"/>
  <c r="R573" i="6"/>
  <c r="Q573" i="6"/>
  <c r="P573" i="6"/>
  <c r="O573" i="6"/>
  <c r="U573" i="6" s="1"/>
  <c r="N573" i="6"/>
  <c r="V572" i="6"/>
  <c r="T572" i="6"/>
  <c r="S572" i="6"/>
  <c r="R572" i="6"/>
  <c r="Q572" i="6"/>
  <c r="P572" i="6"/>
  <c r="O572" i="6"/>
  <c r="U572" i="6" s="1"/>
  <c r="N572" i="6"/>
  <c r="V571" i="6"/>
  <c r="T571" i="6"/>
  <c r="S571" i="6"/>
  <c r="R571" i="6"/>
  <c r="Q571" i="6"/>
  <c r="P571" i="6"/>
  <c r="O571" i="6"/>
  <c r="U571" i="6" s="1"/>
  <c r="N571" i="6"/>
  <c r="V570" i="6"/>
  <c r="T570" i="6"/>
  <c r="S570" i="6"/>
  <c r="R570" i="6"/>
  <c r="Q570" i="6"/>
  <c r="P570" i="6"/>
  <c r="O570" i="6"/>
  <c r="U570" i="6" s="1"/>
  <c r="N570" i="6"/>
  <c r="V569" i="6"/>
  <c r="T569" i="6"/>
  <c r="S569" i="6"/>
  <c r="R569" i="6"/>
  <c r="Q569" i="6"/>
  <c r="P569" i="6"/>
  <c r="O569" i="6"/>
  <c r="U569" i="6" s="1"/>
  <c r="N569" i="6"/>
  <c r="V568" i="6"/>
  <c r="T568" i="6"/>
  <c r="S568" i="6"/>
  <c r="R568" i="6"/>
  <c r="Q568" i="6"/>
  <c r="P568" i="6"/>
  <c r="O568" i="6"/>
  <c r="U568" i="6" s="1"/>
  <c r="N568" i="6"/>
  <c r="V567" i="6"/>
  <c r="T567" i="6"/>
  <c r="S567" i="6"/>
  <c r="R567" i="6"/>
  <c r="Q567" i="6"/>
  <c r="P567" i="6"/>
  <c r="O567" i="6"/>
  <c r="U567" i="6" s="1"/>
  <c r="N567" i="6"/>
  <c r="V566" i="6"/>
  <c r="T566" i="6"/>
  <c r="S566" i="6"/>
  <c r="R566" i="6"/>
  <c r="Q566" i="6"/>
  <c r="P566" i="6"/>
  <c r="O566" i="6"/>
  <c r="U566" i="6" s="1"/>
  <c r="N566" i="6"/>
  <c r="V565" i="6"/>
  <c r="T565" i="6"/>
  <c r="S565" i="6"/>
  <c r="R565" i="6"/>
  <c r="Q565" i="6"/>
  <c r="P565" i="6"/>
  <c r="O565" i="6"/>
  <c r="U565" i="6" s="1"/>
  <c r="N565" i="6"/>
  <c r="V564" i="6"/>
  <c r="T564" i="6"/>
  <c r="S564" i="6"/>
  <c r="R564" i="6"/>
  <c r="Q564" i="6"/>
  <c r="P564" i="6"/>
  <c r="O564" i="6"/>
  <c r="U564" i="6" s="1"/>
  <c r="N564" i="6"/>
  <c r="V563" i="6"/>
  <c r="T563" i="6"/>
  <c r="S563" i="6"/>
  <c r="R563" i="6"/>
  <c r="Q563" i="6"/>
  <c r="P563" i="6"/>
  <c r="O563" i="6"/>
  <c r="U563" i="6" s="1"/>
  <c r="N563" i="6"/>
  <c r="V562" i="6"/>
  <c r="T562" i="6"/>
  <c r="S562" i="6"/>
  <c r="R562" i="6"/>
  <c r="Q562" i="6"/>
  <c r="P562" i="6"/>
  <c r="O562" i="6"/>
  <c r="U562" i="6" s="1"/>
  <c r="N562" i="6"/>
  <c r="V561" i="6"/>
  <c r="T561" i="6"/>
  <c r="S561" i="6"/>
  <c r="R561" i="6"/>
  <c r="Q561" i="6"/>
  <c r="P561" i="6"/>
  <c r="O561" i="6"/>
  <c r="U561" i="6" s="1"/>
  <c r="N561" i="6"/>
  <c r="V560" i="6"/>
  <c r="T560" i="6"/>
  <c r="S560" i="6"/>
  <c r="R560" i="6"/>
  <c r="Q560" i="6"/>
  <c r="P560" i="6"/>
  <c r="O560" i="6"/>
  <c r="U560" i="6" s="1"/>
  <c r="N560" i="6"/>
  <c r="V559" i="6"/>
  <c r="T559" i="6"/>
  <c r="S559" i="6"/>
  <c r="R559" i="6"/>
  <c r="Q559" i="6"/>
  <c r="P559" i="6"/>
  <c r="O559" i="6"/>
  <c r="U559" i="6" s="1"/>
  <c r="N559" i="6"/>
  <c r="V558" i="6"/>
  <c r="T558" i="6"/>
  <c r="S558" i="6"/>
  <c r="R558" i="6"/>
  <c r="Q558" i="6"/>
  <c r="P558" i="6"/>
  <c r="O558" i="6"/>
  <c r="U558" i="6" s="1"/>
  <c r="N558" i="6"/>
  <c r="V557" i="6"/>
  <c r="T557" i="6"/>
  <c r="S557" i="6"/>
  <c r="R557" i="6"/>
  <c r="Q557" i="6"/>
  <c r="P557" i="6"/>
  <c r="O557" i="6"/>
  <c r="U557" i="6" s="1"/>
  <c r="N557" i="6"/>
  <c r="V556" i="6"/>
  <c r="T556" i="6"/>
  <c r="S556" i="6"/>
  <c r="R556" i="6"/>
  <c r="Q556" i="6"/>
  <c r="P556" i="6"/>
  <c r="O556" i="6"/>
  <c r="U556" i="6" s="1"/>
  <c r="N556" i="6"/>
  <c r="V555" i="6"/>
  <c r="T555" i="6"/>
  <c r="S555" i="6"/>
  <c r="R555" i="6"/>
  <c r="Q555" i="6"/>
  <c r="P555" i="6"/>
  <c r="O555" i="6"/>
  <c r="U555" i="6" s="1"/>
  <c r="N555" i="6"/>
  <c r="V554" i="6"/>
  <c r="T554" i="6"/>
  <c r="S554" i="6"/>
  <c r="R554" i="6"/>
  <c r="Q554" i="6"/>
  <c r="P554" i="6"/>
  <c r="O554" i="6"/>
  <c r="U554" i="6" s="1"/>
  <c r="N554" i="6"/>
  <c r="V553" i="6"/>
  <c r="T553" i="6"/>
  <c r="S553" i="6"/>
  <c r="R553" i="6"/>
  <c r="Q553" i="6"/>
  <c r="P553" i="6"/>
  <c r="O553" i="6"/>
  <c r="U553" i="6" s="1"/>
  <c r="N553" i="6"/>
  <c r="V552" i="6"/>
  <c r="T552" i="6"/>
  <c r="S552" i="6"/>
  <c r="R552" i="6"/>
  <c r="Q552" i="6"/>
  <c r="P552" i="6"/>
  <c r="O552" i="6"/>
  <c r="U552" i="6" s="1"/>
  <c r="N552" i="6"/>
  <c r="V551" i="6"/>
  <c r="T551" i="6"/>
  <c r="S551" i="6"/>
  <c r="R551" i="6"/>
  <c r="Q551" i="6"/>
  <c r="P551" i="6"/>
  <c r="O551" i="6"/>
  <c r="U551" i="6" s="1"/>
  <c r="N551" i="6"/>
  <c r="V550" i="6"/>
  <c r="T550" i="6"/>
  <c r="S550" i="6"/>
  <c r="R550" i="6"/>
  <c r="Q550" i="6"/>
  <c r="P550" i="6"/>
  <c r="O550" i="6"/>
  <c r="U550" i="6" s="1"/>
  <c r="N550" i="6"/>
  <c r="V549" i="6"/>
  <c r="T549" i="6"/>
  <c r="S549" i="6"/>
  <c r="R549" i="6"/>
  <c r="Q549" i="6"/>
  <c r="P549" i="6"/>
  <c r="O549" i="6"/>
  <c r="U549" i="6" s="1"/>
  <c r="N549" i="6"/>
  <c r="V548" i="6"/>
  <c r="T548" i="6"/>
  <c r="S548" i="6"/>
  <c r="R548" i="6"/>
  <c r="Q548" i="6"/>
  <c r="P548" i="6"/>
  <c r="O548" i="6"/>
  <c r="U548" i="6" s="1"/>
  <c r="N548" i="6"/>
  <c r="V547" i="6"/>
  <c r="T547" i="6"/>
  <c r="S547" i="6"/>
  <c r="R547" i="6"/>
  <c r="Q547" i="6"/>
  <c r="P547" i="6"/>
  <c r="O547" i="6"/>
  <c r="U547" i="6" s="1"/>
  <c r="N547" i="6"/>
  <c r="V546" i="6"/>
  <c r="T546" i="6"/>
  <c r="S546" i="6"/>
  <c r="R546" i="6"/>
  <c r="Q546" i="6"/>
  <c r="P546" i="6"/>
  <c r="O546" i="6"/>
  <c r="U546" i="6" s="1"/>
  <c r="N546" i="6"/>
  <c r="V545" i="6"/>
  <c r="T545" i="6"/>
  <c r="S545" i="6"/>
  <c r="R545" i="6"/>
  <c r="Q545" i="6"/>
  <c r="P545" i="6"/>
  <c r="O545" i="6"/>
  <c r="U545" i="6" s="1"/>
  <c r="N545" i="6"/>
  <c r="V544" i="6"/>
  <c r="T544" i="6"/>
  <c r="S544" i="6"/>
  <c r="R544" i="6"/>
  <c r="Q544" i="6"/>
  <c r="P544" i="6"/>
  <c r="O544" i="6"/>
  <c r="U544" i="6" s="1"/>
  <c r="N544" i="6"/>
  <c r="V543" i="6"/>
  <c r="T543" i="6"/>
  <c r="S543" i="6"/>
  <c r="R543" i="6"/>
  <c r="Q543" i="6"/>
  <c r="P543" i="6"/>
  <c r="O543" i="6"/>
  <c r="U543" i="6" s="1"/>
  <c r="N543" i="6"/>
  <c r="V542" i="6"/>
  <c r="T542" i="6"/>
  <c r="S542" i="6"/>
  <c r="R542" i="6"/>
  <c r="Q542" i="6"/>
  <c r="P542" i="6"/>
  <c r="O542" i="6"/>
  <c r="U542" i="6" s="1"/>
  <c r="N542" i="6"/>
  <c r="V541" i="6"/>
  <c r="T541" i="6"/>
  <c r="S541" i="6"/>
  <c r="R541" i="6"/>
  <c r="Q541" i="6"/>
  <c r="P541" i="6"/>
  <c r="O541" i="6"/>
  <c r="U541" i="6" s="1"/>
  <c r="N541" i="6"/>
  <c r="V540" i="6"/>
  <c r="T540" i="6"/>
  <c r="S540" i="6"/>
  <c r="R540" i="6"/>
  <c r="Q540" i="6"/>
  <c r="P540" i="6"/>
  <c r="O540" i="6"/>
  <c r="U540" i="6" s="1"/>
  <c r="N540" i="6"/>
  <c r="V539" i="6"/>
  <c r="T539" i="6"/>
  <c r="S539" i="6"/>
  <c r="R539" i="6"/>
  <c r="Q539" i="6"/>
  <c r="P539" i="6"/>
  <c r="O539" i="6"/>
  <c r="U539" i="6" s="1"/>
  <c r="N539" i="6"/>
  <c r="V538" i="6"/>
  <c r="T538" i="6"/>
  <c r="S538" i="6"/>
  <c r="R538" i="6"/>
  <c r="Q538" i="6"/>
  <c r="P538" i="6"/>
  <c r="O538" i="6"/>
  <c r="U538" i="6" s="1"/>
  <c r="N538" i="6"/>
  <c r="V537" i="6"/>
  <c r="T537" i="6"/>
  <c r="S537" i="6"/>
  <c r="R537" i="6"/>
  <c r="Q537" i="6"/>
  <c r="P537" i="6"/>
  <c r="O537" i="6"/>
  <c r="U537" i="6" s="1"/>
  <c r="N537" i="6"/>
  <c r="V536" i="6"/>
  <c r="T536" i="6"/>
  <c r="S536" i="6"/>
  <c r="R536" i="6"/>
  <c r="Q536" i="6"/>
  <c r="P536" i="6"/>
  <c r="O536" i="6"/>
  <c r="U536" i="6" s="1"/>
  <c r="N536" i="6"/>
  <c r="V535" i="6"/>
  <c r="T535" i="6"/>
  <c r="S535" i="6"/>
  <c r="R535" i="6"/>
  <c r="Q535" i="6"/>
  <c r="P535" i="6"/>
  <c r="O535" i="6"/>
  <c r="U535" i="6" s="1"/>
  <c r="N535" i="6"/>
  <c r="V534" i="6"/>
  <c r="T534" i="6"/>
  <c r="S534" i="6"/>
  <c r="R534" i="6"/>
  <c r="Q534" i="6"/>
  <c r="P534" i="6"/>
  <c r="O534" i="6"/>
  <c r="U534" i="6" s="1"/>
  <c r="N534" i="6"/>
  <c r="V533" i="6"/>
  <c r="T533" i="6"/>
  <c r="S533" i="6"/>
  <c r="R533" i="6"/>
  <c r="Q533" i="6"/>
  <c r="P533" i="6"/>
  <c r="O533" i="6"/>
  <c r="U533" i="6" s="1"/>
  <c r="N533" i="6"/>
  <c r="V532" i="6"/>
  <c r="T532" i="6"/>
  <c r="S532" i="6"/>
  <c r="R532" i="6"/>
  <c r="Q532" i="6"/>
  <c r="P532" i="6"/>
  <c r="O532" i="6"/>
  <c r="U532" i="6" s="1"/>
  <c r="N532" i="6"/>
  <c r="V531" i="6"/>
  <c r="T531" i="6"/>
  <c r="S531" i="6"/>
  <c r="R531" i="6"/>
  <c r="Q531" i="6"/>
  <c r="P531" i="6"/>
  <c r="O531" i="6"/>
  <c r="U531" i="6" s="1"/>
  <c r="N531" i="6"/>
  <c r="V530" i="6"/>
  <c r="T530" i="6"/>
  <c r="S530" i="6"/>
  <c r="R530" i="6"/>
  <c r="Q530" i="6"/>
  <c r="P530" i="6"/>
  <c r="O530" i="6"/>
  <c r="U530" i="6" s="1"/>
  <c r="N530" i="6"/>
  <c r="V529" i="6"/>
  <c r="T529" i="6"/>
  <c r="S529" i="6"/>
  <c r="R529" i="6"/>
  <c r="Q529" i="6"/>
  <c r="P529" i="6"/>
  <c r="O529" i="6"/>
  <c r="U529" i="6" s="1"/>
  <c r="N529" i="6"/>
  <c r="V528" i="6"/>
  <c r="T528" i="6"/>
  <c r="S528" i="6"/>
  <c r="R528" i="6"/>
  <c r="Q528" i="6"/>
  <c r="P528" i="6"/>
  <c r="O528" i="6"/>
  <c r="U528" i="6" s="1"/>
  <c r="N528" i="6"/>
  <c r="V527" i="6"/>
  <c r="T527" i="6"/>
  <c r="S527" i="6"/>
  <c r="R527" i="6"/>
  <c r="Q527" i="6"/>
  <c r="P527" i="6"/>
  <c r="O527" i="6"/>
  <c r="U527" i="6" s="1"/>
  <c r="N527" i="6"/>
  <c r="V526" i="6"/>
  <c r="T526" i="6"/>
  <c r="S526" i="6"/>
  <c r="R526" i="6"/>
  <c r="Q526" i="6"/>
  <c r="P526" i="6"/>
  <c r="O526" i="6"/>
  <c r="U526" i="6" s="1"/>
  <c r="N526" i="6"/>
  <c r="V525" i="6"/>
  <c r="T525" i="6"/>
  <c r="S525" i="6"/>
  <c r="R525" i="6"/>
  <c r="Q525" i="6"/>
  <c r="P525" i="6"/>
  <c r="O525" i="6"/>
  <c r="U525" i="6" s="1"/>
  <c r="N525" i="6"/>
  <c r="V524" i="6"/>
  <c r="T524" i="6"/>
  <c r="S524" i="6"/>
  <c r="R524" i="6"/>
  <c r="Q524" i="6"/>
  <c r="P524" i="6"/>
  <c r="O524" i="6"/>
  <c r="U524" i="6" s="1"/>
  <c r="N524" i="6"/>
  <c r="V523" i="6"/>
  <c r="T523" i="6"/>
  <c r="S523" i="6"/>
  <c r="R523" i="6"/>
  <c r="Q523" i="6"/>
  <c r="P523" i="6"/>
  <c r="O523" i="6"/>
  <c r="U523" i="6" s="1"/>
  <c r="N523" i="6"/>
  <c r="V522" i="6"/>
  <c r="T522" i="6"/>
  <c r="S522" i="6"/>
  <c r="R522" i="6"/>
  <c r="Q522" i="6"/>
  <c r="P522" i="6"/>
  <c r="O522" i="6"/>
  <c r="U522" i="6" s="1"/>
  <c r="N522" i="6"/>
  <c r="V521" i="6"/>
  <c r="T521" i="6"/>
  <c r="S521" i="6"/>
  <c r="R521" i="6"/>
  <c r="Q521" i="6"/>
  <c r="P521" i="6"/>
  <c r="O521" i="6"/>
  <c r="U521" i="6" s="1"/>
  <c r="N521" i="6"/>
  <c r="V520" i="6"/>
  <c r="T520" i="6"/>
  <c r="S520" i="6"/>
  <c r="R520" i="6"/>
  <c r="Q520" i="6"/>
  <c r="P520" i="6"/>
  <c r="O520" i="6"/>
  <c r="U520" i="6" s="1"/>
  <c r="N520" i="6"/>
  <c r="V519" i="6"/>
  <c r="T519" i="6"/>
  <c r="S519" i="6"/>
  <c r="R519" i="6"/>
  <c r="Q519" i="6"/>
  <c r="P519" i="6"/>
  <c r="O519" i="6"/>
  <c r="U519" i="6" s="1"/>
  <c r="N519" i="6"/>
  <c r="V518" i="6"/>
  <c r="T518" i="6"/>
  <c r="S518" i="6"/>
  <c r="R518" i="6"/>
  <c r="Q518" i="6"/>
  <c r="P518" i="6"/>
  <c r="O518" i="6"/>
  <c r="U518" i="6" s="1"/>
  <c r="N518" i="6"/>
  <c r="V517" i="6"/>
  <c r="T517" i="6"/>
  <c r="S517" i="6"/>
  <c r="R517" i="6"/>
  <c r="Q517" i="6"/>
  <c r="P517" i="6"/>
  <c r="O517" i="6"/>
  <c r="U517" i="6" s="1"/>
  <c r="N517" i="6"/>
  <c r="V516" i="6"/>
  <c r="T516" i="6"/>
  <c r="S516" i="6"/>
  <c r="R516" i="6"/>
  <c r="Q516" i="6"/>
  <c r="P516" i="6"/>
  <c r="O516" i="6"/>
  <c r="U516" i="6" s="1"/>
  <c r="N516" i="6"/>
  <c r="V515" i="6"/>
  <c r="T515" i="6"/>
  <c r="S515" i="6"/>
  <c r="R515" i="6"/>
  <c r="Q515" i="6"/>
  <c r="P515" i="6"/>
  <c r="O515" i="6"/>
  <c r="U515" i="6" s="1"/>
  <c r="N515" i="6"/>
  <c r="V514" i="6"/>
  <c r="T514" i="6"/>
  <c r="S514" i="6"/>
  <c r="R514" i="6"/>
  <c r="Q514" i="6"/>
  <c r="P514" i="6"/>
  <c r="O514" i="6"/>
  <c r="U514" i="6" s="1"/>
  <c r="N514" i="6"/>
  <c r="V513" i="6"/>
  <c r="T513" i="6"/>
  <c r="S513" i="6"/>
  <c r="R513" i="6"/>
  <c r="Q513" i="6"/>
  <c r="P513" i="6"/>
  <c r="O513" i="6"/>
  <c r="U513" i="6" s="1"/>
  <c r="N513" i="6"/>
  <c r="V512" i="6"/>
  <c r="T512" i="6"/>
  <c r="S512" i="6"/>
  <c r="R512" i="6"/>
  <c r="Q512" i="6"/>
  <c r="P512" i="6"/>
  <c r="O512" i="6"/>
  <c r="U512" i="6" s="1"/>
  <c r="N512" i="6"/>
  <c r="V511" i="6"/>
  <c r="T511" i="6"/>
  <c r="S511" i="6"/>
  <c r="R511" i="6"/>
  <c r="Q511" i="6"/>
  <c r="P511" i="6"/>
  <c r="O511" i="6"/>
  <c r="U511" i="6" s="1"/>
  <c r="N511" i="6"/>
  <c r="V510" i="6"/>
  <c r="T510" i="6"/>
  <c r="S510" i="6"/>
  <c r="R510" i="6"/>
  <c r="Q510" i="6"/>
  <c r="P510" i="6"/>
  <c r="O510" i="6"/>
  <c r="U510" i="6" s="1"/>
  <c r="N510" i="6"/>
  <c r="V509" i="6"/>
  <c r="T509" i="6"/>
  <c r="S509" i="6"/>
  <c r="R509" i="6"/>
  <c r="Q509" i="6"/>
  <c r="P509" i="6"/>
  <c r="O509" i="6"/>
  <c r="U509" i="6" s="1"/>
  <c r="N509" i="6"/>
  <c r="V508" i="6"/>
  <c r="T508" i="6"/>
  <c r="S508" i="6"/>
  <c r="R508" i="6"/>
  <c r="Q508" i="6"/>
  <c r="P508" i="6"/>
  <c r="O508" i="6"/>
  <c r="U508" i="6" s="1"/>
  <c r="N508" i="6"/>
  <c r="V507" i="6"/>
  <c r="T507" i="6"/>
  <c r="S507" i="6"/>
  <c r="R507" i="6"/>
  <c r="Q507" i="6"/>
  <c r="P507" i="6"/>
  <c r="O507" i="6"/>
  <c r="U507" i="6" s="1"/>
  <c r="N507" i="6"/>
  <c r="V506" i="6"/>
  <c r="T506" i="6"/>
  <c r="S506" i="6"/>
  <c r="R506" i="6"/>
  <c r="Q506" i="6"/>
  <c r="P506" i="6"/>
  <c r="O506" i="6"/>
  <c r="U506" i="6" s="1"/>
  <c r="N506" i="6"/>
  <c r="V505" i="6"/>
  <c r="T505" i="6"/>
  <c r="S505" i="6"/>
  <c r="R505" i="6"/>
  <c r="Q505" i="6"/>
  <c r="P505" i="6"/>
  <c r="O505" i="6"/>
  <c r="U505" i="6" s="1"/>
  <c r="N505" i="6"/>
  <c r="V504" i="6"/>
  <c r="T504" i="6"/>
  <c r="S504" i="6"/>
  <c r="R504" i="6"/>
  <c r="Q504" i="6"/>
  <c r="P504" i="6"/>
  <c r="O504" i="6"/>
  <c r="U504" i="6" s="1"/>
  <c r="N504" i="6"/>
  <c r="V503" i="6"/>
  <c r="T503" i="6"/>
  <c r="S503" i="6"/>
  <c r="R503" i="6"/>
  <c r="Q503" i="6"/>
  <c r="P503" i="6"/>
  <c r="O503" i="6"/>
  <c r="U503" i="6" s="1"/>
  <c r="N503" i="6"/>
  <c r="V502" i="6"/>
  <c r="T502" i="6"/>
  <c r="S502" i="6"/>
  <c r="R502" i="6"/>
  <c r="Q502" i="6"/>
  <c r="P502" i="6"/>
  <c r="O502" i="6"/>
  <c r="U502" i="6" s="1"/>
  <c r="N502" i="6"/>
  <c r="V501" i="6"/>
  <c r="T501" i="6"/>
  <c r="S501" i="6"/>
  <c r="R501" i="6"/>
  <c r="Q501" i="6"/>
  <c r="P501" i="6"/>
  <c r="O501" i="6"/>
  <c r="U501" i="6" s="1"/>
  <c r="N501" i="6"/>
  <c r="V500" i="6"/>
  <c r="T500" i="6"/>
  <c r="S500" i="6"/>
  <c r="R500" i="6"/>
  <c r="Q500" i="6"/>
  <c r="P500" i="6"/>
  <c r="O500" i="6"/>
  <c r="U500" i="6" s="1"/>
  <c r="N500" i="6"/>
  <c r="V499" i="6"/>
  <c r="T499" i="6"/>
  <c r="S499" i="6"/>
  <c r="R499" i="6"/>
  <c r="Q499" i="6"/>
  <c r="P499" i="6"/>
  <c r="O499" i="6"/>
  <c r="U499" i="6" s="1"/>
  <c r="N499" i="6"/>
  <c r="V498" i="6"/>
  <c r="T498" i="6"/>
  <c r="S498" i="6"/>
  <c r="R498" i="6"/>
  <c r="Q498" i="6"/>
  <c r="P498" i="6"/>
  <c r="O498" i="6"/>
  <c r="U498" i="6" s="1"/>
  <c r="N498" i="6"/>
  <c r="V497" i="6"/>
  <c r="T497" i="6"/>
  <c r="S497" i="6"/>
  <c r="R497" i="6"/>
  <c r="Q497" i="6"/>
  <c r="P497" i="6"/>
  <c r="O497" i="6"/>
  <c r="U497" i="6" s="1"/>
  <c r="N497" i="6"/>
  <c r="V496" i="6"/>
  <c r="T496" i="6"/>
  <c r="S496" i="6"/>
  <c r="R496" i="6"/>
  <c r="Q496" i="6"/>
  <c r="P496" i="6"/>
  <c r="O496" i="6"/>
  <c r="U496" i="6" s="1"/>
  <c r="N496" i="6"/>
  <c r="V495" i="6"/>
  <c r="T495" i="6"/>
  <c r="S495" i="6"/>
  <c r="R495" i="6"/>
  <c r="Q495" i="6"/>
  <c r="P495" i="6"/>
  <c r="O495" i="6"/>
  <c r="U495" i="6" s="1"/>
  <c r="N495" i="6"/>
  <c r="V494" i="6"/>
  <c r="T494" i="6"/>
  <c r="S494" i="6"/>
  <c r="R494" i="6"/>
  <c r="Q494" i="6"/>
  <c r="P494" i="6"/>
  <c r="O494" i="6"/>
  <c r="U494" i="6" s="1"/>
  <c r="N494" i="6"/>
  <c r="V493" i="6"/>
  <c r="T493" i="6"/>
  <c r="S493" i="6"/>
  <c r="R493" i="6"/>
  <c r="Q493" i="6"/>
  <c r="P493" i="6"/>
  <c r="O493" i="6"/>
  <c r="U493" i="6" s="1"/>
  <c r="N493" i="6"/>
  <c r="V492" i="6"/>
  <c r="T492" i="6"/>
  <c r="S492" i="6"/>
  <c r="R492" i="6"/>
  <c r="Q492" i="6"/>
  <c r="P492" i="6"/>
  <c r="O492" i="6"/>
  <c r="U492" i="6" s="1"/>
  <c r="N492" i="6"/>
  <c r="V491" i="6"/>
  <c r="T491" i="6"/>
  <c r="S491" i="6"/>
  <c r="R491" i="6"/>
  <c r="Q491" i="6"/>
  <c r="P491" i="6"/>
  <c r="O491" i="6"/>
  <c r="U491" i="6" s="1"/>
  <c r="N491" i="6"/>
  <c r="V490" i="6"/>
  <c r="T490" i="6"/>
  <c r="S490" i="6"/>
  <c r="R490" i="6"/>
  <c r="Q490" i="6"/>
  <c r="P490" i="6"/>
  <c r="O490" i="6"/>
  <c r="U490" i="6" s="1"/>
  <c r="N490" i="6"/>
  <c r="V489" i="6"/>
  <c r="T489" i="6"/>
  <c r="S489" i="6"/>
  <c r="R489" i="6"/>
  <c r="Q489" i="6"/>
  <c r="P489" i="6"/>
  <c r="O489" i="6"/>
  <c r="U489" i="6" s="1"/>
  <c r="N489" i="6"/>
  <c r="V488" i="6"/>
  <c r="T488" i="6"/>
  <c r="S488" i="6"/>
  <c r="R488" i="6"/>
  <c r="Q488" i="6"/>
  <c r="P488" i="6"/>
  <c r="O488" i="6"/>
  <c r="U488" i="6" s="1"/>
  <c r="N488" i="6"/>
  <c r="V487" i="6"/>
  <c r="T487" i="6"/>
  <c r="S487" i="6"/>
  <c r="R487" i="6"/>
  <c r="Q487" i="6"/>
  <c r="P487" i="6"/>
  <c r="O487" i="6"/>
  <c r="U487" i="6" s="1"/>
  <c r="N487" i="6"/>
  <c r="V486" i="6"/>
  <c r="T486" i="6"/>
  <c r="S486" i="6"/>
  <c r="R486" i="6"/>
  <c r="Q486" i="6"/>
  <c r="P486" i="6"/>
  <c r="O486" i="6"/>
  <c r="U486" i="6" s="1"/>
  <c r="N486" i="6"/>
  <c r="V485" i="6"/>
  <c r="T485" i="6"/>
  <c r="S485" i="6"/>
  <c r="R485" i="6"/>
  <c r="Q485" i="6"/>
  <c r="P485" i="6"/>
  <c r="O485" i="6"/>
  <c r="U485" i="6" s="1"/>
  <c r="N485" i="6"/>
  <c r="V484" i="6"/>
  <c r="T484" i="6"/>
  <c r="S484" i="6"/>
  <c r="R484" i="6"/>
  <c r="Q484" i="6"/>
  <c r="P484" i="6"/>
  <c r="O484" i="6"/>
  <c r="U484" i="6" s="1"/>
  <c r="N484" i="6"/>
  <c r="V483" i="6"/>
  <c r="T483" i="6"/>
  <c r="S483" i="6"/>
  <c r="R483" i="6"/>
  <c r="Q483" i="6"/>
  <c r="P483" i="6"/>
  <c r="O483" i="6"/>
  <c r="U483" i="6" s="1"/>
  <c r="N483" i="6"/>
  <c r="V482" i="6"/>
  <c r="T482" i="6"/>
  <c r="S482" i="6"/>
  <c r="R482" i="6"/>
  <c r="Q482" i="6"/>
  <c r="P482" i="6"/>
  <c r="O482" i="6"/>
  <c r="U482" i="6" s="1"/>
  <c r="N482" i="6"/>
  <c r="V481" i="6"/>
  <c r="T481" i="6"/>
  <c r="S481" i="6"/>
  <c r="R481" i="6"/>
  <c r="Q481" i="6"/>
  <c r="P481" i="6"/>
  <c r="O481" i="6"/>
  <c r="U481" i="6" s="1"/>
  <c r="N481" i="6"/>
  <c r="V480" i="6"/>
  <c r="T480" i="6"/>
  <c r="S480" i="6"/>
  <c r="R480" i="6"/>
  <c r="Q480" i="6"/>
  <c r="P480" i="6"/>
  <c r="O480" i="6"/>
  <c r="U480" i="6" s="1"/>
  <c r="N480" i="6"/>
  <c r="V479" i="6"/>
  <c r="T479" i="6"/>
  <c r="S479" i="6"/>
  <c r="R479" i="6"/>
  <c r="Q479" i="6"/>
  <c r="P479" i="6"/>
  <c r="O479" i="6"/>
  <c r="U479" i="6" s="1"/>
  <c r="N479" i="6"/>
  <c r="V478" i="6"/>
  <c r="T478" i="6"/>
  <c r="S478" i="6"/>
  <c r="R478" i="6"/>
  <c r="Q478" i="6"/>
  <c r="P478" i="6"/>
  <c r="O478" i="6"/>
  <c r="U478" i="6" s="1"/>
  <c r="N478" i="6"/>
  <c r="V477" i="6"/>
  <c r="T477" i="6"/>
  <c r="S477" i="6"/>
  <c r="R477" i="6"/>
  <c r="Q477" i="6"/>
  <c r="P477" i="6"/>
  <c r="O477" i="6"/>
  <c r="U477" i="6" s="1"/>
  <c r="N477" i="6"/>
  <c r="V476" i="6"/>
  <c r="T476" i="6"/>
  <c r="S476" i="6"/>
  <c r="R476" i="6"/>
  <c r="Q476" i="6"/>
  <c r="P476" i="6"/>
  <c r="O476" i="6"/>
  <c r="U476" i="6" s="1"/>
  <c r="N476" i="6"/>
  <c r="V475" i="6"/>
  <c r="T475" i="6"/>
  <c r="S475" i="6"/>
  <c r="R475" i="6"/>
  <c r="Q475" i="6"/>
  <c r="P475" i="6"/>
  <c r="O475" i="6"/>
  <c r="U475" i="6" s="1"/>
  <c r="N475" i="6"/>
  <c r="V474" i="6"/>
  <c r="T474" i="6"/>
  <c r="S474" i="6"/>
  <c r="R474" i="6"/>
  <c r="Q474" i="6"/>
  <c r="P474" i="6"/>
  <c r="O474" i="6"/>
  <c r="U474" i="6" s="1"/>
  <c r="N474" i="6"/>
  <c r="V473" i="6"/>
  <c r="T473" i="6"/>
  <c r="S473" i="6"/>
  <c r="R473" i="6"/>
  <c r="Q473" i="6"/>
  <c r="P473" i="6"/>
  <c r="O473" i="6"/>
  <c r="U473" i="6" s="1"/>
  <c r="N473" i="6"/>
  <c r="V472" i="6"/>
  <c r="T472" i="6"/>
  <c r="S472" i="6"/>
  <c r="R472" i="6"/>
  <c r="Q472" i="6"/>
  <c r="P472" i="6"/>
  <c r="O472" i="6"/>
  <c r="U472" i="6" s="1"/>
  <c r="N472" i="6"/>
  <c r="V471" i="6"/>
  <c r="T471" i="6"/>
  <c r="S471" i="6"/>
  <c r="R471" i="6"/>
  <c r="Q471" i="6"/>
  <c r="P471" i="6"/>
  <c r="O471" i="6"/>
  <c r="U471" i="6" s="1"/>
  <c r="N471" i="6"/>
  <c r="V470" i="6"/>
  <c r="T470" i="6"/>
  <c r="S470" i="6"/>
  <c r="R470" i="6"/>
  <c r="Q470" i="6"/>
  <c r="P470" i="6"/>
  <c r="O470" i="6"/>
  <c r="U470" i="6" s="1"/>
  <c r="N470" i="6"/>
  <c r="V469" i="6"/>
  <c r="T469" i="6"/>
  <c r="S469" i="6"/>
  <c r="R469" i="6"/>
  <c r="Q469" i="6"/>
  <c r="P469" i="6"/>
  <c r="O469" i="6"/>
  <c r="U469" i="6" s="1"/>
  <c r="N469" i="6"/>
  <c r="V468" i="6"/>
  <c r="T468" i="6"/>
  <c r="S468" i="6"/>
  <c r="R468" i="6"/>
  <c r="Q468" i="6"/>
  <c r="P468" i="6"/>
  <c r="O468" i="6"/>
  <c r="U468" i="6" s="1"/>
  <c r="N468" i="6"/>
  <c r="V467" i="6"/>
  <c r="T467" i="6"/>
  <c r="S467" i="6"/>
  <c r="R467" i="6"/>
  <c r="Q467" i="6"/>
  <c r="P467" i="6"/>
  <c r="O467" i="6"/>
  <c r="U467" i="6" s="1"/>
  <c r="N467" i="6"/>
  <c r="V466" i="6"/>
  <c r="T466" i="6"/>
  <c r="S466" i="6"/>
  <c r="R466" i="6"/>
  <c r="Q466" i="6"/>
  <c r="P466" i="6"/>
  <c r="O466" i="6"/>
  <c r="U466" i="6" s="1"/>
  <c r="N466" i="6"/>
  <c r="V465" i="6"/>
  <c r="T465" i="6"/>
  <c r="S465" i="6"/>
  <c r="R465" i="6"/>
  <c r="Q465" i="6"/>
  <c r="P465" i="6"/>
  <c r="O465" i="6"/>
  <c r="U465" i="6" s="1"/>
  <c r="N465" i="6"/>
  <c r="V464" i="6"/>
  <c r="T464" i="6"/>
  <c r="S464" i="6"/>
  <c r="R464" i="6"/>
  <c r="Q464" i="6"/>
  <c r="P464" i="6"/>
  <c r="O464" i="6"/>
  <c r="U464" i="6" s="1"/>
  <c r="N464" i="6"/>
  <c r="V463" i="6"/>
  <c r="T463" i="6"/>
  <c r="S463" i="6"/>
  <c r="R463" i="6"/>
  <c r="Q463" i="6"/>
  <c r="P463" i="6"/>
  <c r="O463" i="6"/>
  <c r="U463" i="6" s="1"/>
  <c r="N463" i="6"/>
  <c r="V462" i="6"/>
  <c r="T462" i="6"/>
  <c r="S462" i="6"/>
  <c r="R462" i="6"/>
  <c r="Q462" i="6"/>
  <c r="P462" i="6"/>
  <c r="O462" i="6"/>
  <c r="U462" i="6" s="1"/>
  <c r="N462" i="6"/>
  <c r="V461" i="6"/>
  <c r="T461" i="6"/>
  <c r="S461" i="6"/>
  <c r="R461" i="6"/>
  <c r="Q461" i="6"/>
  <c r="P461" i="6"/>
  <c r="O461" i="6"/>
  <c r="U461" i="6" s="1"/>
  <c r="N461" i="6"/>
  <c r="V460" i="6"/>
  <c r="T460" i="6"/>
  <c r="S460" i="6"/>
  <c r="R460" i="6"/>
  <c r="Q460" i="6"/>
  <c r="P460" i="6"/>
  <c r="O460" i="6"/>
  <c r="U460" i="6" s="1"/>
  <c r="N460" i="6"/>
  <c r="V459" i="6"/>
  <c r="T459" i="6"/>
  <c r="S459" i="6"/>
  <c r="R459" i="6"/>
  <c r="Q459" i="6"/>
  <c r="P459" i="6"/>
  <c r="O459" i="6"/>
  <c r="U459" i="6" s="1"/>
  <c r="N459" i="6"/>
  <c r="V458" i="6"/>
  <c r="T458" i="6"/>
  <c r="S458" i="6"/>
  <c r="R458" i="6"/>
  <c r="Q458" i="6"/>
  <c r="P458" i="6"/>
  <c r="O458" i="6"/>
  <c r="U458" i="6" s="1"/>
  <c r="N458" i="6"/>
  <c r="V457" i="6"/>
  <c r="T457" i="6"/>
  <c r="S457" i="6"/>
  <c r="R457" i="6"/>
  <c r="Q457" i="6"/>
  <c r="P457" i="6"/>
  <c r="O457" i="6"/>
  <c r="U457" i="6" s="1"/>
  <c r="N457" i="6"/>
  <c r="V456" i="6"/>
  <c r="T456" i="6"/>
  <c r="S456" i="6"/>
  <c r="R456" i="6"/>
  <c r="Q456" i="6"/>
  <c r="P456" i="6"/>
  <c r="O456" i="6"/>
  <c r="U456" i="6" s="1"/>
  <c r="N456" i="6"/>
  <c r="V455" i="6"/>
  <c r="T455" i="6"/>
  <c r="S455" i="6"/>
  <c r="R455" i="6"/>
  <c r="Q455" i="6"/>
  <c r="P455" i="6"/>
  <c r="O455" i="6"/>
  <c r="U455" i="6" s="1"/>
  <c r="N455" i="6"/>
  <c r="V454" i="6"/>
  <c r="T454" i="6"/>
  <c r="S454" i="6"/>
  <c r="R454" i="6"/>
  <c r="Q454" i="6"/>
  <c r="P454" i="6"/>
  <c r="O454" i="6"/>
  <c r="U454" i="6" s="1"/>
  <c r="N454" i="6"/>
  <c r="V453" i="6"/>
  <c r="T453" i="6"/>
  <c r="S453" i="6"/>
  <c r="R453" i="6"/>
  <c r="Q453" i="6"/>
  <c r="P453" i="6"/>
  <c r="O453" i="6"/>
  <c r="U453" i="6" s="1"/>
  <c r="N453" i="6"/>
  <c r="V452" i="6"/>
  <c r="T452" i="6"/>
  <c r="S452" i="6"/>
  <c r="R452" i="6"/>
  <c r="Q452" i="6"/>
  <c r="P452" i="6"/>
  <c r="O452" i="6"/>
  <c r="U452" i="6" s="1"/>
  <c r="N452" i="6"/>
  <c r="V451" i="6"/>
  <c r="T451" i="6"/>
  <c r="S451" i="6"/>
  <c r="R451" i="6"/>
  <c r="Q451" i="6"/>
  <c r="P451" i="6"/>
  <c r="O451" i="6"/>
  <c r="U451" i="6" s="1"/>
  <c r="N451" i="6"/>
  <c r="V450" i="6"/>
  <c r="T450" i="6"/>
  <c r="S450" i="6"/>
  <c r="R450" i="6"/>
  <c r="Q450" i="6"/>
  <c r="P450" i="6"/>
  <c r="O450" i="6"/>
  <c r="U450" i="6" s="1"/>
  <c r="N450" i="6"/>
  <c r="V449" i="6"/>
  <c r="T449" i="6"/>
  <c r="S449" i="6"/>
  <c r="R449" i="6"/>
  <c r="Q449" i="6"/>
  <c r="P449" i="6"/>
  <c r="O449" i="6"/>
  <c r="U449" i="6" s="1"/>
  <c r="N449" i="6"/>
  <c r="V448" i="6"/>
  <c r="T448" i="6"/>
  <c r="S448" i="6"/>
  <c r="R448" i="6"/>
  <c r="Q448" i="6"/>
  <c r="P448" i="6"/>
  <c r="O448" i="6"/>
  <c r="U448" i="6" s="1"/>
  <c r="N448" i="6"/>
  <c r="V447" i="6"/>
  <c r="T447" i="6"/>
  <c r="S447" i="6"/>
  <c r="R447" i="6"/>
  <c r="Q447" i="6"/>
  <c r="P447" i="6"/>
  <c r="O447" i="6"/>
  <c r="U447" i="6" s="1"/>
  <c r="N447" i="6"/>
  <c r="V446" i="6"/>
  <c r="T446" i="6"/>
  <c r="S446" i="6"/>
  <c r="R446" i="6"/>
  <c r="Q446" i="6"/>
  <c r="P446" i="6"/>
  <c r="O446" i="6"/>
  <c r="U446" i="6" s="1"/>
  <c r="N446" i="6"/>
  <c r="V445" i="6"/>
  <c r="T445" i="6"/>
  <c r="S445" i="6"/>
  <c r="R445" i="6"/>
  <c r="Q445" i="6"/>
  <c r="P445" i="6"/>
  <c r="O445" i="6"/>
  <c r="U445" i="6" s="1"/>
  <c r="N445" i="6"/>
  <c r="V444" i="6"/>
  <c r="T444" i="6"/>
  <c r="S444" i="6"/>
  <c r="R444" i="6"/>
  <c r="Q444" i="6"/>
  <c r="P444" i="6"/>
  <c r="O444" i="6"/>
  <c r="U444" i="6" s="1"/>
  <c r="N444" i="6"/>
  <c r="V443" i="6"/>
  <c r="T443" i="6"/>
  <c r="S443" i="6"/>
  <c r="R443" i="6"/>
  <c r="Q443" i="6"/>
  <c r="P443" i="6"/>
  <c r="O443" i="6"/>
  <c r="U443" i="6" s="1"/>
  <c r="N443" i="6"/>
  <c r="V442" i="6"/>
  <c r="T442" i="6"/>
  <c r="S442" i="6"/>
  <c r="R442" i="6"/>
  <c r="Q442" i="6"/>
  <c r="P442" i="6"/>
  <c r="O442" i="6"/>
  <c r="U442" i="6" s="1"/>
  <c r="N442" i="6"/>
  <c r="V441" i="6"/>
  <c r="T441" i="6"/>
  <c r="S441" i="6"/>
  <c r="R441" i="6"/>
  <c r="Q441" i="6"/>
  <c r="P441" i="6"/>
  <c r="O441" i="6"/>
  <c r="U441" i="6" s="1"/>
  <c r="N441" i="6"/>
  <c r="V440" i="6"/>
  <c r="T440" i="6"/>
  <c r="S440" i="6"/>
  <c r="R440" i="6"/>
  <c r="Q440" i="6"/>
  <c r="P440" i="6"/>
  <c r="O440" i="6"/>
  <c r="U440" i="6" s="1"/>
  <c r="N440" i="6"/>
  <c r="V439" i="6"/>
  <c r="T439" i="6"/>
  <c r="S439" i="6"/>
  <c r="R439" i="6"/>
  <c r="Q439" i="6"/>
  <c r="P439" i="6"/>
  <c r="O439" i="6"/>
  <c r="U439" i="6" s="1"/>
  <c r="N439" i="6"/>
  <c r="V438" i="6"/>
  <c r="T438" i="6"/>
  <c r="S438" i="6"/>
  <c r="R438" i="6"/>
  <c r="Q438" i="6"/>
  <c r="P438" i="6"/>
  <c r="O438" i="6"/>
  <c r="U438" i="6" s="1"/>
  <c r="N438" i="6"/>
  <c r="V437" i="6"/>
  <c r="T437" i="6"/>
  <c r="S437" i="6"/>
  <c r="R437" i="6"/>
  <c r="Q437" i="6"/>
  <c r="P437" i="6"/>
  <c r="O437" i="6"/>
  <c r="U437" i="6" s="1"/>
  <c r="N437" i="6"/>
  <c r="V436" i="6"/>
  <c r="T436" i="6"/>
  <c r="S436" i="6"/>
  <c r="R436" i="6"/>
  <c r="Q436" i="6"/>
  <c r="P436" i="6"/>
  <c r="O436" i="6"/>
  <c r="U436" i="6" s="1"/>
  <c r="N436" i="6"/>
  <c r="V435" i="6"/>
  <c r="T435" i="6"/>
  <c r="S435" i="6"/>
  <c r="R435" i="6"/>
  <c r="Q435" i="6"/>
  <c r="P435" i="6"/>
  <c r="O435" i="6"/>
  <c r="U435" i="6" s="1"/>
  <c r="N435" i="6"/>
  <c r="V434" i="6"/>
  <c r="T434" i="6"/>
  <c r="S434" i="6"/>
  <c r="R434" i="6"/>
  <c r="Q434" i="6"/>
  <c r="P434" i="6"/>
  <c r="O434" i="6"/>
  <c r="U434" i="6" s="1"/>
  <c r="N434" i="6"/>
  <c r="V433" i="6"/>
  <c r="T433" i="6"/>
  <c r="S433" i="6"/>
  <c r="R433" i="6"/>
  <c r="Q433" i="6"/>
  <c r="P433" i="6"/>
  <c r="O433" i="6"/>
  <c r="U433" i="6" s="1"/>
  <c r="N433" i="6"/>
  <c r="V432" i="6"/>
  <c r="T432" i="6"/>
  <c r="S432" i="6"/>
  <c r="R432" i="6"/>
  <c r="Q432" i="6"/>
  <c r="P432" i="6"/>
  <c r="O432" i="6"/>
  <c r="U432" i="6" s="1"/>
  <c r="N432" i="6"/>
  <c r="V431" i="6"/>
  <c r="T431" i="6"/>
  <c r="S431" i="6"/>
  <c r="R431" i="6"/>
  <c r="Q431" i="6"/>
  <c r="P431" i="6"/>
  <c r="O431" i="6"/>
  <c r="U431" i="6" s="1"/>
  <c r="N431" i="6"/>
  <c r="V430" i="6"/>
  <c r="T430" i="6"/>
  <c r="S430" i="6"/>
  <c r="R430" i="6"/>
  <c r="Q430" i="6"/>
  <c r="P430" i="6"/>
  <c r="O430" i="6"/>
  <c r="U430" i="6" s="1"/>
  <c r="N430" i="6"/>
  <c r="V429" i="6"/>
  <c r="T429" i="6"/>
  <c r="S429" i="6"/>
  <c r="R429" i="6"/>
  <c r="Q429" i="6"/>
  <c r="P429" i="6"/>
  <c r="O429" i="6"/>
  <c r="U429" i="6" s="1"/>
  <c r="N429" i="6"/>
  <c r="V428" i="6"/>
  <c r="T428" i="6"/>
  <c r="S428" i="6"/>
  <c r="R428" i="6"/>
  <c r="Q428" i="6"/>
  <c r="P428" i="6"/>
  <c r="O428" i="6"/>
  <c r="U428" i="6" s="1"/>
  <c r="N428" i="6"/>
  <c r="V427" i="6"/>
  <c r="T427" i="6"/>
  <c r="S427" i="6"/>
  <c r="R427" i="6"/>
  <c r="Q427" i="6"/>
  <c r="P427" i="6"/>
  <c r="O427" i="6"/>
  <c r="U427" i="6" s="1"/>
  <c r="N427" i="6"/>
  <c r="V426" i="6"/>
  <c r="T426" i="6"/>
  <c r="S426" i="6"/>
  <c r="R426" i="6"/>
  <c r="Q426" i="6"/>
  <c r="P426" i="6"/>
  <c r="O426" i="6"/>
  <c r="U426" i="6" s="1"/>
  <c r="N426" i="6"/>
  <c r="V425" i="6"/>
  <c r="T425" i="6"/>
  <c r="S425" i="6"/>
  <c r="R425" i="6"/>
  <c r="Q425" i="6"/>
  <c r="P425" i="6"/>
  <c r="O425" i="6"/>
  <c r="U425" i="6" s="1"/>
  <c r="N425" i="6"/>
  <c r="V424" i="6"/>
  <c r="T424" i="6"/>
  <c r="S424" i="6"/>
  <c r="R424" i="6"/>
  <c r="Q424" i="6"/>
  <c r="P424" i="6"/>
  <c r="O424" i="6"/>
  <c r="U424" i="6" s="1"/>
  <c r="N424" i="6"/>
  <c r="V423" i="6"/>
  <c r="T423" i="6"/>
  <c r="S423" i="6"/>
  <c r="R423" i="6"/>
  <c r="Q423" i="6"/>
  <c r="P423" i="6"/>
  <c r="O423" i="6"/>
  <c r="U423" i="6" s="1"/>
  <c r="N423" i="6"/>
  <c r="V422" i="6"/>
  <c r="T422" i="6"/>
  <c r="S422" i="6"/>
  <c r="R422" i="6"/>
  <c r="Q422" i="6"/>
  <c r="P422" i="6"/>
  <c r="O422" i="6"/>
  <c r="U422" i="6" s="1"/>
  <c r="N422" i="6"/>
  <c r="V421" i="6"/>
  <c r="T421" i="6"/>
  <c r="S421" i="6"/>
  <c r="R421" i="6"/>
  <c r="Q421" i="6"/>
  <c r="P421" i="6"/>
  <c r="O421" i="6"/>
  <c r="U421" i="6" s="1"/>
  <c r="N421" i="6"/>
  <c r="V420" i="6"/>
  <c r="T420" i="6"/>
  <c r="S420" i="6"/>
  <c r="R420" i="6"/>
  <c r="Q420" i="6"/>
  <c r="P420" i="6"/>
  <c r="O420" i="6"/>
  <c r="U420" i="6" s="1"/>
  <c r="N420" i="6"/>
  <c r="V419" i="6"/>
  <c r="T419" i="6"/>
  <c r="S419" i="6"/>
  <c r="R419" i="6"/>
  <c r="Q419" i="6"/>
  <c r="P419" i="6"/>
  <c r="O419" i="6"/>
  <c r="U419" i="6" s="1"/>
  <c r="N419" i="6"/>
  <c r="V418" i="6"/>
  <c r="T418" i="6"/>
  <c r="S418" i="6"/>
  <c r="R418" i="6"/>
  <c r="Q418" i="6"/>
  <c r="P418" i="6"/>
  <c r="O418" i="6"/>
  <c r="U418" i="6" s="1"/>
  <c r="N418" i="6"/>
  <c r="V417" i="6"/>
  <c r="T417" i="6"/>
  <c r="S417" i="6"/>
  <c r="R417" i="6"/>
  <c r="Q417" i="6"/>
  <c r="P417" i="6"/>
  <c r="O417" i="6"/>
  <c r="U417" i="6" s="1"/>
  <c r="N417" i="6"/>
  <c r="V416" i="6"/>
  <c r="T416" i="6"/>
  <c r="S416" i="6"/>
  <c r="R416" i="6"/>
  <c r="Q416" i="6"/>
  <c r="P416" i="6"/>
  <c r="O416" i="6"/>
  <c r="U416" i="6" s="1"/>
  <c r="N416" i="6"/>
  <c r="V415" i="6"/>
  <c r="T415" i="6"/>
  <c r="S415" i="6"/>
  <c r="R415" i="6"/>
  <c r="Q415" i="6"/>
  <c r="P415" i="6"/>
  <c r="O415" i="6"/>
  <c r="U415" i="6" s="1"/>
  <c r="N415" i="6"/>
  <c r="V414" i="6"/>
  <c r="T414" i="6"/>
  <c r="S414" i="6"/>
  <c r="R414" i="6"/>
  <c r="Q414" i="6"/>
  <c r="P414" i="6"/>
  <c r="O414" i="6"/>
  <c r="U414" i="6" s="1"/>
  <c r="N414" i="6"/>
  <c r="V413" i="6"/>
  <c r="T413" i="6"/>
  <c r="S413" i="6"/>
  <c r="R413" i="6"/>
  <c r="Q413" i="6"/>
  <c r="P413" i="6"/>
  <c r="O413" i="6"/>
  <c r="U413" i="6" s="1"/>
  <c r="N413" i="6"/>
  <c r="V412" i="6"/>
  <c r="T412" i="6"/>
  <c r="S412" i="6"/>
  <c r="R412" i="6"/>
  <c r="Q412" i="6"/>
  <c r="P412" i="6"/>
  <c r="O412" i="6"/>
  <c r="U412" i="6" s="1"/>
  <c r="N412" i="6"/>
  <c r="V411" i="6"/>
  <c r="T411" i="6"/>
  <c r="S411" i="6"/>
  <c r="R411" i="6"/>
  <c r="Q411" i="6"/>
  <c r="P411" i="6"/>
  <c r="O411" i="6"/>
  <c r="U411" i="6" s="1"/>
  <c r="N411" i="6"/>
  <c r="V410" i="6"/>
  <c r="T410" i="6"/>
  <c r="S410" i="6"/>
  <c r="R410" i="6"/>
  <c r="Q410" i="6"/>
  <c r="P410" i="6"/>
  <c r="O410" i="6"/>
  <c r="U410" i="6" s="1"/>
  <c r="N410" i="6"/>
  <c r="V409" i="6"/>
  <c r="T409" i="6"/>
  <c r="S409" i="6"/>
  <c r="R409" i="6"/>
  <c r="Q409" i="6"/>
  <c r="P409" i="6"/>
  <c r="O409" i="6"/>
  <c r="U409" i="6" s="1"/>
  <c r="N409" i="6"/>
  <c r="V408" i="6"/>
  <c r="T408" i="6"/>
  <c r="S408" i="6"/>
  <c r="R408" i="6"/>
  <c r="Q408" i="6"/>
  <c r="P408" i="6"/>
  <c r="O408" i="6"/>
  <c r="U408" i="6" s="1"/>
  <c r="N408" i="6"/>
  <c r="V407" i="6"/>
  <c r="T407" i="6"/>
  <c r="S407" i="6"/>
  <c r="R407" i="6"/>
  <c r="Q407" i="6"/>
  <c r="P407" i="6"/>
  <c r="O407" i="6"/>
  <c r="U407" i="6" s="1"/>
  <c r="N407" i="6"/>
  <c r="V406" i="6"/>
  <c r="T406" i="6"/>
  <c r="S406" i="6"/>
  <c r="R406" i="6"/>
  <c r="Q406" i="6"/>
  <c r="P406" i="6"/>
  <c r="O406" i="6"/>
  <c r="U406" i="6" s="1"/>
  <c r="N406" i="6"/>
  <c r="V405" i="6"/>
  <c r="T405" i="6"/>
  <c r="S405" i="6"/>
  <c r="R405" i="6"/>
  <c r="Q405" i="6"/>
  <c r="P405" i="6"/>
  <c r="O405" i="6"/>
  <c r="U405" i="6" s="1"/>
  <c r="N405" i="6"/>
  <c r="V404" i="6"/>
  <c r="T404" i="6"/>
  <c r="S404" i="6"/>
  <c r="R404" i="6"/>
  <c r="Q404" i="6"/>
  <c r="P404" i="6"/>
  <c r="O404" i="6"/>
  <c r="U404" i="6" s="1"/>
  <c r="N404" i="6"/>
  <c r="V403" i="6"/>
  <c r="T403" i="6"/>
  <c r="S403" i="6"/>
  <c r="R403" i="6"/>
  <c r="Q403" i="6"/>
  <c r="P403" i="6"/>
  <c r="O403" i="6"/>
  <c r="U403" i="6" s="1"/>
  <c r="N403" i="6"/>
  <c r="V402" i="6"/>
  <c r="T402" i="6"/>
  <c r="S402" i="6"/>
  <c r="R402" i="6"/>
  <c r="Q402" i="6"/>
  <c r="P402" i="6"/>
  <c r="O402" i="6"/>
  <c r="U402" i="6" s="1"/>
  <c r="N402" i="6"/>
  <c r="V401" i="6"/>
  <c r="T401" i="6"/>
  <c r="S401" i="6"/>
  <c r="R401" i="6"/>
  <c r="Q401" i="6"/>
  <c r="P401" i="6"/>
  <c r="O401" i="6"/>
  <c r="U401" i="6" s="1"/>
  <c r="N401" i="6"/>
  <c r="V400" i="6"/>
  <c r="T400" i="6"/>
  <c r="S400" i="6"/>
  <c r="R400" i="6"/>
  <c r="Q400" i="6"/>
  <c r="P400" i="6"/>
  <c r="O400" i="6"/>
  <c r="U400" i="6" s="1"/>
  <c r="N400" i="6"/>
  <c r="V399" i="6"/>
  <c r="T399" i="6"/>
  <c r="S399" i="6"/>
  <c r="R399" i="6"/>
  <c r="Q399" i="6"/>
  <c r="P399" i="6"/>
  <c r="O399" i="6"/>
  <c r="U399" i="6" s="1"/>
  <c r="N399" i="6"/>
  <c r="V398" i="6"/>
  <c r="T398" i="6"/>
  <c r="S398" i="6"/>
  <c r="R398" i="6"/>
  <c r="Q398" i="6"/>
  <c r="P398" i="6"/>
  <c r="O398" i="6"/>
  <c r="U398" i="6" s="1"/>
  <c r="N398" i="6"/>
  <c r="V397" i="6"/>
  <c r="T397" i="6"/>
  <c r="S397" i="6"/>
  <c r="R397" i="6"/>
  <c r="Q397" i="6"/>
  <c r="P397" i="6"/>
  <c r="O397" i="6"/>
  <c r="U397" i="6" s="1"/>
  <c r="N397" i="6"/>
  <c r="V396" i="6"/>
  <c r="T396" i="6"/>
  <c r="S396" i="6"/>
  <c r="R396" i="6"/>
  <c r="Q396" i="6"/>
  <c r="P396" i="6"/>
  <c r="O396" i="6"/>
  <c r="U396" i="6" s="1"/>
  <c r="N396" i="6"/>
  <c r="V395" i="6"/>
  <c r="T395" i="6"/>
  <c r="S395" i="6"/>
  <c r="R395" i="6"/>
  <c r="Q395" i="6"/>
  <c r="P395" i="6"/>
  <c r="O395" i="6"/>
  <c r="U395" i="6" s="1"/>
  <c r="N395" i="6"/>
  <c r="V394" i="6"/>
  <c r="T394" i="6"/>
  <c r="S394" i="6"/>
  <c r="R394" i="6"/>
  <c r="Q394" i="6"/>
  <c r="P394" i="6"/>
  <c r="O394" i="6"/>
  <c r="U394" i="6" s="1"/>
  <c r="N394" i="6"/>
  <c r="V393" i="6"/>
  <c r="T393" i="6"/>
  <c r="S393" i="6"/>
  <c r="R393" i="6"/>
  <c r="Q393" i="6"/>
  <c r="P393" i="6"/>
  <c r="O393" i="6"/>
  <c r="U393" i="6" s="1"/>
  <c r="N393" i="6"/>
  <c r="V392" i="6"/>
  <c r="T392" i="6"/>
  <c r="S392" i="6"/>
  <c r="R392" i="6"/>
  <c r="Q392" i="6"/>
  <c r="P392" i="6"/>
  <c r="O392" i="6"/>
  <c r="U392" i="6" s="1"/>
  <c r="N392" i="6"/>
  <c r="V391" i="6"/>
  <c r="T391" i="6"/>
  <c r="S391" i="6"/>
  <c r="R391" i="6"/>
  <c r="Q391" i="6"/>
  <c r="P391" i="6"/>
  <c r="O391" i="6"/>
  <c r="U391" i="6" s="1"/>
  <c r="N391" i="6"/>
  <c r="V390" i="6"/>
  <c r="T390" i="6"/>
  <c r="S390" i="6"/>
  <c r="R390" i="6"/>
  <c r="Q390" i="6"/>
  <c r="P390" i="6"/>
  <c r="O390" i="6"/>
  <c r="U390" i="6" s="1"/>
  <c r="N390" i="6"/>
  <c r="V389" i="6"/>
  <c r="T389" i="6"/>
  <c r="S389" i="6"/>
  <c r="R389" i="6"/>
  <c r="Q389" i="6"/>
  <c r="P389" i="6"/>
  <c r="O389" i="6"/>
  <c r="U389" i="6" s="1"/>
  <c r="N389" i="6"/>
  <c r="V388" i="6"/>
  <c r="T388" i="6"/>
  <c r="S388" i="6"/>
  <c r="R388" i="6"/>
  <c r="Q388" i="6"/>
  <c r="P388" i="6"/>
  <c r="O388" i="6"/>
  <c r="U388" i="6" s="1"/>
  <c r="N388" i="6"/>
  <c r="V387" i="6"/>
  <c r="T387" i="6"/>
  <c r="S387" i="6"/>
  <c r="R387" i="6"/>
  <c r="Q387" i="6"/>
  <c r="P387" i="6"/>
  <c r="O387" i="6"/>
  <c r="U387" i="6" s="1"/>
  <c r="N387" i="6"/>
  <c r="V386" i="6"/>
  <c r="T386" i="6"/>
  <c r="S386" i="6"/>
  <c r="R386" i="6"/>
  <c r="Q386" i="6"/>
  <c r="P386" i="6"/>
  <c r="O386" i="6"/>
  <c r="U386" i="6" s="1"/>
  <c r="N386" i="6"/>
  <c r="V385" i="6"/>
  <c r="T385" i="6"/>
  <c r="S385" i="6"/>
  <c r="R385" i="6"/>
  <c r="Q385" i="6"/>
  <c r="P385" i="6"/>
  <c r="O385" i="6"/>
  <c r="U385" i="6" s="1"/>
  <c r="N385" i="6"/>
  <c r="V384" i="6"/>
  <c r="T384" i="6"/>
  <c r="S384" i="6"/>
  <c r="R384" i="6"/>
  <c r="Q384" i="6"/>
  <c r="P384" i="6"/>
  <c r="O384" i="6"/>
  <c r="U384" i="6" s="1"/>
  <c r="N384" i="6"/>
  <c r="V383" i="6"/>
  <c r="T383" i="6"/>
  <c r="S383" i="6"/>
  <c r="R383" i="6"/>
  <c r="Q383" i="6"/>
  <c r="P383" i="6"/>
  <c r="O383" i="6"/>
  <c r="U383" i="6" s="1"/>
  <c r="N383" i="6"/>
  <c r="V382" i="6"/>
  <c r="T382" i="6"/>
  <c r="S382" i="6"/>
  <c r="R382" i="6"/>
  <c r="Q382" i="6"/>
  <c r="P382" i="6"/>
  <c r="O382" i="6"/>
  <c r="U382" i="6" s="1"/>
  <c r="N382" i="6"/>
  <c r="V381" i="6"/>
  <c r="T381" i="6"/>
  <c r="S381" i="6"/>
  <c r="R381" i="6"/>
  <c r="Q381" i="6"/>
  <c r="P381" i="6"/>
  <c r="O381" i="6"/>
  <c r="U381" i="6" s="1"/>
  <c r="N381" i="6"/>
  <c r="V380" i="6"/>
  <c r="T380" i="6"/>
  <c r="S380" i="6"/>
  <c r="R380" i="6"/>
  <c r="Q380" i="6"/>
  <c r="P380" i="6"/>
  <c r="O380" i="6"/>
  <c r="U380" i="6" s="1"/>
  <c r="N380" i="6"/>
  <c r="V379" i="6"/>
  <c r="T379" i="6"/>
  <c r="S379" i="6"/>
  <c r="R379" i="6"/>
  <c r="Q379" i="6"/>
  <c r="P379" i="6"/>
  <c r="O379" i="6"/>
  <c r="U379" i="6" s="1"/>
  <c r="N379" i="6"/>
  <c r="V378" i="6"/>
  <c r="T378" i="6"/>
  <c r="S378" i="6"/>
  <c r="R378" i="6"/>
  <c r="Q378" i="6"/>
  <c r="P378" i="6"/>
  <c r="O378" i="6"/>
  <c r="U378" i="6" s="1"/>
  <c r="N378" i="6"/>
  <c r="V377" i="6"/>
  <c r="T377" i="6"/>
  <c r="S377" i="6"/>
  <c r="R377" i="6"/>
  <c r="Q377" i="6"/>
  <c r="P377" i="6"/>
  <c r="O377" i="6"/>
  <c r="U377" i="6" s="1"/>
  <c r="N377" i="6"/>
  <c r="V376" i="6"/>
  <c r="T376" i="6"/>
  <c r="S376" i="6"/>
  <c r="R376" i="6"/>
  <c r="Q376" i="6"/>
  <c r="P376" i="6"/>
  <c r="O376" i="6"/>
  <c r="U376" i="6" s="1"/>
  <c r="N376" i="6"/>
  <c r="V375" i="6"/>
  <c r="T375" i="6"/>
  <c r="S375" i="6"/>
  <c r="R375" i="6"/>
  <c r="Q375" i="6"/>
  <c r="P375" i="6"/>
  <c r="O375" i="6"/>
  <c r="U375" i="6" s="1"/>
  <c r="N375" i="6"/>
  <c r="V374" i="6"/>
  <c r="T374" i="6"/>
  <c r="S374" i="6"/>
  <c r="R374" i="6"/>
  <c r="Q374" i="6"/>
  <c r="P374" i="6"/>
  <c r="O374" i="6"/>
  <c r="U374" i="6" s="1"/>
  <c r="N374" i="6"/>
  <c r="V373" i="6"/>
  <c r="T373" i="6"/>
  <c r="S373" i="6"/>
  <c r="R373" i="6"/>
  <c r="Q373" i="6"/>
  <c r="P373" i="6"/>
  <c r="O373" i="6"/>
  <c r="U373" i="6" s="1"/>
  <c r="N373" i="6"/>
  <c r="V372" i="6"/>
  <c r="T372" i="6"/>
  <c r="S372" i="6"/>
  <c r="R372" i="6"/>
  <c r="Q372" i="6"/>
  <c r="P372" i="6"/>
  <c r="O372" i="6"/>
  <c r="U372" i="6" s="1"/>
  <c r="N372" i="6"/>
  <c r="V371" i="6"/>
  <c r="T371" i="6"/>
  <c r="S371" i="6"/>
  <c r="R371" i="6"/>
  <c r="Q371" i="6"/>
  <c r="P371" i="6"/>
  <c r="O371" i="6"/>
  <c r="U371" i="6" s="1"/>
  <c r="N371" i="6"/>
  <c r="V370" i="6"/>
  <c r="T370" i="6"/>
  <c r="S370" i="6"/>
  <c r="R370" i="6"/>
  <c r="Q370" i="6"/>
  <c r="P370" i="6"/>
  <c r="O370" i="6"/>
  <c r="U370" i="6" s="1"/>
  <c r="N370" i="6"/>
  <c r="V369" i="6"/>
  <c r="T369" i="6"/>
  <c r="S369" i="6"/>
  <c r="R369" i="6"/>
  <c r="Q369" i="6"/>
  <c r="P369" i="6"/>
  <c r="O369" i="6"/>
  <c r="U369" i="6" s="1"/>
  <c r="N369" i="6"/>
  <c r="V368" i="6"/>
  <c r="T368" i="6"/>
  <c r="S368" i="6"/>
  <c r="R368" i="6"/>
  <c r="Q368" i="6"/>
  <c r="P368" i="6"/>
  <c r="O368" i="6"/>
  <c r="U368" i="6" s="1"/>
  <c r="N368" i="6"/>
  <c r="V367" i="6"/>
  <c r="T367" i="6"/>
  <c r="S367" i="6"/>
  <c r="R367" i="6"/>
  <c r="Q367" i="6"/>
  <c r="P367" i="6"/>
  <c r="O367" i="6"/>
  <c r="U367" i="6" s="1"/>
  <c r="N367" i="6"/>
  <c r="V366" i="6"/>
  <c r="T366" i="6"/>
  <c r="S366" i="6"/>
  <c r="R366" i="6"/>
  <c r="Q366" i="6"/>
  <c r="P366" i="6"/>
  <c r="O366" i="6"/>
  <c r="U366" i="6" s="1"/>
  <c r="N366" i="6"/>
  <c r="V365" i="6"/>
  <c r="T365" i="6"/>
  <c r="S365" i="6"/>
  <c r="R365" i="6"/>
  <c r="Q365" i="6"/>
  <c r="P365" i="6"/>
  <c r="O365" i="6"/>
  <c r="U365" i="6" s="1"/>
  <c r="N365" i="6"/>
  <c r="V364" i="6"/>
  <c r="T364" i="6"/>
  <c r="S364" i="6"/>
  <c r="R364" i="6"/>
  <c r="Q364" i="6"/>
  <c r="P364" i="6"/>
  <c r="O364" i="6"/>
  <c r="U364" i="6" s="1"/>
  <c r="N364" i="6"/>
  <c r="V363" i="6"/>
  <c r="T363" i="6"/>
  <c r="S363" i="6"/>
  <c r="R363" i="6"/>
  <c r="Q363" i="6"/>
  <c r="P363" i="6"/>
  <c r="O363" i="6"/>
  <c r="U363" i="6" s="1"/>
  <c r="N363" i="6"/>
  <c r="V362" i="6"/>
  <c r="T362" i="6"/>
  <c r="S362" i="6"/>
  <c r="R362" i="6"/>
  <c r="Q362" i="6"/>
  <c r="P362" i="6"/>
  <c r="O362" i="6"/>
  <c r="U362" i="6" s="1"/>
  <c r="N362" i="6"/>
  <c r="V361" i="6"/>
  <c r="T361" i="6"/>
  <c r="S361" i="6"/>
  <c r="R361" i="6"/>
  <c r="Q361" i="6"/>
  <c r="P361" i="6"/>
  <c r="O361" i="6"/>
  <c r="U361" i="6" s="1"/>
  <c r="N361" i="6"/>
  <c r="V360" i="6"/>
  <c r="T360" i="6"/>
  <c r="S360" i="6"/>
  <c r="R360" i="6"/>
  <c r="Q360" i="6"/>
  <c r="P360" i="6"/>
  <c r="O360" i="6"/>
  <c r="U360" i="6" s="1"/>
  <c r="N360" i="6"/>
  <c r="V359" i="6"/>
  <c r="T359" i="6"/>
  <c r="S359" i="6"/>
  <c r="R359" i="6"/>
  <c r="Q359" i="6"/>
  <c r="P359" i="6"/>
  <c r="O359" i="6"/>
  <c r="U359" i="6" s="1"/>
  <c r="N359" i="6"/>
  <c r="V358" i="6"/>
  <c r="T358" i="6"/>
  <c r="S358" i="6"/>
  <c r="R358" i="6"/>
  <c r="Q358" i="6"/>
  <c r="P358" i="6"/>
  <c r="O358" i="6"/>
  <c r="U358" i="6" s="1"/>
  <c r="N358" i="6"/>
  <c r="V357" i="6"/>
  <c r="T357" i="6"/>
  <c r="S357" i="6"/>
  <c r="R357" i="6"/>
  <c r="Q357" i="6"/>
  <c r="P357" i="6"/>
  <c r="O357" i="6"/>
  <c r="U357" i="6" s="1"/>
  <c r="N357" i="6"/>
  <c r="V356" i="6"/>
  <c r="T356" i="6"/>
  <c r="S356" i="6"/>
  <c r="R356" i="6"/>
  <c r="Q356" i="6"/>
  <c r="P356" i="6"/>
  <c r="O356" i="6"/>
  <c r="U356" i="6" s="1"/>
  <c r="N356" i="6"/>
  <c r="V355" i="6"/>
  <c r="T355" i="6"/>
  <c r="S355" i="6"/>
  <c r="R355" i="6"/>
  <c r="Q355" i="6"/>
  <c r="P355" i="6"/>
  <c r="O355" i="6"/>
  <c r="U355" i="6" s="1"/>
  <c r="N355" i="6"/>
  <c r="V354" i="6"/>
  <c r="T354" i="6"/>
  <c r="S354" i="6"/>
  <c r="R354" i="6"/>
  <c r="Q354" i="6"/>
  <c r="P354" i="6"/>
  <c r="O354" i="6"/>
  <c r="U354" i="6" s="1"/>
  <c r="N354" i="6"/>
  <c r="V353" i="6"/>
  <c r="T353" i="6"/>
  <c r="S353" i="6"/>
  <c r="R353" i="6"/>
  <c r="Q353" i="6"/>
  <c r="P353" i="6"/>
  <c r="O353" i="6"/>
  <c r="U353" i="6" s="1"/>
  <c r="N353" i="6"/>
  <c r="V352" i="6"/>
  <c r="T352" i="6"/>
  <c r="S352" i="6"/>
  <c r="R352" i="6"/>
  <c r="Q352" i="6"/>
  <c r="P352" i="6"/>
  <c r="O352" i="6"/>
  <c r="U352" i="6" s="1"/>
  <c r="N352" i="6"/>
  <c r="V351" i="6"/>
  <c r="T351" i="6"/>
  <c r="S351" i="6"/>
  <c r="R351" i="6"/>
  <c r="Q351" i="6"/>
  <c r="P351" i="6"/>
  <c r="O351" i="6"/>
  <c r="U351" i="6" s="1"/>
  <c r="N351" i="6"/>
  <c r="V350" i="6"/>
  <c r="T350" i="6"/>
  <c r="S350" i="6"/>
  <c r="R350" i="6"/>
  <c r="Q350" i="6"/>
  <c r="P350" i="6"/>
  <c r="O350" i="6"/>
  <c r="U350" i="6" s="1"/>
  <c r="N350" i="6"/>
  <c r="V349" i="6"/>
  <c r="T349" i="6"/>
  <c r="S349" i="6"/>
  <c r="R349" i="6"/>
  <c r="Q349" i="6"/>
  <c r="P349" i="6"/>
  <c r="O349" i="6"/>
  <c r="U349" i="6" s="1"/>
  <c r="N349" i="6"/>
  <c r="V348" i="6"/>
  <c r="T348" i="6"/>
  <c r="S348" i="6"/>
  <c r="R348" i="6"/>
  <c r="Q348" i="6"/>
  <c r="P348" i="6"/>
  <c r="O348" i="6"/>
  <c r="U348" i="6" s="1"/>
  <c r="N348" i="6"/>
  <c r="V347" i="6"/>
  <c r="T347" i="6"/>
  <c r="S347" i="6"/>
  <c r="R347" i="6"/>
  <c r="Q347" i="6"/>
  <c r="P347" i="6"/>
  <c r="O347" i="6"/>
  <c r="U347" i="6" s="1"/>
  <c r="N347" i="6"/>
  <c r="V346" i="6"/>
  <c r="T346" i="6"/>
  <c r="S346" i="6"/>
  <c r="R346" i="6"/>
  <c r="Q346" i="6"/>
  <c r="P346" i="6"/>
  <c r="O346" i="6"/>
  <c r="U346" i="6" s="1"/>
  <c r="N346" i="6"/>
  <c r="V345" i="6"/>
  <c r="T345" i="6"/>
  <c r="S345" i="6"/>
  <c r="R345" i="6"/>
  <c r="Q345" i="6"/>
  <c r="P345" i="6"/>
  <c r="O345" i="6"/>
  <c r="U345" i="6" s="1"/>
  <c r="N345" i="6"/>
  <c r="V344" i="6"/>
  <c r="T344" i="6"/>
  <c r="S344" i="6"/>
  <c r="R344" i="6"/>
  <c r="Q344" i="6"/>
  <c r="P344" i="6"/>
  <c r="O344" i="6"/>
  <c r="U344" i="6" s="1"/>
  <c r="N344" i="6"/>
  <c r="V343" i="6"/>
  <c r="T343" i="6"/>
  <c r="S343" i="6"/>
  <c r="R343" i="6"/>
  <c r="Q343" i="6"/>
  <c r="P343" i="6"/>
  <c r="O343" i="6"/>
  <c r="U343" i="6" s="1"/>
  <c r="N343" i="6"/>
  <c r="V342" i="6"/>
  <c r="T342" i="6"/>
  <c r="S342" i="6"/>
  <c r="R342" i="6"/>
  <c r="Q342" i="6"/>
  <c r="P342" i="6"/>
  <c r="O342" i="6"/>
  <c r="U342" i="6" s="1"/>
  <c r="N342" i="6"/>
  <c r="V341" i="6"/>
  <c r="T341" i="6"/>
  <c r="S341" i="6"/>
  <c r="R341" i="6"/>
  <c r="Q341" i="6"/>
  <c r="P341" i="6"/>
  <c r="O341" i="6"/>
  <c r="U341" i="6" s="1"/>
  <c r="N341" i="6"/>
  <c r="V340" i="6"/>
  <c r="T340" i="6"/>
  <c r="S340" i="6"/>
  <c r="R340" i="6"/>
  <c r="Q340" i="6"/>
  <c r="P340" i="6"/>
  <c r="O340" i="6"/>
  <c r="U340" i="6" s="1"/>
  <c r="N340" i="6"/>
  <c r="V339" i="6"/>
  <c r="T339" i="6"/>
  <c r="S339" i="6"/>
  <c r="R339" i="6"/>
  <c r="Q339" i="6"/>
  <c r="P339" i="6"/>
  <c r="O339" i="6"/>
  <c r="U339" i="6" s="1"/>
  <c r="N339" i="6"/>
  <c r="V338" i="6"/>
  <c r="T338" i="6"/>
  <c r="S338" i="6"/>
  <c r="R338" i="6"/>
  <c r="Q338" i="6"/>
  <c r="P338" i="6"/>
  <c r="O338" i="6"/>
  <c r="U338" i="6" s="1"/>
  <c r="N338" i="6"/>
  <c r="V337" i="6"/>
  <c r="T337" i="6"/>
  <c r="S337" i="6"/>
  <c r="R337" i="6"/>
  <c r="Q337" i="6"/>
  <c r="P337" i="6"/>
  <c r="O337" i="6"/>
  <c r="U337" i="6" s="1"/>
  <c r="N337" i="6"/>
  <c r="V336" i="6"/>
  <c r="T336" i="6"/>
  <c r="S336" i="6"/>
  <c r="R336" i="6"/>
  <c r="Q336" i="6"/>
  <c r="P336" i="6"/>
  <c r="O336" i="6"/>
  <c r="U336" i="6" s="1"/>
  <c r="N336" i="6"/>
  <c r="V335" i="6"/>
  <c r="T335" i="6"/>
  <c r="S335" i="6"/>
  <c r="R335" i="6"/>
  <c r="Q335" i="6"/>
  <c r="P335" i="6"/>
  <c r="O335" i="6"/>
  <c r="U335" i="6" s="1"/>
  <c r="N335" i="6"/>
  <c r="V334" i="6"/>
  <c r="T334" i="6"/>
  <c r="S334" i="6"/>
  <c r="R334" i="6"/>
  <c r="Q334" i="6"/>
  <c r="P334" i="6"/>
  <c r="O334" i="6"/>
  <c r="U334" i="6" s="1"/>
  <c r="N334" i="6"/>
  <c r="V333" i="6"/>
  <c r="T333" i="6"/>
  <c r="S333" i="6"/>
  <c r="R333" i="6"/>
  <c r="Q333" i="6"/>
  <c r="P333" i="6"/>
  <c r="O333" i="6"/>
  <c r="U333" i="6" s="1"/>
  <c r="N333" i="6"/>
  <c r="V332" i="6"/>
  <c r="T332" i="6"/>
  <c r="S332" i="6"/>
  <c r="R332" i="6"/>
  <c r="Q332" i="6"/>
  <c r="P332" i="6"/>
  <c r="O332" i="6"/>
  <c r="U332" i="6" s="1"/>
  <c r="N332" i="6"/>
  <c r="V331" i="6"/>
  <c r="T331" i="6"/>
  <c r="S331" i="6"/>
  <c r="R331" i="6"/>
  <c r="Q331" i="6"/>
  <c r="P331" i="6"/>
  <c r="O331" i="6"/>
  <c r="U331" i="6" s="1"/>
  <c r="N331" i="6"/>
  <c r="V330" i="6"/>
  <c r="T330" i="6"/>
  <c r="S330" i="6"/>
  <c r="R330" i="6"/>
  <c r="Q330" i="6"/>
  <c r="P330" i="6"/>
  <c r="O330" i="6"/>
  <c r="U330" i="6" s="1"/>
  <c r="N330" i="6"/>
  <c r="V329" i="6"/>
  <c r="T329" i="6"/>
  <c r="S329" i="6"/>
  <c r="R329" i="6"/>
  <c r="Q329" i="6"/>
  <c r="P329" i="6"/>
  <c r="O329" i="6"/>
  <c r="U329" i="6" s="1"/>
  <c r="N329" i="6"/>
  <c r="V328" i="6"/>
  <c r="T328" i="6"/>
  <c r="S328" i="6"/>
  <c r="R328" i="6"/>
  <c r="Q328" i="6"/>
  <c r="P328" i="6"/>
  <c r="O328" i="6"/>
  <c r="U328" i="6" s="1"/>
  <c r="N328" i="6"/>
  <c r="V327" i="6"/>
  <c r="T327" i="6"/>
  <c r="S327" i="6"/>
  <c r="R327" i="6"/>
  <c r="Q327" i="6"/>
  <c r="P327" i="6"/>
  <c r="O327" i="6"/>
  <c r="U327" i="6" s="1"/>
  <c r="N327" i="6"/>
  <c r="V326" i="6"/>
  <c r="T326" i="6"/>
  <c r="S326" i="6"/>
  <c r="R326" i="6"/>
  <c r="Q326" i="6"/>
  <c r="P326" i="6"/>
  <c r="O326" i="6"/>
  <c r="U326" i="6" s="1"/>
  <c r="N326" i="6"/>
  <c r="V325" i="6"/>
  <c r="T325" i="6"/>
  <c r="S325" i="6"/>
  <c r="R325" i="6"/>
  <c r="Q325" i="6"/>
  <c r="P325" i="6"/>
  <c r="O325" i="6"/>
  <c r="U325" i="6" s="1"/>
  <c r="N325" i="6"/>
  <c r="V324" i="6"/>
  <c r="T324" i="6"/>
  <c r="S324" i="6"/>
  <c r="R324" i="6"/>
  <c r="Q324" i="6"/>
  <c r="P324" i="6"/>
  <c r="O324" i="6"/>
  <c r="U324" i="6" s="1"/>
  <c r="N324" i="6"/>
  <c r="V323" i="6"/>
  <c r="T323" i="6"/>
  <c r="S323" i="6"/>
  <c r="R323" i="6"/>
  <c r="Q323" i="6"/>
  <c r="P323" i="6"/>
  <c r="O323" i="6"/>
  <c r="U323" i="6" s="1"/>
  <c r="N323" i="6"/>
  <c r="V322" i="6"/>
  <c r="T322" i="6"/>
  <c r="S322" i="6"/>
  <c r="R322" i="6"/>
  <c r="Q322" i="6"/>
  <c r="P322" i="6"/>
  <c r="O322" i="6"/>
  <c r="U322" i="6" s="1"/>
  <c r="N322" i="6"/>
  <c r="V321" i="6"/>
  <c r="T321" i="6"/>
  <c r="S321" i="6"/>
  <c r="R321" i="6"/>
  <c r="Q321" i="6"/>
  <c r="P321" i="6"/>
  <c r="O321" i="6"/>
  <c r="U321" i="6" s="1"/>
  <c r="N321" i="6"/>
  <c r="V320" i="6"/>
  <c r="T320" i="6"/>
  <c r="S320" i="6"/>
  <c r="R320" i="6"/>
  <c r="Q320" i="6"/>
  <c r="P320" i="6"/>
  <c r="O320" i="6"/>
  <c r="U320" i="6" s="1"/>
  <c r="N320" i="6"/>
  <c r="V319" i="6"/>
  <c r="T319" i="6"/>
  <c r="S319" i="6"/>
  <c r="R319" i="6"/>
  <c r="Q319" i="6"/>
  <c r="P319" i="6"/>
  <c r="O319" i="6"/>
  <c r="U319" i="6" s="1"/>
  <c r="N319" i="6"/>
  <c r="V318" i="6"/>
  <c r="T318" i="6"/>
  <c r="S318" i="6"/>
  <c r="R318" i="6"/>
  <c r="Q318" i="6"/>
  <c r="P318" i="6"/>
  <c r="O318" i="6"/>
  <c r="U318" i="6" s="1"/>
  <c r="N318" i="6"/>
  <c r="V317" i="6"/>
  <c r="T317" i="6"/>
  <c r="S317" i="6"/>
  <c r="R317" i="6"/>
  <c r="Q317" i="6"/>
  <c r="P317" i="6"/>
  <c r="O317" i="6"/>
  <c r="U317" i="6" s="1"/>
  <c r="N317" i="6"/>
  <c r="V316" i="6"/>
  <c r="T316" i="6"/>
  <c r="S316" i="6"/>
  <c r="R316" i="6"/>
  <c r="Q316" i="6"/>
  <c r="P316" i="6"/>
  <c r="O316" i="6"/>
  <c r="U316" i="6" s="1"/>
  <c r="N316" i="6"/>
  <c r="V315" i="6"/>
  <c r="T315" i="6"/>
  <c r="S315" i="6"/>
  <c r="R315" i="6"/>
  <c r="Q315" i="6"/>
  <c r="P315" i="6"/>
  <c r="O315" i="6"/>
  <c r="U315" i="6" s="1"/>
  <c r="N315" i="6"/>
  <c r="V314" i="6"/>
  <c r="T314" i="6"/>
  <c r="S314" i="6"/>
  <c r="R314" i="6"/>
  <c r="Q314" i="6"/>
  <c r="P314" i="6"/>
  <c r="O314" i="6"/>
  <c r="U314" i="6" s="1"/>
  <c r="N314" i="6"/>
  <c r="V313" i="6"/>
  <c r="T313" i="6"/>
  <c r="S313" i="6"/>
  <c r="R313" i="6"/>
  <c r="Q313" i="6"/>
  <c r="P313" i="6"/>
  <c r="O313" i="6"/>
  <c r="U313" i="6" s="1"/>
  <c r="N313" i="6"/>
  <c r="V312" i="6"/>
  <c r="T312" i="6"/>
  <c r="S312" i="6"/>
  <c r="R312" i="6"/>
  <c r="Q312" i="6"/>
  <c r="P312" i="6"/>
  <c r="O312" i="6"/>
  <c r="U312" i="6" s="1"/>
  <c r="N312" i="6"/>
  <c r="V311" i="6"/>
  <c r="T311" i="6"/>
  <c r="S311" i="6"/>
  <c r="R311" i="6"/>
  <c r="Q311" i="6"/>
  <c r="P311" i="6"/>
  <c r="O311" i="6"/>
  <c r="U311" i="6" s="1"/>
  <c r="N311" i="6"/>
  <c r="V310" i="6"/>
  <c r="T310" i="6"/>
  <c r="S310" i="6"/>
  <c r="R310" i="6"/>
  <c r="Q310" i="6"/>
  <c r="P310" i="6"/>
  <c r="O310" i="6"/>
  <c r="U310" i="6" s="1"/>
  <c r="N310" i="6"/>
  <c r="V309" i="6"/>
  <c r="T309" i="6"/>
  <c r="S309" i="6"/>
  <c r="R309" i="6"/>
  <c r="Q309" i="6"/>
  <c r="P309" i="6"/>
  <c r="O309" i="6"/>
  <c r="U309" i="6" s="1"/>
  <c r="N309" i="6"/>
  <c r="V308" i="6"/>
  <c r="T308" i="6"/>
  <c r="S308" i="6"/>
  <c r="R308" i="6"/>
  <c r="Q308" i="6"/>
  <c r="P308" i="6"/>
  <c r="O308" i="6"/>
  <c r="U308" i="6" s="1"/>
  <c r="N308" i="6"/>
  <c r="V307" i="6"/>
  <c r="T307" i="6"/>
  <c r="S307" i="6"/>
  <c r="R307" i="6"/>
  <c r="Q307" i="6"/>
  <c r="P307" i="6"/>
  <c r="O307" i="6"/>
  <c r="U307" i="6" s="1"/>
  <c r="N307" i="6"/>
  <c r="V306" i="6"/>
  <c r="T306" i="6"/>
  <c r="S306" i="6"/>
  <c r="R306" i="6"/>
  <c r="Q306" i="6"/>
  <c r="P306" i="6"/>
  <c r="O306" i="6"/>
  <c r="U306" i="6" s="1"/>
  <c r="N306" i="6"/>
  <c r="V305" i="6"/>
  <c r="T305" i="6"/>
  <c r="S305" i="6"/>
  <c r="R305" i="6"/>
  <c r="Q305" i="6"/>
  <c r="P305" i="6"/>
  <c r="O305" i="6"/>
  <c r="U305" i="6" s="1"/>
  <c r="N305" i="6"/>
  <c r="V304" i="6"/>
  <c r="T304" i="6"/>
  <c r="S304" i="6"/>
  <c r="R304" i="6"/>
  <c r="Q304" i="6"/>
  <c r="P304" i="6"/>
  <c r="O304" i="6"/>
  <c r="U304" i="6" s="1"/>
  <c r="N304" i="6"/>
  <c r="V303" i="6"/>
  <c r="T303" i="6"/>
  <c r="S303" i="6"/>
  <c r="R303" i="6"/>
  <c r="Q303" i="6"/>
  <c r="P303" i="6"/>
  <c r="O303" i="6"/>
  <c r="U303" i="6" s="1"/>
  <c r="N303" i="6"/>
  <c r="V302" i="6"/>
  <c r="T302" i="6"/>
  <c r="S302" i="6"/>
  <c r="R302" i="6"/>
  <c r="Q302" i="6"/>
  <c r="P302" i="6"/>
  <c r="O302" i="6"/>
  <c r="U302" i="6" s="1"/>
  <c r="N302" i="6"/>
  <c r="V301" i="6"/>
  <c r="T301" i="6"/>
  <c r="S301" i="6"/>
  <c r="R301" i="6"/>
  <c r="Q301" i="6"/>
  <c r="P301" i="6"/>
  <c r="O301" i="6"/>
  <c r="U301" i="6" s="1"/>
  <c r="N301" i="6"/>
  <c r="V300" i="6"/>
  <c r="T300" i="6"/>
  <c r="S300" i="6"/>
  <c r="R300" i="6"/>
  <c r="Q300" i="6"/>
  <c r="P300" i="6"/>
  <c r="O300" i="6"/>
  <c r="U300" i="6" s="1"/>
  <c r="N300" i="6"/>
  <c r="V299" i="6"/>
  <c r="T299" i="6"/>
  <c r="S299" i="6"/>
  <c r="R299" i="6"/>
  <c r="Q299" i="6"/>
  <c r="P299" i="6"/>
  <c r="O299" i="6"/>
  <c r="U299" i="6" s="1"/>
  <c r="N299" i="6"/>
  <c r="V298" i="6"/>
  <c r="T298" i="6"/>
  <c r="S298" i="6"/>
  <c r="R298" i="6"/>
  <c r="Q298" i="6"/>
  <c r="P298" i="6"/>
  <c r="O298" i="6"/>
  <c r="U298" i="6" s="1"/>
  <c r="N298" i="6"/>
  <c r="V297" i="6"/>
  <c r="T297" i="6"/>
  <c r="S297" i="6"/>
  <c r="R297" i="6"/>
  <c r="Q297" i="6"/>
  <c r="P297" i="6"/>
  <c r="O297" i="6"/>
  <c r="U297" i="6" s="1"/>
  <c r="N297" i="6"/>
  <c r="V296" i="6"/>
  <c r="T296" i="6"/>
  <c r="S296" i="6"/>
  <c r="R296" i="6"/>
  <c r="Q296" i="6"/>
  <c r="P296" i="6"/>
  <c r="O296" i="6"/>
  <c r="U296" i="6" s="1"/>
  <c r="N296" i="6"/>
  <c r="V295" i="6"/>
  <c r="T295" i="6"/>
  <c r="S295" i="6"/>
  <c r="R295" i="6"/>
  <c r="Q295" i="6"/>
  <c r="P295" i="6"/>
  <c r="O295" i="6"/>
  <c r="U295" i="6" s="1"/>
  <c r="N295" i="6"/>
  <c r="V294" i="6"/>
  <c r="T294" i="6"/>
  <c r="S294" i="6"/>
  <c r="R294" i="6"/>
  <c r="Q294" i="6"/>
  <c r="P294" i="6"/>
  <c r="O294" i="6"/>
  <c r="U294" i="6" s="1"/>
  <c r="N294" i="6"/>
  <c r="V293" i="6"/>
  <c r="T293" i="6"/>
  <c r="S293" i="6"/>
  <c r="R293" i="6"/>
  <c r="Q293" i="6"/>
  <c r="P293" i="6"/>
  <c r="O293" i="6"/>
  <c r="U293" i="6" s="1"/>
  <c r="N293" i="6"/>
  <c r="V292" i="6"/>
  <c r="T292" i="6"/>
  <c r="S292" i="6"/>
  <c r="R292" i="6"/>
  <c r="Q292" i="6"/>
  <c r="P292" i="6"/>
  <c r="O292" i="6"/>
  <c r="U292" i="6" s="1"/>
  <c r="N292" i="6"/>
  <c r="V291" i="6"/>
  <c r="T291" i="6"/>
  <c r="S291" i="6"/>
  <c r="R291" i="6"/>
  <c r="Q291" i="6"/>
  <c r="P291" i="6"/>
  <c r="O291" i="6"/>
  <c r="U291" i="6" s="1"/>
  <c r="N291" i="6"/>
  <c r="V290" i="6"/>
  <c r="T290" i="6"/>
  <c r="S290" i="6"/>
  <c r="R290" i="6"/>
  <c r="Q290" i="6"/>
  <c r="P290" i="6"/>
  <c r="O290" i="6"/>
  <c r="U290" i="6" s="1"/>
  <c r="N290" i="6"/>
  <c r="V289" i="6"/>
  <c r="T289" i="6"/>
  <c r="S289" i="6"/>
  <c r="R289" i="6"/>
  <c r="Q289" i="6"/>
  <c r="P289" i="6"/>
  <c r="O289" i="6"/>
  <c r="U289" i="6" s="1"/>
  <c r="N289" i="6"/>
  <c r="V288" i="6"/>
  <c r="T288" i="6"/>
  <c r="S288" i="6"/>
  <c r="R288" i="6"/>
  <c r="Q288" i="6"/>
  <c r="P288" i="6"/>
  <c r="O288" i="6"/>
  <c r="U288" i="6" s="1"/>
  <c r="N288" i="6"/>
  <c r="V287" i="6"/>
  <c r="T287" i="6"/>
  <c r="S287" i="6"/>
  <c r="R287" i="6"/>
  <c r="Q287" i="6"/>
  <c r="P287" i="6"/>
  <c r="O287" i="6"/>
  <c r="U287" i="6" s="1"/>
  <c r="N287" i="6"/>
  <c r="V286" i="6"/>
  <c r="T286" i="6"/>
  <c r="S286" i="6"/>
  <c r="R286" i="6"/>
  <c r="Q286" i="6"/>
  <c r="P286" i="6"/>
  <c r="O286" i="6"/>
  <c r="U286" i="6" s="1"/>
  <c r="N286" i="6"/>
  <c r="V285" i="6"/>
  <c r="T285" i="6"/>
  <c r="S285" i="6"/>
  <c r="R285" i="6"/>
  <c r="Q285" i="6"/>
  <c r="P285" i="6"/>
  <c r="O285" i="6"/>
  <c r="U285" i="6" s="1"/>
  <c r="N285" i="6"/>
  <c r="V284" i="6"/>
  <c r="T284" i="6"/>
  <c r="S284" i="6"/>
  <c r="R284" i="6"/>
  <c r="Q284" i="6"/>
  <c r="P284" i="6"/>
  <c r="O284" i="6"/>
  <c r="U284" i="6" s="1"/>
  <c r="N284" i="6"/>
  <c r="V283" i="6"/>
  <c r="T283" i="6"/>
  <c r="S283" i="6"/>
  <c r="R283" i="6"/>
  <c r="Q283" i="6"/>
  <c r="P283" i="6"/>
  <c r="O283" i="6"/>
  <c r="U283" i="6" s="1"/>
  <c r="N283" i="6"/>
  <c r="V282" i="6"/>
  <c r="T282" i="6"/>
  <c r="S282" i="6"/>
  <c r="R282" i="6"/>
  <c r="Q282" i="6"/>
  <c r="P282" i="6"/>
  <c r="O282" i="6"/>
  <c r="U282" i="6" s="1"/>
  <c r="N282" i="6"/>
  <c r="V281" i="6"/>
  <c r="T281" i="6"/>
  <c r="S281" i="6"/>
  <c r="R281" i="6"/>
  <c r="Q281" i="6"/>
  <c r="P281" i="6"/>
  <c r="O281" i="6"/>
  <c r="U281" i="6" s="1"/>
  <c r="N281" i="6"/>
  <c r="V280" i="6"/>
  <c r="T280" i="6"/>
  <c r="S280" i="6"/>
  <c r="R280" i="6"/>
  <c r="Q280" i="6"/>
  <c r="P280" i="6"/>
  <c r="O280" i="6"/>
  <c r="U280" i="6" s="1"/>
  <c r="N280" i="6"/>
  <c r="V279" i="6"/>
  <c r="T279" i="6"/>
  <c r="S279" i="6"/>
  <c r="R279" i="6"/>
  <c r="Q279" i="6"/>
  <c r="P279" i="6"/>
  <c r="O279" i="6"/>
  <c r="U279" i="6" s="1"/>
  <c r="N279" i="6"/>
  <c r="V278" i="6"/>
  <c r="T278" i="6"/>
  <c r="S278" i="6"/>
  <c r="R278" i="6"/>
  <c r="Q278" i="6"/>
  <c r="P278" i="6"/>
  <c r="O278" i="6"/>
  <c r="U278" i="6" s="1"/>
  <c r="N278" i="6"/>
  <c r="V277" i="6"/>
  <c r="T277" i="6"/>
  <c r="S277" i="6"/>
  <c r="R277" i="6"/>
  <c r="Q277" i="6"/>
  <c r="P277" i="6"/>
  <c r="O277" i="6"/>
  <c r="U277" i="6" s="1"/>
  <c r="N277" i="6"/>
  <c r="V276" i="6"/>
  <c r="T276" i="6"/>
  <c r="S276" i="6"/>
  <c r="R276" i="6"/>
  <c r="Q276" i="6"/>
  <c r="P276" i="6"/>
  <c r="O276" i="6"/>
  <c r="U276" i="6" s="1"/>
  <c r="N276" i="6"/>
  <c r="V275" i="6"/>
  <c r="T275" i="6"/>
  <c r="S275" i="6"/>
  <c r="R275" i="6"/>
  <c r="Q275" i="6"/>
  <c r="P275" i="6"/>
  <c r="O275" i="6"/>
  <c r="U275" i="6" s="1"/>
  <c r="N275" i="6"/>
  <c r="V274" i="6"/>
  <c r="T274" i="6"/>
  <c r="S274" i="6"/>
  <c r="R274" i="6"/>
  <c r="Q274" i="6"/>
  <c r="P274" i="6"/>
  <c r="O274" i="6"/>
  <c r="U274" i="6" s="1"/>
  <c r="N274" i="6"/>
  <c r="V273" i="6"/>
  <c r="T273" i="6"/>
  <c r="S273" i="6"/>
  <c r="R273" i="6"/>
  <c r="Q273" i="6"/>
  <c r="P273" i="6"/>
  <c r="O273" i="6"/>
  <c r="U273" i="6" s="1"/>
  <c r="N273" i="6"/>
  <c r="V272" i="6"/>
  <c r="T272" i="6"/>
  <c r="S272" i="6"/>
  <c r="R272" i="6"/>
  <c r="Q272" i="6"/>
  <c r="P272" i="6"/>
  <c r="O272" i="6"/>
  <c r="U272" i="6" s="1"/>
  <c r="N272" i="6"/>
  <c r="V271" i="6"/>
  <c r="T271" i="6"/>
  <c r="S271" i="6"/>
  <c r="R271" i="6"/>
  <c r="Q271" i="6"/>
  <c r="P271" i="6"/>
  <c r="O271" i="6"/>
  <c r="U271" i="6" s="1"/>
  <c r="N271" i="6"/>
  <c r="V270" i="6"/>
  <c r="T270" i="6"/>
  <c r="S270" i="6"/>
  <c r="R270" i="6"/>
  <c r="Q270" i="6"/>
  <c r="P270" i="6"/>
  <c r="O270" i="6"/>
  <c r="N270" i="6"/>
  <c r="V269" i="6"/>
  <c r="T269" i="6"/>
  <c r="S269" i="6"/>
  <c r="R269" i="6"/>
  <c r="Q269" i="6"/>
  <c r="P269" i="6"/>
  <c r="O269" i="6"/>
  <c r="N269" i="6"/>
  <c r="V268" i="6"/>
  <c r="T268" i="6"/>
  <c r="S268" i="6"/>
  <c r="R268" i="6"/>
  <c r="Q268" i="6"/>
  <c r="P268" i="6"/>
  <c r="O268" i="6"/>
  <c r="U268" i="6" s="1"/>
  <c r="N268" i="6"/>
  <c r="V267" i="6"/>
  <c r="T267" i="6"/>
  <c r="S267" i="6"/>
  <c r="R267" i="6"/>
  <c r="Q267" i="6"/>
  <c r="P267" i="6"/>
  <c r="O267" i="6"/>
  <c r="U267" i="6" s="1"/>
  <c r="N267" i="6"/>
  <c r="V266" i="6"/>
  <c r="T266" i="6"/>
  <c r="S266" i="6"/>
  <c r="R266" i="6"/>
  <c r="Q266" i="6"/>
  <c r="P266" i="6"/>
  <c r="O266" i="6"/>
  <c r="U266" i="6" s="1"/>
  <c r="N266" i="6"/>
  <c r="V265" i="6"/>
  <c r="T265" i="6"/>
  <c r="S265" i="6"/>
  <c r="R265" i="6"/>
  <c r="Q265" i="6"/>
  <c r="P265" i="6"/>
  <c r="O265" i="6"/>
  <c r="U265" i="6" s="1"/>
  <c r="N265" i="6"/>
  <c r="V264" i="6"/>
  <c r="T264" i="6"/>
  <c r="S264" i="6"/>
  <c r="R264" i="6"/>
  <c r="Q264" i="6"/>
  <c r="P264" i="6"/>
  <c r="O264" i="6"/>
  <c r="U264" i="6" s="1"/>
  <c r="N264" i="6"/>
  <c r="V263" i="6"/>
  <c r="U263" i="6"/>
  <c r="T263" i="6"/>
  <c r="S263" i="6"/>
  <c r="R263" i="6"/>
  <c r="Q263" i="6"/>
  <c r="P263" i="6"/>
  <c r="O263" i="6"/>
  <c r="N263" i="6"/>
  <c r="V262" i="6"/>
  <c r="T262" i="6"/>
  <c r="S262" i="6"/>
  <c r="R262" i="6"/>
  <c r="Q262" i="6"/>
  <c r="P262" i="6"/>
  <c r="O262" i="6"/>
  <c r="U262" i="6" s="1"/>
  <c r="N262" i="6"/>
  <c r="V261" i="6"/>
  <c r="T261" i="6"/>
  <c r="S261" i="6"/>
  <c r="R261" i="6"/>
  <c r="Q261" i="6"/>
  <c r="P261" i="6"/>
  <c r="O261" i="6"/>
  <c r="U261" i="6" s="1"/>
  <c r="N261" i="6"/>
  <c r="V260" i="6"/>
  <c r="T260" i="6"/>
  <c r="S260" i="6"/>
  <c r="R260" i="6"/>
  <c r="Q260" i="6"/>
  <c r="P260" i="6"/>
  <c r="O260" i="6"/>
  <c r="U260" i="6" s="1"/>
  <c r="N260" i="6"/>
  <c r="V259" i="6"/>
  <c r="T259" i="6"/>
  <c r="S259" i="6"/>
  <c r="R259" i="6"/>
  <c r="Q259" i="6"/>
  <c r="P259" i="6"/>
  <c r="O259" i="6"/>
  <c r="U259" i="6" s="1"/>
  <c r="N259" i="6"/>
  <c r="V258" i="6"/>
  <c r="T258" i="6"/>
  <c r="S258" i="6"/>
  <c r="R258" i="6"/>
  <c r="Q258" i="6"/>
  <c r="P258" i="6"/>
  <c r="O258" i="6"/>
  <c r="U258" i="6" s="1"/>
  <c r="N258" i="6"/>
  <c r="V257" i="6"/>
  <c r="T257" i="6"/>
  <c r="S257" i="6"/>
  <c r="R257" i="6"/>
  <c r="Q257" i="6"/>
  <c r="P257" i="6"/>
  <c r="O257" i="6"/>
  <c r="U257" i="6" s="1"/>
  <c r="N257" i="6"/>
  <c r="V256" i="6"/>
  <c r="T256" i="6"/>
  <c r="S256" i="6"/>
  <c r="R256" i="6"/>
  <c r="Q256" i="6"/>
  <c r="P256" i="6"/>
  <c r="O256" i="6"/>
  <c r="U256" i="6" s="1"/>
  <c r="N256" i="6"/>
  <c r="V255" i="6"/>
  <c r="T255" i="6"/>
  <c r="S255" i="6"/>
  <c r="R255" i="6"/>
  <c r="Q255" i="6"/>
  <c r="P255" i="6"/>
  <c r="O255" i="6"/>
  <c r="U255" i="6" s="1"/>
  <c r="N255" i="6"/>
  <c r="V254" i="6"/>
  <c r="T254" i="6"/>
  <c r="S254" i="6"/>
  <c r="R254" i="6"/>
  <c r="Q254" i="6"/>
  <c r="P254" i="6"/>
  <c r="O254" i="6"/>
  <c r="U254" i="6" s="1"/>
  <c r="N254" i="6"/>
  <c r="V253" i="6"/>
  <c r="T253" i="6"/>
  <c r="S253" i="6"/>
  <c r="R253" i="6"/>
  <c r="Q253" i="6"/>
  <c r="P253" i="6"/>
  <c r="O253" i="6"/>
  <c r="U253" i="6" s="1"/>
  <c r="N253" i="6"/>
  <c r="V252" i="6"/>
  <c r="T252" i="6"/>
  <c r="S252" i="6"/>
  <c r="R252" i="6"/>
  <c r="Q252" i="6"/>
  <c r="P252" i="6"/>
  <c r="O252" i="6"/>
  <c r="U252" i="6" s="1"/>
  <c r="N252" i="6"/>
  <c r="V251" i="6"/>
  <c r="T251" i="6"/>
  <c r="S251" i="6"/>
  <c r="R251" i="6"/>
  <c r="Q251" i="6"/>
  <c r="P251" i="6"/>
  <c r="O251" i="6"/>
  <c r="U251" i="6" s="1"/>
  <c r="N251" i="6"/>
  <c r="V250" i="6"/>
  <c r="T250" i="6"/>
  <c r="S250" i="6"/>
  <c r="R250" i="6"/>
  <c r="Q250" i="6"/>
  <c r="P250" i="6"/>
  <c r="O250" i="6"/>
  <c r="U250" i="6" s="1"/>
  <c r="N250" i="6"/>
  <c r="V249" i="6"/>
  <c r="T249" i="6"/>
  <c r="S249" i="6"/>
  <c r="R249" i="6"/>
  <c r="Q249" i="6"/>
  <c r="P249" i="6"/>
  <c r="O249" i="6"/>
  <c r="U249" i="6" s="1"/>
  <c r="N249" i="6"/>
  <c r="V248" i="6"/>
  <c r="T248" i="6"/>
  <c r="S248" i="6"/>
  <c r="R248" i="6"/>
  <c r="Q248" i="6"/>
  <c r="P248" i="6"/>
  <c r="O248" i="6"/>
  <c r="U248" i="6" s="1"/>
  <c r="N248" i="6"/>
  <c r="V247" i="6"/>
  <c r="T247" i="6"/>
  <c r="S247" i="6"/>
  <c r="R247" i="6"/>
  <c r="Q247" i="6"/>
  <c r="P247" i="6"/>
  <c r="O247" i="6"/>
  <c r="U247" i="6" s="1"/>
  <c r="N247" i="6"/>
  <c r="V246" i="6"/>
  <c r="T246" i="6"/>
  <c r="S246" i="6"/>
  <c r="R246" i="6"/>
  <c r="Q246" i="6"/>
  <c r="P246" i="6"/>
  <c r="O246" i="6"/>
  <c r="U246" i="6" s="1"/>
  <c r="N246" i="6"/>
  <c r="V245" i="6"/>
  <c r="T245" i="6"/>
  <c r="S245" i="6"/>
  <c r="R245" i="6"/>
  <c r="Q245" i="6"/>
  <c r="P245" i="6"/>
  <c r="O245" i="6"/>
  <c r="U245" i="6" s="1"/>
  <c r="N245" i="6"/>
  <c r="V244" i="6"/>
  <c r="T244" i="6"/>
  <c r="S244" i="6"/>
  <c r="R244" i="6"/>
  <c r="Q244" i="6"/>
  <c r="P244" i="6"/>
  <c r="O244" i="6"/>
  <c r="U244" i="6" s="1"/>
  <c r="N244" i="6"/>
  <c r="V243" i="6"/>
  <c r="T243" i="6"/>
  <c r="S243" i="6"/>
  <c r="R243" i="6"/>
  <c r="Q243" i="6"/>
  <c r="P243" i="6"/>
  <c r="O243" i="6"/>
  <c r="U243" i="6" s="1"/>
  <c r="N243" i="6"/>
  <c r="V242" i="6"/>
  <c r="T242" i="6"/>
  <c r="S242" i="6"/>
  <c r="R242" i="6"/>
  <c r="Q242" i="6"/>
  <c r="P242" i="6"/>
  <c r="O242" i="6"/>
  <c r="U242" i="6" s="1"/>
  <c r="N242" i="6"/>
  <c r="V241" i="6"/>
  <c r="T241" i="6"/>
  <c r="S241" i="6"/>
  <c r="R241" i="6"/>
  <c r="Q241" i="6"/>
  <c r="P241" i="6"/>
  <c r="O241" i="6"/>
  <c r="U241" i="6" s="1"/>
  <c r="N241" i="6"/>
  <c r="V240" i="6"/>
  <c r="T240" i="6"/>
  <c r="S240" i="6"/>
  <c r="R240" i="6"/>
  <c r="Q240" i="6"/>
  <c r="P240" i="6"/>
  <c r="O240" i="6"/>
  <c r="U240" i="6" s="1"/>
  <c r="N240" i="6"/>
  <c r="V239" i="6"/>
  <c r="T239" i="6"/>
  <c r="S239" i="6"/>
  <c r="R239" i="6"/>
  <c r="Q239" i="6"/>
  <c r="P239" i="6"/>
  <c r="O239" i="6"/>
  <c r="U239" i="6" s="1"/>
  <c r="N239" i="6"/>
  <c r="V238" i="6"/>
  <c r="T238" i="6"/>
  <c r="S238" i="6"/>
  <c r="R238" i="6"/>
  <c r="Q238" i="6"/>
  <c r="P238" i="6"/>
  <c r="O238" i="6"/>
  <c r="U238" i="6" s="1"/>
  <c r="N238" i="6"/>
  <c r="V237" i="6"/>
  <c r="T237" i="6"/>
  <c r="S237" i="6"/>
  <c r="R237" i="6"/>
  <c r="Q237" i="6"/>
  <c r="P237" i="6"/>
  <c r="O237" i="6"/>
  <c r="U237" i="6" s="1"/>
  <c r="N237" i="6"/>
  <c r="V236" i="6"/>
  <c r="T236" i="6"/>
  <c r="S236" i="6"/>
  <c r="R236" i="6"/>
  <c r="Q236" i="6"/>
  <c r="P236" i="6"/>
  <c r="O236" i="6"/>
  <c r="U236" i="6" s="1"/>
  <c r="N236" i="6"/>
  <c r="V235" i="6"/>
  <c r="T235" i="6"/>
  <c r="S235" i="6"/>
  <c r="R235" i="6"/>
  <c r="Q235" i="6"/>
  <c r="P235" i="6"/>
  <c r="O235" i="6"/>
  <c r="U235" i="6" s="1"/>
  <c r="N235" i="6"/>
  <c r="V234" i="6"/>
  <c r="T234" i="6"/>
  <c r="S234" i="6"/>
  <c r="R234" i="6"/>
  <c r="Q234" i="6"/>
  <c r="P234" i="6"/>
  <c r="O234" i="6"/>
  <c r="U234" i="6" s="1"/>
  <c r="N234" i="6"/>
  <c r="V233" i="6"/>
  <c r="T233" i="6"/>
  <c r="S233" i="6"/>
  <c r="R233" i="6"/>
  <c r="Q233" i="6"/>
  <c r="P233" i="6"/>
  <c r="O233" i="6"/>
  <c r="U233" i="6" s="1"/>
  <c r="N233" i="6"/>
  <c r="V232" i="6"/>
  <c r="T232" i="6"/>
  <c r="S232" i="6"/>
  <c r="R232" i="6"/>
  <c r="Q232" i="6"/>
  <c r="P232" i="6"/>
  <c r="O232" i="6"/>
  <c r="U232" i="6" s="1"/>
  <c r="N232" i="6"/>
  <c r="V231" i="6"/>
  <c r="T231" i="6"/>
  <c r="S231" i="6"/>
  <c r="R231" i="6"/>
  <c r="Q231" i="6"/>
  <c r="P231" i="6"/>
  <c r="O231" i="6"/>
  <c r="U231" i="6" s="1"/>
  <c r="N231" i="6"/>
  <c r="V230" i="6"/>
  <c r="T230" i="6"/>
  <c r="S230" i="6"/>
  <c r="R230" i="6"/>
  <c r="Q230" i="6"/>
  <c r="P230" i="6"/>
  <c r="O230" i="6"/>
  <c r="U230" i="6" s="1"/>
  <c r="N230" i="6"/>
  <c r="V229" i="6"/>
  <c r="T229" i="6"/>
  <c r="S229" i="6"/>
  <c r="R229" i="6"/>
  <c r="Q229" i="6"/>
  <c r="P229" i="6"/>
  <c r="O229" i="6"/>
  <c r="U229" i="6" s="1"/>
  <c r="N229" i="6"/>
  <c r="V228" i="6"/>
  <c r="T228" i="6"/>
  <c r="S228" i="6"/>
  <c r="R228" i="6"/>
  <c r="Q228" i="6"/>
  <c r="P228" i="6"/>
  <c r="O228" i="6"/>
  <c r="U228" i="6" s="1"/>
  <c r="N228" i="6"/>
  <c r="V227" i="6"/>
  <c r="T227" i="6"/>
  <c r="S227" i="6"/>
  <c r="R227" i="6"/>
  <c r="Q227" i="6"/>
  <c r="P227" i="6"/>
  <c r="O227" i="6"/>
  <c r="U227" i="6" s="1"/>
  <c r="N227" i="6"/>
  <c r="V226" i="6"/>
  <c r="T226" i="6"/>
  <c r="S226" i="6"/>
  <c r="R226" i="6"/>
  <c r="Q226" i="6"/>
  <c r="P226" i="6"/>
  <c r="O226" i="6"/>
  <c r="U226" i="6" s="1"/>
  <c r="N226" i="6"/>
  <c r="V225" i="6"/>
  <c r="T225" i="6"/>
  <c r="S225" i="6"/>
  <c r="R225" i="6"/>
  <c r="Q225" i="6"/>
  <c r="P225" i="6"/>
  <c r="O225" i="6"/>
  <c r="U225" i="6" s="1"/>
  <c r="N225" i="6"/>
  <c r="V224" i="6"/>
  <c r="T224" i="6"/>
  <c r="S224" i="6"/>
  <c r="R224" i="6"/>
  <c r="Q224" i="6"/>
  <c r="P224" i="6"/>
  <c r="O224" i="6"/>
  <c r="U224" i="6" s="1"/>
  <c r="N224" i="6"/>
  <c r="V223" i="6"/>
  <c r="T223" i="6"/>
  <c r="S223" i="6"/>
  <c r="R223" i="6"/>
  <c r="Q223" i="6"/>
  <c r="P223" i="6"/>
  <c r="O223" i="6"/>
  <c r="U223" i="6" s="1"/>
  <c r="N223" i="6"/>
  <c r="V222" i="6"/>
  <c r="T222" i="6"/>
  <c r="S222" i="6"/>
  <c r="R222" i="6"/>
  <c r="Q222" i="6"/>
  <c r="P222" i="6"/>
  <c r="O222" i="6"/>
  <c r="U222" i="6" s="1"/>
  <c r="N222" i="6"/>
  <c r="V221" i="6"/>
  <c r="T221" i="6"/>
  <c r="S221" i="6"/>
  <c r="R221" i="6"/>
  <c r="Q221" i="6"/>
  <c r="P221" i="6"/>
  <c r="O221" i="6"/>
  <c r="U221" i="6" s="1"/>
  <c r="N221" i="6"/>
  <c r="V220" i="6"/>
  <c r="T220" i="6"/>
  <c r="S220" i="6"/>
  <c r="R220" i="6"/>
  <c r="Q220" i="6"/>
  <c r="P220" i="6"/>
  <c r="O220" i="6"/>
  <c r="U220" i="6" s="1"/>
  <c r="N220" i="6"/>
  <c r="V219" i="6"/>
  <c r="T219" i="6"/>
  <c r="S219" i="6"/>
  <c r="R219" i="6"/>
  <c r="Q219" i="6"/>
  <c r="P219" i="6"/>
  <c r="O219" i="6"/>
  <c r="U219" i="6" s="1"/>
  <c r="N219" i="6"/>
  <c r="V218" i="6"/>
  <c r="T218" i="6"/>
  <c r="S218" i="6"/>
  <c r="R218" i="6"/>
  <c r="Q218" i="6"/>
  <c r="P218" i="6"/>
  <c r="O218" i="6"/>
  <c r="U218" i="6" s="1"/>
  <c r="N218" i="6"/>
  <c r="V217" i="6"/>
  <c r="T217" i="6"/>
  <c r="S217" i="6"/>
  <c r="R217" i="6"/>
  <c r="Q217" i="6"/>
  <c r="P217" i="6"/>
  <c r="O217" i="6"/>
  <c r="U217" i="6" s="1"/>
  <c r="N217" i="6"/>
  <c r="V216" i="6"/>
  <c r="T216" i="6"/>
  <c r="S216" i="6"/>
  <c r="R216" i="6"/>
  <c r="Q216" i="6"/>
  <c r="P216" i="6"/>
  <c r="O216" i="6"/>
  <c r="U216" i="6" s="1"/>
  <c r="N216" i="6"/>
  <c r="V215" i="6"/>
  <c r="T215" i="6"/>
  <c r="S215" i="6"/>
  <c r="R215" i="6"/>
  <c r="Q215" i="6"/>
  <c r="P215" i="6"/>
  <c r="O215" i="6"/>
  <c r="U215" i="6" s="1"/>
  <c r="N215" i="6"/>
  <c r="V214" i="6"/>
  <c r="T214" i="6"/>
  <c r="S214" i="6"/>
  <c r="R214" i="6"/>
  <c r="Q214" i="6"/>
  <c r="P214" i="6"/>
  <c r="O214" i="6"/>
  <c r="U214" i="6" s="1"/>
  <c r="N214" i="6"/>
  <c r="V213" i="6"/>
  <c r="T213" i="6"/>
  <c r="S213" i="6"/>
  <c r="R213" i="6"/>
  <c r="Q213" i="6"/>
  <c r="P213" i="6"/>
  <c r="O213" i="6"/>
  <c r="U213" i="6" s="1"/>
  <c r="N213" i="6"/>
  <c r="V212" i="6"/>
  <c r="T212" i="6"/>
  <c r="S212" i="6"/>
  <c r="R212" i="6"/>
  <c r="Q212" i="6"/>
  <c r="P212" i="6"/>
  <c r="O212" i="6"/>
  <c r="U212" i="6" s="1"/>
  <c r="N212" i="6"/>
  <c r="V211" i="6"/>
  <c r="T211" i="6"/>
  <c r="S211" i="6"/>
  <c r="R211" i="6"/>
  <c r="Q211" i="6"/>
  <c r="P211" i="6"/>
  <c r="O211" i="6"/>
  <c r="U211" i="6" s="1"/>
  <c r="N211" i="6"/>
  <c r="V210" i="6"/>
  <c r="T210" i="6"/>
  <c r="S210" i="6"/>
  <c r="R210" i="6"/>
  <c r="Q210" i="6"/>
  <c r="P210" i="6"/>
  <c r="O210" i="6"/>
  <c r="U210" i="6" s="1"/>
  <c r="N210" i="6"/>
  <c r="V209" i="6"/>
  <c r="T209" i="6"/>
  <c r="S209" i="6"/>
  <c r="R209" i="6"/>
  <c r="Q209" i="6"/>
  <c r="P209" i="6"/>
  <c r="O209" i="6"/>
  <c r="U209" i="6" s="1"/>
  <c r="N209" i="6"/>
  <c r="V208" i="6"/>
  <c r="T208" i="6"/>
  <c r="S208" i="6"/>
  <c r="R208" i="6"/>
  <c r="Q208" i="6"/>
  <c r="P208" i="6"/>
  <c r="O208" i="6"/>
  <c r="U208" i="6" s="1"/>
  <c r="N208" i="6"/>
  <c r="V207" i="6"/>
  <c r="T207" i="6"/>
  <c r="S207" i="6"/>
  <c r="R207" i="6"/>
  <c r="Q207" i="6"/>
  <c r="P207" i="6"/>
  <c r="O207" i="6"/>
  <c r="U207" i="6" s="1"/>
  <c r="N207" i="6"/>
  <c r="V206" i="6"/>
  <c r="T206" i="6"/>
  <c r="S206" i="6"/>
  <c r="R206" i="6"/>
  <c r="Q206" i="6"/>
  <c r="P206" i="6"/>
  <c r="O206" i="6"/>
  <c r="U206" i="6" s="1"/>
  <c r="N206" i="6"/>
  <c r="V205" i="6"/>
  <c r="T205" i="6"/>
  <c r="S205" i="6"/>
  <c r="R205" i="6"/>
  <c r="Q205" i="6"/>
  <c r="P205" i="6"/>
  <c r="O205" i="6"/>
  <c r="U205" i="6" s="1"/>
  <c r="N205" i="6"/>
  <c r="V204" i="6"/>
  <c r="T204" i="6"/>
  <c r="S204" i="6"/>
  <c r="R204" i="6"/>
  <c r="Q204" i="6"/>
  <c r="P204" i="6"/>
  <c r="O204" i="6"/>
  <c r="U204" i="6" s="1"/>
  <c r="N204" i="6"/>
  <c r="V203" i="6"/>
  <c r="T203" i="6"/>
  <c r="S203" i="6"/>
  <c r="R203" i="6"/>
  <c r="Q203" i="6"/>
  <c r="P203" i="6"/>
  <c r="O203" i="6"/>
  <c r="U203" i="6" s="1"/>
  <c r="N203" i="6"/>
  <c r="V202" i="6"/>
  <c r="T202" i="6"/>
  <c r="S202" i="6"/>
  <c r="R202" i="6"/>
  <c r="Q202" i="6"/>
  <c r="P202" i="6"/>
  <c r="O202" i="6"/>
  <c r="U202" i="6" s="1"/>
  <c r="N202" i="6"/>
  <c r="V201" i="6"/>
  <c r="T201" i="6"/>
  <c r="S201" i="6"/>
  <c r="R201" i="6"/>
  <c r="Q201" i="6"/>
  <c r="P201" i="6"/>
  <c r="O201" i="6"/>
  <c r="U201" i="6" s="1"/>
  <c r="N201" i="6"/>
  <c r="V200" i="6"/>
  <c r="T200" i="6"/>
  <c r="S200" i="6"/>
  <c r="R200" i="6"/>
  <c r="Q200" i="6"/>
  <c r="P200" i="6"/>
  <c r="O200" i="6"/>
  <c r="U200" i="6" s="1"/>
  <c r="N200" i="6"/>
  <c r="V199" i="6"/>
  <c r="T199" i="6"/>
  <c r="S199" i="6"/>
  <c r="R199" i="6"/>
  <c r="Q199" i="6"/>
  <c r="P199" i="6"/>
  <c r="O199" i="6"/>
  <c r="U199" i="6" s="1"/>
  <c r="N199" i="6"/>
  <c r="V198" i="6"/>
  <c r="T198" i="6"/>
  <c r="S198" i="6"/>
  <c r="R198" i="6"/>
  <c r="Q198" i="6"/>
  <c r="P198" i="6"/>
  <c r="O198" i="6"/>
  <c r="U198" i="6" s="1"/>
  <c r="N198" i="6"/>
  <c r="V197" i="6"/>
  <c r="T197" i="6"/>
  <c r="S197" i="6"/>
  <c r="R197" i="6"/>
  <c r="Q197" i="6"/>
  <c r="P197" i="6"/>
  <c r="O197" i="6"/>
  <c r="U197" i="6" s="1"/>
  <c r="N197" i="6"/>
  <c r="V196" i="6"/>
  <c r="T196" i="6"/>
  <c r="S196" i="6"/>
  <c r="R196" i="6"/>
  <c r="Q196" i="6"/>
  <c r="P196" i="6"/>
  <c r="O196" i="6"/>
  <c r="U196" i="6" s="1"/>
  <c r="N196" i="6"/>
  <c r="V195" i="6"/>
  <c r="T195" i="6"/>
  <c r="S195" i="6"/>
  <c r="R195" i="6"/>
  <c r="Q195" i="6"/>
  <c r="P195" i="6"/>
  <c r="O195" i="6"/>
  <c r="U195" i="6" s="1"/>
  <c r="N195" i="6"/>
  <c r="V194" i="6"/>
  <c r="T194" i="6"/>
  <c r="S194" i="6"/>
  <c r="R194" i="6"/>
  <c r="Q194" i="6"/>
  <c r="P194" i="6"/>
  <c r="O194" i="6"/>
  <c r="U194" i="6" s="1"/>
  <c r="N194" i="6"/>
  <c r="V193" i="6"/>
  <c r="T193" i="6"/>
  <c r="S193" i="6"/>
  <c r="R193" i="6"/>
  <c r="Q193" i="6"/>
  <c r="P193" i="6"/>
  <c r="O193" i="6"/>
  <c r="U193" i="6" s="1"/>
  <c r="N193" i="6"/>
  <c r="V192" i="6"/>
  <c r="T192" i="6"/>
  <c r="S192" i="6"/>
  <c r="R192" i="6"/>
  <c r="Q192" i="6"/>
  <c r="P192" i="6"/>
  <c r="O192" i="6"/>
  <c r="U192" i="6" s="1"/>
  <c r="N192" i="6"/>
  <c r="V191" i="6"/>
  <c r="T191" i="6"/>
  <c r="S191" i="6"/>
  <c r="R191" i="6"/>
  <c r="Q191" i="6"/>
  <c r="P191" i="6"/>
  <c r="O191" i="6"/>
  <c r="U191" i="6" s="1"/>
  <c r="N191" i="6"/>
  <c r="V190" i="6"/>
  <c r="T190" i="6"/>
  <c r="S190" i="6"/>
  <c r="R190" i="6"/>
  <c r="Q190" i="6"/>
  <c r="P190" i="6"/>
  <c r="O190" i="6"/>
  <c r="U190" i="6" s="1"/>
  <c r="N190" i="6"/>
  <c r="V189" i="6"/>
  <c r="T189" i="6"/>
  <c r="S189" i="6"/>
  <c r="R189" i="6"/>
  <c r="Q189" i="6"/>
  <c r="P189" i="6"/>
  <c r="O189" i="6"/>
  <c r="U189" i="6" s="1"/>
  <c r="N189" i="6"/>
  <c r="V188" i="6"/>
  <c r="T188" i="6"/>
  <c r="S188" i="6"/>
  <c r="R188" i="6"/>
  <c r="Q188" i="6"/>
  <c r="P188" i="6"/>
  <c r="O188" i="6"/>
  <c r="U188" i="6" s="1"/>
  <c r="N188" i="6"/>
  <c r="V187" i="6"/>
  <c r="T187" i="6"/>
  <c r="S187" i="6"/>
  <c r="R187" i="6"/>
  <c r="Q187" i="6"/>
  <c r="P187" i="6"/>
  <c r="O187" i="6"/>
  <c r="U187" i="6" s="1"/>
  <c r="N187" i="6"/>
  <c r="V186" i="6"/>
  <c r="T186" i="6"/>
  <c r="S186" i="6"/>
  <c r="R186" i="6"/>
  <c r="Q186" i="6"/>
  <c r="P186" i="6"/>
  <c r="O186" i="6"/>
  <c r="U186" i="6" s="1"/>
  <c r="N186" i="6"/>
  <c r="V185" i="6"/>
  <c r="T185" i="6"/>
  <c r="S185" i="6"/>
  <c r="R185" i="6"/>
  <c r="Q185" i="6"/>
  <c r="P185" i="6"/>
  <c r="O185" i="6"/>
  <c r="U185" i="6" s="1"/>
  <c r="N185" i="6"/>
  <c r="V184" i="6"/>
  <c r="T184" i="6"/>
  <c r="S184" i="6"/>
  <c r="R184" i="6"/>
  <c r="Q184" i="6"/>
  <c r="P184" i="6"/>
  <c r="O184" i="6"/>
  <c r="U184" i="6" s="1"/>
  <c r="N184" i="6"/>
  <c r="V183" i="6"/>
  <c r="T183" i="6"/>
  <c r="S183" i="6"/>
  <c r="R183" i="6"/>
  <c r="Q183" i="6"/>
  <c r="P183" i="6"/>
  <c r="O183" i="6"/>
  <c r="U183" i="6" s="1"/>
  <c r="N183" i="6"/>
  <c r="V182" i="6"/>
  <c r="T182" i="6"/>
  <c r="S182" i="6"/>
  <c r="R182" i="6"/>
  <c r="Q182" i="6"/>
  <c r="P182" i="6"/>
  <c r="O182" i="6"/>
  <c r="U182" i="6" s="1"/>
  <c r="N182" i="6"/>
  <c r="V181" i="6"/>
  <c r="T181" i="6"/>
  <c r="S181" i="6"/>
  <c r="R181" i="6"/>
  <c r="Q181" i="6"/>
  <c r="P181" i="6"/>
  <c r="O181" i="6"/>
  <c r="U181" i="6" s="1"/>
  <c r="N181" i="6"/>
  <c r="V180" i="6"/>
  <c r="T180" i="6"/>
  <c r="S180" i="6"/>
  <c r="R180" i="6"/>
  <c r="Q180" i="6"/>
  <c r="P180" i="6"/>
  <c r="O180" i="6"/>
  <c r="U180" i="6" s="1"/>
  <c r="N180" i="6"/>
  <c r="V179" i="6"/>
  <c r="T179" i="6"/>
  <c r="S179" i="6"/>
  <c r="R179" i="6"/>
  <c r="Q179" i="6"/>
  <c r="P179" i="6"/>
  <c r="O179" i="6"/>
  <c r="U179" i="6" s="1"/>
  <c r="N179" i="6"/>
  <c r="V178" i="6"/>
  <c r="T178" i="6"/>
  <c r="S178" i="6"/>
  <c r="R178" i="6"/>
  <c r="Q178" i="6"/>
  <c r="P178" i="6"/>
  <c r="O178" i="6"/>
  <c r="U178" i="6" s="1"/>
  <c r="N178" i="6"/>
  <c r="V177" i="6"/>
  <c r="T177" i="6"/>
  <c r="S177" i="6"/>
  <c r="R177" i="6"/>
  <c r="Q177" i="6"/>
  <c r="P177" i="6"/>
  <c r="O177" i="6"/>
  <c r="U177" i="6" s="1"/>
  <c r="N177" i="6"/>
  <c r="V176" i="6"/>
  <c r="T176" i="6"/>
  <c r="S176" i="6"/>
  <c r="R176" i="6"/>
  <c r="Q176" i="6"/>
  <c r="P176" i="6"/>
  <c r="O176" i="6"/>
  <c r="U176" i="6" s="1"/>
  <c r="N176" i="6"/>
  <c r="V175" i="6"/>
  <c r="T175" i="6"/>
  <c r="S175" i="6"/>
  <c r="R175" i="6"/>
  <c r="Q175" i="6"/>
  <c r="P175" i="6"/>
  <c r="O175" i="6"/>
  <c r="U175" i="6" s="1"/>
  <c r="N175" i="6"/>
  <c r="V174" i="6"/>
  <c r="T174" i="6"/>
  <c r="S174" i="6"/>
  <c r="R174" i="6"/>
  <c r="Q174" i="6"/>
  <c r="P174" i="6"/>
  <c r="O174" i="6"/>
  <c r="U174" i="6" s="1"/>
  <c r="N174" i="6"/>
  <c r="V173" i="6"/>
  <c r="T173" i="6"/>
  <c r="S173" i="6"/>
  <c r="R173" i="6"/>
  <c r="Q173" i="6"/>
  <c r="P173" i="6"/>
  <c r="O173" i="6"/>
  <c r="U173" i="6" s="1"/>
  <c r="N173" i="6"/>
  <c r="V172" i="6"/>
  <c r="T172" i="6"/>
  <c r="S172" i="6"/>
  <c r="R172" i="6"/>
  <c r="Q172" i="6"/>
  <c r="P172" i="6"/>
  <c r="O172" i="6"/>
  <c r="U172" i="6" s="1"/>
  <c r="N172" i="6"/>
  <c r="V171" i="6"/>
  <c r="T171" i="6"/>
  <c r="S171" i="6"/>
  <c r="R171" i="6"/>
  <c r="Q171" i="6"/>
  <c r="P171" i="6"/>
  <c r="O171" i="6"/>
  <c r="U171" i="6" s="1"/>
  <c r="N171" i="6"/>
  <c r="V170" i="6"/>
  <c r="T170" i="6"/>
  <c r="S170" i="6"/>
  <c r="R170" i="6"/>
  <c r="Q170" i="6"/>
  <c r="P170" i="6"/>
  <c r="O170" i="6"/>
  <c r="U170" i="6" s="1"/>
  <c r="N170" i="6"/>
  <c r="V169" i="6"/>
  <c r="T169" i="6"/>
  <c r="S169" i="6"/>
  <c r="R169" i="6"/>
  <c r="Q169" i="6"/>
  <c r="P169" i="6"/>
  <c r="O169" i="6"/>
  <c r="U169" i="6" s="1"/>
  <c r="N169" i="6"/>
  <c r="V168" i="6"/>
  <c r="T168" i="6"/>
  <c r="S168" i="6"/>
  <c r="R168" i="6"/>
  <c r="Q168" i="6"/>
  <c r="P168" i="6"/>
  <c r="O168" i="6"/>
  <c r="U168" i="6" s="1"/>
  <c r="N168" i="6"/>
  <c r="V167" i="6"/>
  <c r="T167" i="6"/>
  <c r="S167" i="6"/>
  <c r="R167" i="6"/>
  <c r="Q167" i="6"/>
  <c r="P167" i="6"/>
  <c r="O167" i="6"/>
  <c r="U167" i="6" s="1"/>
  <c r="N167" i="6"/>
  <c r="V166" i="6"/>
  <c r="T166" i="6"/>
  <c r="S166" i="6"/>
  <c r="R166" i="6"/>
  <c r="Q166" i="6"/>
  <c r="P166" i="6"/>
  <c r="O166" i="6"/>
  <c r="U166" i="6" s="1"/>
  <c r="N166" i="6"/>
  <c r="V165" i="6"/>
  <c r="T165" i="6"/>
  <c r="S165" i="6"/>
  <c r="R165" i="6"/>
  <c r="Q165" i="6"/>
  <c r="P165" i="6"/>
  <c r="O165" i="6"/>
  <c r="U165" i="6" s="1"/>
  <c r="N165" i="6"/>
  <c r="V164" i="6"/>
  <c r="T164" i="6"/>
  <c r="S164" i="6"/>
  <c r="R164" i="6"/>
  <c r="Q164" i="6"/>
  <c r="P164" i="6"/>
  <c r="O164" i="6"/>
  <c r="U164" i="6" s="1"/>
  <c r="N164" i="6"/>
  <c r="V163" i="6"/>
  <c r="T163" i="6"/>
  <c r="S163" i="6"/>
  <c r="R163" i="6"/>
  <c r="Q163" i="6"/>
  <c r="P163" i="6"/>
  <c r="O163" i="6"/>
  <c r="U163" i="6" s="1"/>
  <c r="N163" i="6"/>
  <c r="V162" i="6"/>
  <c r="T162" i="6"/>
  <c r="S162" i="6"/>
  <c r="R162" i="6"/>
  <c r="Q162" i="6"/>
  <c r="P162" i="6"/>
  <c r="O162" i="6"/>
  <c r="U162" i="6" s="1"/>
  <c r="N162" i="6"/>
  <c r="V161" i="6"/>
  <c r="T161" i="6"/>
  <c r="S161" i="6"/>
  <c r="R161" i="6"/>
  <c r="Q161" i="6"/>
  <c r="P161" i="6"/>
  <c r="O161" i="6"/>
  <c r="U161" i="6" s="1"/>
  <c r="N161" i="6"/>
  <c r="V160" i="6"/>
  <c r="T160" i="6"/>
  <c r="S160" i="6"/>
  <c r="R160" i="6"/>
  <c r="Q160" i="6"/>
  <c r="P160" i="6"/>
  <c r="O160" i="6"/>
  <c r="U160" i="6" s="1"/>
  <c r="N160" i="6"/>
  <c r="V159" i="6"/>
  <c r="T159" i="6"/>
  <c r="S159" i="6"/>
  <c r="R159" i="6"/>
  <c r="Q159" i="6"/>
  <c r="P159" i="6"/>
  <c r="O159" i="6"/>
  <c r="U159" i="6" s="1"/>
  <c r="N159" i="6"/>
  <c r="V158" i="6"/>
  <c r="T158" i="6"/>
  <c r="S158" i="6"/>
  <c r="R158" i="6"/>
  <c r="Q158" i="6"/>
  <c r="P158" i="6"/>
  <c r="O158" i="6"/>
  <c r="U158" i="6" s="1"/>
  <c r="N158" i="6"/>
  <c r="V157" i="6"/>
  <c r="T157" i="6"/>
  <c r="S157" i="6"/>
  <c r="R157" i="6"/>
  <c r="Q157" i="6"/>
  <c r="P157" i="6"/>
  <c r="O157" i="6"/>
  <c r="U157" i="6" s="1"/>
  <c r="N157" i="6"/>
  <c r="V156" i="6"/>
  <c r="T156" i="6"/>
  <c r="S156" i="6"/>
  <c r="R156" i="6"/>
  <c r="Q156" i="6"/>
  <c r="P156" i="6"/>
  <c r="O156" i="6"/>
  <c r="U156" i="6" s="1"/>
  <c r="N156" i="6"/>
  <c r="V155" i="6"/>
  <c r="T155" i="6"/>
  <c r="S155" i="6"/>
  <c r="R155" i="6"/>
  <c r="Q155" i="6"/>
  <c r="P155" i="6"/>
  <c r="O155" i="6"/>
  <c r="U155" i="6" s="1"/>
  <c r="N155" i="6"/>
  <c r="V154" i="6"/>
  <c r="T154" i="6"/>
  <c r="S154" i="6"/>
  <c r="R154" i="6"/>
  <c r="Q154" i="6"/>
  <c r="P154" i="6"/>
  <c r="O154" i="6"/>
  <c r="U154" i="6" s="1"/>
  <c r="N154" i="6"/>
  <c r="V153" i="6"/>
  <c r="T153" i="6"/>
  <c r="S153" i="6"/>
  <c r="R153" i="6"/>
  <c r="Q153" i="6"/>
  <c r="P153" i="6"/>
  <c r="O153" i="6"/>
  <c r="U153" i="6" s="1"/>
  <c r="N153" i="6"/>
  <c r="V152" i="6"/>
  <c r="T152" i="6"/>
  <c r="S152" i="6"/>
  <c r="R152" i="6"/>
  <c r="Q152" i="6"/>
  <c r="P152" i="6"/>
  <c r="O152" i="6"/>
  <c r="U152" i="6" s="1"/>
  <c r="N152" i="6"/>
  <c r="V151" i="6"/>
  <c r="T151" i="6"/>
  <c r="S151" i="6"/>
  <c r="R151" i="6"/>
  <c r="Q151" i="6"/>
  <c r="P151" i="6"/>
  <c r="O151" i="6"/>
  <c r="U151" i="6" s="1"/>
  <c r="N151" i="6"/>
  <c r="V150" i="6"/>
  <c r="T150" i="6"/>
  <c r="S150" i="6"/>
  <c r="R150" i="6"/>
  <c r="Q150" i="6"/>
  <c r="P150" i="6"/>
  <c r="O150" i="6"/>
  <c r="U150" i="6" s="1"/>
  <c r="N150" i="6"/>
  <c r="V149" i="6"/>
  <c r="T149" i="6"/>
  <c r="S149" i="6"/>
  <c r="R149" i="6"/>
  <c r="Q149" i="6"/>
  <c r="P149" i="6"/>
  <c r="O149" i="6"/>
  <c r="U149" i="6" s="1"/>
  <c r="N149" i="6"/>
  <c r="V148" i="6"/>
  <c r="T148" i="6"/>
  <c r="S148" i="6"/>
  <c r="R148" i="6"/>
  <c r="Q148" i="6"/>
  <c r="P148" i="6"/>
  <c r="O148" i="6"/>
  <c r="U148" i="6" s="1"/>
  <c r="N148" i="6"/>
  <c r="V147" i="6"/>
  <c r="T147" i="6"/>
  <c r="S147" i="6"/>
  <c r="R147" i="6"/>
  <c r="Q147" i="6"/>
  <c r="P147" i="6"/>
  <c r="O147" i="6"/>
  <c r="U147" i="6" s="1"/>
  <c r="N147" i="6"/>
  <c r="V146" i="6"/>
  <c r="T146" i="6"/>
  <c r="S146" i="6"/>
  <c r="R146" i="6"/>
  <c r="Q146" i="6"/>
  <c r="P146" i="6"/>
  <c r="O146" i="6"/>
  <c r="U146" i="6" s="1"/>
  <c r="N146" i="6"/>
  <c r="V145" i="6"/>
  <c r="T145" i="6"/>
  <c r="S145" i="6"/>
  <c r="R145" i="6"/>
  <c r="Q145" i="6"/>
  <c r="P145" i="6"/>
  <c r="O145" i="6"/>
  <c r="U145" i="6" s="1"/>
  <c r="N145" i="6"/>
  <c r="V144" i="6"/>
  <c r="T144" i="6"/>
  <c r="S144" i="6"/>
  <c r="R144" i="6"/>
  <c r="Q144" i="6"/>
  <c r="P144" i="6"/>
  <c r="O144" i="6"/>
  <c r="U144" i="6" s="1"/>
  <c r="N144" i="6"/>
  <c r="V143" i="6"/>
  <c r="T143" i="6"/>
  <c r="S143" i="6"/>
  <c r="R143" i="6"/>
  <c r="Q143" i="6"/>
  <c r="P143" i="6"/>
  <c r="O143" i="6"/>
  <c r="U143" i="6" s="1"/>
  <c r="N143" i="6"/>
  <c r="V142" i="6"/>
  <c r="T142" i="6"/>
  <c r="S142" i="6"/>
  <c r="R142" i="6"/>
  <c r="Q142" i="6"/>
  <c r="P142" i="6"/>
  <c r="O142" i="6"/>
  <c r="U142" i="6" s="1"/>
  <c r="N142" i="6"/>
  <c r="V141" i="6"/>
  <c r="T141" i="6"/>
  <c r="S141" i="6"/>
  <c r="R141" i="6"/>
  <c r="Q141" i="6"/>
  <c r="P141" i="6"/>
  <c r="O141" i="6"/>
  <c r="U141" i="6" s="1"/>
  <c r="N141" i="6"/>
  <c r="V140" i="6"/>
  <c r="T140" i="6"/>
  <c r="S140" i="6"/>
  <c r="R140" i="6"/>
  <c r="Q140" i="6"/>
  <c r="P140" i="6"/>
  <c r="O140" i="6"/>
  <c r="U140" i="6" s="1"/>
  <c r="N140" i="6"/>
  <c r="V139" i="6"/>
  <c r="T139" i="6"/>
  <c r="S139" i="6"/>
  <c r="R139" i="6"/>
  <c r="Q139" i="6"/>
  <c r="P139" i="6"/>
  <c r="O139" i="6"/>
  <c r="U139" i="6" s="1"/>
  <c r="N139" i="6"/>
  <c r="V138" i="6"/>
  <c r="T138" i="6"/>
  <c r="S138" i="6"/>
  <c r="R138" i="6"/>
  <c r="Q138" i="6"/>
  <c r="P138" i="6"/>
  <c r="O138" i="6"/>
  <c r="U138" i="6" s="1"/>
  <c r="N138" i="6"/>
  <c r="V137" i="6"/>
  <c r="T137" i="6"/>
  <c r="S137" i="6"/>
  <c r="R137" i="6"/>
  <c r="Q137" i="6"/>
  <c r="P137" i="6"/>
  <c r="O137" i="6"/>
  <c r="U137" i="6" s="1"/>
  <c r="N137" i="6"/>
  <c r="V136" i="6"/>
  <c r="T136" i="6"/>
  <c r="S136" i="6"/>
  <c r="R136" i="6"/>
  <c r="Q136" i="6"/>
  <c r="P136" i="6"/>
  <c r="O136" i="6"/>
  <c r="U136" i="6" s="1"/>
  <c r="N136" i="6"/>
  <c r="V135" i="6"/>
  <c r="T135" i="6"/>
  <c r="S135" i="6"/>
  <c r="R135" i="6"/>
  <c r="Q135" i="6"/>
  <c r="P135" i="6"/>
  <c r="O135" i="6"/>
  <c r="U135" i="6" s="1"/>
  <c r="N135" i="6"/>
  <c r="V134" i="6"/>
  <c r="T134" i="6"/>
  <c r="S134" i="6"/>
  <c r="R134" i="6"/>
  <c r="Q134" i="6"/>
  <c r="P134" i="6"/>
  <c r="O134" i="6"/>
  <c r="U134" i="6" s="1"/>
  <c r="N134" i="6"/>
  <c r="V133" i="6"/>
  <c r="T133" i="6"/>
  <c r="S133" i="6"/>
  <c r="R133" i="6"/>
  <c r="Q133" i="6"/>
  <c r="P133" i="6"/>
  <c r="O133" i="6"/>
  <c r="U133" i="6" s="1"/>
  <c r="N133" i="6"/>
  <c r="V132" i="6"/>
  <c r="T132" i="6"/>
  <c r="S132" i="6"/>
  <c r="R132" i="6"/>
  <c r="Q132" i="6"/>
  <c r="P132" i="6"/>
  <c r="O132" i="6"/>
  <c r="U132" i="6" s="1"/>
  <c r="N132" i="6"/>
  <c r="V131" i="6"/>
  <c r="T131" i="6"/>
  <c r="S131" i="6"/>
  <c r="R131" i="6"/>
  <c r="Q131" i="6"/>
  <c r="P131" i="6"/>
  <c r="O131" i="6"/>
  <c r="U131" i="6" s="1"/>
  <c r="N131" i="6"/>
  <c r="V130" i="6"/>
  <c r="T130" i="6"/>
  <c r="S130" i="6"/>
  <c r="R130" i="6"/>
  <c r="Q130" i="6"/>
  <c r="P130" i="6"/>
  <c r="O130" i="6"/>
  <c r="U130" i="6" s="1"/>
  <c r="N130" i="6"/>
  <c r="V129" i="6"/>
  <c r="T129" i="6"/>
  <c r="S129" i="6"/>
  <c r="R129" i="6"/>
  <c r="Q129" i="6"/>
  <c r="P129" i="6"/>
  <c r="O129" i="6"/>
  <c r="U129" i="6" s="1"/>
  <c r="N129" i="6"/>
  <c r="V128" i="6"/>
  <c r="T128" i="6"/>
  <c r="S128" i="6"/>
  <c r="R128" i="6"/>
  <c r="Q128" i="6"/>
  <c r="P128" i="6"/>
  <c r="O128" i="6"/>
  <c r="U128" i="6" s="1"/>
  <c r="N128" i="6"/>
  <c r="V127" i="6"/>
  <c r="T127" i="6"/>
  <c r="S127" i="6"/>
  <c r="R127" i="6"/>
  <c r="Q127" i="6"/>
  <c r="P127" i="6"/>
  <c r="O127" i="6"/>
  <c r="U127" i="6" s="1"/>
  <c r="N127" i="6"/>
  <c r="V126" i="6"/>
  <c r="T126" i="6"/>
  <c r="S126" i="6"/>
  <c r="R126" i="6"/>
  <c r="Q126" i="6"/>
  <c r="P126" i="6"/>
  <c r="O126" i="6"/>
  <c r="U126" i="6" s="1"/>
  <c r="N126" i="6"/>
  <c r="V125" i="6"/>
  <c r="T125" i="6"/>
  <c r="S125" i="6"/>
  <c r="R125" i="6"/>
  <c r="Q125" i="6"/>
  <c r="P125" i="6"/>
  <c r="O125" i="6"/>
  <c r="U125" i="6" s="1"/>
  <c r="N125" i="6"/>
  <c r="V124" i="6"/>
  <c r="T124" i="6"/>
  <c r="S124" i="6"/>
  <c r="R124" i="6"/>
  <c r="Q124" i="6"/>
  <c r="P124" i="6"/>
  <c r="O124" i="6"/>
  <c r="U124" i="6" s="1"/>
  <c r="N124" i="6"/>
  <c r="V123" i="6"/>
  <c r="T123" i="6"/>
  <c r="S123" i="6"/>
  <c r="R123" i="6"/>
  <c r="Q123" i="6"/>
  <c r="P123" i="6"/>
  <c r="O123" i="6"/>
  <c r="U123" i="6" s="1"/>
  <c r="N123" i="6"/>
  <c r="V122" i="6"/>
  <c r="T122" i="6"/>
  <c r="S122" i="6"/>
  <c r="R122" i="6"/>
  <c r="Q122" i="6"/>
  <c r="P122" i="6"/>
  <c r="O122" i="6"/>
  <c r="U122" i="6" s="1"/>
  <c r="N122" i="6"/>
  <c r="V121" i="6"/>
  <c r="T121" i="6"/>
  <c r="S121" i="6"/>
  <c r="R121" i="6"/>
  <c r="Q121" i="6"/>
  <c r="P121" i="6"/>
  <c r="O121" i="6"/>
  <c r="U121" i="6" s="1"/>
  <c r="N121" i="6"/>
  <c r="V120" i="6"/>
  <c r="T120" i="6"/>
  <c r="S120" i="6"/>
  <c r="R120" i="6"/>
  <c r="Q120" i="6"/>
  <c r="P120" i="6"/>
  <c r="O120" i="6"/>
  <c r="U120" i="6" s="1"/>
  <c r="N120" i="6"/>
  <c r="V119" i="6"/>
  <c r="T119" i="6"/>
  <c r="S119" i="6"/>
  <c r="R119" i="6"/>
  <c r="Q119" i="6"/>
  <c r="P119" i="6"/>
  <c r="O119" i="6"/>
  <c r="U119" i="6" s="1"/>
  <c r="N119" i="6"/>
  <c r="V118" i="6"/>
  <c r="T118" i="6"/>
  <c r="S118" i="6"/>
  <c r="R118" i="6"/>
  <c r="Q118" i="6"/>
  <c r="P118" i="6"/>
  <c r="O118" i="6"/>
  <c r="U118" i="6" s="1"/>
  <c r="N118" i="6"/>
  <c r="V117" i="6"/>
  <c r="T117" i="6"/>
  <c r="S117" i="6"/>
  <c r="R117" i="6"/>
  <c r="Q117" i="6"/>
  <c r="P117" i="6"/>
  <c r="O117" i="6"/>
  <c r="U117" i="6" s="1"/>
  <c r="N117" i="6"/>
  <c r="V116" i="6"/>
  <c r="T116" i="6"/>
  <c r="S116" i="6"/>
  <c r="R116" i="6"/>
  <c r="Q116" i="6"/>
  <c r="P116" i="6"/>
  <c r="O116" i="6"/>
  <c r="U116" i="6" s="1"/>
  <c r="N116" i="6"/>
  <c r="V115" i="6"/>
  <c r="T115" i="6"/>
  <c r="S115" i="6"/>
  <c r="R115" i="6"/>
  <c r="Q115" i="6"/>
  <c r="P115" i="6"/>
  <c r="O115" i="6"/>
  <c r="U115" i="6" s="1"/>
  <c r="N115" i="6"/>
  <c r="V114" i="6"/>
  <c r="T114" i="6"/>
  <c r="S114" i="6"/>
  <c r="R114" i="6"/>
  <c r="Q114" i="6"/>
  <c r="P114" i="6"/>
  <c r="O114" i="6"/>
  <c r="U114" i="6" s="1"/>
  <c r="N114" i="6"/>
  <c r="V113" i="6"/>
  <c r="T113" i="6"/>
  <c r="S113" i="6"/>
  <c r="R113" i="6"/>
  <c r="Q113" i="6"/>
  <c r="P113" i="6"/>
  <c r="O113" i="6"/>
  <c r="U113" i="6" s="1"/>
  <c r="N113" i="6"/>
  <c r="V112" i="6"/>
  <c r="T112" i="6"/>
  <c r="S112" i="6"/>
  <c r="R112" i="6"/>
  <c r="Q112" i="6"/>
  <c r="P112" i="6"/>
  <c r="O112" i="6"/>
  <c r="U112" i="6" s="1"/>
  <c r="N112" i="6"/>
  <c r="V111" i="6"/>
  <c r="T111" i="6"/>
  <c r="S111" i="6"/>
  <c r="R111" i="6"/>
  <c r="Q111" i="6"/>
  <c r="P111" i="6"/>
  <c r="O111" i="6"/>
  <c r="U111" i="6" s="1"/>
  <c r="N111" i="6"/>
  <c r="V110" i="6"/>
  <c r="T110" i="6"/>
  <c r="S110" i="6"/>
  <c r="R110" i="6"/>
  <c r="Q110" i="6"/>
  <c r="P110" i="6"/>
  <c r="O110" i="6"/>
  <c r="U110" i="6" s="1"/>
  <c r="N110" i="6"/>
  <c r="V109" i="6"/>
  <c r="T109" i="6"/>
  <c r="S109" i="6"/>
  <c r="R109" i="6"/>
  <c r="Q109" i="6"/>
  <c r="P109" i="6"/>
  <c r="O109" i="6"/>
  <c r="U109" i="6" s="1"/>
  <c r="N109" i="6"/>
  <c r="V108" i="6"/>
  <c r="T108" i="6"/>
  <c r="S108" i="6"/>
  <c r="R108" i="6"/>
  <c r="Q108" i="6"/>
  <c r="P108" i="6"/>
  <c r="O108" i="6"/>
  <c r="U108" i="6" s="1"/>
  <c r="N108" i="6"/>
  <c r="V107" i="6"/>
  <c r="T107" i="6"/>
  <c r="S107" i="6"/>
  <c r="R107" i="6"/>
  <c r="Q107" i="6"/>
  <c r="P107" i="6"/>
  <c r="O107" i="6"/>
  <c r="U107" i="6" s="1"/>
  <c r="N107" i="6"/>
  <c r="V106" i="6"/>
  <c r="T106" i="6"/>
  <c r="S106" i="6"/>
  <c r="R106" i="6"/>
  <c r="Q106" i="6"/>
  <c r="P106" i="6"/>
  <c r="O106" i="6"/>
  <c r="U106" i="6" s="1"/>
  <c r="N106" i="6"/>
  <c r="V105" i="6"/>
  <c r="T105" i="6"/>
  <c r="S105" i="6"/>
  <c r="R105" i="6"/>
  <c r="Q105" i="6"/>
  <c r="P105" i="6"/>
  <c r="O105" i="6"/>
  <c r="U105" i="6" s="1"/>
  <c r="N105" i="6"/>
  <c r="V104" i="6"/>
  <c r="T104" i="6"/>
  <c r="S104" i="6"/>
  <c r="R104" i="6"/>
  <c r="Q104" i="6"/>
  <c r="P104" i="6"/>
  <c r="O104" i="6"/>
  <c r="U104" i="6" s="1"/>
  <c r="N104" i="6"/>
  <c r="V103" i="6"/>
  <c r="T103" i="6"/>
  <c r="S103" i="6"/>
  <c r="R103" i="6"/>
  <c r="Q103" i="6"/>
  <c r="P103" i="6"/>
  <c r="O103" i="6"/>
  <c r="U103" i="6" s="1"/>
  <c r="N103" i="6"/>
  <c r="V102" i="6"/>
  <c r="T102" i="6"/>
  <c r="S102" i="6"/>
  <c r="R102" i="6"/>
  <c r="Q102" i="6"/>
  <c r="P102" i="6"/>
  <c r="O102" i="6"/>
  <c r="U102" i="6" s="1"/>
  <c r="N102" i="6"/>
  <c r="V101" i="6"/>
  <c r="T101" i="6"/>
  <c r="S101" i="6"/>
  <c r="R101" i="6"/>
  <c r="Q101" i="6"/>
  <c r="P101" i="6"/>
  <c r="O101" i="6"/>
  <c r="U101" i="6" s="1"/>
  <c r="N101" i="6"/>
  <c r="V100" i="6"/>
  <c r="T100" i="6"/>
  <c r="S100" i="6"/>
  <c r="R100" i="6"/>
  <c r="Q100" i="6"/>
  <c r="P100" i="6"/>
  <c r="O100" i="6"/>
  <c r="U100" i="6" s="1"/>
  <c r="N100" i="6"/>
  <c r="V99" i="6"/>
  <c r="T99" i="6"/>
  <c r="S99" i="6"/>
  <c r="R99" i="6"/>
  <c r="Q99" i="6"/>
  <c r="P99" i="6"/>
  <c r="O99" i="6"/>
  <c r="U99" i="6" s="1"/>
  <c r="N99" i="6"/>
  <c r="V98" i="6"/>
  <c r="T98" i="6"/>
  <c r="S98" i="6"/>
  <c r="R98" i="6"/>
  <c r="Q98" i="6"/>
  <c r="P98" i="6"/>
  <c r="O98" i="6"/>
  <c r="U98" i="6" s="1"/>
  <c r="N98" i="6"/>
  <c r="V97" i="6"/>
  <c r="T97" i="6"/>
  <c r="S97" i="6"/>
  <c r="R97" i="6"/>
  <c r="Q97" i="6"/>
  <c r="P97" i="6"/>
  <c r="O97" i="6"/>
  <c r="U97" i="6" s="1"/>
  <c r="N97" i="6"/>
  <c r="V96" i="6"/>
  <c r="T96" i="6"/>
  <c r="S96" i="6"/>
  <c r="R96" i="6"/>
  <c r="Q96" i="6"/>
  <c r="P96" i="6"/>
  <c r="O96" i="6"/>
  <c r="U96" i="6" s="1"/>
  <c r="N96" i="6"/>
  <c r="V95" i="6"/>
  <c r="T95" i="6"/>
  <c r="S95" i="6"/>
  <c r="R95" i="6"/>
  <c r="Q95" i="6"/>
  <c r="P95" i="6"/>
  <c r="O95" i="6"/>
  <c r="U95" i="6" s="1"/>
  <c r="N95" i="6"/>
  <c r="V94" i="6"/>
  <c r="T94" i="6"/>
  <c r="S94" i="6"/>
  <c r="R94" i="6"/>
  <c r="Q94" i="6"/>
  <c r="P94" i="6"/>
  <c r="O94" i="6"/>
  <c r="U94" i="6" s="1"/>
  <c r="N94" i="6"/>
  <c r="V93" i="6"/>
  <c r="T93" i="6"/>
  <c r="S93" i="6"/>
  <c r="R93" i="6"/>
  <c r="Q93" i="6"/>
  <c r="P93" i="6"/>
  <c r="O93" i="6"/>
  <c r="U93" i="6" s="1"/>
  <c r="N93" i="6"/>
  <c r="V92" i="6"/>
  <c r="T92" i="6"/>
  <c r="S92" i="6"/>
  <c r="R92" i="6"/>
  <c r="Q92" i="6"/>
  <c r="P92" i="6"/>
  <c r="O92" i="6"/>
  <c r="U92" i="6" s="1"/>
  <c r="N92" i="6"/>
  <c r="V91" i="6"/>
  <c r="T91" i="6"/>
  <c r="S91" i="6"/>
  <c r="R91" i="6"/>
  <c r="Q91" i="6"/>
  <c r="P91" i="6"/>
  <c r="O91" i="6"/>
  <c r="U91" i="6" s="1"/>
  <c r="N91" i="6"/>
  <c r="V90" i="6"/>
  <c r="T90" i="6"/>
  <c r="S90" i="6"/>
  <c r="R90" i="6"/>
  <c r="Q90" i="6"/>
  <c r="P90" i="6"/>
  <c r="O90" i="6"/>
  <c r="U90" i="6" s="1"/>
  <c r="N90" i="6"/>
  <c r="V89" i="6"/>
  <c r="T89" i="6"/>
  <c r="S89" i="6"/>
  <c r="R89" i="6"/>
  <c r="Q89" i="6"/>
  <c r="P89" i="6"/>
  <c r="O89" i="6"/>
  <c r="U89" i="6" s="1"/>
  <c r="N89" i="6"/>
  <c r="V88" i="6"/>
  <c r="T88" i="6"/>
  <c r="S88" i="6"/>
  <c r="R88" i="6"/>
  <c r="Q88" i="6"/>
  <c r="P88" i="6"/>
  <c r="O88" i="6"/>
  <c r="U88" i="6" s="1"/>
  <c r="N88" i="6"/>
  <c r="V87" i="6"/>
  <c r="T87" i="6"/>
  <c r="S87" i="6"/>
  <c r="R87" i="6"/>
  <c r="Q87" i="6"/>
  <c r="P87" i="6"/>
  <c r="O87" i="6"/>
  <c r="U87" i="6" s="1"/>
  <c r="N87" i="6"/>
  <c r="V86" i="6"/>
  <c r="T86" i="6"/>
  <c r="S86" i="6"/>
  <c r="R86" i="6"/>
  <c r="Q86" i="6"/>
  <c r="P86" i="6"/>
  <c r="O86" i="6"/>
  <c r="U86" i="6" s="1"/>
  <c r="N86" i="6"/>
  <c r="V85" i="6"/>
  <c r="T85" i="6"/>
  <c r="S85" i="6"/>
  <c r="R85" i="6"/>
  <c r="Q85" i="6"/>
  <c r="P85" i="6"/>
  <c r="O85" i="6"/>
  <c r="U85" i="6" s="1"/>
  <c r="N85" i="6"/>
  <c r="V84" i="6"/>
  <c r="T84" i="6"/>
  <c r="S84" i="6"/>
  <c r="R84" i="6"/>
  <c r="Q84" i="6"/>
  <c r="P84" i="6"/>
  <c r="O84" i="6"/>
  <c r="U84" i="6" s="1"/>
  <c r="N84" i="6"/>
  <c r="V83" i="6"/>
  <c r="T83" i="6"/>
  <c r="S83" i="6"/>
  <c r="R83" i="6"/>
  <c r="Q83" i="6"/>
  <c r="P83" i="6"/>
  <c r="O83" i="6"/>
  <c r="U83" i="6" s="1"/>
  <c r="N83" i="6"/>
  <c r="V82" i="6"/>
  <c r="T82" i="6"/>
  <c r="S82" i="6"/>
  <c r="R82" i="6"/>
  <c r="Q82" i="6"/>
  <c r="P82" i="6"/>
  <c r="O82" i="6"/>
  <c r="U82" i="6" s="1"/>
  <c r="N82" i="6"/>
  <c r="V81" i="6"/>
  <c r="T81" i="6"/>
  <c r="S81" i="6"/>
  <c r="R81" i="6"/>
  <c r="Q81" i="6"/>
  <c r="P81" i="6"/>
  <c r="O81" i="6"/>
  <c r="U81" i="6" s="1"/>
  <c r="N81" i="6"/>
  <c r="V80" i="6"/>
  <c r="T80" i="6"/>
  <c r="S80" i="6"/>
  <c r="R80" i="6"/>
  <c r="Q80" i="6"/>
  <c r="P80" i="6"/>
  <c r="O80" i="6"/>
  <c r="U80" i="6" s="1"/>
  <c r="N80" i="6"/>
  <c r="V79" i="6"/>
  <c r="T79" i="6"/>
  <c r="S79" i="6"/>
  <c r="R79" i="6"/>
  <c r="Q79" i="6"/>
  <c r="P79" i="6"/>
  <c r="O79" i="6"/>
  <c r="U79" i="6" s="1"/>
  <c r="N79" i="6"/>
  <c r="V78" i="6"/>
  <c r="T78" i="6"/>
  <c r="S78" i="6"/>
  <c r="R78" i="6"/>
  <c r="Q78" i="6"/>
  <c r="P78" i="6"/>
  <c r="O78" i="6"/>
  <c r="U78" i="6" s="1"/>
  <c r="N78" i="6"/>
  <c r="V77" i="6"/>
  <c r="T77" i="6"/>
  <c r="S77" i="6"/>
  <c r="R77" i="6"/>
  <c r="Q77" i="6"/>
  <c r="P77" i="6"/>
  <c r="O77" i="6"/>
  <c r="U77" i="6" s="1"/>
  <c r="N77" i="6"/>
  <c r="V76" i="6"/>
  <c r="T76" i="6"/>
  <c r="S76" i="6"/>
  <c r="R76" i="6"/>
  <c r="Q76" i="6"/>
  <c r="P76" i="6"/>
  <c r="O76" i="6"/>
  <c r="U76" i="6" s="1"/>
  <c r="N76" i="6"/>
  <c r="V75" i="6"/>
  <c r="T75" i="6"/>
  <c r="S75" i="6"/>
  <c r="R75" i="6"/>
  <c r="Q75" i="6"/>
  <c r="P75" i="6"/>
  <c r="O75" i="6"/>
  <c r="U75" i="6" s="1"/>
  <c r="N75" i="6"/>
  <c r="V74" i="6"/>
  <c r="T74" i="6"/>
  <c r="S74" i="6"/>
  <c r="R74" i="6"/>
  <c r="Q74" i="6"/>
  <c r="P74" i="6"/>
  <c r="O74" i="6"/>
  <c r="U74" i="6" s="1"/>
  <c r="N74" i="6"/>
  <c r="V73" i="6"/>
  <c r="T73" i="6"/>
  <c r="S73" i="6"/>
  <c r="R73" i="6"/>
  <c r="Q73" i="6"/>
  <c r="P73" i="6"/>
  <c r="O73" i="6"/>
  <c r="U73" i="6" s="1"/>
  <c r="N73" i="6"/>
  <c r="V72" i="6"/>
  <c r="T72" i="6"/>
  <c r="S72" i="6"/>
  <c r="R72" i="6"/>
  <c r="Q72" i="6"/>
  <c r="P72" i="6"/>
  <c r="O72" i="6"/>
  <c r="U72" i="6" s="1"/>
  <c r="N72" i="6"/>
  <c r="V71" i="6"/>
  <c r="T71" i="6"/>
  <c r="S71" i="6"/>
  <c r="R71" i="6"/>
  <c r="Q71" i="6"/>
  <c r="P71" i="6"/>
  <c r="O71" i="6"/>
  <c r="U71" i="6" s="1"/>
  <c r="N71" i="6"/>
  <c r="V70" i="6"/>
  <c r="T70" i="6"/>
  <c r="S70" i="6"/>
  <c r="R70" i="6"/>
  <c r="Q70" i="6"/>
  <c r="P70" i="6"/>
  <c r="O70" i="6"/>
  <c r="U70" i="6" s="1"/>
  <c r="N70" i="6"/>
  <c r="V69" i="6"/>
  <c r="T69" i="6"/>
  <c r="S69" i="6"/>
  <c r="R69" i="6"/>
  <c r="Q69" i="6"/>
  <c r="P69" i="6"/>
  <c r="O69" i="6"/>
  <c r="U69" i="6" s="1"/>
  <c r="N69" i="6"/>
  <c r="V68" i="6"/>
  <c r="T68" i="6"/>
  <c r="S68" i="6"/>
  <c r="R68" i="6"/>
  <c r="Q68" i="6"/>
  <c r="P68" i="6"/>
  <c r="O68" i="6"/>
  <c r="U68" i="6" s="1"/>
  <c r="N68" i="6"/>
  <c r="V67" i="6"/>
  <c r="T67" i="6"/>
  <c r="S67" i="6"/>
  <c r="R67" i="6"/>
  <c r="Q67" i="6"/>
  <c r="P67" i="6"/>
  <c r="O67" i="6"/>
  <c r="U67" i="6" s="1"/>
  <c r="N67" i="6"/>
  <c r="V66" i="6"/>
  <c r="T66" i="6"/>
  <c r="S66" i="6"/>
  <c r="R66" i="6"/>
  <c r="Q66" i="6"/>
  <c r="P66" i="6"/>
  <c r="O66" i="6"/>
  <c r="U66" i="6" s="1"/>
  <c r="N66" i="6"/>
  <c r="V65" i="6"/>
  <c r="T65" i="6"/>
  <c r="S65" i="6"/>
  <c r="R65" i="6"/>
  <c r="Q65" i="6"/>
  <c r="P65" i="6"/>
  <c r="O65" i="6"/>
  <c r="U65" i="6" s="1"/>
  <c r="N65" i="6"/>
  <c r="V64" i="6"/>
  <c r="T64" i="6"/>
  <c r="S64" i="6"/>
  <c r="R64" i="6"/>
  <c r="Q64" i="6"/>
  <c r="P64" i="6"/>
  <c r="O64" i="6"/>
  <c r="U64" i="6" s="1"/>
  <c r="N64" i="6"/>
  <c r="V63" i="6"/>
  <c r="T63" i="6"/>
  <c r="S63" i="6"/>
  <c r="R63" i="6"/>
  <c r="Q63" i="6"/>
  <c r="P63" i="6"/>
  <c r="O63" i="6"/>
  <c r="U63" i="6" s="1"/>
  <c r="N63" i="6"/>
  <c r="V62" i="6"/>
  <c r="T62" i="6"/>
  <c r="S62" i="6"/>
  <c r="R62" i="6"/>
  <c r="Q62" i="6"/>
  <c r="P62" i="6"/>
  <c r="O62" i="6"/>
  <c r="U62" i="6" s="1"/>
  <c r="N62" i="6"/>
  <c r="V61" i="6"/>
  <c r="T61" i="6"/>
  <c r="S61" i="6"/>
  <c r="R61" i="6"/>
  <c r="Q61" i="6"/>
  <c r="P61" i="6"/>
  <c r="O61" i="6"/>
  <c r="U61" i="6" s="1"/>
  <c r="N61" i="6"/>
  <c r="V60" i="6"/>
  <c r="T60" i="6"/>
  <c r="S60" i="6"/>
  <c r="R60" i="6"/>
  <c r="Q60" i="6"/>
  <c r="P60" i="6"/>
  <c r="O60" i="6"/>
  <c r="U60" i="6" s="1"/>
  <c r="N60" i="6"/>
  <c r="V59" i="6"/>
  <c r="T59" i="6"/>
  <c r="S59" i="6"/>
  <c r="R59" i="6"/>
  <c r="Q59" i="6"/>
  <c r="P59" i="6"/>
  <c r="O59" i="6"/>
  <c r="U59" i="6" s="1"/>
  <c r="N59" i="6"/>
  <c r="V58" i="6"/>
  <c r="T58" i="6"/>
  <c r="S58" i="6"/>
  <c r="R58" i="6"/>
  <c r="Q58" i="6"/>
  <c r="P58" i="6"/>
  <c r="O58" i="6"/>
  <c r="U58" i="6" s="1"/>
  <c r="N58" i="6"/>
  <c r="V57" i="6"/>
  <c r="T57" i="6"/>
  <c r="S57" i="6"/>
  <c r="R57" i="6"/>
  <c r="Q57" i="6"/>
  <c r="P57" i="6"/>
  <c r="O57" i="6"/>
  <c r="U57" i="6" s="1"/>
  <c r="N57" i="6"/>
  <c r="V56" i="6"/>
  <c r="T56" i="6"/>
  <c r="S56" i="6"/>
  <c r="R56" i="6"/>
  <c r="Q56" i="6"/>
  <c r="P56" i="6"/>
  <c r="O56" i="6"/>
  <c r="U56" i="6" s="1"/>
  <c r="N56" i="6"/>
  <c r="V55" i="6"/>
  <c r="T55" i="6"/>
  <c r="S55" i="6"/>
  <c r="R55" i="6"/>
  <c r="Q55" i="6"/>
  <c r="P55" i="6"/>
  <c r="O55" i="6"/>
  <c r="U55" i="6" s="1"/>
  <c r="N55" i="6"/>
  <c r="V54" i="6"/>
  <c r="T54" i="6"/>
  <c r="S54" i="6"/>
  <c r="R54" i="6"/>
  <c r="Q54" i="6"/>
  <c r="P54" i="6"/>
  <c r="O54" i="6"/>
  <c r="U54" i="6" s="1"/>
  <c r="N54" i="6"/>
  <c r="V53" i="6"/>
  <c r="T53" i="6"/>
  <c r="S53" i="6"/>
  <c r="R53" i="6"/>
  <c r="Q53" i="6"/>
  <c r="P53" i="6"/>
  <c r="O53" i="6"/>
  <c r="U53" i="6" s="1"/>
  <c r="N53" i="6"/>
  <c r="V52" i="6"/>
  <c r="T52" i="6"/>
  <c r="S52" i="6"/>
  <c r="R52" i="6"/>
  <c r="Q52" i="6"/>
  <c r="P52" i="6"/>
  <c r="O52" i="6"/>
  <c r="U52" i="6" s="1"/>
  <c r="N52" i="6"/>
  <c r="V51" i="6"/>
  <c r="T51" i="6"/>
  <c r="S51" i="6"/>
  <c r="R51" i="6"/>
  <c r="Q51" i="6"/>
  <c r="P51" i="6"/>
  <c r="O51" i="6"/>
  <c r="U51" i="6" s="1"/>
  <c r="N51" i="6"/>
  <c r="V50" i="6"/>
  <c r="T50" i="6"/>
  <c r="S50" i="6"/>
  <c r="R50" i="6"/>
  <c r="Q50" i="6"/>
  <c r="P50" i="6"/>
  <c r="O50" i="6"/>
  <c r="U50" i="6" s="1"/>
  <c r="N50" i="6"/>
  <c r="V49" i="6"/>
  <c r="T49" i="6"/>
  <c r="S49" i="6"/>
  <c r="R49" i="6"/>
  <c r="Q49" i="6"/>
  <c r="P49" i="6"/>
  <c r="O49" i="6"/>
  <c r="U49" i="6" s="1"/>
  <c r="N49" i="6"/>
  <c r="V48" i="6"/>
  <c r="T48" i="6"/>
  <c r="S48" i="6"/>
  <c r="R48" i="6"/>
  <c r="Q48" i="6"/>
  <c r="P48" i="6"/>
  <c r="O48" i="6"/>
  <c r="U48" i="6" s="1"/>
  <c r="N48" i="6"/>
  <c r="V47" i="6"/>
  <c r="T47" i="6"/>
  <c r="S47" i="6"/>
  <c r="R47" i="6"/>
  <c r="Q47" i="6"/>
  <c r="P47" i="6"/>
  <c r="O47" i="6"/>
  <c r="U47" i="6" s="1"/>
  <c r="N47" i="6"/>
  <c r="V46" i="6"/>
  <c r="T46" i="6"/>
  <c r="S46" i="6"/>
  <c r="R46" i="6"/>
  <c r="Q46" i="6"/>
  <c r="P46" i="6"/>
  <c r="O46" i="6"/>
  <c r="U46" i="6" s="1"/>
  <c r="N46" i="6"/>
  <c r="V45" i="6"/>
  <c r="T45" i="6"/>
  <c r="S45" i="6"/>
  <c r="R45" i="6"/>
  <c r="Q45" i="6"/>
  <c r="P45" i="6"/>
  <c r="O45" i="6"/>
  <c r="U45" i="6" s="1"/>
  <c r="N45" i="6"/>
  <c r="V44" i="6"/>
  <c r="T44" i="6"/>
  <c r="S44" i="6"/>
  <c r="R44" i="6"/>
  <c r="Q44" i="6"/>
  <c r="P44" i="6"/>
  <c r="O44" i="6"/>
  <c r="U44" i="6" s="1"/>
  <c r="N44" i="6"/>
  <c r="V43" i="6"/>
  <c r="T43" i="6"/>
  <c r="S43" i="6"/>
  <c r="R43" i="6"/>
  <c r="Q43" i="6"/>
  <c r="P43" i="6"/>
  <c r="O43" i="6"/>
  <c r="U43" i="6" s="1"/>
  <c r="N43" i="6"/>
  <c r="V42" i="6"/>
  <c r="T42" i="6"/>
  <c r="S42" i="6"/>
  <c r="R42" i="6"/>
  <c r="Q42" i="6"/>
  <c r="P42" i="6"/>
  <c r="O42" i="6"/>
  <c r="U42" i="6" s="1"/>
  <c r="N42" i="6"/>
  <c r="V41" i="6"/>
  <c r="T41" i="6"/>
  <c r="S41" i="6"/>
  <c r="R41" i="6"/>
  <c r="Q41" i="6"/>
  <c r="P41" i="6"/>
  <c r="O41" i="6"/>
  <c r="U41" i="6" s="1"/>
  <c r="N41" i="6"/>
  <c r="V40" i="6"/>
  <c r="T40" i="6"/>
  <c r="S40" i="6"/>
  <c r="R40" i="6"/>
  <c r="Q40" i="6"/>
  <c r="P40" i="6"/>
  <c r="O40" i="6"/>
  <c r="U40" i="6" s="1"/>
  <c r="N40" i="6"/>
  <c r="V39" i="6"/>
  <c r="T39" i="6"/>
  <c r="S39" i="6"/>
  <c r="R39" i="6"/>
  <c r="Q39" i="6"/>
  <c r="P39" i="6"/>
  <c r="O39" i="6"/>
  <c r="U39" i="6" s="1"/>
  <c r="N39" i="6"/>
  <c r="V38" i="6"/>
  <c r="T38" i="6"/>
  <c r="S38" i="6"/>
  <c r="R38" i="6"/>
  <c r="Q38" i="6"/>
  <c r="P38" i="6"/>
  <c r="O38" i="6"/>
  <c r="U38" i="6" s="1"/>
  <c r="N38" i="6"/>
  <c r="V37" i="6"/>
  <c r="T37" i="6"/>
  <c r="S37" i="6"/>
  <c r="R37" i="6"/>
  <c r="Q37" i="6"/>
  <c r="P37" i="6"/>
  <c r="O37" i="6"/>
  <c r="U37" i="6" s="1"/>
  <c r="N37" i="6"/>
  <c r="V36" i="6"/>
  <c r="T36" i="6"/>
  <c r="S36" i="6"/>
  <c r="R36" i="6"/>
  <c r="Q36" i="6"/>
  <c r="P36" i="6"/>
  <c r="O36" i="6"/>
  <c r="U36" i="6" s="1"/>
  <c r="N36" i="6"/>
  <c r="V35" i="6"/>
  <c r="T35" i="6"/>
  <c r="S35" i="6"/>
  <c r="R35" i="6"/>
  <c r="Q35" i="6"/>
  <c r="P35" i="6"/>
  <c r="O35" i="6"/>
  <c r="U35" i="6" s="1"/>
  <c r="N35" i="6"/>
  <c r="V34" i="6"/>
  <c r="T34" i="6"/>
  <c r="S34" i="6"/>
  <c r="R34" i="6"/>
  <c r="Q34" i="6"/>
  <c r="P34" i="6"/>
  <c r="O34" i="6"/>
  <c r="U34" i="6" s="1"/>
  <c r="N34" i="6"/>
  <c r="V33" i="6"/>
  <c r="T33" i="6"/>
  <c r="S33" i="6"/>
  <c r="R33" i="6"/>
  <c r="Q33" i="6"/>
  <c r="P33" i="6"/>
  <c r="O33" i="6"/>
  <c r="U33" i="6" s="1"/>
  <c r="N33" i="6"/>
  <c r="V32" i="6"/>
  <c r="T32" i="6"/>
  <c r="S32" i="6"/>
  <c r="R32" i="6"/>
  <c r="Q32" i="6"/>
  <c r="P32" i="6"/>
  <c r="O32" i="6"/>
  <c r="U32" i="6" s="1"/>
  <c r="N32" i="6"/>
  <c r="V31" i="6"/>
  <c r="T31" i="6"/>
  <c r="S31" i="6"/>
  <c r="R31" i="6"/>
  <c r="Q31" i="6"/>
  <c r="P31" i="6"/>
  <c r="O31" i="6"/>
  <c r="U31" i="6" s="1"/>
  <c r="N31" i="6"/>
  <c r="V30" i="6"/>
  <c r="T30" i="6"/>
  <c r="S30" i="6"/>
  <c r="R30" i="6"/>
  <c r="Q30" i="6"/>
  <c r="P30" i="6"/>
  <c r="O30" i="6"/>
  <c r="U30" i="6" s="1"/>
  <c r="N30" i="6"/>
  <c r="V29" i="6"/>
  <c r="T29" i="6"/>
  <c r="S29" i="6"/>
  <c r="R29" i="6"/>
  <c r="Q29" i="6"/>
  <c r="P29" i="6"/>
  <c r="O29" i="6"/>
  <c r="U29" i="6" s="1"/>
  <c r="N29" i="6"/>
  <c r="V28" i="6"/>
  <c r="T28" i="6"/>
  <c r="S28" i="6"/>
  <c r="R28" i="6"/>
  <c r="Q28" i="6"/>
  <c r="P28" i="6"/>
  <c r="O28" i="6"/>
  <c r="U28" i="6" s="1"/>
  <c r="N28" i="6"/>
  <c r="V27" i="6"/>
  <c r="T27" i="6"/>
  <c r="S27" i="6"/>
  <c r="R27" i="6"/>
  <c r="Q27" i="6"/>
  <c r="P27" i="6"/>
  <c r="O27" i="6"/>
  <c r="U27" i="6" s="1"/>
  <c r="N27" i="6"/>
  <c r="V26" i="6"/>
  <c r="T26" i="6"/>
  <c r="S26" i="6"/>
  <c r="R26" i="6"/>
  <c r="Q26" i="6"/>
  <c r="P26" i="6"/>
  <c r="O26" i="6"/>
  <c r="U26" i="6" s="1"/>
  <c r="N26" i="6"/>
  <c r="V25" i="6"/>
  <c r="T25" i="6"/>
  <c r="S25" i="6"/>
  <c r="R25" i="6"/>
  <c r="Q25" i="6"/>
  <c r="P25" i="6"/>
  <c r="O25" i="6"/>
  <c r="U25" i="6" s="1"/>
  <c r="N25" i="6"/>
  <c r="V24" i="6"/>
  <c r="T24" i="6"/>
  <c r="S24" i="6"/>
  <c r="R24" i="6"/>
  <c r="Q24" i="6"/>
  <c r="P24" i="6"/>
  <c r="O24" i="6"/>
  <c r="U24" i="6" s="1"/>
  <c r="N24" i="6"/>
  <c r="V23" i="6"/>
  <c r="T23" i="6"/>
  <c r="S23" i="6"/>
  <c r="R23" i="6"/>
  <c r="Q23" i="6"/>
  <c r="P23" i="6"/>
  <c r="O23" i="6"/>
  <c r="U23" i="6" s="1"/>
  <c r="N23" i="6"/>
  <c r="V22" i="6"/>
  <c r="T22" i="6"/>
  <c r="S22" i="6"/>
  <c r="R22" i="6"/>
  <c r="Q22" i="6"/>
  <c r="P22" i="6"/>
  <c r="O22" i="6"/>
  <c r="U22" i="6" s="1"/>
  <c r="N22" i="6"/>
  <c r="V21" i="6"/>
  <c r="T21" i="6"/>
  <c r="S21" i="6"/>
  <c r="R21" i="6"/>
  <c r="Q21" i="6"/>
  <c r="P21" i="6"/>
  <c r="O21" i="6"/>
  <c r="U21" i="6" s="1"/>
  <c r="N21" i="6"/>
  <c r="V20" i="6"/>
  <c r="T20" i="6"/>
  <c r="S20" i="6"/>
  <c r="R20" i="6"/>
  <c r="Q20" i="6"/>
  <c r="P20" i="6"/>
  <c r="O20" i="6"/>
  <c r="U20" i="6" s="1"/>
  <c r="N20" i="6"/>
  <c r="V19" i="6"/>
  <c r="T19" i="6"/>
  <c r="S19" i="6"/>
  <c r="R19" i="6"/>
  <c r="Q19" i="6"/>
  <c r="P19" i="6"/>
  <c r="O19" i="6"/>
  <c r="U19" i="6" s="1"/>
  <c r="N19" i="6"/>
  <c r="V18" i="6"/>
  <c r="T18" i="6"/>
  <c r="S18" i="6"/>
  <c r="R18" i="6"/>
  <c r="Q18" i="6"/>
  <c r="P18" i="6"/>
  <c r="O18" i="6"/>
  <c r="U18" i="6" s="1"/>
  <c r="N18" i="6"/>
  <c r="V17" i="6"/>
  <c r="T17" i="6"/>
  <c r="S17" i="6"/>
  <c r="R17" i="6"/>
  <c r="Q17" i="6"/>
  <c r="P17" i="6"/>
  <c r="O17" i="6"/>
  <c r="U17" i="6" s="1"/>
  <c r="N17" i="6"/>
  <c r="V16" i="6"/>
  <c r="T16" i="6"/>
  <c r="S16" i="6"/>
  <c r="R16" i="6"/>
  <c r="Q16" i="6"/>
  <c r="P16" i="6"/>
  <c r="O16" i="6"/>
  <c r="U16" i="6" s="1"/>
  <c r="N16" i="6"/>
  <c r="V15" i="6"/>
  <c r="T15" i="6"/>
  <c r="S15" i="6"/>
  <c r="R15" i="6"/>
  <c r="Q15" i="6"/>
  <c r="P15" i="6"/>
  <c r="O15" i="6"/>
  <c r="U15" i="6" s="1"/>
  <c r="N15" i="6"/>
  <c r="V14" i="6"/>
  <c r="T14" i="6"/>
  <c r="S14" i="6"/>
  <c r="R14" i="6"/>
  <c r="Q14" i="6"/>
  <c r="P14" i="6"/>
  <c r="O14" i="6"/>
  <c r="U14" i="6" s="1"/>
  <c r="N14" i="6"/>
  <c r="V13" i="6"/>
  <c r="T13" i="6"/>
  <c r="S13" i="6"/>
  <c r="R13" i="6"/>
  <c r="Q13" i="6"/>
  <c r="P13" i="6"/>
  <c r="O13" i="6"/>
  <c r="U13" i="6" s="1"/>
  <c r="N13" i="6"/>
  <c r="V12" i="6"/>
  <c r="T12" i="6"/>
  <c r="S12" i="6"/>
  <c r="R12" i="6"/>
  <c r="Q12" i="6"/>
  <c r="P12" i="6"/>
  <c r="O12" i="6"/>
  <c r="U12" i="6" s="1"/>
  <c r="N12" i="6"/>
  <c r="V11" i="6"/>
  <c r="T11" i="6"/>
  <c r="S11" i="6"/>
  <c r="R11" i="6"/>
  <c r="Q11" i="6"/>
  <c r="P11" i="6"/>
  <c r="O11" i="6"/>
  <c r="U11" i="6" s="1"/>
  <c r="N11" i="6"/>
  <c r="V10" i="6"/>
  <c r="T10" i="6"/>
  <c r="S10" i="6"/>
  <c r="R10" i="6"/>
  <c r="Q10" i="6"/>
  <c r="P10" i="6"/>
  <c r="O10" i="6"/>
  <c r="U10" i="6" s="1"/>
  <c r="N10" i="6"/>
  <c r="V9" i="6"/>
  <c r="T9" i="6"/>
  <c r="S9" i="6"/>
  <c r="R9" i="6"/>
  <c r="Q9" i="6"/>
  <c r="P9" i="6"/>
  <c r="O9" i="6"/>
  <c r="U9" i="6" s="1"/>
  <c r="N9" i="6"/>
  <c r="V8" i="6"/>
  <c r="T8" i="6"/>
  <c r="S8" i="6"/>
  <c r="R8" i="6"/>
  <c r="Q8" i="6"/>
  <c r="P8" i="6"/>
  <c r="O8" i="6"/>
  <c r="U8" i="6" s="1"/>
  <c r="N8" i="6"/>
  <c r="V7" i="6"/>
  <c r="T7" i="6"/>
  <c r="S7" i="6"/>
  <c r="R7" i="6"/>
  <c r="Q7" i="6"/>
  <c r="P7" i="6"/>
  <c r="O7" i="6"/>
  <c r="U7" i="6" s="1"/>
  <c r="N7" i="6"/>
  <c r="V6" i="6"/>
  <c r="T6" i="6"/>
  <c r="S6" i="6"/>
  <c r="R6" i="6"/>
  <c r="Q6" i="6"/>
  <c r="P6" i="6"/>
  <c r="O6" i="6"/>
  <c r="U6" i="6" s="1"/>
  <c r="N6" i="6"/>
  <c r="V5" i="6"/>
  <c r="T5" i="6"/>
  <c r="S5" i="6"/>
  <c r="R5" i="6"/>
  <c r="Q5" i="6"/>
  <c r="P5" i="6"/>
  <c r="O5" i="6"/>
  <c r="U5" i="6" s="1"/>
  <c r="F3" i="3" s="1"/>
  <c r="N5" i="6"/>
  <c r="V4" i="6"/>
  <c r="T4" i="6"/>
  <c r="S4" i="6"/>
  <c r="R4" i="6"/>
  <c r="Q4" i="6"/>
  <c r="P4" i="6"/>
  <c r="O4" i="6"/>
  <c r="U4" i="6" s="1"/>
  <c r="N4" i="6"/>
  <c r="V3" i="6"/>
  <c r="T3" i="6"/>
  <c r="S3" i="6"/>
  <c r="R3" i="6"/>
  <c r="Q3" i="6"/>
  <c r="P3" i="6"/>
  <c r="O3" i="6"/>
  <c r="U3" i="6" s="1"/>
  <c r="F2" i="3" s="1"/>
  <c r="N3" i="6"/>
  <c r="V2" i="6"/>
  <c r="T2" i="6"/>
  <c r="S2" i="6"/>
  <c r="R2" i="6"/>
  <c r="Q2" i="6"/>
  <c r="P2" i="6"/>
  <c r="O2" i="6"/>
  <c r="U2" i="6" s="1"/>
  <c r="F6" i="3" s="1"/>
  <c r="N2" i="6"/>
  <c r="J161" i="5"/>
  <c r="H161" i="5"/>
  <c r="I161" i="5" s="1"/>
  <c r="G161" i="5"/>
  <c r="F161" i="5"/>
  <c r="J160" i="5"/>
  <c r="H160" i="5"/>
  <c r="I160" i="5" s="1"/>
  <c r="G160" i="5"/>
  <c r="F160" i="5"/>
  <c r="J159" i="5"/>
  <c r="H159" i="5"/>
  <c r="I159" i="5" s="1"/>
  <c r="G159" i="5"/>
  <c r="F159" i="5"/>
  <c r="J158" i="5"/>
  <c r="H158" i="5"/>
  <c r="I158" i="5" s="1"/>
  <c r="G158" i="5"/>
  <c r="F158" i="5"/>
  <c r="J157" i="5"/>
  <c r="H157" i="5"/>
  <c r="I157" i="5" s="1"/>
  <c r="G157" i="5"/>
  <c r="F157" i="5"/>
  <c r="J156" i="5"/>
  <c r="H156" i="5"/>
  <c r="I156" i="5" s="1"/>
  <c r="G156" i="5"/>
  <c r="F156" i="5"/>
  <c r="J155" i="5"/>
  <c r="H155" i="5"/>
  <c r="I155" i="5" s="1"/>
  <c r="G155" i="5"/>
  <c r="F155" i="5"/>
  <c r="J154" i="5"/>
  <c r="H154" i="5"/>
  <c r="I154" i="5" s="1"/>
  <c r="G154" i="5"/>
  <c r="F154" i="5"/>
  <c r="J153" i="5"/>
  <c r="H153" i="5"/>
  <c r="I153" i="5" s="1"/>
  <c r="G153" i="5"/>
  <c r="F153" i="5"/>
  <c r="J152" i="5"/>
  <c r="H152" i="5"/>
  <c r="I152" i="5" s="1"/>
  <c r="G152" i="5"/>
  <c r="F152" i="5"/>
  <c r="J151" i="5"/>
  <c r="H151" i="5"/>
  <c r="I151" i="5" s="1"/>
  <c r="G151" i="5"/>
  <c r="F151" i="5"/>
  <c r="J150" i="5"/>
  <c r="H150" i="5"/>
  <c r="I150" i="5" s="1"/>
  <c r="G150" i="5"/>
  <c r="F150" i="5"/>
  <c r="J149" i="5"/>
  <c r="H149" i="5"/>
  <c r="I149" i="5" s="1"/>
  <c r="G149" i="5"/>
  <c r="F149" i="5"/>
  <c r="J148" i="5"/>
  <c r="H148" i="5"/>
  <c r="I148" i="5" s="1"/>
  <c r="G148" i="5"/>
  <c r="F148" i="5"/>
  <c r="J147" i="5"/>
  <c r="H147" i="5"/>
  <c r="I147" i="5" s="1"/>
  <c r="G147" i="5"/>
  <c r="F147" i="5"/>
  <c r="J146" i="5"/>
  <c r="H146" i="5"/>
  <c r="I146" i="5" s="1"/>
  <c r="G146" i="5"/>
  <c r="F146" i="5"/>
  <c r="J145" i="5"/>
  <c r="H145" i="5"/>
  <c r="I145" i="5" s="1"/>
  <c r="G145" i="5"/>
  <c r="F145" i="5"/>
  <c r="J144" i="5"/>
  <c r="H144" i="5"/>
  <c r="I144" i="5" s="1"/>
  <c r="G144" i="5"/>
  <c r="F144" i="5"/>
  <c r="J143" i="5"/>
  <c r="H143" i="5"/>
  <c r="I143" i="5" s="1"/>
  <c r="G143" i="5"/>
  <c r="F143" i="5"/>
  <c r="J142" i="5"/>
  <c r="H142" i="5"/>
  <c r="I142" i="5" s="1"/>
  <c r="G142" i="5"/>
  <c r="F142" i="5"/>
  <c r="J141" i="5"/>
  <c r="H141" i="5"/>
  <c r="I141" i="5" s="1"/>
  <c r="G141" i="5"/>
  <c r="F141" i="5"/>
  <c r="J140" i="5"/>
  <c r="H140" i="5"/>
  <c r="I140" i="5" s="1"/>
  <c r="G140" i="5"/>
  <c r="F140" i="5"/>
  <c r="J139" i="5"/>
  <c r="H139" i="5"/>
  <c r="I139" i="5" s="1"/>
  <c r="G139" i="5"/>
  <c r="F139" i="5"/>
  <c r="J138" i="5"/>
  <c r="H138" i="5"/>
  <c r="I138" i="5" s="1"/>
  <c r="G138" i="5"/>
  <c r="F138" i="5"/>
  <c r="J137" i="5"/>
  <c r="H137" i="5"/>
  <c r="I137" i="5" s="1"/>
  <c r="G137" i="5"/>
  <c r="F137" i="5"/>
  <c r="J136" i="5"/>
  <c r="H136" i="5"/>
  <c r="I136" i="5" s="1"/>
  <c r="G136" i="5"/>
  <c r="F136" i="5"/>
  <c r="J135" i="5"/>
  <c r="H135" i="5"/>
  <c r="I135" i="5" s="1"/>
  <c r="G135" i="5"/>
  <c r="F135" i="5"/>
  <c r="J134" i="5"/>
  <c r="H134" i="5"/>
  <c r="I134" i="5" s="1"/>
  <c r="G134" i="5"/>
  <c r="F134" i="5"/>
  <c r="J133" i="5"/>
  <c r="H133" i="5"/>
  <c r="I133" i="5" s="1"/>
  <c r="G133" i="5"/>
  <c r="F133" i="5"/>
  <c r="J132" i="5"/>
  <c r="H132" i="5"/>
  <c r="I132" i="5" s="1"/>
  <c r="G132" i="5"/>
  <c r="F132" i="5"/>
  <c r="J131" i="5"/>
  <c r="H131" i="5"/>
  <c r="I131" i="5" s="1"/>
  <c r="G131" i="5"/>
  <c r="F131" i="5"/>
  <c r="J130" i="5"/>
  <c r="H130" i="5"/>
  <c r="I130" i="5" s="1"/>
  <c r="G130" i="5"/>
  <c r="F130" i="5"/>
  <c r="J129" i="5"/>
  <c r="H129" i="5"/>
  <c r="I129" i="5" s="1"/>
  <c r="G129" i="5"/>
  <c r="F129" i="5"/>
  <c r="J128" i="5"/>
  <c r="H128" i="5"/>
  <c r="I128" i="5" s="1"/>
  <c r="G128" i="5"/>
  <c r="F128" i="5"/>
  <c r="J127" i="5"/>
  <c r="H127" i="5"/>
  <c r="I127" i="5" s="1"/>
  <c r="G127" i="5"/>
  <c r="F127" i="5"/>
  <c r="J126" i="5"/>
  <c r="H126" i="5"/>
  <c r="I126" i="5" s="1"/>
  <c r="G126" i="5"/>
  <c r="F126" i="5"/>
  <c r="J125" i="5"/>
  <c r="H125" i="5"/>
  <c r="I125" i="5" s="1"/>
  <c r="G125" i="5"/>
  <c r="F125" i="5"/>
  <c r="J124" i="5"/>
  <c r="H124" i="5"/>
  <c r="I124" i="5" s="1"/>
  <c r="G124" i="5"/>
  <c r="F124" i="5"/>
  <c r="J123" i="5"/>
  <c r="H123" i="5"/>
  <c r="I123" i="5" s="1"/>
  <c r="G123" i="5"/>
  <c r="F123" i="5"/>
  <c r="J122" i="5"/>
  <c r="H122" i="5"/>
  <c r="I122" i="5" s="1"/>
  <c r="G122" i="5"/>
  <c r="F122" i="5"/>
  <c r="J121" i="5"/>
  <c r="H121" i="5"/>
  <c r="I121" i="5" s="1"/>
  <c r="G121" i="5"/>
  <c r="F121" i="5"/>
  <c r="J120" i="5"/>
  <c r="H120" i="5"/>
  <c r="I120" i="5" s="1"/>
  <c r="G120" i="5"/>
  <c r="F120" i="5"/>
  <c r="J119" i="5"/>
  <c r="H119" i="5"/>
  <c r="I119" i="5" s="1"/>
  <c r="G119" i="5"/>
  <c r="F119" i="5"/>
  <c r="J118" i="5"/>
  <c r="H118" i="5"/>
  <c r="I118" i="5" s="1"/>
  <c r="G118" i="5"/>
  <c r="F118" i="5"/>
  <c r="J117" i="5"/>
  <c r="H117" i="5"/>
  <c r="I117" i="5" s="1"/>
  <c r="G117" i="5"/>
  <c r="F117" i="5"/>
  <c r="J116" i="5"/>
  <c r="H116" i="5"/>
  <c r="I116" i="5" s="1"/>
  <c r="G116" i="5"/>
  <c r="F116" i="5"/>
  <c r="J115" i="5"/>
  <c r="H115" i="5"/>
  <c r="I115" i="5" s="1"/>
  <c r="G115" i="5"/>
  <c r="F115" i="5"/>
  <c r="J114" i="5"/>
  <c r="H114" i="5"/>
  <c r="I114" i="5" s="1"/>
  <c r="G114" i="5"/>
  <c r="F114" i="5"/>
  <c r="J113" i="5"/>
  <c r="H113" i="5"/>
  <c r="I113" i="5" s="1"/>
  <c r="G113" i="5"/>
  <c r="F113" i="5"/>
  <c r="J112" i="5"/>
  <c r="H112" i="5"/>
  <c r="I112" i="5" s="1"/>
  <c r="G112" i="5"/>
  <c r="F112" i="5"/>
  <c r="J111" i="5"/>
  <c r="H111" i="5"/>
  <c r="I111" i="5" s="1"/>
  <c r="G111" i="5"/>
  <c r="F111" i="5"/>
  <c r="J110" i="5"/>
  <c r="H110" i="5"/>
  <c r="I110" i="5" s="1"/>
  <c r="G110" i="5"/>
  <c r="F110" i="5"/>
  <c r="J109" i="5"/>
  <c r="H109" i="5"/>
  <c r="I109" i="5" s="1"/>
  <c r="G109" i="5"/>
  <c r="F109" i="5"/>
  <c r="J108" i="5"/>
  <c r="H108" i="5"/>
  <c r="I108" i="5" s="1"/>
  <c r="G108" i="5"/>
  <c r="F108" i="5"/>
  <c r="J107" i="5"/>
  <c r="H107" i="5"/>
  <c r="I107" i="5" s="1"/>
  <c r="G107" i="5"/>
  <c r="F107" i="5"/>
  <c r="J106" i="5"/>
  <c r="H106" i="5"/>
  <c r="I106" i="5" s="1"/>
  <c r="G106" i="5"/>
  <c r="F106" i="5"/>
  <c r="J105" i="5"/>
  <c r="H105" i="5"/>
  <c r="I105" i="5" s="1"/>
  <c r="G105" i="5"/>
  <c r="F105" i="5"/>
  <c r="J104" i="5"/>
  <c r="H104" i="5"/>
  <c r="I104" i="5" s="1"/>
  <c r="G104" i="5"/>
  <c r="F104" i="5"/>
  <c r="J103" i="5"/>
  <c r="H103" i="5"/>
  <c r="I103" i="5" s="1"/>
  <c r="G103" i="5"/>
  <c r="F103" i="5"/>
  <c r="J102" i="5"/>
  <c r="H102" i="5"/>
  <c r="I102" i="5" s="1"/>
  <c r="G102" i="5"/>
  <c r="F102" i="5"/>
  <c r="J101" i="5"/>
  <c r="H101" i="5"/>
  <c r="I101" i="5" s="1"/>
  <c r="G101" i="5"/>
  <c r="F101" i="5"/>
  <c r="J100" i="5"/>
  <c r="H100" i="5"/>
  <c r="I100" i="5" s="1"/>
  <c r="G100" i="5"/>
  <c r="F100" i="5"/>
  <c r="J99" i="5"/>
  <c r="H99" i="5"/>
  <c r="I99" i="5" s="1"/>
  <c r="G99" i="5"/>
  <c r="F99" i="5"/>
  <c r="J98" i="5"/>
  <c r="H98" i="5"/>
  <c r="I98" i="5" s="1"/>
  <c r="G98" i="5"/>
  <c r="F98" i="5"/>
  <c r="J97" i="5"/>
  <c r="H97" i="5"/>
  <c r="I97" i="5" s="1"/>
  <c r="G97" i="5"/>
  <c r="F97" i="5"/>
  <c r="J96" i="5"/>
  <c r="H96" i="5"/>
  <c r="I96" i="5" s="1"/>
  <c r="G96" i="5"/>
  <c r="F96" i="5"/>
  <c r="J95" i="5"/>
  <c r="H95" i="5"/>
  <c r="I95" i="5" s="1"/>
  <c r="G95" i="5"/>
  <c r="F95" i="5"/>
  <c r="J94" i="5"/>
  <c r="H94" i="5"/>
  <c r="I94" i="5" s="1"/>
  <c r="G94" i="5"/>
  <c r="F94" i="5"/>
  <c r="J93" i="5"/>
  <c r="H93" i="5"/>
  <c r="I93" i="5" s="1"/>
  <c r="G93" i="5"/>
  <c r="F93" i="5"/>
  <c r="J92" i="5"/>
  <c r="H92" i="5"/>
  <c r="I92" i="5" s="1"/>
  <c r="G92" i="5"/>
  <c r="F92" i="5"/>
  <c r="J91" i="5"/>
  <c r="H91" i="5"/>
  <c r="I91" i="5" s="1"/>
  <c r="G91" i="5"/>
  <c r="F91" i="5"/>
  <c r="J90" i="5"/>
  <c r="H90" i="5"/>
  <c r="I90" i="5" s="1"/>
  <c r="G90" i="5"/>
  <c r="F90" i="5"/>
  <c r="J89" i="5"/>
  <c r="H89" i="5"/>
  <c r="I89" i="5" s="1"/>
  <c r="G89" i="5"/>
  <c r="F89" i="5"/>
  <c r="J88" i="5"/>
  <c r="H88" i="5"/>
  <c r="I88" i="5" s="1"/>
  <c r="G88" i="5"/>
  <c r="F88" i="5"/>
  <c r="J87" i="5"/>
  <c r="H87" i="5"/>
  <c r="I87" i="5" s="1"/>
  <c r="G87" i="5"/>
  <c r="F87" i="5"/>
  <c r="J86" i="5"/>
  <c r="H86" i="5"/>
  <c r="I86" i="5" s="1"/>
  <c r="G86" i="5"/>
  <c r="F86" i="5"/>
  <c r="J85" i="5"/>
  <c r="H85" i="5"/>
  <c r="I85" i="5" s="1"/>
  <c r="G85" i="5"/>
  <c r="F85" i="5"/>
  <c r="J84" i="5"/>
  <c r="H84" i="5"/>
  <c r="I84" i="5" s="1"/>
  <c r="G84" i="5"/>
  <c r="F84" i="5"/>
  <c r="J83" i="5"/>
  <c r="H83" i="5"/>
  <c r="I83" i="5" s="1"/>
  <c r="G83" i="5"/>
  <c r="F83" i="5"/>
  <c r="J82" i="5"/>
  <c r="H82" i="5"/>
  <c r="I82" i="5" s="1"/>
  <c r="G82" i="5"/>
  <c r="F82" i="5"/>
  <c r="J81" i="5"/>
  <c r="H81" i="5"/>
  <c r="I81" i="5" s="1"/>
  <c r="G81" i="5"/>
  <c r="F81" i="5"/>
  <c r="J80" i="5"/>
  <c r="H80" i="5"/>
  <c r="I80" i="5" s="1"/>
  <c r="G80" i="5"/>
  <c r="F80" i="5"/>
  <c r="J79" i="5"/>
  <c r="H79" i="5"/>
  <c r="I79" i="5" s="1"/>
  <c r="G79" i="5"/>
  <c r="F79" i="5"/>
  <c r="J78" i="5"/>
  <c r="H78" i="5"/>
  <c r="I78" i="5" s="1"/>
  <c r="G78" i="5"/>
  <c r="F78" i="5"/>
  <c r="J77" i="5"/>
  <c r="H77" i="5"/>
  <c r="I77" i="5" s="1"/>
  <c r="G77" i="5"/>
  <c r="F77" i="5"/>
  <c r="J76" i="5"/>
  <c r="H76" i="5"/>
  <c r="I76" i="5" s="1"/>
  <c r="G76" i="5"/>
  <c r="F76" i="5"/>
  <c r="J75" i="5"/>
  <c r="H75" i="5"/>
  <c r="I75" i="5" s="1"/>
  <c r="G75" i="5"/>
  <c r="F75" i="5"/>
  <c r="J74" i="5"/>
  <c r="H74" i="5"/>
  <c r="I74" i="5" s="1"/>
  <c r="G74" i="5"/>
  <c r="F74" i="5"/>
  <c r="J73" i="5"/>
  <c r="H73" i="5"/>
  <c r="I73" i="5" s="1"/>
  <c r="G73" i="5"/>
  <c r="F73" i="5"/>
  <c r="J72" i="5"/>
  <c r="H72" i="5"/>
  <c r="I72" i="5" s="1"/>
  <c r="G72" i="5"/>
  <c r="F72" i="5"/>
  <c r="J71" i="5"/>
  <c r="H71" i="5"/>
  <c r="I71" i="5" s="1"/>
  <c r="G71" i="5"/>
  <c r="F71" i="5"/>
  <c r="J70" i="5"/>
  <c r="H70" i="5"/>
  <c r="I70" i="5" s="1"/>
  <c r="G70" i="5"/>
  <c r="F70" i="5"/>
  <c r="J69" i="5"/>
  <c r="H69" i="5"/>
  <c r="I69" i="5" s="1"/>
  <c r="G69" i="5"/>
  <c r="F69" i="5"/>
  <c r="J68" i="5"/>
  <c r="H68" i="5"/>
  <c r="I68" i="5" s="1"/>
  <c r="G68" i="5"/>
  <c r="F68" i="5"/>
  <c r="J67" i="5"/>
  <c r="H67" i="5"/>
  <c r="I67" i="5" s="1"/>
  <c r="G67" i="5"/>
  <c r="F67" i="5"/>
  <c r="J66" i="5"/>
  <c r="H66" i="5"/>
  <c r="I66" i="5" s="1"/>
  <c r="G66" i="5"/>
  <c r="F66" i="5"/>
  <c r="J65" i="5"/>
  <c r="H65" i="5"/>
  <c r="I65" i="5" s="1"/>
  <c r="G65" i="5"/>
  <c r="F65" i="5"/>
  <c r="J64" i="5"/>
  <c r="H64" i="5"/>
  <c r="I64" i="5" s="1"/>
  <c r="G64" i="5"/>
  <c r="F64" i="5"/>
  <c r="J63" i="5"/>
  <c r="H63" i="5"/>
  <c r="I63" i="5" s="1"/>
  <c r="G63" i="5"/>
  <c r="F63" i="5"/>
  <c r="J62" i="5"/>
  <c r="H62" i="5"/>
  <c r="I62" i="5" s="1"/>
  <c r="G62" i="5"/>
  <c r="F62" i="5"/>
  <c r="J61" i="5"/>
  <c r="H61" i="5"/>
  <c r="I61" i="5" s="1"/>
  <c r="G61" i="5"/>
  <c r="F61" i="5"/>
  <c r="J60" i="5"/>
  <c r="H60" i="5"/>
  <c r="I60" i="5" s="1"/>
  <c r="G60" i="5"/>
  <c r="F60" i="5"/>
  <c r="J59" i="5"/>
  <c r="H59" i="5"/>
  <c r="I59" i="5" s="1"/>
  <c r="G59" i="5"/>
  <c r="F59" i="5"/>
  <c r="J58" i="5"/>
  <c r="H58" i="5"/>
  <c r="I58" i="5" s="1"/>
  <c r="G58" i="5"/>
  <c r="F58" i="5"/>
  <c r="J57" i="5"/>
  <c r="H57" i="5"/>
  <c r="I57" i="5" s="1"/>
  <c r="G57" i="5"/>
  <c r="F57" i="5"/>
  <c r="J56" i="5"/>
  <c r="H56" i="5"/>
  <c r="I56" i="5" s="1"/>
  <c r="G56" i="5"/>
  <c r="F56" i="5"/>
  <c r="J55" i="5"/>
  <c r="H55" i="5"/>
  <c r="I55" i="5" s="1"/>
  <c r="G55" i="5"/>
  <c r="F55" i="5"/>
  <c r="J54" i="5"/>
  <c r="H54" i="5"/>
  <c r="I54" i="5" s="1"/>
  <c r="G54" i="5"/>
  <c r="F54" i="5"/>
  <c r="J53" i="5"/>
  <c r="H53" i="5"/>
  <c r="I53" i="5" s="1"/>
  <c r="G53" i="5"/>
  <c r="F53" i="5"/>
  <c r="J52" i="5"/>
  <c r="H52" i="5"/>
  <c r="I52" i="5" s="1"/>
  <c r="G52" i="5"/>
  <c r="F52" i="5"/>
  <c r="J51" i="5"/>
  <c r="H51" i="5"/>
  <c r="I51" i="5" s="1"/>
  <c r="G51" i="5"/>
  <c r="F51" i="5"/>
  <c r="J50" i="5"/>
  <c r="H50" i="5"/>
  <c r="I50" i="5" s="1"/>
  <c r="G50" i="5"/>
  <c r="F50" i="5"/>
  <c r="J49" i="5"/>
  <c r="H49" i="5"/>
  <c r="I49" i="5" s="1"/>
  <c r="G49" i="5"/>
  <c r="F49" i="5"/>
  <c r="J48" i="5"/>
  <c r="H48" i="5"/>
  <c r="I48" i="5" s="1"/>
  <c r="G48" i="5"/>
  <c r="F48" i="5"/>
  <c r="J47" i="5"/>
  <c r="H47" i="5"/>
  <c r="I47" i="5" s="1"/>
  <c r="G47" i="5"/>
  <c r="F47" i="5"/>
  <c r="J46" i="5"/>
  <c r="H46" i="5"/>
  <c r="I46" i="5" s="1"/>
  <c r="G46" i="5"/>
  <c r="F46" i="5"/>
  <c r="J45" i="5"/>
  <c r="H45" i="5"/>
  <c r="I45" i="5" s="1"/>
  <c r="G45" i="5"/>
  <c r="F45" i="5"/>
  <c r="J44" i="5"/>
  <c r="H44" i="5"/>
  <c r="I44" i="5" s="1"/>
  <c r="G44" i="5"/>
  <c r="F44" i="5"/>
  <c r="J43" i="5"/>
  <c r="H43" i="5"/>
  <c r="I43" i="5" s="1"/>
  <c r="G43" i="5"/>
  <c r="F43" i="5"/>
  <c r="J42" i="5"/>
  <c r="H42" i="5"/>
  <c r="I42" i="5" s="1"/>
  <c r="G42" i="5"/>
  <c r="F42" i="5"/>
  <c r="J41" i="5"/>
  <c r="H41" i="5"/>
  <c r="I41" i="5" s="1"/>
  <c r="G41" i="5"/>
  <c r="F41" i="5"/>
  <c r="J40" i="5"/>
  <c r="H40" i="5"/>
  <c r="I40" i="5" s="1"/>
  <c r="G40" i="5"/>
  <c r="F40" i="5"/>
  <c r="J39" i="5"/>
  <c r="H39" i="5"/>
  <c r="I39" i="5" s="1"/>
  <c r="G39" i="5"/>
  <c r="F39" i="5"/>
  <c r="J38" i="5"/>
  <c r="H38" i="5"/>
  <c r="I38" i="5" s="1"/>
  <c r="G38" i="5"/>
  <c r="F38" i="5"/>
  <c r="J37" i="5"/>
  <c r="H37" i="5"/>
  <c r="I37" i="5" s="1"/>
  <c r="G37" i="5"/>
  <c r="F37" i="5"/>
  <c r="J36" i="5"/>
  <c r="H36" i="5"/>
  <c r="I36" i="5" s="1"/>
  <c r="G36" i="5"/>
  <c r="F36" i="5"/>
  <c r="J35" i="5"/>
  <c r="H35" i="5"/>
  <c r="I35" i="5" s="1"/>
  <c r="G35" i="5"/>
  <c r="F35" i="5"/>
  <c r="J34" i="5"/>
  <c r="H34" i="5"/>
  <c r="I34" i="5" s="1"/>
  <c r="G34" i="5"/>
  <c r="F34" i="5"/>
  <c r="J33" i="5"/>
  <c r="H33" i="5"/>
  <c r="I33" i="5" s="1"/>
  <c r="G33" i="5"/>
  <c r="F33" i="5"/>
  <c r="J32" i="5"/>
  <c r="H32" i="5"/>
  <c r="I32" i="5" s="1"/>
  <c r="G32" i="5"/>
  <c r="F32" i="5"/>
  <c r="J31" i="5"/>
  <c r="H31" i="5"/>
  <c r="I31" i="5" s="1"/>
  <c r="G31" i="5"/>
  <c r="F31" i="5"/>
  <c r="J30" i="5"/>
  <c r="H30" i="5"/>
  <c r="I30" i="5" s="1"/>
  <c r="G30" i="5"/>
  <c r="F30" i="5"/>
  <c r="J29" i="5"/>
  <c r="H29" i="5"/>
  <c r="I29" i="5" s="1"/>
  <c r="G29" i="5"/>
  <c r="F29" i="5"/>
  <c r="J28" i="5"/>
  <c r="H28" i="5"/>
  <c r="I28" i="5" s="1"/>
  <c r="G28" i="5"/>
  <c r="F28" i="5"/>
  <c r="J27" i="5"/>
  <c r="H27" i="5"/>
  <c r="I27" i="5" s="1"/>
  <c r="G27" i="5"/>
  <c r="F27" i="5"/>
  <c r="J26" i="5"/>
  <c r="H26" i="5"/>
  <c r="I26" i="5" s="1"/>
  <c r="G26" i="5"/>
  <c r="F26" i="5"/>
  <c r="J25" i="5"/>
  <c r="H25" i="5"/>
  <c r="I25" i="5" s="1"/>
  <c r="G25" i="5"/>
  <c r="F25" i="5"/>
  <c r="J24" i="5"/>
  <c r="H24" i="5"/>
  <c r="I24" i="5" s="1"/>
  <c r="G24" i="5"/>
  <c r="F24" i="5"/>
  <c r="J23" i="5"/>
  <c r="H23" i="5"/>
  <c r="I23" i="5" s="1"/>
  <c r="G23" i="5"/>
  <c r="F23" i="5"/>
  <c r="J22" i="5"/>
  <c r="H22" i="5"/>
  <c r="I22" i="5" s="1"/>
  <c r="G22" i="5"/>
  <c r="F22" i="5"/>
  <c r="J21" i="5"/>
  <c r="H21" i="5"/>
  <c r="I21" i="5" s="1"/>
  <c r="G21" i="5"/>
  <c r="F21" i="5"/>
  <c r="J20" i="5"/>
  <c r="H20" i="5"/>
  <c r="I20" i="5" s="1"/>
  <c r="G20" i="5"/>
  <c r="F20" i="5"/>
  <c r="J19" i="5"/>
  <c r="H19" i="5"/>
  <c r="I19" i="5" s="1"/>
  <c r="G19" i="5"/>
  <c r="F19" i="5"/>
  <c r="J18" i="5"/>
  <c r="H18" i="5"/>
  <c r="I18" i="5" s="1"/>
  <c r="G18" i="5"/>
  <c r="F18" i="5"/>
  <c r="J17" i="5"/>
  <c r="H17" i="5"/>
  <c r="I17" i="5" s="1"/>
  <c r="G17" i="5"/>
  <c r="F17" i="5"/>
  <c r="J16" i="5"/>
  <c r="H16" i="5"/>
  <c r="I16" i="5" s="1"/>
  <c r="G16" i="5"/>
  <c r="F16" i="5"/>
  <c r="J15" i="5"/>
  <c r="H15" i="5"/>
  <c r="I15" i="5" s="1"/>
  <c r="G15" i="5"/>
  <c r="F15" i="5"/>
  <c r="J14" i="5"/>
  <c r="H14" i="5"/>
  <c r="I14" i="5" s="1"/>
  <c r="G14" i="5"/>
  <c r="F14" i="5"/>
  <c r="J13" i="5"/>
  <c r="H13" i="5"/>
  <c r="I13" i="5" s="1"/>
  <c r="G13" i="5"/>
  <c r="F13" i="5"/>
  <c r="J12" i="5"/>
  <c r="H12" i="5"/>
  <c r="I12" i="5" s="1"/>
  <c r="G12" i="5"/>
  <c r="F12" i="5"/>
  <c r="J11" i="5"/>
  <c r="H11" i="5"/>
  <c r="I11" i="5" s="1"/>
  <c r="G11" i="5"/>
  <c r="F11" i="5"/>
  <c r="J10" i="5"/>
  <c r="H10" i="5"/>
  <c r="I10" i="5" s="1"/>
  <c r="G10" i="5"/>
  <c r="F10" i="5"/>
  <c r="J9" i="5"/>
  <c r="H9" i="5"/>
  <c r="I9" i="5" s="1"/>
  <c r="G9" i="5"/>
  <c r="F9" i="5"/>
  <c r="J8" i="5"/>
  <c r="H8" i="5"/>
  <c r="I8" i="5" s="1"/>
  <c r="G8" i="5"/>
  <c r="F8" i="5"/>
  <c r="J7" i="5"/>
  <c r="H7" i="5"/>
  <c r="I7" i="5" s="1"/>
  <c r="G7" i="5"/>
  <c r="F7" i="5"/>
  <c r="J6" i="5"/>
  <c r="H6" i="5"/>
  <c r="I6" i="5" s="1"/>
  <c r="G6" i="5"/>
  <c r="F6" i="5"/>
  <c r="J5" i="5"/>
  <c r="H5" i="5"/>
  <c r="I5" i="5" s="1"/>
  <c r="G5" i="5"/>
  <c r="F5" i="5"/>
  <c r="J4" i="5"/>
  <c r="H4" i="5"/>
  <c r="I4" i="5" s="1"/>
  <c r="G4" i="5"/>
  <c r="F4" i="5"/>
  <c r="J3" i="5"/>
  <c r="H3" i="5"/>
  <c r="I3" i="5" s="1"/>
  <c r="G3" i="5"/>
  <c r="F3" i="5"/>
  <c r="J2" i="5"/>
  <c r="H2" i="5"/>
  <c r="I2" i="5" s="1"/>
  <c r="G2" i="5"/>
  <c r="F2" i="5"/>
  <c r="B4" i="4"/>
  <c r="B3" i="4"/>
  <c r="B2" i="4"/>
  <c r="J9" i="3"/>
  <c r="I9" i="3"/>
  <c r="K9" i="3" s="1"/>
  <c r="H9" i="3"/>
  <c r="C9" i="3"/>
  <c r="B9" i="3"/>
  <c r="J8" i="3"/>
  <c r="I8" i="3"/>
  <c r="K8" i="3" s="1"/>
  <c r="H8" i="3"/>
  <c r="D8" i="3"/>
  <c r="C8" i="3"/>
  <c r="B8" i="3"/>
  <c r="J7" i="3"/>
  <c r="I7" i="3"/>
  <c r="K7" i="3" s="1"/>
  <c r="H7" i="3"/>
  <c r="E7" i="3"/>
  <c r="D7" i="3"/>
  <c r="C7" i="3"/>
  <c r="B7" i="3"/>
  <c r="J6" i="3"/>
  <c r="I6" i="3"/>
  <c r="K6" i="3" s="1"/>
  <c r="H6" i="3"/>
  <c r="E6" i="3"/>
  <c r="D6" i="3"/>
  <c r="C6" i="3"/>
  <c r="B6" i="3"/>
  <c r="J5" i="3"/>
  <c r="I5" i="3"/>
  <c r="K5" i="3" s="1"/>
  <c r="H5" i="3"/>
  <c r="E5" i="3"/>
  <c r="D5" i="3"/>
  <c r="C5" i="3"/>
  <c r="B5" i="3"/>
  <c r="J4" i="3"/>
  <c r="I4" i="3"/>
  <c r="K4" i="3" s="1"/>
  <c r="H4" i="3"/>
  <c r="E4" i="3"/>
  <c r="D4" i="3"/>
  <c r="C4" i="3"/>
  <c r="B4" i="3"/>
  <c r="J3" i="3"/>
  <c r="I3" i="3"/>
  <c r="K3" i="3" s="1"/>
  <c r="H3" i="3"/>
  <c r="E3" i="3"/>
  <c r="D3" i="3"/>
  <c r="C3" i="3"/>
  <c r="B3" i="3"/>
  <c r="J2" i="3"/>
  <c r="I2" i="3"/>
  <c r="K2" i="3" s="1"/>
  <c r="H2" i="3"/>
  <c r="E2" i="3"/>
  <c r="D2" i="3"/>
  <c r="C2" i="3"/>
  <c r="B2" i="3"/>
  <c r="B11" i="2"/>
  <c r="B10" i="2"/>
  <c r="B9" i="2"/>
  <c r="B8" i="2"/>
  <c r="B5" i="2"/>
  <c r="B4" i="2"/>
  <c r="B3" i="2"/>
  <c r="B2" i="2"/>
  <c r="L5" i="1"/>
  <c r="J5" i="1"/>
  <c r="H5" i="1"/>
  <c r="D5" i="1"/>
  <c r="B5" i="1"/>
  <c r="U270" i="6" l="1"/>
  <c r="F9" i="3" s="1"/>
  <c r="E9" i="3"/>
  <c r="D9" i="3"/>
  <c r="U269" i="6"/>
  <c r="F8" i="3" s="1"/>
  <c r="E8" i="3"/>
  <c r="G2" i="3"/>
  <c r="G3" i="3"/>
  <c r="G6" i="3"/>
  <c r="F4" i="3"/>
  <c r="F5" i="3"/>
  <c r="G5" i="3" s="1"/>
  <c r="F7" i="3"/>
  <c r="G7" i="3" s="1"/>
  <c r="G8" i="3" l="1"/>
  <c r="G9" i="3"/>
  <c r="G4" i="3"/>
  <c r="F5" i="1"/>
</calcChain>
</file>

<file path=xl/sharedStrings.xml><?xml version="1.0" encoding="utf-8"?>
<sst xmlns="http://schemas.openxmlformats.org/spreadsheetml/2006/main" count="28506" uniqueCount="4421">
  <si>
    <t>INVENTORY &amp; PROCUREMENT OPERATIONS DASHBOARD</t>
  </si>
  <si>
    <t>Observation Period: Jan 2025 - Dec 2026 | Fictional Company Data | Powered by Excel Formulas</t>
  </si>
  <si>
    <t>Total PO Spend (INR)</t>
  </si>
  <si>
    <t>Total POs Issued</t>
  </si>
  <si>
    <t>Global Late Rate %</t>
  </si>
  <si>
    <t>Global Reject Rate %</t>
  </si>
  <si>
    <t>Stockout Risk Count</t>
  </si>
  <si>
    <t>Excess Stock Count</t>
  </si>
  <si>
    <t>Product_Category</t>
  </si>
  <si>
    <t>Total_PO_Spend_INR</t>
  </si>
  <si>
    <t>Electronics</t>
  </si>
  <si>
    <t>Networking</t>
  </si>
  <si>
    <t>Peripherals</t>
  </si>
  <si>
    <t>Office Furniture</t>
  </si>
  <si>
    <t>Warehouse_ID</t>
  </si>
  <si>
    <t>WH-BOM</t>
  </si>
  <si>
    <t>WH-DEL</t>
  </si>
  <si>
    <t>WH-BLR</t>
  </si>
  <si>
    <t>WH-PUN</t>
  </si>
  <si>
    <t>Supplier_ID</t>
  </si>
  <si>
    <t>Supplier_Name</t>
  </si>
  <si>
    <t>Total_POs</t>
  </si>
  <si>
    <t>Open_POs</t>
  </si>
  <si>
    <t>Delivered_POs</t>
  </si>
  <si>
    <t>Late_Deliveries</t>
  </si>
  <si>
    <t>Late_Rate_%</t>
  </si>
  <si>
    <t>Total_Spend_INR</t>
  </si>
  <si>
    <t>Total_Received_Qty</t>
  </si>
  <si>
    <t>Total_Rejected_Qty</t>
  </si>
  <si>
    <t>Reject_Rate_%</t>
  </si>
  <si>
    <t>SUP-01</t>
  </si>
  <si>
    <t>SUP-02</t>
  </si>
  <si>
    <t>SUP-03</t>
  </si>
  <si>
    <t>SUP-04</t>
  </si>
  <si>
    <t>SUP-05</t>
  </si>
  <si>
    <t>SUP-06</t>
  </si>
  <si>
    <t>SUP-07</t>
  </si>
  <si>
    <t>SUP-08</t>
  </si>
  <si>
    <t>Stock_Status</t>
  </si>
  <si>
    <t>Count</t>
  </si>
  <si>
    <t>Healthy</t>
  </si>
  <si>
    <t>Excess</t>
  </si>
  <si>
    <t>Stockout Risk</t>
  </si>
  <si>
    <t>SKU</t>
  </si>
  <si>
    <t>Target_Stock_Qty</t>
  </si>
  <si>
    <t>Reorder_Level_Qty</t>
  </si>
  <si>
    <t>Available_Stock_Qty</t>
  </si>
  <si>
    <t>Product_Name</t>
  </si>
  <si>
    <t>Category</t>
  </si>
  <si>
    <t>Unit_Cost</t>
  </si>
  <si>
    <t>Inventory_Value</t>
  </si>
  <si>
    <t>Stock_Health_Status</t>
  </si>
  <si>
    <t>SKU-1001</t>
  </si>
  <si>
    <t>SKU-1002</t>
  </si>
  <si>
    <t>SKU-1003</t>
  </si>
  <si>
    <t>SKU-1004</t>
  </si>
  <si>
    <t>SKU-1005</t>
  </si>
  <si>
    <t>SKU-1006</t>
  </si>
  <si>
    <t>SKU-1007</t>
  </si>
  <si>
    <t>SKU-1008</t>
  </si>
  <si>
    <t>SKU-1009</t>
  </si>
  <si>
    <t>SKU-1010</t>
  </si>
  <si>
    <t>SKU-1011</t>
  </si>
  <si>
    <t>SKU-1012</t>
  </si>
  <si>
    <t>SKU-1013</t>
  </si>
  <si>
    <t>SKU-1014</t>
  </si>
  <si>
    <t>SKU-1015</t>
  </si>
  <si>
    <t>SKU-1016</t>
  </si>
  <si>
    <t>SKU-1017</t>
  </si>
  <si>
    <t>SKU-1018</t>
  </si>
  <si>
    <t>SKU-1019</t>
  </si>
  <si>
    <t>SKU-1020</t>
  </si>
  <si>
    <t>SKU-1021</t>
  </si>
  <si>
    <t>SKU-1022</t>
  </si>
  <si>
    <t>SKU-1023</t>
  </si>
  <si>
    <t>SKU-1024</t>
  </si>
  <si>
    <t>SKU-1025</t>
  </si>
  <si>
    <t>SKU-1026</t>
  </si>
  <si>
    <t>SKU-1027</t>
  </si>
  <si>
    <t>SKU-1028</t>
  </si>
  <si>
    <t>SKU-1029</t>
  </si>
  <si>
    <t>SKU-1030</t>
  </si>
  <si>
    <t>SKU-1031</t>
  </si>
  <si>
    <t>SKU-1032</t>
  </si>
  <si>
    <t>SKU-1033</t>
  </si>
  <si>
    <t>SKU-1034</t>
  </si>
  <si>
    <t>SKU-1035</t>
  </si>
  <si>
    <t>SKU-1036</t>
  </si>
  <si>
    <t>SKU-1037</t>
  </si>
  <si>
    <t>SKU-1038</t>
  </si>
  <si>
    <t>SKU-1039</t>
  </si>
  <si>
    <t>SKU-1040</t>
  </si>
  <si>
    <t>PO_Number</t>
  </si>
  <si>
    <t>Order_Date</t>
  </si>
  <si>
    <t>Qty_Ordered</t>
  </si>
  <si>
    <t>Unit_Cost_INR</t>
  </si>
  <si>
    <t>Total_Order_Value_INR</t>
  </si>
  <si>
    <t>Promised_Delivery_Date</t>
  </si>
  <si>
    <t>Actual_Delivery_Date</t>
  </si>
  <si>
    <t>Qty_Received</t>
  </si>
  <si>
    <t>Qty_Rejected</t>
  </si>
  <si>
    <t>Order_Status</t>
  </si>
  <si>
    <t>Clean_PO_Number</t>
  </si>
  <si>
    <t>Clean_Status</t>
  </si>
  <si>
    <t>Clean_Warehouse</t>
  </si>
  <si>
    <t>Supplier_Name_VLOOKUP</t>
  </si>
  <si>
    <t>Category_XLOOKUP</t>
  </si>
  <si>
    <t>Imputed_Promised_Date</t>
  </si>
  <si>
    <t>Days_To_Deliver</t>
  </si>
  <si>
    <t>Delivery_Status_IF</t>
  </si>
  <si>
    <t>Rejected_Rate</t>
  </si>
  <si>
    <t>PO-100001</t>
  </si>
  <si>
    <t>2026-06-16</t>
  </si>
  <si>
    <t>2026-07-04</t>
  </si>
  <si>
    <t>2026-07-05</t>
  </si>
  <si>
    <t>Delivered</t>
  </si>
  <si>
    <t>PO-100002</t>
  </si>
  <si>
    <t>2026-09-19</t>
  </si>
  <si>
    <t>2026-10-03</t>
  </si>
  <si>
    <t>PO-100003</t>
  </si>
  <si>
    <t>2025-01-03</t>
  </si>
  <si>
    <t>2025-01-17</t>
  </si>
  <si>
    <t>PO-100004</t>
  </si>
  <si>
    <t>2026-05-22</t>
  </si>
  <si>
    <t>2026-06-12</t>
  </si>
  <si>
    <t>2026-06-13</t>
  </si>
  <si>
    <t>PO-100005</t>
  </si>
  <si>
    <t>2026-02-02</t>
  </si>
  <si>
    <t>2026-02-16</t>
  </si>
  <si>
    <t>PO-100006</t>
  </si>
  <si>
    <t>2026-07-15</t>
  </si>
  <si>
    <t>2026-07-27</t>
  </si>
  <si>
    <t>PO-100007</t>
  </si>
  <si>
    <t>2026-08-27</t>
  </si>
  <si>
    <t>2026-09-03</t>
  </si>
  <si>
    <t>2026-09-02</t>
  </si>
  <si>
    <t>PO-100008</t>
  </si>
  <si>
    <t>2025-09-08</t>
  </si>
  <si>
    <t>2025-09-26</t>
  </si>
  <si>
    <t>2025-09-29</t>
  </si>
  <si>
    <t>PO-100009</t>
  </si>
  <si>
    <t>2026-07-23</t>
  </si>
  <si>
    <t>2026-08-02</t>
  </si>
  <si>
    <t>2026-08-03</t>
  </si>
  <si>
    <t>PO-100010</t>
  </si>
  <si>
    <t>2025-09-24</t>
  </si>
  <si>
    <t>2025-10-08</t>
  </si>
  <si>
    <t>2025-10-05</t>
  </si>
  <si>
    <t>PO-100011</t>
  </si>
  <si>
    <t>2026-04-03</t>
  </si>
  <si>
    <t>2026-04-13</t>
  </si>
  <si>
    <t>2026-04-14</t>
  </si>
  <si>
    <t>PO-100012</t>
  </si>
  <si>
    <t>2025-10-07</t>
  </si>
  <si>
    <t>2025-10-28</t>
  </si>
  <si>
    <t>2025-10-30</t>
  </si>
  <si>
    <t>PO-100013</t>
  </si>
  <si>
    <t>2026-10-22</t>
  </si>
  <si>
    <t>2026-11-05</t>
  </si>
  <si>
    <t>PO-100014</t>
  </si>
  <si>
    <t>2025-05-22</t>
  </si>
  <si>
    <t>2025-06-12</t>
  </si>
  <si>
    <t>2025-06-13</t>
  </si>
  <si>
    <t>PO-100015</t>
  </si>
  <si>
    <t>2026-02-05</t>
  </si>
  <si>
    <t>2026-02-19</t>
  </si>
  <si>
    <t>DELIVERED</t>
  </si>
  <si>
    <t>PO-100016</t>
  </si>
  <si>
    <t>2025-05-20</t>
  </si>
  <si>
    <t>2025-06-07</t>
  </si>
  <si>
    <t>PO-100017</t>
  </si>
  <si>
    <t>2025-08-16</t>
  </si>
  <si>
    <t>2025-09-03</t>
  </si>
  <si>
    <t>2025-09-06</t>
  </si>
  <si>
    <t>PO-100018</t>
  </si>
  <si>
    <t>2026-07-28</t>
  </si>
  <si>
    <t>2026-08-07</t>
  </si>
  <si>
    <t>2026-08-08</t>
  </si>
  <si>
    <t xml:space="preserve">Delivered </t>
  </si>
  <si>
    <t>PO-100019</t>
  </si>
  <si>
    <t>2026-10-09</t>
  </si>
  <si>
    <t>2026-10-19</t>
  </si>
  <si>
    <t>2026-10-31</t>
  </si>
  <si>
    <t>PO-100020</t>
  </si>
  <si>
    <t>2025-02-02</t>
  </si>
  <si>
    <t>2025-02-26</t>
  </si>
  <si>
    <t>2025-02-28</t>
  </si>
  <si>
    <t>PO-100021</t>
  </si>
  <si>
    <t>2025-02-25</t>
  </si>
  <si>
    <t>2025-03-07</t>
  </si>
  <si>
    <t>PO-100022</t>
  </si>
  <si>
    <t>2025-07-25</t>
  </si>
  <si>
    <t>2025-08-04</t>
  </si>
  <si>
    <t>PO-100023</t>
  </si>
  <si>
    <t>2026-06-30</t>
  </si>
  <si>
    <t>2026-07-10</t>
  </si>
  <si>
    <t>2026-07-11</t>
  </si>
  <si>
    <t>PO-100024</t>
  </si>
  <si>
    <t>2025-09-22</t>
  </si>
  <si>
    <t>2025-10-16</t>
  </si>
  <si>
    <t>2025-10-22</t>
  </si>
  <si>
    <t>PO-100025</t>
  </si>
  <si>
    <t>2026-03-27</t>
  </si>
  <si>
    <t>2026-04-08</t>
  </si>
  <si>
    <t>2026-04-09</t>
  </si>
  <si>
    <t>PO-100026</t>
  </si>
  <si>
    <t>2025-12-07</t>
  </si>
  <si>
    <t>2025-12-14</t>
  </si>
  <si>
    <t>PO-100027</t>
  </si>
  <si>
    <t>2025-06-02</t>
  </si>
  <si>
    <t>2025-06-20</t>
  </si>
  <si>
    <t>2025-06-21</t>
  </si>
  <si>
    <t>PO-100028</t>
  </si>
  <si>
    <t>2025-06-17</t>
  </si>
  <si>
    <t>2025-06-27</t>
  </si>
  <si>
    <t>2025-06-28</t>
  </si>
  <si>
    <t>PO-100029</t>
  </si>
  <si>
    <t>2026-04-23</t>
  </si>
  <si>
    <t>2026-04-24</t>
  </si>
  <si>
    <t>PO-100030</t>
  </si>
  <si>
    <t>2026-02-14</t>
  </si>
  <si>
    <t>2026-02-28</t>
  </si>
  <si>
    <t>2026-03-01</t>
  </si>
  <si>
    <t>PO-100031</t>
  </si>
  <si>
    <t>2026-07-13</t>
  </si>
  <si>
    <t>2026-07-31</t>
  </si>
  <si>
    <t>2026-08-01</t>
  </si>
  <si>
    <t>PO-100032</t>
  </si>
  <si>
    <t>2025-07-13</t>
  </si>
  <si>
    <t>2025-07-09</t>
  </si>
  <si>
    <t>PO-100033</t>
  </si>
  <si>
    <t>2025-11-07</t>
  </si>
  <si>
    <t>2025-11-14</t>
  </si>
  <si>
    <t>PO-100034</t>
  </si>
  <si>
    <t>2025-08-03</t>
  </si>
  <si>
    <t>2025-08-27</t>
  </si>
  <si>
    <t>2025-08-28</t>
  </si>
  <si>
    <t>PO-100035</t>
  </si>
  <si>
    <t>2025-06-04</t>
  </si>
  <si>
    <t>2025-06-14</t>
  </si>
  <si>
    <t>2025-06-15</t>
  </si>
  <si>
    <t>PO-100036</t>
  </si>
  <si>
    <t>2025-07-05</t>
  </si>
  <si>
    <t>PO-100037</t>
  </si>
  <si>
    <t>2025-10-11</t>
  </si>
  <si>
    <t xml:space="preserve">WH-BOM  </t>
  </si>
  <si>
    <t>2025-10-21</t>
  </si>
  <si>
    <t>2025-11-02</t>
  </si>
  <si>
    <t>PO-100038</t>
  </si>
  <si>
    <t>2025-07-20</t>
  </si>
  <si>
    <t>2025-08-08</t>
  </si>
  <si>
    <t>PO-100039</t>
  </si>
  <si>
    <t>2025-08-19</t>
  </si>
  <si>
    <t>PO-100040</t>
  </si>
  <si>
    <t>2025-11-10</t>
  </si>
  <si>
    <t>2025-11-18</t>
  </si>
  <si>
    <t>PO-100041</t>
  </si>
  <si>
    <t>2025-01-19</t>
  </si>
  <si>
    <t>2025-02-06</t>
  </si>
  <si>
    <t>2025-02-08</t>
  </si>
  <si>
    <t>PO-100042</t>
  </si>
  <si>
    <t>2026-01-15</t>
  </si>
  <si>
    <t>2026-02-08</t>
  </si>
  <si>
    <t>PO-100043</t>
  </si>
  <si>
    <t>2025-01-31</t>
  </si>
  <si>
    <t>2025-02-14</t>
  </si>
  <si>
    <t>2025-02-15</t>
  </si>
  <si>
    <t>PO-100044</t>
  </si>
  <si>
    <t>2025-04-13</t>
  </si>
  <si>
    <t>2025-04-20</t>
  </si>
  <si>
    <t>PO-100045</t>
  </si>
  <si>
    <t>2025-07-26</t>
  </si>
  <si>
    <t>2025-08-13</t>
  </si>
  <si>
    <t>PO-100046</t>
  </si>
  <si>
    <t>2025-08-30</t>
  </si>
  <si>
    <t>PO-100047</t>
  </si>
  <si>
    <t>2025-04-12</t>
  </si>
  <si>
    <t>2025-05-12</t>
  </si>
  <si>
    <t>2025-05-13</t>
  </si>
  <si>
    <t>PO-100048</t>
  </si>
  <si>
    <t>2026-10-08</t>
  </si>
  <si>
    <t>2026-10-26</t>
  </si>
  <si>
    <t>2026-10-27</t>
  </si>
  <si>
    <t>PO-100049</t>
  </si>
  <si>
    <t>2025-02-22</t>
  </si>
  <si>
    <t>2025-03-01</t>
  </si>
  <si>
    <t>2025-03-02</t>
  </si>
  <si>
    <t>PO-100050</t>
  </si>
  <si>
    <t>2026-06-21</t>
  </si>
  <si>
    <t>2026-07-09</t>
  </si>
  <si>
    <t>2026-07-12</t>
  </si>
  <si>
    <t>PO-100051</t>
  </si>
  <si>
    <t>2025-08-17</t>
  </si>
  <si>
    <t>2025-09-04</t>
  </si>
  <si>
    <t>2025-09-13</t>
  </si>
  <si>
    <t>PO-100052</t>
  </si>
  <si>
    <t>2026-11-24</t>
  </si>
  <si>
    <t>Open</t>
  </si>
  <si>
    <t>PO-100053</t>
  </si>
  <si>
    <t>2025-02-27</t>
  </si>
  <si>
    <t>2025-03-20</t>
  </si>
  <si>
    <t>delivered</t>
  </si>
  <si>
    <t>PO-100054</t>
  </si>
  <si>
    <t>2026-06-09</t>
  </si>
  <si>
    <t>2026-06-23</t>
  </si>
  <si>
    <t>2026-06-28</t>
  </si>
  <si>
    <t>PO-100055</t>
  </si>
  <si>
    <t>2026-08-26</t>
  </si>
  <si>
    <t>2026-09-13</t>
  </si>
  <si>
    <t>PO-100056</t>
  </si>
  <si>
    <t>2025-08-21</t>
  </si>
  <si>
    <t>PO-100057</t>
  </si>
  <si>
    <t>2026-07-29</t>
  </si>
  <si>
    <t>PO-100058</t>
  </si>
  <si>
    <t>PO-100059</t>
  </si>
  <si>
    <t>2026-03-07</t>
  </si>
  <si>
    <t>2026-03-08</t>
  </si>
  <si>
    <t>PO-100060</t>
  </si>
  <si>
    <t>2025-09-23</t>
  </si>
  <si>
    <t>2025-10-14</t>
  </si>
  <si>
    <t>2025-10-15</t>
  </si>
  <si>
    <t>PO-100061</t>
  </si>
  <si>
    <t>2026-03-24</t>
  </si>
  <si>
    <t>2026-04-04</t>
  </si>
  <si>
    <t>PO-100062</t>
  </si>
  <si>
    <t>2025-05-26</t>
  </si>
  <si>
    <t xml:space="preserve">WH-BLR  </t>
  </si>
  <si>
    <t>2025-06-05</t>
  </si>
  <si>
    <t>2025-06-06</t>
  </si>
  <si>
    <t>PO-100063</t>
  </si>
  <si>
    <t>2026-02-23</t>
  </si>
  <si>
    <t>PO-100064</t>
  </si>
  <si>
    <t>2025-10-12</t>
  </si>
  <si>
    <t>PO-100065</t>
  </si>
  <si>
    <t>2026-08-15</t>
  </si>
  <si>
    <t>2026-08-25</t>
  </si>
  <si>
    <t>PO-100066</t>
  </si>
  <si>
    <t>2026-03-12</t>
  </si>
  <si>
    <t>2026-04-05</t>
  </si>
  <si>
    <t>2026-04-20</t>
  </si>
  <si>
    <t>PO-100067</t>
  </si>
  <si>
    <t>2026-01-13</t>
  </si>
  <si>
    <t>2026-02-03</t>
  </si>
  <si>
    <t>2026-02-04</t>
  </si>
  <si>
    <t>PO-100068</t>
  </si>
  <si>
    <t>PO-100069</t>
  </si>
  <si>
    <t>2025-10-10</t>
  </si>
  <si>
    <t>PO-100070</t>
  </si>
  <si>
    <t>2026-08-23</t>
  </si>
  <si>
    <t>2026-09-04</t>
  </si>
  <si>
    <t>2026-09-05</t>
  </si>
  <si>
    <t>PO-100071</t>
  </si>
  <si>
    <t>2025-04-24</t>
  </si>
  <si>
    <t>2025-05-04</t>
  </si>
  <si>
    <t>2025-05-05</t>
  </si>
  <si>
    <t>PO-100072</t>
  </si>
  <si>
    <t>2025-09-27</t>
  </si>
  <si>
    <t>PO-100073</t>
  </si>
  <si>
    <t>2026-01-21</t>
  </si>
  <si>
    <t>2026-02-07</t>
  </si>
  <si>
    <t>PO-100074</t>
  </si>
  <si>
    <t>2026-03-22</t>
  </si>
  <si>
    <t>2026-04-01</t>
  </si>
  <si>
    <t>2026-04-02</t>
  </si>
  <si>
    <t>PO-100075</t>
  </si>
  <si>
    <t>2026-03-29</t>
  </si>
  <si>
    <t>2026-04-16</t>
  </si>
  <si>
    <t>2026-04-15</t>
  </si>
  <si>
    <t>PO-100076</t>
  </si>
  <si>
    <t>PO-100077</t>
  </si>
  <si>
    <t>2025-11-11</t>
  </si>
  <si>
    <t>2025-12-02</t>
  </si>
  <si>
    <t>2025-12-01</t>
  </si>
  <si>
    <t>PO-100078</t>
  </si>
  <si>
    <t>2026-05-31</t>
  </si>
  <si>
    <t>2026-06-10</t>
  </si>
  <si>
    <t>2026-06-06</t>
  </si>
  <si>
    <t>PO-100079</t>
  </si>
  <si>
    <t>PO-100080</t>
  </si>
  <si>
    <t>2025-02-16</t>
  </si>
  <si>
    <t>2025-03-06</t>
  </si>
  <si>
    <t>PO-100081</t>
  </si>
  <si>
    <t>2026-12-01</t>
  </si>
  <si>
    <t>2026-12-11</t>
  </si>
  <si>
    <t>PO-100082</t>
  </si>
  <si>
    <t>2026-02-15</t>
  </si>
  <si>
    <t>PO-100083</t>
  </si>
  <si>
    <t>2026-03-18</t>
  </si>
  <si>
    <t>2026-03-25</t>
  </si>
  <si>
    <t>2026-04-06</t>
  </si>
  <si>
    <t>PO-100084</t>
  </si>
  <si>
    <t>2026-06-14</t>
  </si>
  <si>
    <t>PO-100085</t>
  </si>
  <si>
    <t>2025-08-29</t>
  </si>
  <si>
    <t>2025-09-16</t>
  </si>
  <si>
    <t>PO-100086</t>
  </si>
  <si>
    <t>2025-03-27</t>
  </si>
  <si>
    <t>2025-04-06</t>
  </si>
  <si>
    <t>PO-100087</t>
  </si>
  <si>
    <t>2025-11-26</t>
  </si>
  <si>
    <t>2025-12-08</t>
  </si>
  <si>
    <t>2025-12-09</t>
  </si>
  <si>
    <t>PO-100088</t>
  </si>
  <si>
    <t>2025-09-18</t>
  </si>
  <si>
    <t>2025-10-25</t>
  </si>
  <si>
    <t>PO-100089</t>
  </si>
  <si>
    <t>2026-06-24</t>
  </si>
  <si>
    <t>PO-100090</t>
  </si>
  <si>
    <t>2025-05-14</t>
  </si>
  <si>
    <t>2025-06-01</t>
  </si>
  <si>
    <t>PO-100091</t>
  </si>
  <si>
    <t>2026-05-09</t>
  </si>
  <si>
    <t>2026-05-27</t>
  </si>
  <si>
    <t>2026-06-05</t>
  </si>
  <si>
    <t>PO-100092</t>
  </si>
  <si>
    <t>2026-05-17</t>
  </si>
  <si>
    <t>2026-05-29</t>
  </si>
  <si>
    <t>2026-06-02</t>
  </si>
  <si>
    <t>PO-100093</t>
  </si>
  <si>
    <t>2026-07-21</t>
  </si>
  <si>
    <t>2026-07-22</t>
  </si>
  <si>
    <t>PO-100094</t>
  </si>
  <si>
    <t>2026-01-19</t>
  </si>
  <si>
    <t>2026-02-12</t>
  </si>
  <si>
    <t>PO-100095</t>
  </si>
  <si>
    <t>2025-07-03</t>
  </si>
  <si>
    <t>2025-07-27</t>
  </si>
  <si>
    <t>PO-100096</t>
  </si>
  <si>
    <t>2026-07-17</t>
  </si>
  <si>
    <t>PO-100097</t>
  </si>
  <si>
    <t>2025-03-04</t>
  </si>
  <si>
    <t>2025-03-16</t>
  </si>
  <si>
    <t>2025-03-25</t>
  </si>
  <si>
    <t>PO-100098</t>
  </si>
  <si>
    <t>2025-08-10</t>
  </si>
  <si>
    <t>2025-08-20</t>
  </si>
  <si>
    <t>PO-100099</t>
  </si>
  <si>
    <t>2025-02-03</t>
  </si>
  <si>
    <t>2025-02-13</t>
  </si>
  <si>
    <t>2025-02-12</t>
  </si>
  <si>
    <t>PO-100100</t>
  </si>
  <si>
    <t>2026-02-18</t>
  </si>
  <si>
    <t>PO-100101</t>
  </si>
  <si>
    <t>2026-03-31</t>
  </si>
  <si>
    <t>2026-04-12</t>
  </si>
  <si>
    <t>PO-100102</t>
  </si>
  <si>
    <t>2025-11-29</t>
  </si>
  <si>
    <t>2025-12-17</t>
  </si>
  <si>
    <t>2025-12-18</t>
  </si>
  <si>
    <t>PO-100103</t>
  </si>
  <si>
    <t>2026-09-12</t>
  </si>
  <si>
    <t>2026-10-04</t>
  </si>
  <si>
    <t>PO-100104</t>
  </si>
  <si>
    <t>PO-100105</t>
  </si>
  <si>
    <t>2026-08-12</t>
  </si>
  <si>
    <t>2026-08-13</t>
  </si>
  <si>
    <t>PO-100106</t>
  </si>
  <si>
    <t>2025-06-25</t>
  </si>
  <si>
    <t>2025-07-14</t>
  </si>
  <si>
    <t>PO-100107</t>
  </si>
  <si>
    <t>2025-10-09</t>
  </si>
  <si>
    <t>PO-100108</t>
  </si>
  <si>
    <t>2025-11-05</t>
  </si>
  <si>
    <t>2025-11-19</t>
  </si>
  <si>
    <t>2025-11-20</t>
  </si>
  <si>
    <t>PO-100109</t>
  </si>
  <si>
    <t>2025-01-23</t>
  </si>
  <si>
    <t>PO-100110</t>
  </si>
  <si>
    <t>2025-07-19</t>
  </si>
  <si>
    <t>2025-07-15</t>
  </si>
  <si>
    <t>PO-100111</t>
  </si>
  <si>
    <t>2025-11-03</t>
  </si>
  <si>
    <t>PO-100112</t>
  </si>
  <si>
    <t>2025-06-10</t>
  </si>
  <si>
    <t>2025-06-24</t>
  </si>
  <si>
    <t>PO-100113</t>
  </si>
  <si>
    <t>2025-03-10</t>
  </si>
  <si>
    <t>2025-03-28</t>
  </si>
  <si>
    <t>2025-03-29</t>
  </si>
  <si>
    <t>PO-100114</t>
  </si>
  <si>
    <t>2025-04-27</t>
  </si>
  <si>
    <t>2025-05-07</t>
  </si>
  <si>
    <t>PO-100115</t>
  </si>
  <si>
    <t>2026-06-01</t>
  </si>
  <si>
    <t>2026-06-25</t>
  </si>
  <si>
    <t>PO-100116</t>
  </si>
  <si>
    <t>2025-06-16</t>
  </si>
  <si>
    <t>2025-06-26</t>
  </si>
  <si>
    <t>PO-100117</t>
  </si>
  <si>
    <t>2025-01-28</t>
  </si>
  <si>
    <t>PO-100118</t>
  </si>
  <si>
    <t>2025-07-16</t>
  </si>
  <si>
    <t>PO-100119</t>
  </si>
  <si>
    <t>2026-09-08</t>
  </si>
  <si>
    <t>2026-09-18</t>
  </si>
  <si>
    <t>2026-09-23</t>
  </si>
  <si>
    <t>PO-100120</t>
  </si>
  <si>
    <t>2025-03-19</t>
  </si>
  <si>
    <t>2025-04-02</t>
  </si>
  <si>
    <t>2025-04-03</t>
  </si>
  <si>
    <t>PO-100121</t>
  </si>
  <si>
    <t>2026-01-29</t>
  </si>
  <si>
    <t>2026-02-22</t>
  </si>
  <si>
    <t>2026-02-27</t>
  </si>
  <si>
    <t>PO-100122</t>
  </si>
  <si>
    <t>2025-04-11</t>
  </si>
  <si>
    <t>2025-05-11</t>
  </si>
  <si>
    <t>PO-100123</t>
  </si>
  <si>
    <t>2026-01-17</t>
  </si>
  <si>
    <t>PO-100124</t>
  </si>
  <si>
    <t>2026-06-26</t>
  </si>
  <si>
    <t>PO-100125</t>
  </si>
  <si>
    <t>2026-03-26</t>
  </si>
  <si>
    <t>PO-100126</t>
  </si>
  <si>
    <t>2026-07-14</t>
  </si>
  <si>
    <t>PO-100127</t>
  </si>
  <si>
    <t>2025-03-24</t>
  </si>
  <si>
    <t>PO-100128</t>
  </si>
  <si>
    <t>2025-05-23</t>
  </si>
  <si>
    <t>PO-100129</t>
  </si>
  <si>
    <t>2026-08-29</t>
  </si>
  <si>
    <t>2026-09-16</t>
  </si>
  <si>
    <t>PO-100130</t>
  </si>
  <si>
    <t>2025-05-15</t>
  </si>
  <si>
    <t>2025-05-29</t>
  </si>
  <si>
    <t>2025-05-30</t>
  </si>
  <si>
    <t>PO-100131</t>
  </si>
  <si>
    <t>2026-07-07</t>
  </si>
  <si>
    <t>PO-100132</t>
  </si>
  <si>
    <t>2026-05-20</t>
  </si>
  <si>
    <t>2026-06-07</t>
  </si>
  <si>
    <t>PO-100133</t>
  </si>
  <si>
    <t xml:space="preserve">WH-PUN  </t>
  </si>
  <si>
    <t>2025-07-24</t>
  </si>
  <si>
    <t>PO-100134</t>
  </si>
  <si>
    <t>2026-05-08</t>
  </si>
  <si>
    <t>PO-100135</t>
  </si>
  <si>
    <t>2026-01-03</t>
  </si>
  <si>
    <t>2026-01-24</t>
  </si>
  <si>
    <t>PO-100136</t>
  </si>
  <si>
    <t>2026-04-07</t>
  </si>
  <si>
    <t>PO-100137</t>
  </si>
  <si>
    <t>2026-05-19</t>
  </si>
  <si>
    <t>PO-100138</t>
  </si>
  <si>
    <t>2025-11-23</t>
  </si>
  <si>
    <t>2025-12-03</t>
  </si>
  <si>
    <t>PO-100139</t>
  </si>
  <si>
    <t>2025-12-25</t>
  </si>
  <si>
    <t>2026-01-08</t>
  </si>
  <si>
    <t>2026-01-07</t>
  </si>
  <si>
    <t>PO-100140</t>
  </si>
  <si>
    <t>2025-11-04</t>
  </si>
  <si>
    <t>2025-11-22</t>
  </si>
  <si>
    <t>PO-100141</t>
  </si>
  <si>
    <t>PO-100142</t>
  </si>
  <si>
    <t>2026-09-01</t>
  </si>
  <si>
    <t>2026-09-15</t>
  </si>
  <si>
    <t>PO-100143</t>
  </si>
  <si>
    <t>2026-04-18</t>
  </si>
  <si>
    <t>2026-04-19</t>
  </si>
  <si>
    <t>PO-100144</t>
  </si>
  <si>
    <t>2025-02-23</t>
  </si>
  <si>
    <t>2025-03-21</t>
  </si>
  <si>
    <t>PO-100145</t>
  </si>
  <si>
    <t>2025-02-10</t>
  </si>
  <si>
    <t>2025-02-24</t>
  </si>
  <si>
    <t>2025-03-09</t>
  </si>
  <si>
    <t>PO-100146</t>
  </si>
  <si>
    <t>2025-09-09</t>
  </si>
  <si>
    <t>2025-09-19</t>
  </si>
  <si>
    <t>PO-100147</t>
  </si>
  <si>
    <t>2025-04-16</t>
  </si>
  <si>
    <t>PO-100148</t>
  </si>
  <si>
    <t>2026-04-30</t>
  </si>
  <si>
    <t>2026-05-01</t>
  </si>
  <si>
    <t>PO-100149</t>
  </si>
  <si>
    <t>2026-03-05</t>
  </si>
  <si>
    <t>2026-03-30</t>
  </si>
  <si>
    <t>PO-100150</t>
  </si>
  <si>
    <t>2025-12-29</t>
  </si>
  <si>
    <t>2026-01-12</t>
  </si>
  <si>
    <t>PO-100151</t>
  </si>
  <si>
    <t>2025-04-21</t>
  </si>
  <si>
    <t>2025-04-26</t>
  </si>
  <si>
    <t>PO-100152</t>
  </si>
  <si>
    <t>2025-07-22</t>
  </si>
  <si>
    <t>PO-100153</t>
  </si>
  <si>
    <t>2026-04-11</t>
  </si>
  <si>
    <t>PO-100154</t>
  </si>
  <si>
    <t>PO-100155</t>
  </si>
  <si>
    <t>2026-01-06</t>
  </si>
  <si>
    <t>2026-01-20</t>
  </si>
  <si>
    <t>PO-100156</t>
  </si>
  <si>
    <t>2025-09-15</t>
  </si>
  <si>
    <t>PO-100157</t>
  </si>
  <si>
    <t>2025-03-13</t>
  </si>
  <si>
    <t>PO-100158</t>
  </si>
  <si>
    <t>PO-100159</t>
  </si>
  <si>
    <t>2025-08-31</t>
  </si>
  <si>
    <t>PO-100160</t>
  </si>
  <si>
    <t>2025-10-03</t>
  </si>
  <si>
    <t>PO-100161</t>
  </si>
  <si>
    <t>PO-100162</t>
  </si>
  <si>
    <t>PO-100163</t>
  </si>
  <si>
    <t>2025-08-12</t>
  </si>
  <si>
    <t>PO-100164</t>
  </si>
  <si>
    <t>2025-01-04</t>
  </si>
  <si>
    <t>2025-01-29</t>
  </si>
  <si>
    <t>PO-100165</t>
  </si>
  <si>
    <t>2025-10-02</t>
  </si>
  <si>
    <t>2025-10-26</t>
  </si>
  <si>
    <t>PO-100166</t>
  </si>
  <si>
    <t>2025-02-04</t>
  </si>
  <si>
    <t>2025-02-05</t>
  </si>
  <si>
    <t>PO-100167</t>
  </si>
  <si>
    <t>2026-11-07</t>
  </si>
  <si>
    <t>PO-100168</t>
  </si>
  <si>
    <t>2026-02-10</t>
  </si>
  <si>
    <t>PO-100169</t>
  </si>
  <si>
    <t>2026-03-19</t>
  </si>
  <si>
    <t>PO-100170</t>
  </si>
  <si>
    <t>PO-100171</t>
  </si>
  <si>
    <t>PO-100172</t>
  </si>
  <si>
    <t>2026-07-08</t>
  </si>
  <si>
    <t>PO-100173</t>
  </si>
  <si>
    <t>2026-03-15</t>
  </si>
  <si>
    <t>PO-100174</t>
  </si>
  <si>
    <t>PO-100175</t>
  </si>
  <si>
    <t>PO-100176</t>
  </si>
  <si>
    <t>2025-07-07</t>
  </si>
  <si>
    <t>PO-100177</t>
  </si>
  <si>
    <t>2026-06-27</t>
  </si>
  <si>
    <t>PO-100178</t>
  </si>
  <si>
    <t>2025-02-17</t>
  </si>
  <si>
    <t>PO-100179</t>
  </si>
  <si>
    <t>2025-06-23</t>
  </si>
  <si>
    <t>2025-06-30</t>
  </si>
  <si>
    <t>PO-100180</t>
  </si>
  <si>
    <t>2025-11-27</t>
  </si>
  <si>
    <t>2025-12-11</t>
  </si>
  <si>
    <t>2025-12-26</t>
  </si>
  <si>
    <t>PO-100181</t>
  </si>
  <si>
    <t>2025-10-20</t>
  </si>
  <si>
    <t>PO-100182</t>
  </si>
  <si>
    <t>PO-100183</t>
  </si>
  <si>
    <t>PO-100184</t>
  </si>
  <si>
    <t>2026-10-07</t>
  </si>
  <si>
    <t>PO-100185</t>
  </si>
  <si>
    <t>2025-07-28</t>
  </si>
  <si>
    <t>2025-08-18</t>
  </si>
  <si>
    <t>PO-100186</t>
  </si>
  <si>
    <t>2025-11-12</t>
  </si>
  <si>
    <t>PO-100187</t>
  </si>
  <si>
    <t>2026-12-14</t>
  </si>
  <si>
    <t>2027-01-13</t>
  </si>
  <si>
    <t>PO-100188</t>
  </si>
  <si>
    <t>PO-100189</t>
  </si>
  <si>
    <t>2026-09-06</t>
  </si>
  <si>
    <t>2026-09-30</t>
  </si>
  <si>
    <t>2026-10-01</t>
  </si>
  <si>
    <t>PO-100190</t>
  </si>
  <si>
    <t>2026-09-14</t>
  </si>
  <si>
    <t>2026-10-05</t>
  </si>
  <si>
    <t>2026-10-06</t>
  </si>
  <si>
    <t>PO-100191</t>
  </si>
  <si>
    <t>2025-03-11</t>
  </si>
  <si>
    <t>PO-100192</t>
  </si>
  <si>
    <t>2025-01-06</t>
  </si>
  <si>
    <t>2025-01-24</t>
  </si>
  <si>
    <t>PO-100193</t>
  </si>
  <si>
    <t>2026-10-23</t>
  </si>
  <si>
    <t>2026-11-13</t>
  </si>
  <si>
    <t>2026-11-14</t>
  </si>
  <si>
    <t>PO-100194</t>
  </si>
  <si>
    <t>2026-11-19</t>
  </si>
  <si>
    <t>2026-11-28</t>
  </si>
  <si>
    <t>PO-100195</t>
  </si>
  <si>
    <t>PO-100196</t>
  </si>
  <si>
    <t>PO-100197</t>
  </si>
  <si>
    <t>2026-07-20</t>
  </si>
  <si>
    <t>2026-08-04</t>
  </si>
  <si>
    <t>PO-100198</t>
  </si>
  <si>
    <t>PO-100199</t>
  </si>
  <si>
    <t>2026-08-17</t>
  </si>
  <si>
    <t>PO-100200</t>
  </si>
  <si>
    <t>2026-03-10</t>
  </si>
  <si>
    <t>2026-04-10</t>
  </si>
  <si>
    <t>PO-100201</t>
  </si>
  <si>
    <t>2026-04-29</t>
  </si>
  <si>
    <t>PO-100202</t>
  </si>
  <si>
    <t>PO-100203</t>
  </si>
  <si>
    <t>PO-100204</t>
  </si>
  <si>
    <t>2026-10-29</t>
  </si>
  <si>
    <t>2026-11-22</t>
  </si>
  <si>
    <t>2026-11-23</t>
  </si>
  <si>
    <t>PO-100205</t>
  </si>
  <si>
    <t>2025-01-12</t>
  </si>
  <si>
    <t>2025-01-22</t>
  </si>
  <si>
    <t>PO-100206</t>
  </si>
  <si>
    <t>PO-100207</t>
  </si>
  <si>
    <t>2026-03-16</t>
  </si>
  <si>
    <t>PO-100208</t>
  </si>
  <si>
    <t>PO-100209</t>
  </si>
  <si>
    <t>2026-06-08</t>
  </si>
  <si>
    <t>PO-100210</t>
  </si>
  <si>
    <t>2026-02-26</t>
  </si>
  <si>
    <t>PO-100211</t>
  </si>
  <si>
    <t>2026-01-14</t>
  </si>
  <si>
    <t>2026-01-26</t>
  </si>
  <si>
    <t>2026-01-31</t>
  </si>
  <si>
    <t>PO-100212</t>
  </si>
  <si>
    <t>2025-02-09</t>
  </si>
  <si>
    <t>PO-100213</t>
  </si>
  <si>
    <t>2026-08-19</t>
  </si>
  <si>
    <t>PO-100214</t>
  </si>
  <si>
    <t>2025-07-10</t>
  </si>
  <si>
    <t>2025-08-11</t>
  </si>
  <si>
    <t>PO-100215</t>
  </si>
  <si>
    <t>2026-02-11</t>
  </si>
  <si>
    <t>PO-100216</t>
  </si>
  <si>
    <t>2026-01-22</t>
  </si>
  <si>
    <t>2026-02-01</t>
  </si>
  <si>
    <t>PO-100217</t>
  </si>
  <si>
    <t>2026-05-04</t>
  </si>
  <si>
    <t>2026-05-25</t>
  </si>
  <si>
    <t>PO-100218</t>
  </si>
  <si>
    <t>2025-01-13</t>
  </si>
  <si>
    <t>PO-100219</t>
  </si>
  <si>
    <t>2025-09-10</t>
  </si>
  <si>
    <t>2025-09-28</t>
  </si>
  <si>
    <t>PO-100220</t>
  </si>
  <si>
    <t>2025-06-08</t>
  </si>
  <si>
    <t>2025-06-18</t>
  </si>
  <si>
    <t>PO-100221</t>
  </si>
  <si>
    <t>2026-11-06</t>
  </si>
  <si>
    <t>PO-100222</t>
  </si>
  <si>
    <t>2026-10-30</t>
  </si>
  <si>
    <t>2026-11-20</t>
  </si>
  <si>
    <t>PO-100223</t>
  </si>
  <si>
    <t>2025-07-29</t>
  </si>
  <si>
    <t>PO-100224</t>
  </si>
  <si>
    <t>2025-03-05</t>
  </si>
  <si>
    <t>PO-100225</t>
  </si>
  <si>
    <t>2026-11-15</t>
  </si>
  <si>
    <t>2026-11-25</t>
  </si>
  <si>
    <t>2026-12-06</t>
  </si>
  <si>
    <t>PO-100226</t>
  </si>
  <si>
    <t>PO-100227</t>
  </si>
  <si>
    <t>PO-100228</t>
  </si>
  <si>
    <t>PO-100229</t>
  </si>
  <si>
    <t>2026-10-20</t>
  </si>
  <si>
    <t>PO-100230</t>
  </si>
  <si>
    <t>2025-12-22</t>
  </si>
  <si>
    <t>2025-12-23</t>
  </si>
  <si>
    <t>PO-100231</t>
  </si>
  <si>
    <t>2025-11-24</t>
  </si>
  <si>
    <t>PO-100232</t>
  </si>
  <si>
    <t>PO-100233</t>
  </si>
  <si>
    <t>PO-100234</t>
  </si>
  <si>
    <t>PO-100235</t>
  </si>
  <si>
    <t>2025-07-18</t>
  </si>
  <si>
    <t>PO-100236</t>
  </si>
  <si>
    <t>PO-100237</t>
  </si>
  <si>
    <t>2025-01-27</t>
  </si>
  <si>
    <t>2025-02-19</t>
  </si>
  <si>
    <t>PO-100238</t>
  </si>
  <si>
    <t>2026-12-10</t>
  </si>
  <si>
    <t>2026-12-24</t>
  </si>
  <si>
    <t>2027-01-07</t>
  </si>
  <si>
    <t>PO-100239</t>
  </si>
  <si>
    <t>2026-12-30</t>
  </si>
  <si>
    <t>PO-100240</t>
  </si>
  <si>
    <t>2026-01-01</t>
  </si>
  <si>
    <t>2026-01-02</t>
  </si>
  <si>
    <t>PO-100241</t>
  </si>
  <si>
    <t>2026-01-05</t>
  </si>
  <si>
    <t>PO-100242</t>
  </si>
  <si>
    <t>2025-11-25</t>
  </si>
  <si>
    <t>2025-12-13</t>
  </si>
  <si>
    <t>PO-100243</t>
  </si>
  <si>
    <t>2026-11-29</t>
  </si>
  <si>
    <t>PO-100244</t>
  </si>
  <si>
    <t>2025-02-07</t>
  </si>
  <si>
    <t>PO-100245</t>
  </si>
  <si>
    <t>2025-09-12</t>
  </si>
  <si>
    <t>2025-10-06</t>
  </si>
  <si>
    <t>PO-100246</t>
  </si>
  <si>
    <t>2026-03-04</t>
  </si>
  <si>
    <t>PO-100247</t>
  </si>
  <si>
    <t>2026-12-12</t>
  </si>
  <si>
    <t>PO-100248</t>
  </si>
  <si>
    <t>2025-06-11</t>
  </si>
  <si>
    <t>2025-07-06</t>
  </si>
  <si>
    <t>PO-100249</t>
  </si>
  <si>
    <t>2026-09-07</t>
  </si>
  <si>
    <t>2026-09-17</t>
  </si>
  <si>
    <t>PO-100250</t>
  </si>
  <si>
    <t>PO-100251</t>
  </si>
  <si>
    <t>2026-05-15</t>
  </si>
  <si>
    <t>PO-100252</t>
  </si>
  <si>
    <t>PO-100253</t>
  </si>
  <si>
    <t>2026-12-13</t>
  </si>
  <si>
    <t>PO-100254</t>
  </si>
  <si>
    <t>2026-08-16</t>
  </si>
  <si>
    <t>PO-100255</t>
  </si>
  <si>
    <t>2025-04-25</t>
  </si>
  <si>
    <t>2025-05-19</t>
  </si>
  <si>
    <t>PO-100256</t>
  </si>
  <si>
    <t>PO-100257</t>
  </si>
  <si>
    <t>2025-10-17</t>
  </si>
  <si>
    <t>PO-100258</t>
  </si>
  <si>
    <t>2026-11-27</t>
  </si>
  <si>
    <t>PO-100259</t>
  </si>
  <si>
    <t>2025-03-17</t>
  </si>
  <si>
    <t>PO-100260</t>
  </si>
  <si>
    <t>2026-02-13</t>
  </si>
  <si>
    <t>PO-100261</t>
  </si>
  <si>
    <t>PO-100262</t>
  </si>
  <si>
    <t>PO-100263</t>
  </si>
  <si>
    <t>PO-100264</t>
  </si>
  <si>
    <t>2025-01-09</t>
  </si>
  <si>
    <t>PO-100265</t>
  </si>
  <si>
    <t>PO-100266</t>
  </si>
  <si>
    <t>PO-100267</t>
  </si>
  <si>
    <t>2026-12-07</t>
  </si>
  <si>
    <t>2026-12-28</t>
  </si>
  <si>
    <t>2026-12-29</t>
  </si>
  <si>
    <t>PO-100268</t>
  </si>
  <si>
    <t>PO-100269</t>
  </si>
  <si>
    <t>2025-12-24</t>
  </si>
  <si>
    <t>PO-100270</t>
  </si>
  <si>
    <t>2025-05-21</t>
  </si>
  <si>
    <t>2025-06-09</t>
  </si>
  <si>
    <t>PO-100271</t>
  </si>
  <si>
    <t>2025-08-26</t>
  </si>
  <si>
    <t>PO-100272</t>
  </si>
  <si>
    <t>2026-01-10</t>
  </si>
  <si>
    <t>2026-01-11</t>
  </si>
  <si>
    <t>PO-100273</t>
  </si>
  <si>
    <t>2026-02-20</t>
  </si>
  <si>
    <t>2026-03-17</t>
  </si>
  <si>
    <t>PO-100274</t>
  </si>
  <si>
    <t>2026-06-15</t>
  </si>
  <si>
    <t>PO-100275</t>
  </si>
  <si>
    <t>2025-04-28</t>
  </si>
  <si>
    <t>PO-100276</t>
  </si>
  <si>
    <t>2026-10-18</t>
  </si>
  <si>
    <t>2026-11-01</t>
  </si>
  <si>
    <t>PO-100277</t>
  </si>
  <si>
    <t>PO-100278</t>
  </si>
  <si>
    <t>PO-100279</t>
  </si>
  <si>
    <t>2026-01-16</t>
  </si>
  <si>
    <t>PO-100280</t>
  </si>
  <si>
    <t>PO-100281</t>
  </si>
  <si>
    <t>PO-100282</t>
  </si>
  <si>
    <t>2026-04-17</t>
  </si>
  <si>
    <t>2026-05-02</t>
  </si>
  <si>
    <t>PO-100283</t>
  </si>
  <si>
    <t>PO-100284</t>
  </si>
  <si>
    <t>2025-12-21</t>
  </si>
  <si>
    <t>PO-100285</t>
  </si>
  <si>
    <t>2026-02-06</t>
  </si>
  <si>
    <t>PO-100286</t>
  </si>
  <si>
    <t>2026-05-11</t>
  </si>
  <si>
    <t>PO-100287</t>
  </si>
  <si>
    <t>2026-09-10</t>
  </si>
  <si>
    <t>2026-09-20</t>
  </si>
  <si>
    <t>PO-100288</t>
  </si>
  <si>
    <t>2026-09-11</t>
  </si>
  <si>
    <t>2026-09-25</t>
  </si>
  <si>
    <t>PO-100289</t>
  </si>
  <si>
    <t>2025-10-24</t>
  </si>
  <si>
    <t>PO-100290</t>
  </si>
  <si>
    <t>2026-02-09</t>
  </si>
  <si>
    <t>PO-100291</t>
  </si>
  <si>
    <t>2025-09-11</t>
  </si>
  <si>
    <t>PO-100292</t>
  </si>
  <si>
    <t>2026-12-04</t>
  </si>
  <si>
    <t>2027-01-10</t>
  </si>
  <si>
    <t>PO-100293</t>
  </si>
  <si>
    <t>2025-06-29</t>
  </si>
  <si>
    <t>PO-100294</t>
  </si>
  <si>
    <t>2026-06-22</t>
  </si>
  <si>
    <t>2026-07-06</t>
  </si>
  <si>
    <t>PO-100295</t>
  </si>
  <si>
    <t>2025-12-15</t>
  </si>
  <si>
    <t>PO-100296</t>
  </si>
  <si>
    <t>2026-03-23</t>
  </si>
  <si>
    <t>PO-100297</t>
  </si>
  <si>
    <t>2025-10-19</t>
  </si>
  <si>
    <t>2025-11-09</t>
  </si>
  <si>
    <t>PO-100298</t>
  </si>
  <si>
    <t>PO-100299</t>
  </si>
  <si>
    <t>PO-100300</t>
  </si>
  <si>
    <t>2025-08-01</t>
  </si>
  <si>
    <t>2025-08-25</t>
  </si>
  <si>
    <t>PO-100301</t>
  </si>
  <si>
    <t>PO-100302</t>
  </si>
  <si>
    <t>2025-11-01</t>
  </si>
  <si>
    <t>PO-100303</t>
  </si>
  <si>
    <t>2026-05-10</t>
  </si>
  <si>
    <t>PO-100304</t>
  </si>
  <si>
    <t>PO-100305</t>
  </si>
  <si>
    <t>2026-11-10</t>
  </si>
  <si>
    <t>PO-100306</t>
  </si>
  <si>
    <t>2025-10-31</t>
  </si>
  <si>
    <t>PO-100307</t>
  </si>
  <si>
    <t>2026-06-20</t>
  </si>
  <si>
    <t>2026-07-01</t>
  </si>
  <si>
    <t>PO-100308</t>
  </si>
  <si>
    <t>2025-04-08</t>
  </si>
  <si>
    <t>2025-04-09</t>
  </si>
  <si>
    <t>PO-100309</t>
  </si>
  <si>
    <t xml:space="preserve">WH-DEL  </t>
  </si>
  <si>
    <t>PO-100310</t>
  </si>
  <si>
    <t>PO-100311</t>
  </si>
  <si>
    <t>PO-100312</t>
  </si>
  <si>
    <t>2026-01-04</t>
  </si>
  <si>
    <t>PO-100313</t>
  </si>
  <si>
    <t>PO-100314</t>
  </si>
  <si>
    <t>2026-10-15</t>
  </si>
  <si>
    <t>2026-11-08</t>
  </si>
  <si>
    <t>2026-11-09</t>
  </si>
  <si>
    <t>PO-100315</t>
  </si>
  <si>
    <t>PO-100316</t>
  </si>
  <si>
    <t>2025-02-20</t>
  </si>
  <si>
    <t>2025-03-08</t>
  </si>
  <si>
    <t xml:space="preserve"> Delivered </t>
  </si>
  <si>
    <t>PO-100317</t>
  </si>
  <si>
    <t>2025-11-28</t>
  </si>
  <si>
    <t>2025-12-10</t>
  </si>
  <si>
    <t>PO-100318</t>
  </si>
  <si>
    <t>PO-100319</t>
  </si>
  <si>
    <t>2025-09-05</t>
  </si>
  <si>
    <t>PO-100320</t>
  </si>
  <si>
    <t>2026-03-14</t>
  </si>
  <si>
    <t>PO-100321</t>
  </si>
  <si>
    <t>2025-12-12</t>
  </si>
  <si>
    <t>PO-100322</t>
  </si>
  <si>
    <t>PO-100323</t>
  </si>
  <si>
    <t>2025-01-20</t>
  </si>
  <si>
    <t>2025-01-21</t>
  </si>
  <si>
    <t>PO-100324</t>
  </si>
  <si>
    <t>PO-100325</t>
  </si>
  <si>
    <t>PO-100326</t>
  </si>
  <si>
    <t>PO-100327</t>
  </si>
  <si>
    <t>PO-100328</t>
  </si>
  <si>
    <t>2025-12-06</t>
  </si>
  <si>
    <t>PO-100329</t>
  </si>
  <si>
    <t>PO-100330</t>
  </si>
  <si>
    <t>PO-100331</t>
  </si>
  <si>
    <t>2026-07-02</t>
  </si>
  <si>
    <t>2026-07-24</t>
  </si>
  <si>
    <t>PO-100332</t>
  </si>
  <si>
    <t>2026-11-16</t>
  </si>
  <si>
    <t>2026-12-16</t>
  </si>
  <si>
    <t>PO-100333</t>
  </si>
  <si>
    <t>2026-05-12</t>
  </si>
  <si>
    <t>2026-05-26</t>
  </si>
  <si>
    <t>PO-100334</t>
  </si>
  <si>
    <t>2025-04-23</t>
  </si>
  <si>
    <t>2025-05-03</t>
  </si>
  <si>
    <t>PO-100335</t>
  </si>
  <si>
    <t>2026-04-21</t>
  </si>
  <si>
    <t>PO-100336</t>
  </si>
  <si>
    <t>2025-01-15</t>
  </si>
  <si>
    <t>PO-100337</t>
  </si>
  <si>
    <t>PO-100338</t>
  </si>
  <si>
    <t>2025-10-04</t>
  </si>
  <si>
    <t>2025-10-18</t>
  </si>
  <si>
    <t>PO-100339</t>
  </si>
  <si>
    <t>2025-05-24</t>
  </si>
  <si>
    <t>PO-100340</t>
  </si>
  <si>
    <t>PO-100341</t>
  </si>
  <si>
    <t>PO-100342</t>
  </si>
  <si>
    <t>PO-100343</t>
  </si>
  <si>
    <t>2026-09-24</t>
  </si>
  <si>
    <t>PO-100344</t>
  </si>
  <si>
    <t>2025-09-30</t>
  </si>
  <si>
    <t>PO-100345</t>
  </si>
  <si>
    <t>2026-10-12</t>
  </si>
  <si>
    <t>2026-10-13</t>
  </si>
  <si>
    <t>PO-100346</t>
  </si>
  <si>
    <t>2025-04-30</t>
  </si>
  <si>
    <t>2025-05-08</t>
  </si>
  <si>
    <t>PO-100347</t>
  </si>
  <si>
    <t>2026-11-04</t>
  </si>
  <si>
    <t>PO-100348</t>
  </si>
  <si>
    <t>2025-10-29</t>
  </si>
  <si>
    <t>2025-11-13</t>
  </si>
  <si>
    <t>PO-100349</t>
  </si>
  <si>
    <t>2026-07-16</t>
  </si>
  <si>
    <t>PO-100350</t>
  </si>
  <si>
    <t>2025-05-28</t>
  </si>
  <si>
    <t>PO-100351</t>
  </si>
  <si>
    <t>2025-08-22</t>
  </si>
  <si>
    <t>PO-100352</t>
  </si>
  <si>
    <t>PO-100353</t>
  </si>
  <si>
    <t>2026-08-18</t>
  </si>
  <si>
    <t>2026-08-28</t>
  </si>
  <si>
    <t>PO-100354</t>
  </si>
  <si>
    <t>PO-100355</t>
  </si>
  <si>
    <t>2026-04-26</t>
  </si>
  <si>
    <t>2026-04-27</t>
  </si>
  <si>
    <t>PO-100356</t>
  </si>
  <si>
    <t>2025-11-06</t>
  </si>
  <si>
    <t>2025-11-16</t>
  </si>
  <si>
    <t>PO-100357</t>
  </si>
  <si>
    <t>PO-100358</t>
  </si>
  <si>
    <t>PO-100359</t>
  </si>
  <si>
    <t>2026-12-09</t>
  </si>
  <si>
    <t>PO-100360</t>
  </si>
  <si>
    <t>PO-100361</t>
  </si>
  <si>
    <t>PO-100362</t>
  </si>
  <si>
    <t>PO-100363</t>
  </si>
  <si>
    <t>PO-100364</t>
  </si>
  <si>
    <t>PO-100365</t>
  </si>
  <si>
    <t>PO-100366</t>
  </si>
  <si>
    <t>2025-04-14</t>
  </si>
  <si>
    <t>2025-05-09</t>
  </si>
  <si>
    <t>PO-100367</t>
  </si>
  <si>
    <t>PO-100368</t>
  </si>
  <si>
    <t>PO-100369</t>
  </si>
  <si>
    <t>PO-100370</t>
  </si>
  <si>
    <t>2026-11-17</t>
  </si>
  <si>
    <t>PO-100371</t>
  </si>
  <si>
    <t>2026-07-03</t>
  </si>
  <si>
    <t>PO-100372</t>
  </si>
  <si>
    <t>2026-09-09</t>
  </si>
  <si>
    <t>PO-100373</t>
  </si>
  <si>
    <t>PO-100374</t>
  </si>
  <si>
    <t>PO-100375</t>
  </si>
  <si>
    <t>PO-100376</t>
  </si>
  <si>
    <t>PO-100377</t>
  </si>
  <si>
    <t>PO-100378</t>
  </si>
  <si>
    <t>PO-100379</t>
  </si>
  <si>
    <t>PO-100380</t>
  </si>
  <si>
    <t>PO-100381</t>
  </si>
  <si>
    <t>2025-01-25</t>
  </si>
  <si>
    <t>PO-100382</t>
  </si>
  <si>
    <t>PO-100383</t>
  </si>
  <si>
    <t>2026-10-17</t>
  </si>
  <si>
    <t>PO-100384</t>
  </si>
  <si>
    <t>PO-100385</t>
  </si>
  <si>
    <t>2026-08-10</t>
  </si>
  <si>
    <t>PO-100386</t>
  </si>
  <si>
    <t>2025-10-23</t>
  </si>
  <si>
    <t>PO-100387</t>
  </si>
  <si>
    <t>2026-05-14</t>
  </si>
  <si>
    <t>PO-100388</t>
  </si>
  <si>
    <t>PO-100389</t>
  </si>
  <si>
    <t>2025-01-30</t>
  </si>
  <si>
    <t>PO-100390</t>
  </si>
  <si>
    <t>PO-100391</t>
  </si>
  <si>
    <t>PO-100392</t>
  </si>
  <si>
    <t>PO-100393</t>
  </si>
  <si>
    <t>PO-100394</t>
  </si>
  <si>
    <t>PO-100395</t>
  </si>
  <si>
    <t>2026-04-25</t>
  </si>
  <si>
    <t>PO-100396</t>
  </si>
  <si>
    <t>PO-100397</t>
  </si>
  <si>
    <t>PO-100398</t>
  </si>
  <si>
    <t>PO-100399</t>
  </si>
  <si>
    <t>PO-100400</t>
  </si>
  <si>
    <t>PO-100401</t>
  </si>
  <si>
    <t>2026-07-25</t>
  </si>
  <si>
    <t>2026-07-26</t>
  </si>
  <si>
    <t>PO-100402</t>
  </si>
  <si>
    <t>2025-08-02</t>
  </si>
  <si>
    <t>2025-08-14</t>
  </si>
  <si>
    <t>2025-08-15</t>
  </si>
  <si>
    <t>PO-100403</t>
  </si>
  <si>
    <t>PO-100404</t>
  </si>
  <si>
    <t>PO-100405</t>
  </si>
  <si>
    <t>PO-100406</t>
  </si>
  <si>
    <t>2025-11-21</t>
  </si>
  <si>
    <t>PO-100407</t>
  </si>
  <si>
    <t>2025-10-27</t>
  </si>
  <si>
    <t>PO-100408</t>
  </si>
  <si>
    <t>2026-01-18</t>
  </si>
  <si>
    <t>2026-01-25</t>
  </si>
  <si>
    <t>PO-100409</t>
  </si>
  <si>
    <t>2025-04-22</t>
  </si>
  <si>
    <t>PO-100410</t>
  </si>
  <si>
    <t>2026-03-20</t>
  </si>
  <si>
    <t>PO-100411</t>
  </si>
  <si>
    <t>PO-100412</t>
  </si>
  <si>
    <t>2025-11-15</t>
  </si>
  <si>
    <t>PO-100413</t>
  </si>
  <si>
    <t>PO-100414</t>
  </si>
  <si>
    <t>2025-03-15</t>
  </si>
  <si>
    <t>PO-100415</t>
  </si>
  <si>
    <t>2025-03-22</t>
  </si>
  <si>
    <t>PO-100416</t>
  </si>
  <si>
    <t>PO-100417</t>
  </si>
  <si>
    <t>2026-05-07</t>
  </si>
  <si>
    <t>PO-100418</t>
  </si>
  <si>
    <t>PO-100419</t>
  </si>
  <si>
    <t>PO-100420</t>
  </si>
  <si>
    <t>PO-100421</t>
  </si>
  <si>
    <t>2026-11-11</t>
  </si>
  <si>
    <t>2026-11-21</t>
  </si>
  <si>
    <t>2026-12-05</t>
  </si>
  <si>
    <t>PO-100422</t>
  </si>
  <si>
    <t>2025-08-24</t>
  </si>
  <si>
    <t>PO-100423</t>
  </si>
  <si>
    <t>2025-05-10</t>
  </si>
  <si>
    <t>PO-100424</t>
  </si>
  <si>
    <t>PO-100425</t>
  </si>
  <si>
    <t>PO-100426</t>
  </si>
  <si>
    <t>PO-100427</t>
  </si>
  <si>
    <t>2026-10-14</t>
  </si>
  <si>
    <t>2026-10-28</t>
  </si>
  <si>
    <t>PO-100428</t>
  </si>
  <si>
    <t>2025-09-14</t>
  </si>
  <si>
    <t>PO-100429</t>
  </si>
  <si>
    <t>PO-100430</t>
  </si>
  <si>
    <t>PO-100431</t>
  </si>
  <si>
    <t>PO-100432</t>
  </si>
  <si>
    <t>2026-08-30</t>
  </si>
  <si>
    <t>PO-100433</t>
  </si>
  <si>
    <t>PO-100434</t>
  </si>
  <si>
    <t>2026-08-14</t>
  </si>
  <si>
    <t>PO-100435</t>
  </si>
  <si>
    <t>PO-100436</t>
  </si>
  <si>
    <t>PO-100437</t>
  </si>
  <si>
    <t>2026-11-18</t>
  </si>
  <si>
    <t>PO-100438</t>
  </si>
  <si>
    <t>PO-100439</t>
  </si>
  <si>
    <t>2025-09-25</t>
  </si>
  <si>
    <t>PO-100440</t>
  </si>
  <si>
    <t>PO-100441</t>
  </si>
  <si>
    <t>PO-100442</t>
  </si>
  <si>
    <t>2025-07-04</t>
  </si>
  <si>
    <t>PO-100443</t>
  </si>
  <si>
    <t>PO-100444</t>
  </si>
  <si>
    <t>PO-100445</t>
  </si>
  <si>
    <t>PO-100446</t>
  </si>
  <si>
    <t>PO-100447</t>
  </si>
  <si>
    <t>PO-100448</t>
  </si>
  <si>
    <t>2026-11-30</t>
  </si>
  <si>
    <t>PO-100449</t>
  </si>
  <si>
    <t>2025-04-01</t>
  </si>
  <si>
    <t>PO-100450</t>
  </si>
  <si>
    <t>PO-100451</t>
  </si>
  <si>
    <t>2025-07-11</t>
  </si>
  <si>
    <t>PO-100452</t>
  </si>
  <si>
    <t>PO-100453</t>
  </si>
  <si>
    <t>2026-11-26</t>
  </si>
  <si>
    <t>PO-100454</t>
  </si>
  <si>
    <t>PO-100455</t>
  </si>
  <si>
    <t>PO-100456</t>
  </si>
  <si>
    <t>PO-100457</t>
  </si>
  <si>
    <t>PO-100458</t>
  </si>
  <si>
    <t>PO-100459</t>
  </si>
  <si>
    <t>PO-100460</t>
  </si>
  <si>
    <t>PO-100461</t>
  </si>
  <si>
    <t>PO-100462</t>
  </si>
  <si>
    <t>2025-03-30</t>
  </si>
  <si>
    <t>PO-100463</t>
  </si>
  <si>
    <t>PO-100464</t>
  </si>
  <si>
    <t>PO-100465</t>
  </si>
  <si>
    <t>PO-100466</t>
  </si>
  <si>
    <t>PO-100467</t>
  </si>
  <si>
    <t>2025-03-23</t>
  </si>
  <si>
    <t>2025-04-10</t>
  </si>
  <si>
    <t>PO-100468</t>
  </si>
  <si>
    <t>PO-100469</t>
  </si>
  <si>
    <t>2025-03-26</t>
  </si>
  <si>
    <t>PO-100470</t>
  </si>
  <si>
    <t>2026-12-03</t>
  </si>
  <si>
    <t>PO-100471</t>
  </si>
  <si>
    <t>PO-100472</t>
  </si>
  <si>
    <t>2026-06-04</t>
  </si>
  <si>
    <t>PO-100473</t>
  </si>
  <si>
    <t>PO-100474</t>
  </si>
  <si>
    <t>PO-100475</t>
  </si>
  <si>
    <t>2026-06-11</t>
  </si>
  <si>
    <t>PO-100476</t>
  </si>
  <si>
    <t>PO-100477</t>
  </si>
  <si>
    <t>PO-100478</t>
  </si>
  <si>
    <t>PO-100479</t>
  </si>
  <si>
    <t>PO-100480</t>
  </si>
  <si>
    <t>PO-100481</t>
  </si>
  <si>
    <t>PO-100482</t>
  </si>
  <si>
    <t>PO-100483</t>
  </si>
  <si>
    <t>PO-100484</t>
  </si>
  <si>
    <t>2025-07-01</t>
  </si>
  <si>
    <t>PO-100485</t>
  </si>
  <si>
    <t>PO-100486</t>
  </si>
  <si>
    <t>2025-04-29</t>
  </si>
  <si>
    <t>2025-05-06</t>
  </si>
  <si>
    <t>PO-100487</t>
  </si>
  <si>
    <t>PO-100488</t>
  </si>
  <si>
    <t>PO-100489</t>
  </si>
  <si>
    <t>PO-100490</t>
  </si>
  <si>
    <t>PO-100491</t>
  </si>
  <si>
    <t>PO-100492</t>
  </si>
  <si>
    <t>2026-10-16</t>
  </si>
  <si>
    <t>PO-100493</t>
  </si>
  <si>
    <t>2025-09-01</t>
  </si>
  <si>
    <t>PO-100494</t>
  </si>
  <si>
    <t>2025-01-26</t>
  </si>
  <si>
    <t>PO-100495</t>
  </si>
  <si>
    <t>PO-100496</t>
  </si>
  <si>
    <t>PO-100497</t>
  </si>
  <si>
    <t>2026-02-17</t>
  </si>
  <si>
    <t>PO-100498</t>
  </si>
  <si>
    <t>2025-01-01</t>
  </si>
  <si>
    <t>2025-01-14</t>
  </si>
  <si>
    <t>PO-100499</t>
  </si>
  <si>
    <t>2026-09-29</t>
  </si>
  <si>
    <t>PO-100500</t>
  </si>
  <si>
    <t>PO-100501</t>
  </si>
  <si>
    <t>PO-100502</t>
  </si>
  <si>
    <t>PO-100503</t>
  </si>
  <si>
    <t>2026-02-24</t>
  </si>
  <si>
    <t>PO-100504</t>
  </si>
  <si>
    <t>2026-06-19</t>
  </si>
  <si>
    <t>PO-100505</t>
  </si>
  <si>
    <t>PO-100506</t>
  </si>
  <si>
    <t>2026-04-22</t>
  </si>
  <si>
    <t>PO-100507</t>
  </si>
  <si>
    <t>2026-09-26</t>
  </si>
  <si>
    <t>PO-100508</t>
  </si>
  <si>
    <t>2025-02-18</t>
  </si>
  <si>
    <t>PO-100509</t>
  </si>
  <si>
    <t>2026-05-03</t>
  </si>
  <si>
    <t>PO-100510</t>
  </si>
  <si>
    <t>PO-100511</t>
  </si>
  <si>
    <t>PO-100512</t>
  </si>
  <si>
    <t>PO-100513</t>
  </si>
  <si>
    <t>PO-100514</t>
  </si>
  <si>
    <t>PO-100515</t>
  </si>
  <si>
    <t>PO-100516</t>
  </si>
  <si>
    <t>2025-08-09</t>
  </si>
  <si>
    <t>2025-08-23</t>
  </si>
  <si>
    <t>PO-100517</t>
  </si>
  <si>
    <t>PO-100518</t>
  </si>
  <si>
    <t>PO-100519</t>
  </si>
  <si>
    <t>PO-100520</t>
  </si>
  <si>
    <t>2025-05-01</t>
  </si>
  <si>
    <t>PO-100521</t>
  </si>
  <si>
    <t>PO-100522</t>
  </si>
  <si>
    <t>PO-100523</t>
  </si>
  <si>
    <t>PO-100524</t>
  </si>
  <si>
    <t>PO-100525</t>
  </si>
  <si>
    <t>2025-05-02</t>
  </si>
  <si>
    <t>PO-100526</t>
  </si>
  <si>
    <t>PO-100527</t>
  </si>
  <si>
    <t>PO-100528</t>
  </si>
  <si>
    <t>PO-100529</t>
  </si>
  <si>
    <t>2025-10-01</t>
  </si>
  <si>
    <t>PO-100530</t>
  </si>
  <si>
    <t>2026-10-10</t>
  </si>
  <si>
    <t>PO-100531</t>
  </si>
  <si>
    <t>PO-100532</t>
  </si>
  <si>
    <t>PO-100533</t>
  </si>
  <si>
    <t>PO-100534</t>
  </si>
  <si>
    <t>PO-100535</t>
  </si>
  <si>
    <t>2025-12-19</t>
  </si>
  <si>
    <t>PO-100536</t>
  </si>
  <si>
    <t>PO-100537</t>
  </si>
  <si>
    <t>2025-12-31</t>
  </si>
  <si>
    <t>PO-100538</t>
  </si>
  <si>
    <t>2025-04-07</t>
  </si>
  <si>
    <t>PO-100539</t>
  </si>
  <si>
    <t>PO-100540</t>
  </si>
  <si>
    <t>PO-100541</t>
  </si>
  <si>
    <t>PO-100542</t>
  </si>
  <si>
    <t>PO-100543</t>
  </si>
  <si>
    <t>2026-08-31</t>
  </si>
  <si>
    <t>PO-100544</t>
  </si>
  <si>
    <t>2025-01-18</t>
  </si>
  <si>
    <t>PO-100545</t>
  </si>
  <si>
    <t>PO-100546</t>
  </si>
  <si>
    <t>PO-100547</t>
  </si>
  <si>
    <t>PO-100548</t>
  </si>
  <si>
    <t>PO-100549</t>
  </si>
  <si>
    <t>2026-07-18</t>
  </si>
  <si>
    <t>PO-100550</t>
  </si>
  <si>
    <t>2025-05-31</t>
  </si>
  <si>
    <t>PO-100551</t>
  </si>
  <si>
    <t>PO-100552</t>
  </si>
  <si>
    <t>PO-100553</t>
  </si>
  <si>
    <t>2026-02-21</t>
  </si>
  <si>
    <t>PO-100554</t>
  </si>
  <si>
    <t>PO-100555</t>
  </si>
  <si>
    <t>2025-06-19</t>
  </si>
  <si>
    <t>PO-100556</t>
  </si>
  <si>
    <t>PO-100557</t>
  </si>
  <si>
    <t>PO-100558</t>
  </si>
  <si>
    <t>PO-100559</t>
  </si>
  <si>
    <t>PO-100560</t>
  </si>
  <si>
    <t>PO-100561</t>
  </si>
  <si>
    <t>2026-08-11</t>
  </si>
  <si>
    <t>PO-100562</t>
  </si>
  <si>
    <t>PO-100563</t>
  </si>
  <si>
    <t>PO-100564</t>
  </si>
  <si>
    <t>PO-100565</t>
  </si>
  <si>
    <t>2025-08-05</t>
  </si>
  <si>
    <t>PO-100566</t>
  </si>
  <si>
    <t>2025-12-27</t>
  </si>
  <si>
    <t>PO-100567</t>
  </si>
  <si>
    <t>PO-100568</t>
  </si>
  <si>
    <t>PO-100569</t>
  </si>
  <si>
    <t>2027-01-05</t>
  </si>
  <si>
    <t>PO-100570</t>
  </si>
  <si>
    <t>PO-100571</t>
  </si>
  <si>
    <t>PO-100572</t>
  </si>
  <si>
    <t>PO-100573</t>
  </si>
  <si>
    <t>PO-100574</t>
  </si>
  <si>
    <t>PO-100575</t>
  </si>
  <si>
    <t>PO-100576</t>
  </si>
  <si>
    <t>2026-05-28</t>
  </si>
  <si>
    <t>PO-100577</t>
  </si>
  <si>
    <t>PO-100578</t>
  </si>
  <si>
    <t>PO-100579</t>
  </si>
  <si>
    <t>2026-10-25</t>
  </si>
  <si>
    <t>PO-100580</t>
  </si>
  <si>
    <t>PO-100581</t>
  </si>
  <si>
    <t>2025-01-05</t>
  </si>
  <si>
    <t>PO-100582</t>
  </si>
  <si>
    <t>PO-100583</t>
  </si>
  <si>
    <t>PO-100584</t>
  </si>
  <si>
    <t>PO-100585</t>
  </si>
  <si>
    <t>2025-07-23</t>
  </si>
  <si>
    <t>2025-08-06</t>
  </si>
  <si>
    <t>PO-100586</t>
  </si>
  <si>
    <t>2025-05-25</t>
  </si>
  <si>
    <t>PO-100587</t>
  </si>
  <si>
    <t>2025-03-14</t>
  </si>
  <si>
    <t>PO-100588</t>
  </si>
  <si>
    <t>PO-100589</t>
  </si>
  <si>
    <t>PO-100590</t>
  </si>
  <si>
    <t>2026-12-17</t>
  </si>
  <si>
    <t>PO-100591</t>
  </si>
  <si>
    <t>2026-09-22</t>
  </si>
  <si>
    <t>2026-10-02</t>
  </si>
  <si>
    <t>PO-100592</t>
  </si>
  <si>
    <t>PO-100593</t>
  </si>
  <si>
    <t>PO-100594</t>
  </si>
  <si>
    <t>PO-100595</t>
  </si>
  <si>
    <t>2026-08-24</t>
  </si>
  <si>
    <t>PO-100596</t>
  </si>
  <si>
    <t>2025-03-12</t>
  </si>
  <si>
    <t>PO-100597</t>
  </si>
  <si>
    <t>2026-08-09</t>
  </si>
  <si>
    <t>2026-08-20</t>
  </si>
  <si>
    <t>PO-100598</t>
  </si>
  <si>
    <t>PO-100599</t>
  </si>
  <si>
    <t>PO-100600</t>
  </si>
  <si>
    <t>PO-100601</t>
  </si>
  <si>
    <t>PO-100602</t>
  </si>
  <si>
    <t>2026-03-06</t>
  </si>
  <si>
    <t>PO-100603</t>
  </si>
  <si>
    <t>PO-100604</t>
  </si>
  <si>
    <t>2026-12-21</t>
  </si>
  <si>
    <t>PO-100605</t>
  </si>
  <si>
    <t>2026-12-02</t>
  </si>
  <si>
    <t>PO-100606</t>
  </si>
  <si>
    <t>PO-100607</t>
  </si>
  <si>
    <t>PO-100608</t>
  </si>
  <si>
    <t>PO-100609</t>
  </si>
  <si>
    <t>PO-100610</t>
  </si>
  <si>
    <t>PO-100611</t>
  </si>
  <si>
    <t>PO-100612</t>
  </si>
  <si>
    <t>2026-10-11</t>
  </si>
  <si>
    <t>2026-11-12</t>
  </si>
  <si>
    <t>PO-100613</t>
  </si>
  <si>
    <t>2026-10-21</t>
  </si>
  <si>
    <t>PO-100614</t>
  </si>
  <si>
    <t>PO-100615</t>
  </si>
  <si>
    <t>PO-100616</t>
  </si>
  <si>
    <t>PO-100617</t>
  </si>
  <si>
    <t>PO-100618</t>
  </si>
  <si>
    <t>PO-100619</t>
  </si>
  <si>
    <t>2025-04-17</t>
  </si>
  <si>
    <t>PO-100620</t>
  </si>
  <si>
    <t>PO-100621</t>
  </si>
  <si>
    <t>PO-100622</t>
  </si>
  <si>
    <t>PO-100623</t>
  </si>
  <si>
    <t>PO-100624</t>
  </si>
  <si>
    <t>PO-100625</t>
  </si>
  <si>
    <t>PO-100626</t>
  </si>
  <si>
    <t>PO-100627</t>
  </si>
  <si>
    <t>2026-06-29</t>
  </si>
  <si>
    <t>PO-100628</t>
  </si>
  <si>
    <t>PO-100629</t>
  </si>
  <si>
    <t>2026-01-27</t>
  </si>
  <si>
    <t>PO-100630</t>
  </si>
  <si>
    <t>PO-100631</t>
  </si>
  <si>
    <t>PO-100632</t>
  </si>
  <si>
    <t>PO-100633</t>
  </si>
  <si>
    <t>PO-100634</t>
  </si>
  <si>
    <t>2026-03-09</t>
  </si>
  <si>
    <t>PO-100635</t>
  </si>
  <si>
    <t>PO-100636</t>
  </si>
  <si>
    <t>PO-100637</t>
  </si>
  <si>
    <t>PO-100638</t>
  </si>
  <si>
    <t>PO-100639</t>
  </si>
  <si>
    <t>2026-10-24</t>
  </si>
  <si>
    <t>PO-100640</t>
  </si>
  <si>
    <t>2026-11-02</t>
  </si>
  <si>
    <t>PO-100641</t>
  </si>
  <si>
    <t>2026-05-23</t>
  </si>
  <si>
    <t>PO-100642</t>
  </si>
  <si>
    <t>2025-11-08</t>
  </si>
  <si>
    <t>PO-100643</t>
  </si>
  <si>
    <t>PO-100644</t>
  </si>
  <si>
    <t>2026-06-03</t>
  </si>
  <si>
    <t>PO-100645</t>
  </si>
  <si>
    <t>PO-100646</t>
  </si>
  <si>
    <t>2026-03-02</t>
  </si>
  <si>
    <t>PO-100647</t>
  </si>
  <si>
    <t>2026-01-09</t>
  </si>
  <si>
    <t>2026-01-30</t>
  </si>
  <si>
    <t>PO-100648</t>
  </si>
  <si>
    <t>PO-100649</t>
  </si>
  <si>
    <t>PO-100650</t>
  </si>
  <si>
    <t>PO-100651</t>
  </si>
  <si>
    <t>PO-100652</t>
  </si>
  <si>
    <t>PO-100653</t>
  </si>
  <si>
    <t>PO-100654</t>
  </si>
  <si>
    <t>PO-100655</t>
  </si>
  <si>
    <t>PO-100656</t>
  </si>
  <si>
    <t>PO-100657</t>
  </si>
  <si>
    <t>PO-100658</t>
  </si>
  <si>
    <t>2026-09-28</t>
  </si>
  <si>
    <t>PO-100659</t>
  </si>
  <si>
    <t>2025-12-28</t>
  </si>
  <si>
    <t>PO-100660</t>
  </si>
  <si>
    <t>2026-05-05</t>
  </si>
  <si>
    <t>2026-05-06</t>
  </si>
  <si>
    <t>PO-100661</t>
  </si>
  <si>
    <t>PO-100662</t>
  </si>
  <si>
    <t>PO-100663</t>
  </si>
  <si>
    <t>PO-100664</t>
  </si>
  <si>
    <t>PO-100665</t>
  </si>
  <si>
    <t>PO-100666</t>
  </si>
  <si>
    <t>2025-06-03</t>
  </si>
  <si>
    <t>PO-100667</t>
  </si>
  <si>
    <t>2025-07-02</t>
  </si>
  <si>
    <t>PO-100668</t>
  </si>
  <si>
    <t>PO-100669</t>
  </si>
  <si>
    <t>PO-100670</t>
  </si>
  <si>
    <t>PO-100671</t>
  </si>
  <si>
    <t>PO-100672</t>
  </si>
  <si>
    <t>PO-100673</t>
  </si>
  <si>
    <t>PO-100674</t>
  </si>
  <si>
    <t>PO-100675</t>
  </si>
  <si>
    <t>2025-05-16</t>
  </si>
  <si>
    <t>PO-100676</t>
  </si>
  <si>
    <t>PO-100677</t>
  </si>
  <si>
    <t>2025-04-19</t>
  </si>
  <si>
    <t>PO-100678</t>
  </si>
  <si>
    <t>2025-04-15</t>
  </si>
  <si>
    <t>PO-100679</t>
  </si>
  <si>
    <t>PO-100680</t>
  </si>
  <si>
    <t>2026-05-18</t>
  </si>
  <si>
    <t>PO-100681</t>
  </si>
  <si>
    <t>2025-08-07</t>
  </si>
  <si>
    <t>PO-100682</t>
  </si>
  <si>
    <t>2026-05-16</t>
  </si>
  <si>
    <t>PO-100683</t>
  </si>
  <si>
    <t>PO-100684</t>
  </si>
  <si>
    <t>PO-100685</t>
  </si>
  <si>
    <t>PO-100686</t>
  </si>
  <si>
    <t>2025-01-11</t>
  </si>
  <si>
    <t>PO-100687</t>
  </si>
  <si>
    <t>PO-100688</t>
  </si>
  <si>
    <t>PO-100689</t>
  </si>
  <si>
    <t>PO-100690</t>
  </si>
  <si>
    <t>PO-100691</t>
  </si>
  <si>
    <t>PO-100692</t>
  </si>
  <si>
    <t>2025-09-20</t>
  </si>
  <si>
    <t>PO-100693</t>
  </si>
  <si>
    <t>PO-100694</t>
  </si>
  <si>
    <t>PO-100695</t>
  </si>
  <si>
    <t>PO-100696</t>
  </si>
  <si>
    <t>2026-09-21</t>
  </si>
  <si>
    <t>PO-100697</t>
  </si>
  <si>
    <t>2025-07-08</t>
  </si>
  <si>
    <t>PO-100698</t>
  </si>
  <si>
    <t>2025-02-21</t>
  </si>
  <si>
    <t>PO-100699</t>
  </si>
  <si>
    <t>2025-02-11</t>
  </si>
  <si>
    <t>PO-100700</t>
  </si>
  <si>
    <t>PO-100701</t>
  </si>
  <si>
    <t>PO-100702</t>
  </si>
  <si>
    <t>PO-100703</t>
  </si>
  <si>
    <t>PO-100704</t>
  </si>
  <si>
    <t>PO-100705</t>
  </si>
  <si>
    <t>PO-100706</t>
  </si>
  <si>
    <t>PO-100707</t>
  </si>
  <si>
    <t>PO-100708</t>
  </si>
  <si>
    <t>2026-03-11</t>
  </si>
  <si>
    <t>2026-03-21</t>
  </si>
  <si>
    <t>PO-100709</t>
  </si>
  <si>
    <t>PO-100710</t>
  </si>
  <si>
    <t>PO-100711</t>
  </si>
  <si>
    <t>2026-05-21</t>
  </si>
  <si>
    <t>PO-100712</t>
  </si>
  <si>
    <t>PO-100713</t>
  </si>
  <si>
    <t>PO-100714</t>
  </si>
  <si>
    <t>PO-100715</t>
  </si>
  <si>
    <t>PO-100716</t>
  </si>
  <si>
    <t>PO-100717</t>
  </si>
  <si>
    <t>2026-05-24</t>
  </si>
  <si>
    <t>PO-100718</t>
  </si>
  <si>
    <t>PO-100719</t>
  </si>
  <si>
    <t>PO-100720</t>
  </si>
  <si>
    <t>PO-100721</t>
  </si>
  <si>
    <t>PO-100722</t>
  </si>
  <si>
    <t>2025-01-10</t>
  </si>
  <si>
    <t>PO-100723</t>
  </si>
  <si>
    <t>PO-100724</t>
  </si>
  <si>
    <t>PO-100725</t>
  </si>
  <si>
    <t>PO-100726</t>
  </si>
  <si>
    <t>2026-09-27</t>
  </si>
  <si>
    <t>PO-100727</t>
  </si>
  <si>
    <t>PO-100728</t>
  </si>
  <si>
    <t>PO-100729</t>
  </si>
  <si>
    <t>PO-100730</t>
  </si>
  <si>
    <t>PO-100731</t>
  </si>
  <si>
    <t>PO-100732</t>
  </si>
  <si>
    <t>PO-100733</t>
  </si>
  <si>
    <t>PO-100734</t>
  </si>
  <si>
    <t>PO-100735</t>
  </si>
  <si>
    <t>PO-100736</t>
  </si>
  <si>
    <t>2025-07-12</t>
  </si>
  <si>
    <t>PO-100737</t>
  </si>
  <si>
    <t>PO-100738</t>
  </si>
  <si>
    <t>PO-100739</t>
  </si>
  <si>
    <t>PO-100740</t>
  </si>
  <si>
    <t>PO-100741</t>
  </si>
  <si>
    <t>PO-100742</t>
  </si>
  <si>
    <t>2025-04-18</t>
  </si>
  <si>
    <t>PO-100743</t>
  </si>
  <si>
    <t>PO-100744</t>
  </si>
  <si>
    <t>PO-100745</t>
  </si>
  <si>
    <t>PO-100746</t>
  </si>
  <si>
    <t>PO-100747</t>
  </si>
  <si>
    <t>PO-100748</t>
  </si>
  <si>
    <t>2025-02-01</t>
  </si>
  <si>
    <t>PO-100749</t>
  </si>
  <si>
    <t>PO-100750</t>
  </si>
  <si>
    <t>2026-03-03</t>
  </si>
  <si>
    <t>PO-100751</t>
  </si>
  <si>
    <t>2025-07-17</t>
  </si>
  <si>
    <t>PO-100752</t>
  </si>
  <si>
    <t>2025-05-18</t>
  </si>
  <si>
    <t>PO-100753</t>
  </si>
  <si>
    <t>PO-100754</t>
  </si>
  <si>
    <t>PO-100755</t>
  </si>
  <si>
    <t>PO-100756</t>
  </si>
  <si>
    <t>PO-100757</t>
  </si>
  <si>
    <t>PO-100758</t>
  </si>
  <si>
    <t>PO-100759</t>
  </si>
  <si>
    <t>PO-100760</t>
  </si>
  <si>
    <t>PO-100761</t>
  </si>
  <si>
    <t>PO-100762</t>
  </si>
  <si>
    <t>2026-07-30</t>
  </si>
  <si>
    <t>PO-100763</t>
  </si>
  <si>
    <t>PO-100764</t>
  </si>
  <si>
    <t>PO-100765</t>
  </si>
  <si>
    <t>PO-100766</t>
  </si>
  <si>
    <t>PO-100767</t>
  </si>
  <si>
    <t>PO-100768</t>
  </si>
  <si>
    <t>PO-100769</t>
  </si>
  <si>
    <t>PO-100770</t>
  </si>
  <si>
    <t>PO-100771</t>
  </si>
  <si>
    <t>PO-100772</t>
  </si>
  <si>
    <t>PO-100773</t>
  </si>
  <si>
    <t>2025-11-30</t>
  </si>
  <si>
    <t>PO-100774</t>
  </si>
  <si>
    <t>PO-100775</t>
  </si>
  <si>
    <t>PO-100776</t>
  </si>
  <si>
    <t>PO-100777</t>
  </si>
  <si>
    <t>PO-100778</t>
  </si>
  <si>
    <t>PO-100779</t>
  </si>
  <si>
    <t>PO-100780</t>
  </si>
  <si>
    <t>PO-100781</t>
  </si>
  <si>
    <t>PO-100782</t>
  </si>
  <si>
    <t>2025-09-21</t>
  </si>
  <si>
    <t>PO-100783</t>
  </si>
  <si>
    <t>PO-100784</t>
  </si>
  <si>
    <t>PO-100785</t>
  </si>
  <si>
    <t>PO-100786</t>
  </si>
  <si>
    <t>PO-100787</t>
  </si>
  <si>
    <t>PO-100788</t>
  </si>
  <si>
    <t>PO-100789</t>
  </si>
  <si>
    <t>PO-100790</t>
  </si>
  <si>
    <t>2025-05-27</t>
  </si>
  <si>
    <t>PO-100791</t>
  </si>
  <si>
    <t>PO-100792</t>
  </si>
  <si>
    <t>2025-11-17</t>
  </si>
  <si>
    <t>2025-12-05</t>
  </si>
  <si>
    <t>PO-100793</t>
  </si>
  <si>
    <t>PO-100794</t>
  </si>
  <si>
    <t>PO-100795</t>
  </si>
  <si>
    <t>PO-100796</t>
  </si>
  <si>
    <t>PO-100797</t>
  </si>
  <si>
    <t>PO-100798</t>
  </si>
  <si>
    <t>2025-09-07</t>
  </si>
  <si>
    <t>PO-100799</t>
  </si>
  <si>
    <t>PO-100800</t>
  </si>
  <si>
    <t>PO-100801</t>
  </si>
  <si>
    <t>PO-100802</t>
  </si>
  <si>
    <t>PO-100803</t>
  </si>
  <si>
    <t>2026-08-22</t>
  </si>
  <si>
    <t>PO-100804</t>
  </si>
  <si>
    <t>PO-100805</t>
  </si>
  <si>
    <t>PO-100806</t>
  </si>
  <si>
    <t>PO-100807</t>
  </si>
  <si>
    <t>2026-08-21</t>
  </si>
  <si>
    <t>PO-100808</t>
  </si>
  <si>
    <t>PO-100809</t>
  </si>
  <si>
    <t>PO-100810</t>
  </si>
  <si>
    <t>PO-100811</t>
  </si>
  <si>
    <t>PO-100812</t>
  </si>
  <si>
    <t>2025-12-30</t>
  </si>
  <si>
    <t>2026-01-28</t>
  </si>
  <si>
    <t>PO-100813</t>
  </si>
  <si>
    <t>PO-100814</t>
  </si>
  <si>
    <t>PO-100815</t>
  </si>
  <si>
    <t>PO-100816</t>
  </si>
  <si>
    <t>PO-100817</t>
  </si>
  <si>
    <t>PO-100818</t>
  </si>
  <si>
    <t>PO-100819</t>
  </si>
  <si>
    <t>PO-100820</t>
  </si>
  <si>
    <t>PO-100821</t>
  </si>
  <si>
    <t>PO-100822</t>
  </si>
  <si>
    <t>PO-100823</t>
  </si>
  <si>
    <t>PO-100824</t>
  </si>
  <si>
    <t>PO-100825</t>
  </si>
  <si>
    <t>PO-100826</t>
  </si>
  <si>
    <t>PO-100827</t>
  </si>
  <si>
    <t>PO-100828</t>
  </si>
  <si>
    <t>2025-06-22</t>
  </si>
  <si>
    <t>PO-100829</t>
  </si>
  <si>
    <t>2025-07-21</t>
  </si>
  <si>
    <t>PO-100830</t>
  </si>
  <si>
    <t>PO-100831</t>
  </si>
  <si>
    <t>PO-100832</t>
  </si>
  <si>
    <t>PO-100833</t>
  </si>
  <si>
    <t>PO-100834</t>
  </si>
  <si>
    <t>PO-100835</t>
  </si>
  <si>
    <t>PO-100836</t>
  </si>
  <si>
    <t>PO-100837</t>
  </si>
  <si>
    <t>PO-100838</t>
  </si>
  <si>
    <t>PO-100839</t>
  </si>
  <si>
    <t>PO-100840</t>
  </si>
  <si>
    <t>PO-100841</t>
  </si>
  <si>
    <t>PO-100842</t>
  </si>
  <si>
    <t>PO-100843</t>
  </si>
  <si>
    <t>PO-100844</t>
  </si>
  <si>
    <t>PO-100845</t>
  </si>
  <si>
    <t>PO-100846</t>
  </si>
  <si>
    <t>PO-100847</t>
  </si>
  <si>
    <t>PO-100848</t>
  </si>
  <si>
    <t>2026-05-30</t>
  </si>
  <si>
    <t>PO-100849</t>
  </si>
  <si>
    <t>PO-100850</t>
  </si>
  <si>
    <t>PO-100851</t>
  </si>
  <si>
    <t>PO-100852</t>
  </si>
  <si>
    <t>PO-100853</t>
  </si>
  <si>
    <t>PO-100854</t>
  </si>
  <si>
    <t>PO-100855</t>
  </si>
  <si>
    <t>PO-100856</t>
  </si>
  <si>
    <t>PO-100857</t>
  </si>
  <si>
    <t>2026-03-28</t>
  </si>
  <si>
    <t>PO-100858</t>
  </si>
  <si>
    <t>2025-09-02</t>
  </si>
  <si>
    <t>PO-100859</t>
  </si>
  <si>
    <t>PO-100860</t>
  </si>
  <si>
    <t>PO-100861</t>
  </si>
  <si>
    <t>PO-100862</t>
  </si>
  <si>
    <t>PO-100863</t>
  </si>
  <si>
    <t>PO-100864</t>
  </si>
  <si>
    <t>PO-100865</t>
  </si>
  <si>
    <t>PO-100866</t>
  </si>
  <si>
    <t>PO-100867</t>
  </si>
  <si>
    <t>2026-12-25</t>
  </si>
  <si>
    <t>PO-100868</t>
  </si>
  <si>
    <t>PO-100869</t>
  </si>
  <si>
    <t>PO-100870</t>
  </si>
  <si>
    <t>PO-100871</t>
  </si>
  <si>
    <t>PO-100872</t>
  </si>
  <si>
    <t>PO-100873</t>
  </si>
  <si>
    <t>PO-100874</t>
  </si>
  <si>
    <t>PO-100875</t>
  </si>
  <si>
    <t>PO-100876</t>
  </si>
  <si>
    <t>PO-100877</t>
  </si>
  <si>
    <t>PO-100878</t>
  </si>
  <si>
    <t>PO-100879</t>
  </si>
  <si>
    <t>PO-100880</t>
  </si>
  <si>
    <t>2026-12-15</t>
  </si>
  <si>
    <t>2027-01-08</t>
  </si>
  <si>
    <t>PO-100881</t>
  </si>
  <si>
    <t>PO-100882</t>
  </si>
  <si>
    <t>PO-100883</t>
  </si>
  <si>
    <t>PO-100884</t>
  </si>
  <si>
    <t>PO-100885</t>
  </si>
  <si>
    <t>PO-100886</t>
  </si>
  <si>
    <t>PO-100887</t>
  </si>
  <si>
    <t>PO-100888</t>
  </si>
  <si>
    <t>PO-100889</t>
  </si>
  <si>
    <t>PO-100890</t>
  </si>
  <si>
    <t>PO-100891</t>
  </si>
  <si>
    <t>PO-100892</t>
  </si>
  <si>
    <t>PO-100893</t>
  </si>
  <si>
    <t>PO-100894</t>
  </si>
  <si>
    <t>2026-12-19</t>
  </si>
  <si>
    <t>PO-100895</t>
  </si>
  <si>
    <t>PO-100896</t>
  </si>
  <si>
    <t>PO-100897</t>
  </si>
  <si>
    <t>PO-100898</t>
  </si>
  <si>
    <t>PO-100899</t>
  </si>
  <si>
    <t>PO-100900</t>
  </si>
  <si>
    <t>PO-100901</t>
  </si>
  <si>
    <t>PO-100902</t>
  </si>
  <si>
    <t>PO-100903</t>
  </si>
  <si>
    <t>PO-100904</t>
  </si>
  <si>
    <t>PO-100905</t>
  </si>
  <si>
    <t>PO-100906</t>
  </si>
  <si>
    <t>PO-100907</t>
  </si>
  <si>
    <t>PO-100908</t>
  </si>
  <si>
    <t>PO-100909</t>
  </si>
  <si>
    <t>PO-100910</t>
  </si>
  <si>
    <t>PO-100911</t>
  </si>
  <si>
    <t>PO-100912</t>
  </si>
  <si>
    <t>PO-100913</t>
  </si>
  <si>
    <t>PO-100914</t>
  </si>
  <si>
    <t>PO-100915</t>
  </si>
  <si>
    <t>PO-100916</t>
  </si>
  <si>
    <t>2025-03-18</t>
  </si>
  <si>
    <t>2025-03-31</t>
  </si>
  <si>
    <t>PO-100917</t>
  </si>
  <si>
    <t>PO-100918</t>
  </si>
  <si>
    <t>2026-08-05</t>
  </si>
  <si>
    <t>PO-100919</t>
  </si>
  <si>
    <t>PO-100920</t>
  </si>
  <si>
    <t>PO-100921</t>
  </si>
  <si>
    <t>PO-100922</t>
  </si>
  <si>
    <t>PO-100923</t>
  </si>
  <si>
    <t>PO-100924</t>
  </si>
  <si>
    <t>PO-100925</t>
  </si>
  <si>
    <t>PO-100926</t>
  </si>
  <si>
    <t>PO-100927</t>
  </si>
  <si>
    <t>PO-100928</t>
  </si>
  <si>
    <t>2026-12-23</t>
  </si>
  <si>
    <t>PO-100929</t>
  </si>
  <si>
    <t>PO-100930</t>
  </si>
  <si>
    <t>PO-100931</t>
  </si>
  <si>
    <t>PO-100932</t>
  </si>
  <si>
    <t>PO-100933</t>
  </si>
  <si>
    <t>PO-100934</t>
  </si>
  <si>
    <t>PO-100935</t>
  </si>
  <si>
    <t>PO-100936</t>
  </si>
  <si>
    <t>PO-100937</t>
  </si>
  <si>
    <t>PO-100938</t>
  </si>
  <si>
    <t>PO-100939</t>
  </si>
  <si>
    <t>PO-100940</t>
  </si>
  <si>
    <t>PO-100941</t>
  </si>
  <si>
    <t>PO-100942</t>
  </si>
  <si>
    <t>PO-100943</t>
  </si>
  <si>
    <t>2026-02-25</t>
  </si>
  <si>
    <t>PO-100944</t>
  </si>
  <si>
    <t>PO-100945</t>
  </si>
  <si>
    <t>2025-12-16</t>
  </si>
  <si>
    <t>PO-100946</t>
  </si>
  <si>
    <t>PO-100947</t>
  </si>
  <si>
    <t>PO-100948</t>
  </si>
  <si>
    <t>PO-100949</t>
  </si>
  <si>
    <t>PO-100950</t>
  </si>
  <si>
    <t>2025-12-20</t>
  </si>
  <si>
    <t>PO-100951</t>
  </si>
  <si>
    <t>PO-100952</t>
  </si>
  <si>
    <t>PO-100953</t>
  </si>
  <si>
    <t>2026-05-13</t>
  </si>
  <si>
    <t>PO-100954</t>
  </si>
  <si>
    <t>PO-100955</t>
  </si>
  <si>
    <t>2025-09-17</t>
  </si>
  <si>
    <t>PO-100956</t>
  </si>
  <si>
    <t>PO-100957</t>
  </si>
  <si>
    <t>PO-100958</t>
  </si>
  <si>
    <t>PO-100959</t>
  </si>
  <si>
    <t>PO-100960</t>
  </si>
  <si>
    <t>PO-100961</t>
  </si>
  <si>
    <t>PO-100962</t>
  </si>
  <si>
    <t>PO-100963</t>
  </si>
  <si>
    <t>PO-100964</t>
  </si>
  <si>
    <t>PO-100965</t>
  </si>
  <si>
    <t>PO-100966</t>
  </si>
  <si>
    <t>PO-100967</t>
  </si>
  <si>
    <t>PO-100968</t>
  </si>
  <si>
    <t>PO-100969</t>
  </si>
  <si>
    <t>PO-100970</t>
  </si>
  <si>
    <t>PO-100971</t>
  </si>
  <si>
    <t>PO-100972</t>
  </si>
  <si>
    <t>PO-100973</t>
  </si>
  <si>
    <t>PO-100974</t>
  </si>
  <si>
    <t>PO-100975</t>
  </si>
  <si>
    <t>PO-100976</t>
  </si>
  <si>
    <t>PO-100977</t>
  </si>
  <si>
    <t>PO-100978</t>
  </si>
  <si>
    <t>PO-100979</t>
  </si>
  <si>
    <t>PO-100980</t>
  </si>
  <si>
    <t>PO-100981</t>
  </si>
  <si>
    <t>PO-100982</t>
  </si>
  <si>
    <t>PO-100983</t>
  </si>
  <si>
    <t>PO-100984</t>
  </si>
  <si>
    <t>PO-100985</t>
  </si>
  <si>
    <t>PO-100986</t>
  </si>
  <si>
    <t>PO-100987</t>
  </si>
  <si>
    <t>PO-100988</t>
  </si>
  <si>
    <t>PO-100989</t>
  </si>
  <si>
    <t>PO-100990</t>
  </si>
  <si>
    <t>PO-100991</t>
  </si>
  <si>
    <t>PO-100992</t>
  </si>
  <si>
    <t>PO-100993</t>
  </si>
  <si>
    <t>2026-11-03</t>
  </si>
  <si>
    <t>PO-100994</t>
  </si>
  <si>
    <t>PO-100995</t>
  </si>
  <si>
    <t>PO-100996</t>
  </si>
  <si>
    <t>PO-100997</t>
  </si>
  <si>
    <t>PO-100998</t>
  </si>
  <si>
    <t>PO-100999</t>
  </si>
  <si>
    <t>PO-101000</t>
  </si>
  <si>
    <t>PO-101001</t>
  </si>
  <si>
    <t>PO-101002</t>
  </si>
  <si>
    <t>PO-101003</t>
  </si>
  <si>
    <t>PO-101004</t>
  </si>
  <si>
    <t>PO-101005</t>
  </si>
  <si>
    <t>PO-101006</t>
  </si>
  <si>
    <t>PO-101007</t>
  </si>
  <si>
    <t>PO-101008</t>
  </si>
  <si>
    <t>PO-101009</t>
  </si>
  <si>
    <t>PO-101010</t>
  </si>
  <si>
    <t>PO-101011</t>
  </si>
  <si>
    <t>PO-101012</t>
  </si>
  <si>
    <t>PO-101013</t>
  </si>
  <si>
    <t>PO-101014</t>
  </si>
  <si>
    <t>PO-101015</t>
  </si>
  <si>
    <t>PO-101016</t>
  </si>
  <si>
    <t>PO-101017</t>
  </si>
  <si>
    <t>PO-101018</t>
  </si>
  <si>
    <t>2026-12-22</t>
  </si>
  <si>
    <t>PO-101019</t>
  </si>
  <si>
    <t>PO-101020</t>
  </si>
  <si>
    <t>PO-101021</t>
  </si>
  <si>
    <t>PO-101022</t>
  </si>
  <si>
    <t>PO-101023</t>
  </si>
  <si>
    <t>PO-101024</t>
  </si>
  <si>
    <t>PO-101025</t>
  </si>
  <si>
    <t>2026-12-26</t>
  </si>
  <si>
    <t>PO-101026</t>
  </si>
  <si>
    <t>PO-101027</t>
  </si>
  <si>
    <t>PO-101028</t>
  </si>
  <si>
    <t>PO-101029</t>
  </si>
  <si>
    <t>PO-101030</t>
  </si>
  <si>
    <t>PO-101031</t>
  </si>
  <si>
    <t>PO-101032</t>
  </si>
  <si>
    <t>PO-101033</t>
  </si>
  <si>
    <t>PO-101034</t>
  </si>
  <si>
    <t>PO-101035</t>
  </si>
  <si>
    <t>PO-101036</t>
  </si>
  <si>
    <t>PO-101037</t>
  </si>
  <si>
    <t>PO-101038</t>
  </si>
  <si>
    <t>PO-101039</t>
  </si>
  <si>
    <t>PO-101040</t>
  </si>
  <si>
    <t>PO-101041</t>
  </si>
  <si>
    <t>PO-101042</t>
  </si>
  <si>
    <t>PO-101043</t>
  </si>
  <si>
    <t>PO-101044</t>
  </si>
  <si>
    <t>PO-101045</t>
  </si>
  <si>
    <t>PO-101046</t>
  </si>
  <si>
    <t>PO-101047</t>
  </si>
  <si>
    <t>PO-101048</t>
  </si>
  <si>
    <t>PO-101049</t>
  </si>
  <si>
    <t>PO-101050</t>
  </si>
  <si>
    <t>PO-101051</t>
  </si>
  <si>
    <t>PO-101052</t>
  </si>
  <si>
    <t>PO-101053</t>
  </si>
  <si>
    <t>PO-101054</t>
  </si>
  <si>
    <t>PO-101055</t>
  </si>
  <si>
    <t>PO-101056</t>
  </si>
  <si>
    <t>PO-101057</t>
  </si>
  <si>
    <t>PO-101058</t>
  </si>
  <si>
    <t>PO-101059</t>
  </si>
  <si>
    <t>PO-101060</t>
  </si>
  <si>
    <t>PO-101061</t>
  </si>
  <si>
    <t>PO-101062</t>
  </si>
  <si>
    <t>PO-101063</t>
  </si>
  <si>
    <t>PO-101064</t>
  </si>
  <si>
    <t>PO-101065</t>
  </si>
  <si>
    <t>PO-101066</t>
  </si>
  <si>
    <t>PO-101067</t>
  </si>
  <si>
    <t>PO-101068</t>
  </si>
  <si>
    <t>PO-101069</t>
  </si>
  <si>
    <t>PO-101070</t>
  </si>
  <si>
    <t>PO-101071</t>
  </si>
  <si>
    <t>PO-101072</t>
  </si>
  <si>
    <t>PO-101073</t>
  </si>
  <si>
    <t>PO-101074</t>
  </si>
  <si>
    <t>PO-101075</t>
  </si>
  <si>
    <t>PO-101076</t>
  </si>
  <si>
    <t>PO-101077</t>
  </si>
  <si>
    <t>PO-101078</t>
  </si>
  <si>
    <t>PO-101079</t>
  </si>
  <si>
    <t>PO-101080</t>
  </si>
  <si>
    <t>PO-101081</t>
  </si>
  <si>
    <t>PO-101082</t>
  </si>
  <si>
    <t>PO-101083</t>
  </si>
  <si>
    <t>PO-101084</t>
  </si>
  <si>
    <t>PO-101085</t>
  </si>
  <si>
    <t>PO-101086</t>
  </si>
  <si>
    <t>PO-101087</t>
  </si>
  <si>
    <t>PO-101088</t>
  </si>
  <si>
    <t>PO-101089</t>
  </si>
  <si>
    <t>2025-04-05</t>
  </si>
  <si>
    <t>PO-101090</t>
  </si>
  <si>
    <t>PO-101091</t>
  </si>
  <si>
    <t>PO-101092</t>
  </si>
  <si>
    <t>PO-101093</t>
  </si>
  <si>
    <t>PO-101094</t>
  </si>
  <si>
    <t>PO-101095</t>
  </si>
  <si>
    <t>PO-101096</t>
  </si>
  <si>
    <t>PO-101097</t>
  </si>
  <si>
    <t>PO-101098</t>
  </si>
  <si>
    <t>PO-101099</t>
  </si>
  <si>
    <t>PO-101100</t>
  </si>
  <si>
    <t>PO-101101</t>
  </si>
  <si>
    <t>PO-101102</t>
  </si>
  <si>
    <t>PO-101103</t>
  </si>
  <si>
    <t>PO-101104</t>
  </si>
  <si>
    <t>PO-101105</t>
  </si>
  <si>
    <t>PO-101106</t>
  </si>
  <si>
    <t>PO-101107</t>
  </si>
  <si>
    <t>PO-101108</t>
  </si>
  <si>
    <t>PO-101109</t>
  </si>
  <si>
    <t>PO-101110</t>
  </si>
  <si>
    <t>PO-101111</t>
  </si>
  <si>
    <t>PO-101112</t>
  </si>
  <si>
    <t>PO-101113</t>
  </si>
  <si>
    <t>PO-101114</t>
  </si>
  <si>
    <t>PO-101115</t>
  </si>
  <si>
    <t>PO-101116</t>
  </si>
  <si>
    <t>PO-101117</t>
  </si>
  <si>
    <t>PO-101118</t>
  </si>
  <si>
    <t>PO-101119</t>
  </si>
  <si>
    <t>PO-101120</t>
  </si>
  <si>
    <t>PO-101121</t>
  </si>
  <si>
    <t>PO-101122</t>
  </si>
  <si>
    <t>PO-101123</t>
  </si>
  <si>
    <t>PO-101124</t>
  </si>
  <si>
    <t>PO-101125</t>
  </si>
  <si>
    <t>PO-101126</t>
  </si>
  <si>
    <t>PO-101127</t>
  </si>
  <si>
    <t>PO-101128</t>
  </si>
  <si>
    <t>PO-101129</t>
  </si>
  <si>
    <t>PO-101130</t>
  </si>
  <si>
    <t>PO-101131</t>
  </si>
  <si>
    <t>PO-101132</t>
  </si>
  <si>
    <t>PO-101133</t>
  </si>
  <si>
    <t>PO-101134</t>
  </si>
  <si>
    <t>PO-101135</t>
  </si>
  <si>
    <t>PO-101136</t>
  </si>
  <si>
    <t>PO-101137</t>
  </si>
  <si>
    <t>PO-101138</t>
  </si>
  <si>
    <t>PO-101139</t>
  </si>
  <si>
    <t>PO-101140</t>
  </si>
  <si>
    <t>PO-101141</t>
  </si>
  <si>
    <t>PO-101142</t>
  </si>
  <si>
    <t>PO-101143</t>
  </si>
  <si>
    <t>PO-101144</t>
  </si>
  <si>
    <t>PO-101145</t>
  </si>
  <si>
    <t>PO-101146</t>
  </si>
  <si>
    <t>2026-03-13</t>
  </si>
  <si>
    <t>PO-101147</t>
  </si>
  <si>
    <t>PO-101148</t>
  </si>
  <si>
    <t>PO-101149</t>
  </si>
  <si>
    <t>2026-12-20</t>
  </si>
  <si>
    <t>PO-101150</t>
  </si>
  <si>
    <t>PO-101151</t>
  </si>
  <si>
    <t>PO-101152</t>
  </si>
  <si>
    <t>PO-101153</t>
  </si>
  <si>
    <t>PO-101154</t>
  </si>
  <si>
    <t>PO-101155</t>
  </si>
  <si>
    <t>PO-101156</t>
  </si>
  <si>
    <t>PO-101157</t>
  </si>
  <si>
    <t>PO-101158</t>
  </si>
  <si>
    <t>PO-101159</t>
  </si>
  <si>
    <t>PO-101160</t>
  </si>
  <si>
    <t>PO-101161</t>
  </si>
  <si>
    <t>PO-101162</t>
  </si>
  <si>
    <t>PO-101163</t>
  </si>
  <si>
    <t>PO-101164</t>
  </si>
  <si>
    <t>PO-101165</t>
  </si>
  <si>
    <t>PO-101166</t>
  </si>
  <si>
    <t>PO-101167</t>
  </si>
  <si>
    <t>PO-101168</t>
  </si>
  <si>
    <t>PO-101169</t>
  </si>
  <si>
    <t>PO-101170</t>
  </si>
  <si>
    <t>PO-101171</t>
  </si>
  <si>
    <t>PO-101172</t>
  </si>
  <si>
    <t>PO-101173</t>
  </si>
  <si>
    <t>PO-101174</t>
  </si>
  <si>
    <t>2025-01-07</t>
  </si>
  <si>
    <t>PO-101175</t>
  </si>
  <si>
    <t>PO-101176</t>
  </si>
  <si>
    <t>PO-101177</t>
  </si>
  <si>
    <t>PO-101178</t>
  </si>
  <si>
    <t>PO-101179</t>
  </si>
  <si>
    <t>PO-101180</t>
  </si>
  <si>
    <t>PO-101181</t>
  </si>
  <si>
    <t>PO-101182</t>
  </si>
  <si>
    <t>2026-06-18</t>
  </si>
  <si>
    <t>PO-101183</t>
  </si>
  <si>
    <t>PO-101184</t>
  </si>
  <si>
    <t>PO-101185</t>
  </si>
  <si>
    <t>PO-101186</t>
  </si>
  <si>
    <t>PO-101187</t>
  </si>
  <si>
    <t>PO-101188</t>
  </si>
  <si>
    <t>PO-101189</t>
  </si>
  <si>
    <t>PO-101190</t>
  </si>
  <si>
    <t>PO-101191</t>
  </si>
  <si>
    <t>PO-101192</t>
  </si>
  <si>
    <t>PO-101193</t>
  </si>
  <si>
    <t>PO-101194</t>
  </si>
  <si>
    <t>PO-101195</t>
  </si>
  <si>
    <t>PO-101196</t>
  </si>
  <si>
    <t>PO-101197</t>
  </si>
  <si>
    <t>PO-101198</t>
  </si>
  <si>
    <t>PO-101199</t>
  </si>
  <si>
    <t>PO-101200</t>
  </si>
  <si>
    <t>PO-101201</t>
  </si>
  <si>
    <t>PO-101202</t>
  </si>
  <si>
    <t>PO-101203</t>
  </si>
  <si>
    <t>PO-101204</t>
  </si>
  <si>
    <t>PO-101205</t>
  </si>
  <si>
    <t>PO-101206</t>
  </si>
  <si>
    <t>PO-101207</t>
  </si>
  <si>
    <t>PO-101208</t>
  </si>
  <si>
    <t>PO-101209</t>
  </si>
  <si>
    <t>PO-101210</t>
  </si>
  <si>
    <t>PO-101211</t>
  </si>
  <si>
    <t>PO-101212</t>
  </si>
  <si>
    <t>PO-101213</t>
  </si>
  <si>
    <t>PO-101214</t>
  </si>
  <si>
    <t>PO-101215</t>
  </si>
  <si>
    <t>PO-101216</t>
  </si>
  <si>
    <t>PO-101217</t>
  </si>
  <si>
    <t>PO-101218</t>
  </si>
  <si>
    <t>PO-101219</t>
  </si>
  <si>
    <t>PO-101220</t>
  </si>
  <si>
    <t>PO-101221</t>
  </si>
  <si>
    <t>PO-101222</t>
  </si>
  <si>
    <t>PO-101223</t>
  </si>
  <si>
    <t>PO-101224</t>
  </si>
  <si>
    <t>PO-101225</t>
  </si>
  <si>
    <t>PO-101226</t>
  </si>
  <si>
    <t>PO-101227</t>
  </si>
  <si>
    <t>PO-101228</t>
  </si>
  <si>
    <t>2026-07-19</t>
  </si>
  <si>
    <t>PO-101229</t>
  </si>
  <si>
    <t>PO-101230</t>
  </si>
  <si>
    <t>PO-101231</t>
  </si>
  <si>
    <t>PO-101232</t>
  </si>
  <si>
    <t>PO-101233</t>
  </si>
  <si>
    <t>PO-101234</t>
  </si>
  <si>
    <t>PO-101235</t>
  </si>
  <si>
    <t>PO-101236</t>
  </si>
  <si>
    <t>PO-101237</t>
  </si>
  <si>
    <t>PO-101238</t>
  </si>
  <si>
    <t>PO-101239</t>
  </si>
  <si>
    <t>PO-101240</t>
  </si>
  <si>
    <t>PO-101241</t>
  </si>
  <si>
    <t>PO-101242</t>
  </si>
  <si>
    <t>2025-01-02</t>
  </si>
  <si>
    <t>PO-101243</t>
  </si>
  <si>
    <t>PO-101244</t>
  </si>
  <si>
    <t>PO-101245</t>
  </si>
  <si>
    <t>PO-101246</t>
  </si>
  <si>
    <t>PO-101247</t>
  </si>
  <si>
    <t>PO-101248</t>
  </si>
  <si>
    <t>PO-101249</t>
  </si>
  <si>
    <t>PO-101250</t>
  </si>
  <si>
    <t>PO-101251</t>
  </si>
  <si>
    <t>PO-101252</t>
  </si>
  <si>
    <t>PO-101253</t>
  </si>
  <si>
    <t>PO-101254</t>
  </si>
  <si>
    <t>PO-101255</t>
  </si>
  <si>
    <t>PO-101256</t>
  </si>
  <si>
    <t>PO-101257</t>
  </si>
  <si>
    <t>PO-101258</t>
  </si>
  <si>
    <t>2026-12-08</t>
  </si>
  <si>
    <t>PO-101259</t>
  </si>
  <si>
    <t>PO-101260</t>
  </si>
  <si>
    <t>PO-101261</t>
  </si>
  <si>
    <t>PO-101262</t>
  </si>
  <si>
    <t>PO-101263</t>
  </si>
  <si>
    <t>PO-101264</t>
  </si>
  <si>
    <t>PO-101265</t>
  </si>
  <si>
    <t>PO-101266</t>
  </si>
  <si>
    <t>PO-101267</t>
  </si>
  <si>
    <t>PO-101268</t>
  </si>
  <si>
    <t>PO-101269</t>
  </si>
  <si>
    <t>PO-101270</t>
  </si>
  <si>
    <t>2025-10-13</t>
  </si>
  <si>
    <t>PO-101271</t>
  </si>
  <si>
    <t>PO-101272</t>
  </si>
  <si>
    <t>PO-101273</t>
  </si>
  <si>
    <t>PO-101274</t>
  </si>
  <si>
    <t>PO-101275</t>
  </si>
  <si>
    <t>PO-101276</t>
  </si>
  <si>
    <t>PO-101277</t>
  </si>
  <si>
    <t>PO-101278</t>
  </si>
  <si>
    <t>PO-101279</t>
  </si>
  <si>
    <t>PO-101280</t>
  </si>
  <si>
    <t>PO-101281</t>
  </si>
  <si>
    <t>PO-101282</t>
  </si>
  <si>
    <t>PO-101283</t>
  </si>
  <si>
    <t>PO-101284</t>
  </si>
  <si>
    <t>PO-101285</t>
  </si>
  <si>
    <t>PO-101286</t>
  </si>
  <si>
    <t>PO-101287</t>
  </si>
  <si>
    <t>PO-101288</t>
  </si>
  <si>
    <t>PO-101289</t>
  </si>
  <si>
    <t>PO-101290</t>
  </si>
  <si>
    <t>PO-101291</t>
  </si>
  <si>
    <t>PO-101292</t>
  </si>
  <si>
    <t>PO-101293</t>
  </si>
  <si>
    <t>PO-101294</t>
  </si>
  <si>
    <t>PO-101295</t>
  </si>
  <si>
    <t>PO-101296</t>
  </si>
  <si>
    <t>PO-101297</t>
  </si>
  <si>
    <t>PO-101298</t>
  </si>
  <si>
    <t>PO-101299</t>
  </si>
  <si>
    <t>PO-101300</t>
  </si>
  <si>
    <t>PO-101301</t>
  </si>
  <si>
    <t>PO-101302</t>
  </si>
  <si>
    <t>PO-101303</t>
  </si>
  <si>
    <t>PO-101304</t>
  </si>
  <si>
    <t>PO-101305</t>
  </si>
  <si>
    <t>PO-101306</t>
  </si>
  <si>
    <t>PO-101307</t>
  </si>
  <si>
    <t>PO-101308</t>
  </si>
  <si>
    <t>PO-101309</t>
  </si>
  <si>
    <t>PO-101310</t>
  </si>
  <si>
    <t>PO-101311</t>
  </si>
  <si>
    <t>PO-101312</t>
  </si>
  <si>
    <t>PO-101313</t>
  </si>
  <si>
    <t>PO-101314</t>
  </si>
  <si>
    <t>PO-101315</t>
  </si>
  <si>
    <t>PO-101316</t>
  </si>
  <si>
    <t>PO-101317</t>
  </si>
  <si>
    <t>PO-101318</t>
  </si>
  <si>
    <t>PO-101319</t>
  </si>
  <si>
    <t>PO-101320</t>
  </si>
  <si>
    <t>PO-101321</t>
  </si>
  <si>
    <t>PO-101322</t>
  </si>
  <si>
    <t>PO-101323</t>
  </si>
  <si>
    <t>PO-101324</t>
  </si>
  <si>
    <t>PO-101325</t>
  </si>
  <si>
    <t>PO-101326</t>
  </si>
  <si>
    <t>PO-101327</t>
  </si>
  <si>
    <t>PO-101328</t>
  </si>
  <si>
    <t>PO-101329</t>
  </si>
  <si>
    <t>PO-101330</t>
  </si>
  <si>
    <t>PO-101331</t>
  </si>
  <si>
    <t>PO-101332</t>
  </si>
  <si>
    <t>PO-101333</t>
  </si>
  <si>
    <t>PO-101334</t>
  </si>
  <si>
    <t>PO-101335</t>
  </si>
  <si>
    <t>PO-101336</t>
  </si>
  <si>
    <t>PO-101337</t>
  </si>
  <si>
    <t>PO-101338</t>
  </si>
  <si>
    <t>2025-05-17</t>
  </si>
  <si>
    <t>PO-101339</t>
  </si>
  <si>
    <t>PO-101340</t>
  </si>
  <si>
    <t>PO-101341</t>
  </si>
  <si>
    <t>PO-101342</t>
  </si>
  <si>
    <t>PO-101343</t>
  </si>
  <si>
    <t>PO-101344</t>
  </si>
  <si>
    <t>PO-101345</t>
  </si>
  <si>
    <t>PO-101346</t>
  </si>
  <si>
    <t>PO-101347</t>
  </si>
  <si>
    <t>PO-101348</t>
  </si>
  <si>
    <t>PO-101349</t>
  </si>
  <si>
    <t>PO-101350</t>
  </si>
  <si>
    <t>PO-101351</t>
  </si>
  <si>
    <t>PO-101352</t>
  </si>
  <si>
    <t>PO-101353</t>
  </si>
  <si>
    <t>PO-101354</t>
  </si>
  <si>
    <t>PO-101355</t>
  </si>
  <si>
    <t>PO-101356</t>
  </si>
  <si>
    <t>PO-101357</t>
  </si>
  <si>
    <t>PO-101358</t>
  </si>
  <si>
    <t>PO-101359</t>
  </si>
  <si>
    <t>PO-101360</t>
  </si>
  <si>
    <t>PO-101361</t>
  </si>
  <si>
    <t>PO-101362</t>
  </si>
  <si>
    <t>2025-07-31</t>
  </si>
  <si>
    <t>PO-101363</t>
  </si>
  <si>
    <t>PO-101364</t>
  </si>
  <si>
    <t>PO-101365</t>
  </si>
  <si>
    <t>PO-101366</t>
  </si>
  <si>
    <t>PO-101367</t>
  </si>
  <si>
    <t>PO-101368</t>
  </si>
  <si>
    <t>PO-101369</t>
  </si>
  <si>
    <t>PO-101370</t>
  </si>
  <si>
    <t>PO-101371</t>
  </si>
  <si>
    <t>PO-101372</t>
  </si>
  <si>
    <t>PO-101373</t>
  </si>
  <si>
    <t>PO-101374</t>
  </si>
  <si>
    <t>PO-101375</t>
  </si>
  <si>
    <t>PO-101376</t>
  </si>
  <si>
    <t>PO-101377</t>
  </si>
  <si>
    <t>PO-101378</t>
  </si>
  <si>
    <t>PO-101379</t>
  </si>
  <si>
    <t>PO-101380</t>
  </si>
  <si>
    <t>PO-101381</t>
  </si>
  <si>
    <t>PO-101382</t>
  </si>
  <si>
    <t>PO-101383</t>
  </si>
  <si>
    <t>PO-101384</t>
  </si>
  <si>
    <t>PO-101385</t>
  </si>
  <si>
    <t>PO-101386</t>
  </si>
  <si>
    <t>PO-101387</t>
  </si>
  <si>
    <t>PO-101388</t>
  </si>
  <si>
    <t>PO-101389</t>
  </si>
  <si>
    <t>PO-101390</t>
  </si>
  <si>
    <t>PO-101391</t>
  </si>
  <si>
    <t>PO-101392</t>
  </si>
  <si>
    <t>PO-101393</t>
  </si>
  <si>
    <t>PO-101394</t>
  </si>
  <si>
    <t>PO-101395</t>
  </si>
  <si>
    <t>PO-101396</t>
  </si>
  <si>
    <t>PO-101397</t>
  </si>
  <si>
    <t>PO-101398</t>
  </si>
  <si>
    <t>PO-101399</t>
  </si>
  <si>
    <t>PO-101400</t>
  </si>
  <si>
    <t>PO-101401</t>
  </si>
  <si>
    <t>PO-101402</t>
  </si>
  <si>
    <t>PO-101403</t>
  </si>
  <si>
    <t>2026-08-06</t>
  </si>
  <si>
    <t>PO-101404</t>
  </si>
  <si>
    <t>PO-101405</t>
  </si>
  <si>
    <t>PO-101406</t>
  </si>
  <si>
    <t>PO-101407</t>
  </si>
  <si>
    <t>PO-101408</t>
  </si>
  <si>
    <t>PO-101409</t>
  </si>
  <si>
    <t>PO-101410</t>
  </si>
  <si>
    <t>PO-101411</t>
  </si>
  <si>
    <t>PO-101412</t>
  </si>
  <si>
    <t>PO-101413</t>
  </si>
  <si>
    <t>PO-101414</t>
  </si>
  <si>
    <t>PO-101415</t>
  </si>
  <si>
    <t>PO-101416</t>
  </si>
  <si>
    <t>PO-101417</t>
  </si>
  <si>
    <t>PO-101418</t>
  </si>
  <si>
    <t>PO-101419</t>
  </si>
  <si>
    <t>PO-101420</t>
  </si>
  <si>
    <t>PO-101421</t>
  </si>
  <si>
    <t>PO-101422</t>
  </si>
  <si>
    <t>PO-101423</t>
  </si>
  <si>
    <t>PO-101424</t>
  </si>
  <si>
    <t>PO-101425</t>
  </si>
  <si>
    <t>PO-101426</t>
  </si>
  <si>
    <t>PO-101427</t>
  </si>
  <si>
    <t>PO-101428</t>
  </si>
  <si>
    <t>PO-101429</t>
  </si>
  <si>
    <t>PO-101430</t>
  </si>
  <si>
    <t>PO-101431</t>
  </si>
  <si>
    <t>PO-101432</t>
  </si>
  <si>
    <t>PO-101433</t>
  </si>
  <si>
    <t>2026-04-28</t>
  </si>
  <si>
    <t>PO-101434</t>
  </si>
  <si>
    <t>PO-101435</t>
  </si>
  <si>
    <t>PO-101436</t>
  </si>
  <si>
    <t>2026-06-17</t>
  </si>
  <si>
    <t>PO-101437</t>
  </si>
  <si>
    <t>PO-101438</t>
  </si>
  <si>
    <t>PO-101439</t>
  </si>
  <si>
    <t>PO-101440</t>
  </si>
  <si>
    <t>PO-101441</t>
  </si>
  <si>
    <t>PO-101442</t>
  </si>
  <si>
    <t>PO-101443</t>
  </si>
  <si>
    <t>PO-101444</t>
  </si>
  <si>
    <t>PO-101445</t>
  </si>
  <si>
    <t>PO-101446</t>
  </si>
  <si>
    <t>PO-101447</t>
  </si>
  <si>
    <t>PO-101448</t>
  </si>
  <si>
    <t>PO-101449</t>
  </si>
  <si>
    <t>PO-101450</t>
  </si>
  <si>
    <t>PO-101451</t>
  </si>
  <si>
    <t>PO-101452</t>
  </si>
  <si>
    <t>PO-101453</t>
  </si>
  <si>
    <t>PO-101454</t>
  </si>
  <si>
    <t>PO-101455</t>
  </si>
  <si>
    <t>PO-101456</t>
  </si>
  <si>
    <t>PO-101457</t>
  </si>
  <si>
    <t>PO-101458</t>
  </si>
  <si>
    <t>PO-101459</t>
  </si>
  <si>
    <t>PO-101460</t>
  </si>
  <si>
    <t>PO-101461</t>
  </si>
  <si>
    <t>PO-101462</t>
  </si>
  <si>
    <t>PO-101463</t>
  </si>
  <si>
    <t>PO-101464</t>
  </si>
  <si>
    <t>PO-101465</t>
  </si>
  <si>
    <t>PO-101466</t>
  </si>
  <si>
    <t>PO-101467</t>
  </si>
  <si>
    <t>PO-101468</t>
  </si>
  <si>
    <t>PO-101469</t>
  </si>
  <si>
    <t>PO-101470</t>
  </si>
  <si>
    <t>PO-101471</t>
  </si>
  <si>
    <t>PO-101472</t>
  </si>
  <si>
    <t>PO-101473</t>
  </si>
  <si>
    <t>PO-101474</t>
  </si>
  <si>
    <t>PO-101475</t>
  </si>
  <si>
    <t>PO-101476</t>
  </si>
  <si>
    <t>PO-101477</t>
  </si>
  <si>
    <t>PO-101478</t>
  </si>
  <si>
    <t>PO-101479</t>
  </si>
  <si>
    <t>PO-101480</t>
  </si>
  <si>
    <t>PO-101481</t>
  </si>
  <si>
    <t>PO-101482</t>
  </si>
  <si>
    <t>PO-101483</t>
  </si>
  <si>
    <t>PO-101484</t>
  </si>
  <si>
    <t>PO-101485</t>
  </si>
  <si>
    <t>PO-101486</t>
  </si>
  <si>
    <t>PO-101487</t>
  </si>
  <si>
    <t>PO-101488</t>
  </si>
  <si>
    <t>PO-101489</t>
  </si>
  <si>
    <t>PO-101490</t>
  </si>
  <si>
    <t>PO-101491</t>
  </si>
  <si>
    <t>PO-101492</t>
  </si>
  <si>
    <t>PO-101493</t>
  </si>
  <si>
    <t>PO-101494</t>
  </si>
  <si>
    <t>PO-101495</t>
  </si>
  <si>
    <t>PO-101496</t>
  </si>
  <si>
    <t>PO-101497</t>
  </si>
  <si>
    <t>PO-101498</t>
  </si>
  <si>
    <t>PO-101499</t>
  </si>
  <si>
    <t>PO-101500</t>
  </si>
  <si>
    <t>PO-101501</t>
  </si>
  <si>
    <t>PO-101502</t>
  </si>
  <si>
    <t>PO-101503</t>
  </si>
  <si>
    <t>PO-101504</t>
  </si>
  <si>
    <t>PO-101505</t>
  </si>
  <si>
    <t>PO-101506</t>
  </si>
  <si>
    <t>PO-101507</t>
  </si>
  <si>
    <t>PO-101508</t>
  </si>
  <si>
    <t>PO-101509</t>
  </si>
  <si>
    <t>PO-101510</t>
  </si>
  <si>
    <t>PO-101511</t>
  </si>
  <si>
    <t>PO-101512</t>
  </si>
  <si>
    <t>PO-101513</t>
  </si>
  <si>
    <t>PO-101514</t>
  </si>
  <si>
    <t>PO-101515</t>
  </si>
  <si>
    <t>PO-101516</t>
  </si>
  <si>
    <t>PO-101517</t>
  </si>
  <si>
    <t>PO-101518</t>
  </si>
  <si>
    <t>PO-101519</t>
  </si>
  <si>
    <t>PO-101520</t>
  </si>
  <si>
    <t>PO-101521</t>
  </si>
  <si>
    <t>PO-101522</t>
  </si>
  <si>
    <t>PO-101523</t>
  </si>
  <si>
    <t>PO-101524</t>
  </si>
  <si>
    <t>PO-101525</t>
  </si>
  <si>
    <t>PO-101526</t>
  </si>
  <si>
    <t>PO-101527</t>
  </si>
  <si>
    <t>PO-101528</t>
  </si>
  <si>
    <t>PO-101529</t>
  </si>
  <si>
    <t>PO-101530</t>
  </si>
  <si>
    <t>PO-101531</t>
  </si>
  <si>
    <t>PO-101532</t>
  </si>
  <si>
    <t>PO-101533</t>
  </si>
  <si>
    <t>PO-101534</t>
  </si>
  <si>
    <t>PO-101535</t>
  </si>
  <si>
    <t>2025-07-30</t>
  </si>
  <si>
    <t>PO-101536</t>
  </si>
  <si>
    <t>PO-101537</t>
  </si>
  <si>
    <t>PO-101538</t>
  </si>
  <si>
    <t>PO-101539</t>
  </si>
  <si>
    <t>PO-101540</t>
  </si>
  <si>
    <t>PO-101541</t>
  </si>
  <si>
    <t>PO-101542</t>
  </si>
  <si>
    <t>PO-101543</t>
  </si>
  <si>
    <t>PO-101544</t>
  </si>
  <si>
    <t>PO-101545</t>
  </si>
  <si>
    <t>PO-101546</t>
  </si>
  <si>
    <t>PO-101547</t>
  </si>
  <si>
    <t>PO-101548</t>
  </si>
  <si>
    <t>PO-101549</t>
  </si>
  <si>
    <t>PO-101550</t>
  </si>
  <si>
    <t>PO-101551</t>
  </si>
  <si>
    <t>PO-101552</t>
  </si>
  <si>
    <t>PO-101553</t>
  </si>
  <si>
    <t>PO-101554</t>
  </si>
  <si>
    <t>PO-101555</t>
  </si>
  <si>
    <t>PO-101556</t>
  </si>
  <si>
    <t>PO-101557</t>
  </si>
  <si>
    <t>PO-101558</t>
  </si>
  <si>
    <t>PO-101559</t>
  </si>
  <si>
    <t>PO-101560</t>
  </si>
  <si>
    <t>PO-101561</t>
  </si>
  <si>
    <t>PO-101562</t>
  </si>
  <si>
    <t>PO-101563</t>
  </si>
  <si>
    <t>PO-101564</t>
  </si>
  <si>
    <t>PO-101565</t>
  </si>
  <si>
    <t>PO-101566</t>
  </si>
  <si>
    <t>PO-101567</t>
  </si>
  <si>
    <t>PO-101568</t>
  </si>
  <si>
    <t>PO-101569</t>
  </si>
  <si>
    <t>PO-101570</t>
  </si>
  <si>
    <t>PO-101571</t>
  </si>
  <si>
    <t>PO-101572</t>
  </si>
  <si>
    <t>PO-101573</t>
  </si>
  <si>
    <t>PO-101574</t>
  </si>
  <si>
    <t>PO-101575</t>
  </si>
  <si>
    <t>PO-101576</t>
  </si>
  <si>
    <t>PO-101577</t>
  </si>
  <si>
    <t>PO-101578</t>
  </si>
  <si>
    <t>PO-101579</t>
  </si>
  <si>
    <t>PO-101580</t>
  </si>
  <si>
    <t>PO-101581</t>
  </si>
  <si>
    <t>PO-101582</t>
  </si>
  <si>
    <t>PO-101583</t>
  </si>
  <si>
    <t>PO-101584</t>
  </si>
  <si>
    <t>PO-101585</t>
  </si>
  <si>
    <t>PO-101586</t>
  </si>
  <si>
    <t>PO-101587</t>
  </si>
  <si>
    <t>PO-101588</t>
  </si>
  <si>
    <t>PO-101589</t>
  </si>
  <si>
    <t>PO-101590</t>
  </si>
  <si>
    <t>PO-101591</t>
  </si>
  <si>
    <t>PO-101592</t>
  </si>
  <si>
    <t>PO-101593</t>
  </si>
  <si>
    <t>PO-101594</t>
  </si>
  <si>
    <t>PO-101595</t>
  </si>
  <si>
    <t>PO-101596</t>
  </si>
  <si>
    <t>PO-101597</t>
  </si>
  <si>
    <t>PO-101598</t>
  </si>
  <si>
    <t>PO-101599</t>
  </si>
  <si>
    <t>PO-101600</t>
  </si>
  <si>
    <t>PO-101601</t>
  </si>
  <si>
    <t>PO-101602</t>
  </si>
  <si>
    <t>PO-101603</t>
  </si>
  <si>
    <t>PO-101604</t>
  </si>
  <si>
    <t>PO-101605</t>
  </si>
  <si>
    <t>PO-101606</t>
  </si>
  <si>
    <t>PO-101607</t>
  </si>
  <si>
    <t>PO-101608</t>
  </si>
  <si>
    <t>PO-101609</t>
  </si>
  <si>
    <t>PO-101610</t>
  </si>
  <si>
    <t>PO-101611</t>
  </si>
  <si>
    <t>PO-101612</t>
  </si>
  <si>
    <t>PO-101613</t>
  </si>
  <si>
    <t>PO-101614</t>
  </si>
  <si>
    <t>2025-03-03</t>
  </si>
  <si>
    <t>PO-101615</t>
  </si>
  <si>
    <t>PO-101616</t>
  </si>
  <si>
    <t>PO-101617</t>
  </si>
  <si>
    <t>PO-101618</t>
  </si>
  <si>
    <t>PO-101619</t>
  </si>
  <si>
    <t>PO-101620</t>
  </si>
  <si>
    <t>PO-101621</t>
  </si>
  <si>
    <t>PO-101622</t>
  </si>
  <si>
    <t>PO-101623</t>
  </si>
  <si>
    <t>PO-101624</t>
  </si>
  <si>
    <t>PO-101625</t>
  </si>
  <si>
    <t>PO-101626</t>
  </si>
  <si>
    <t>PO-101627</t>
  </si>
  <si>
    <t>PO-101628</t>
  </si>
  <si>
    <t>PO-101629</t>
  </si>
  <si>
    <t>PO-101630</t>
  </si>
  <si>
    <t>PO-101631</t>
  </si>
  <si>
    <t>PO-101632</t>
  </si>
  <si>
    <t>PO-101633</t>
  </si>
  <si>
    <t>PO-101634</t>
  </si>
  <si>
    <t>PO-101635</t>
  </si>
  <si>
    <t>PO-101636</t>
  </si>
  <si>
    <t>PO-101637</t>
  </si>
  <si>
    <t>PO-101638</t>
  </si>
  <si>
    <t>PO-101639</t>
  </si>
  <si>
    <t>PO-101640</t>
  </si>
  <si>
    <t>PO-101641</t>
  </si>
  <si>
    <t>PO-101642</t>
  </si>
  <si>
    <t>PO-101643</t>
  </si>
  <si>
    <t>PO-101644</t>
  </si>
  <si>
    <t>PO-101645</t>
  </si>
  <si>
    <t>PO-101646</t>
  </si>
  <si>
    <t>PO-101647</t>
  </si>
  <si>
    <t>PO-101648</t>
  </si>
  <si>
    <t>PO-101649</t>
  </si>
  <si>
    <t>PO-101650</t>
  </si>
  <si>
    <t>PO-101651</t>
  </si>
  <si>
    <t>PO-101652</t>
  </si>
  <si>
    <t>PO-101653</t>
  </si>
  <si>
    <t>PO-101654</t>
  </si>
  <si>
    <t>PO-101655</t>
  </si>
  <si>
    <t>PO-101656</t>
  </si>
  <si>
    <t>PO-101657</t>
  </si>
  <si>
    <t>PO-101658</t>
  </si>
  <si>
    <t>PO-101659</t>
  </si>
  <si>
    <t>PO-101660</t>
  </si>
  <si>
    <t>PO-101661</t>
  </si>
  <si>
    <t>PO-101662</t>
  </si>
  <si>
    <t>PO-101663</t>
  </si>
  <si>
    <t>PO-101664</t>
  </si>
  <si>
    <t>PO-101665</t>
  </si>
  <si>
    <t>PO-101666</t>
  </si>
  <si>
    <t>PO-101667</t>
  </si>
  <si>
    <t>PO-101668</t>
  </si>
  <si>
    <t>PO-101669</t>
  </si>
  <si>
    <t>PO-101670</t>
  </si>
  <si>
    <t>PO-101671</t>
  </si>
  <si>
    <t>PO-101672</t>
  </si>
  <si>
    <t>PO-101673</t>
  </si>
  <si>
    <t>PO-101674</t>
  </si>
  <si>
    <t>PO-101675</t>
  </si>
  <si>
    <t>PO-101676</t>
  </si>
  <si>
    <t>PO-101677</t>
  </si>
  <si>
    <t>PO-101678</t>
  </si>
  <si>
    <t>PO-101679</t>
  </si>
  <si>
    <t>PO-101680</t>
  </si>
  <si>
    <t>PO-101681</t>
  </si>
  <si>
    <t>PO-101682</t>
  </si>
  <si>
    <t>PO-101683</t>
  </si>
  <si>
    <t>PO-101684</t>
  </si>
  <si>
    <t>PO-101685</t>
  </si>
  <si>
    <t>PO-101686</t>
  </si>
  <si>
    <t>PO-101687</t>
  </si>
  <si>
    <t>PO-101688</t>
  </si>
  <si>
    <t>PO-101689</t>
  </si>
  <si>
    <t>PO-101690</t>
  </si>
  <si>
    <t>PO-101691</t>
  </si>
  <si>
    <t>PO-101692</t>
  </si>
  <si>
    <t>PO-101693</t>
  </si>
  <si>
    <t>PO-101694</t>
  </si>
  <si>
    <t>PO-101695</t>
  </si>
  <si>
    <t>PO-101696</t>
  </si>
  <si>
    <t>PO-101697</t>
  </si>
  <si>
    <t>PO-101698</t>
  </si>
  <si>
    <t>PO-101699</t>
  </si>
  <si>
    <t>PO-101700</t>
  </si>
  <si>
    <t>PO-101701</t>
  </si>
  <si>
    <t>PO-101702</t>
  </si>
  <si>
    <t>PO-101703</t>
  </si>
  <si>
    <t>PO-101704</t>
  </si>
  <si>
    <t>PO-101705</t>
  </si>
  <si>
    <t>PO-101706</t>
  </si>
  <si>
    <t>2026-01-23</t>
  </si>
  <si>
    <t>PO-101707</t>
  </si>
  <si>
    <t>PO-101708</t>
  </si>
  <si>
    <t>PO-101709</t>
  </si>
  <si>
    <t>PO-101710</t>
  </si>
  <si>
    <t>PO-101711</t>
  </si>
  <si>
    <t>PO-101712</t>
  </si>
  <si>
    <t>PO-101713</t>
  </si>
  <si>
    <t>PO-101714</t>
  </si>
  <si>
    <t>PO-101715</t>
  </si>
  <si>
    <t>PO-101716</t>
  </si>
  <si>
    <t>PO-101717</t>
  </si>
  <si>
    <t>PO-101718</t>
  </si>
  <si>
    <t>PO-101719</t>
  </si>
  <si>
    <t>PO-101720</t>
  </si>
  <si>
    <t>PO-101721</t>
  </si>
  <si>
    <t>PO-101722</t>
  </si>
  <si>
    <t>PO-101723</t>
  </si>
  <si>
    <t>PO-101724</t>
  </si>
  <si>
    <t>PO-101725</t>
  </si>
  <si>
    <t>PO-101726</t>
  </si>
  <si>
    <t>PO-101727</t>
  </si>
  <si>
    <t>PO-101728</t>
  </si>
  <si>
    <t>PO-101729</t>
  </si>
  <si>
    <t>PO-101730</t>
  </si>
  <si>
    <t>PO-101731</t>
  </si>
  <si>
    <t>PO-101732</t>
  </si>
  <si>
    <t>PO-101733</t>
  </si>
  <si>
    <t>PO-101734</t>
  </si>
  <si>
    <t>PO-101735</t>
  </si>
  <si>
    <t>PO-101736</t>
  </si>
  <si>
    <t>PO-101737</t>
  </si>
  <si>
    <t>PO-101738</t>
  </si>
  <si>
    <t>PO-101739</t>
  </si>
  <si>
    <t>PO-101740</t>
  </si>
  <si>
    <t>PO-101741</t>
  </si>
  <si>
    <t>PO-101742</t>
  </si>
  <si>
    <t>PO-101743</t>
  </si>
  <si>
    <t>PO-101744</t>
  </si>
  <si>
    <t>PO-101745</t>
  </si>
  <si>
    <t>PO-101746</t>
  </si>
  <si>
    <t>PO-101747</t>
  </si>
  <si>
    <t>PO-101748</t>
  </si>
  <si>
    <t>PO-101749</t>
  </si>
  <si>
    <t>PO-101750</t>
  </si>
  <si>
    <t>PO-101751</t>
  </si>
  <si>
    <t>PO-101752</t>
  </si>
  <si>
    <t>PO-101753</t>
  </si>
  <si>
    <t>PO-101754</t>
  </si>
  <si>
    <t>PO-101755</t>
  </si>
  <si>
    <t>PO-101756</t>
  </si>
  <si>
    <t>PO-101757</t>
  </si>
  <si>
    <t>PO-101758</t>
  </si>
  <si>
    <t>PO-101759</t>
  </si>
  <si>
    <t>PO-101760</t>
  </si>
  <si>
    <t>PO-101761</t>
  </si>
  <si>
    <t>PO-101762</t>
  </si>
  <si>
    <t>PO-101763</t>
  </si>
  <si>
    <t>PO-101764</t>
  </si>
  <si>
    <t>PO-101765</t>
  </si>
  <si>
    <t>PO-101766</t>
  </si>
  <si>
    <t>PO-101767</t>
  </si>
  <si>
    <t>PO-101768</t>
  </si>
  <si>
    <t>PO-101769</t>
  </si>
  <si>
    <t>PO-101770</t>
  </si>
  <si>
    <t>PO-101771</t>
  </si>
  <si>
    <t>PO-101772</t>
  </si>
  <si>
    <t>PO-101773</t>
  </si>
  <si>
    <t>PO-101774</t>
  </si>
  <si>
    <t>PO-101775</t>
  </si>
  <si>
    <t>PO-101776</t>
  </si>
  <si>
    <t>PO-101777</t>
  </si>
  <si>
    <t>PO-101778</t>
  </si>
  <si>
    <t>PO-101779</t>
  </si>
  <si>
    <t>PO-101780</t>
  </si>
  <si>
    <t>PO-101781</t>
  </si>
  <si>
    <t>PO-101782</t>
  </si>
  <si>
    <t>PO-101783</t>
  </si>
  <si>
    <t>PO-101784</t>
  </si>
  <si>
    <t>PO-101785</t>
  </si>
  <si>
    <t>PO-101786</t>
  </si>
  <si>
    <t>PO-101787</t>
  </si>
  <si>
    <t>PO-101788</t>
  </si>
  <si>
    <t>PO-101789</t>
  </si>
  <si>
    <t>PO-101790</t>
  </si>
  <si>
    <t>PO-101791</t>
  </si>
  <si>
    <t>PO-101792</t>
  </si>
  <si>
    <t>PO-101793</t>
  </si>
  <si>
    <t>PO-101794</t>
  </si>
  <si>
    <t>PO-101795</t>
  </si>
  <si>
    <t>PO-101796</t>
  </si>
  <si>
    <t>PO-101797</t>
  </si>
  <si>
    <t>PO-101798</t>
  </si>
  <si>
    <t>PO-101799</t>
  </si>
  <si>
    <t>PO-101800</t>
  </si>
  <si>
    <t>PO-101801</t>
  </si>
  <si>
    <t>PO-101802</t>
  </si>
  <si>
    <t>PO-101803</t>
  </si>
  <si>
    <t>PO-101804</t>
  </si>
  <si>
    <t>PO-101805</t>
  </si>
  <si>
    <t>PO-101806</t>
  </si>
  <si>
    <t>PO-101807</t>
  </si>
  <si>
    <t>PO-101808</t>
  </si>
  <si>
    <t>PO-101809</t>
  </si>
  <si>
    <t>PO-101810</t>
  </si>
  <si>
    <t>PO-101811</t>
  </si>
  <si>
    <t>PO-101812</t>
  </si>
  <si>
    <t>PO-101813</t>
  </si>
  <si>
    <t>PO-101814</t>
  </si>
  <si>
    <t>PO-101815</t>
  </si>
  <si>
    <t>2027-01-06</t>
  </si>
  <si>
    <t>PO-101816</t>
  </si>
  <si>
    <t>PO-101817</t>
  </si>
  <si>
    <t>PO-101818</t>
  </si>
  <si>
    <t>PO-101819</t>
  </si>
  <si>
    <t>PO-101820</t>
  </si>
  <si>
    <t>PO-101821</t>
  </si>
  <si>
    <t>PO-101822</t>
  </si>
  <si>
    <t>PO-101823</t>
  </si>
  <si>
    <t>PO-101824</t>
  </si>
  <si>
    <t>PO-101825</t>
  </si>
  <si>
    <t>PO-101826</t>
  </si>
  <si>
    <t>PO-101827</t>
  </si>
  <si>
    <t>PO-101828</t>
  </si>
  <si>
    <t>PO-101829</t>
  </si>
  <si>
    <t>PO-101830</t>
  </si>
  <si>
    <t>PO-101831</t>
  </si>
  <si>
    <t>PO-101832</t>
  </si>
  <si>
    <t>PO-101833</t>
  </si>
  <si>
    <t>PO-101834</t>
  </si>
  <si>
    <t>PO-101835</t>
  </si>
  <si>
    <t>PO-101836</t>
  </si>
  <si>
    <t>PO-101837</t>
  </si>
  <si>
    <t>PO-101838</t>
  </si>
  <si>
    <t>PO-101839</t>
  </si>
  <si>
    <t>PO-101840</t>
  </si>
  <si>
    <t>PO-101841</t>
  </si>
  <si>
    <t>PO-101842</t>
  </si>
  <si>
    <t>PO-101843</t>
  </si>
  <si>
    <t>PO-101844</t>
  </si>
  <si>
    <t>PO-101845</t>
  </si>
  <si>
    <t>PO-101846</t>
  </si>
  <si>
    <t>PO-101847</t>
  </si>
  <si>
    <t>PO-101848</t>
  </si>
  <si>
    <t>PO-101849</t>
  </si>
  <si>
    <t>PO-101850</t>
  </si>
  <si>
    <t>PO-101851</t>
  </si>
  <si>
    <t>PO-101852</t>
  </si>
  <si>
    <t>PO-101853</t>
  </si>
  <si>
    <t>PO-101854</t>
  </si>
  <si>
    <t>PO-101855</t>
  </si>
  <si>
    <t>PO-101856</t>
  </si>
  <si>
    <t>PO-101857</t>
  </si>
  <si>
    <t>PO-101858</t>
  </si>
  <si>
    <t>PO-101859</t>
  </si>
  <si>
    <t>PO-101860</t>
  </si>
  <si>
    <t>PO-101861</t>
  </si>
  <si>
    <t>PO-101862</t>
  </si>
  <si>
    <t>PO-101863</t>
  </si>
  <si>
    <t>PO-101864</t>
  </si>
  <si>
    <t>PO-101865</t>
  </si>
  <si>
    <t>PO-101866</t>
  </si>
  <si>
    <t>PO-101867</t>
  </si>
  <si>
    <t>PO-101868</t>
  </si>
  <si>
    <t>PO-101869</t>
  </si>
  <si>
    <t>PO-101870</t>
  </si>
  <si>
    <t>PO-101871</t>
  </si>
  <si>
    <t>PO-101872</t>
  </si>
  <si>
    <t>PO-101873</t>
  </si>
  <si>
    <t>PO-101874</t>
  </si>
  <si>
    <t>PO-101875</t>
  </si>
  <si>
    <t>PO-101876</t>
  </si>
  <si>
    <t>PO-101877</t>
  </si>
  <si>
    <t>PO-101878</t>
  </si>
  <si>
    <t>PO-101879</t>
  </si>
  <si>
    <t>PO-101880</t>
  </si>
  <si>
    <t>PO-101881</t>
  </si>
  <si>
    <t>PO-101882</t>
  </si>
  <si>
    <t>PO-101883</t>
  </si>
  <si>
    <t>PO-101884</t>
  </si>
  <si>
    <t>PO-101885</t>
  </si>
  <si>
    <t>PO-101886</t>
  </si>
  <si>
    <t>PO-101887</t>
  </si>
  <si>
    <t>PO-101888</t>
  </si>
  <si>
    <t>PO-101889</t>
  </si>
  <si>
    <t>PO-101890</t>
  </si>
  <si>
    <t>PO-101891</t>
  </si>
  <si>
    <t>PO-101892</t>
  </si>
  <si>
    <t>PO-101893</t>
  </si>
  <si>
    <t>PO-101894</t>
  </si>
  <si>
    <t>PO-101895</t>
  </si>
  <si>
    <t>PO-101896</t>
  </si>
  <si>
    <t>PO-101897</t>
  </si>
  <si>
    <t>PO-101898</t>
  </si>
  <si>
    <t>PO-101899</t>
  </si>
  <si>
    <t>PO-101900</t>
  </si>
  <si>
    <t>PO-101901</t>
  </si>
  <si>
    <t>PO-101902</t>
  </si>
  <si>
    <t>PO-101903</t>
  </si>
  <si>
    <t>PO-101904</t>
  </si>
  <si>
    <t>PO-101905</t>
  </si>
  <si>
    <t>PO-101906</t>
  </si>
  <si>
    <t>PO-101907</t>
  </si>
  <si>
    <t>PO-101908</t>
  </si>
  <si>
    <t>PO-101909</t>
  </si>
  <si>
    <t>PO-101910</t>
  </si>
  <si>
    <t>PO-101911</t>
  </si>
  <si>
    <t>PO-101912</t>
  </si>
  <si>
    <t>PO-101913</t>
  </si>
  <si>
    <t>PO-101914</t>
  </si>
  <si>
    <t>PO-101915</t>
  </si>
  <si>
    <t>PO-101916</t>
  </si>
  <si>
    <t>PO-101917</t>
  </si>
  <si>
    <t>PO-101918</t>
  </si>
  <si>
    <t>PO-101919</t>
  </si>
  <si>
    <t>PO-101920</t>
  </si>
  <si>
    <t>PO-101921</t>
  </si>
  <si>
    <t>PO-101922</t>
  </si>
  <si>
    <t>PO-101923</t>
  </si>
  <si>
    <t>PO-101924</t>
  </si>
  <si>
    <t>PO-101925</t>
  </si>
  <si>
    <t>PO-101926</t>
  </si>
  <si>
    <t>PO-101927</t>
  </si>
  <si>
    <t>PO-101928</t>
  </si>
  <si>
    <t>PO-101929</t>
  </si>
  <si>
    <t>PO-101930</t>
  </si>
  <si>
    <t>PO-101931</t>
  </si>
  <si>
    <t>PO-101932</t>
  </si>
  <si>
    <t>PO-101933</t>
  </si>
  <si>
    <t>PO-101934</t>
  </si>
  <si>
    <t>PO-101935</t>
  </si>
  <si>
    <t>PO-101936</t>
  </si>
  <si>
    <t>PO-101937</t>
  </si>
  <si>
    <t>PO-101938</t>
  </si>
  <si>
    <t>PO-101939</t>
  </si>
  <si>
    <t>PO-101940</t>
  </si>
  <si>
    <t>PO-101941</t>
  </si>
  <si>
    <t>2026-12-18</t>
  </si>
  <si>
    <t>PO-101942</t>
  </si>
  <si>
    <t>PO-101943</t>
  </si>
  <si>
    <t>PO-101944</t>
  </si>
  <si>
    <t>PO-101945</t>
  </si>
  <si>
    <t>PO-101946</t>
  </si>
  <si>
    <t>PO-101947</t>
  </si>
  <si>
    <t>PO-101948</t>
  </si>
  <si>
    <t>PO-101949</t>
  </si>
  <si>
    <t>PO-101950</t>
  </si>
  <si>
    <t>PO-101951</t>
  </si>
  <si>
    <t>PO-101952</t>
  </si>
  <si>
    <t>PO-101953</t>
  </si>
  <si>
    <t>PO-101954</t>
  </si>
  <si>
    <t>PO-101955</t>
  </si>
  <si>
    <t>PO-101956</t>
  </si>
  <si>
    <t>PO-101957</t>
  </si>
  <si>
    <t>PO-101958</t>
  </si>
  <si>
    <t>PO-101959</t>
  </si>
  <si>
    <t>PO-101960</t>
  </si>
  <si>
    <t>PO-101961</t>
  </si>
  <si>
    <t>PO-101962</t>
  </si>
  <si>
    <t>2025-12-04</t>
  </si>
  <si>
    <t>PO-101963</t>
  </si>
  <si>
    <t>PO-101964</t>
  </si>
  <si>
    <t>PO-101965</t>
  </si>
  <si>
    <t>PO-101966</t>
  </si>
  <si>
    <t>PO-101967</t>
  </si>
  <si>
    <t>PO-101968</t>
  </si>
  <si>
    <t>PO-101969</t>
  </si>
  <si>
    <t>PO-101970</t>
  </si>
  <si>
    <t>PO-101971</t>
  </si>
  <si>
    <t>PO-101972</t>
  </si>
  <si>
    <t>PO-101973</t>
  </si>
  <si>
    <t>PO-101974</t>
  </si>
  <si>
    <t>PO-101975</t>
  </si>
  <si>
    <t>PO-101976</t>
  </si>
  <si>
    <t>PO-101977</t>
  </si>
  <si>
    <t>PO-101978</t>
  </si>
  <si>
    <t>PO-101979</t>
  </si>
  <si>
    <t>PO-101980</t>
  </si>
  <si>
    <t>PO-101981</t>
  </si>
  <si>
    <t>PO-101982</t>
  </si>
  <si>
    <t>2025-01-08</t>
  </si>
  <si>
    <t>PO-101983</t>
  </si>
  <si>
    <t>PO-101984</t>
  </si>
  <si>
    <t>PO-101985</t>
  </si>
  <si>
    <t>PO-101986</t>
  </si>
  <si>
    <t>PO-101987</t>
  </si>
  <si>
    <t>PO-101988</t>
  </si>
  <si>
    <t>PO-101989</t>
  </si>
  <si>
    <t>PO-101990</t>
  </si>
  <si>
    <t>PO-101991</t>
  </si>
  <si>
    <t>PO-101992</t>
  </si>
  <si>
    <t>PO-101993</t>
  </si>
  <si>
    <t>PO-101994</t>
  </si>
  <si>
    <t>PO-101995</t>
  </si>
  <si>
    <t>PO-101996</t>
  </si>
  <si>
    <t>PO-101997</t>
  </si>
  <si>
    <t>PO-101998</t>
  </si>
  <si>
    <t>PO-101999</t>
  </si>
  <si>
    <t>PO-102000</t>
  </si>
  <si>
    <t>PO-102001</t>
  </si>
  <si>
    <t>PO-102002</t>
  </si>
  <si>
    <t>PO-102003</t>
  </si>
  <si>
    <t>PO-102004</t>
  </si>
  <si>
    <t>PO-102005</t>
  </si>
  <si>
    <t>PO-102006</t>
  </si>
  <si>
    <t>PO-102007</t>
  </si>
  <si>
    <t>PO-102008</t>
  </si>
  <si>
    <t>PO-102009</t>
  </si>
  <si>
    <t>PO-102010</t>
  </si>
  <si>
    <t>PO-102011</t>
  </si>
  <si>
    <t>PO-102012</t>
  </si>
  <si>
    <t>PO-102013</t>
  </si>
  <si>
    <t>2027-01-04</t>
  </si>
  <si>
    <t>PO-102014</t>
  </si>
  <si>
    <t>PO-102015</t>
  </si>
  <si>
    <t>PO-102016</t>
  </si>
  <si>
    <t>PO-102017</t>
  </si>
  <si>
    <t>PO-102018</t>
  </si>
  <si>
    <t>PO-102019</t>
  </si>
  <si>
    <t>PO-102020</t>
  </si>
  <si>
    <t>PO-102021</t>
  </si>
  <si>
    <t>PO-102022</t>
  </si>
  <si>
    <t>PO-102023</t>
  </si>
  <si>
    <t>PO-102024</t>
  </si>
  <si>
    <t>PO-102025</t>
  </si>
  <si>
    <t>PO-102026</t>
  </si>
  <si>
    <t>PO-102027</t>
  </si>
  <si>
    <t>PO-102028</t>
  </si>
  <si>
    <t>PO-102029</t>
  </si>
  <si>
    <t>PO-102030</t>
  </si>
  <si>
    <t>PO-102031</t>
  </si>
  <si>
    <t>PO-102032</t>
  </si>
  <si>
    <t>PO-102033</t>
  </si>
  <si>
    <t>PO-102034</t>
  </si>
  <si>
    <t>PO-102035</t>
  </si>
  <si>
    <t>PO-102036</t>
  </si>
  <si>
    <t>PO-102037</t>
  </si>
  <si>
    <t>PO-102038</t>
  </si>
  <si>
    <t>PO-102039</t>
  </si>
  <si>
    <t>PO-102040</t>
  </si>
  <si>
    <t>PO-102041</t>
  </si>
  <si>
    <t>PO-102042</t>
  </si>
  <si>
    <t>PO-102043</t>
  </si>
  <si>
    <t>PO-102044</t>
  </si>
  <si>
    <t>PO-102045</t>
  </si>
  <si>
    <t>PO-102046</t>
  </si>
  <si>
    <t>PO-102047</t>
  </si>
  <si>
    <t>PO-102048</t>
  </si>
  <si>
    <t>PO-102049</t>
  </si>
  <si>
    <t>PO-102050</t>
  </si>
  <si>
    <t>PO-102051</t>
  </si>
  <si>
    <t>PO-102052</t>
  </si>
  <si>
    <t>PO-102053</t>
  </si>
  <si>
    <t>PO-102054</t>
  </si>
  <si>
    <t>PO-102055</t>
  </si>
  <si>
    <t>PO-102056</t>
  </si>
  <si>
    <t>PO-102057</t>
  </si>
  <si>
    <t>PO-102058</t>
  </si>
  <si>
    <t>PO-102059</t>
  </si>
  <si>
    <t>PO-102060</t>
  </si>
  <si>
    <t>PO-102061</t>
  </si>
  <si>
    <t>PO-102062</t>
  </si>
  <si>
    <t>PO-102063</t>
  </si>
  <si>
    <t>PO-102064</t>
  </si>
  <si>
    <t>PO-102065</t>
  </si>
  <si>
    <t>PO-102066</t>
  </si>
  <si>
    <t>PO-102067</t>
  </si>
  <si>
    <t>PO-102068</t>
  </si>
  <si>
    <t>PO-102069</t>
  </si>
  <si>
    <t>PO-102070</t>
  </si>
  <si>
    <t>PO-102071</t>
  </si>
  <si>
    <t>PO-102072</t>
  </si>
  <si>
    <t>PO-102073</t>
  </si>
  <si>
    <t>PO-102074</t>
  </si>
  <si>
    <t>PO-102075</t>
  </si>
  <si>
    <t>PO-102076</t>
  </si>
  <si>
    <t>PO-102077</t>
  </si>
  <si>
    <t>PO-102078</t>
  </si>
  <si>
    <t>PO-102079</t>
  </si>
  <si>
    <t>PO-102080</t>
  </si>
  <si>
    <t>PO-102081</t>
  </si>
  <si>
    <t>PO-102082</t>
  </si>
  <si>
    <t>PO-102083</t>
  </si>
  <si>
    <t>2025-04-04</t>
  </si>
  <si>
    <t>PO-102084</t>
  </si>
  <si>
    <t>PO-102085</t>
  </si>
  <si>
    <t>PO-102086</t>
  </si>
  <si>
    <t>PO-102087</t>
  </si>
  <si>
    <t>PO-102088</t>
  </si>
  <si>
    <t>PO-102089</t>
  </si>
  <si>
    <t>PO-102090</t>
  </si>
  <si>
    <t>PO-102091</t>
  </si>
  <si>
    <t>PO-102092</t>
  </si>
  <si>
    <t>PO-102093</t>
  </si>
  <si>
    <t>PO-102094</t>
  </si>
  <si>
    <t>PO-102095</t>
  </si>
  <si>
    <t>PO-102096</t>
  </si>
  <si>
    <t>PO-102097</t>
  </si>
  <si>
    <t>PO-102098</t>
  </si>
  <si>
    <t>PO-102099</t>
  </si>
  <si>
    <t>PO-102100</t>
  </si>
  <si>
    <t>PO-102101</t>
  </si>
  <si>
    <t>PO-102102</t>
  </si>
  <si>
    <t>PO-102103</t>
  </si>
  <si>
    <t>PO-102104</t>
  </si>
  <si>
    <t>PO-102105</t>
  </si>
  <si>
    <t>PO-102106</t>
  </si>
  <si>
    <t>PO-102107</t>
  </si>
  <si>
    <t>PO-102108</t>
  </si>
  <si>
    <t>PO-102109</t>
  </si>
  <si>
    <t>PO-102110</t>
  </si>
  <si>
    <t>PO-102111</t>
  </si>
  <si>
    <t>PO-102112</t>
  </si>
  <si>
    <t>PO-102113</t>
  </si>
  <si>
    <t>PO-102114</t>
  </si>
  <si>
    <t>PO-102115</t>
  </si>
  <si>
    <t>PO-102116</t>
  </si>
  <si>
    <t>PO-102117</t>
  </si>
  <si>
    <t>2026-12-27</t>
  </si>
  <si>
    <t>PO-102118</t>
  </si>
  <si>
    <t>PO-102119</t>
  </si>
  <si>
    <t>PO-102120</t>
  </si>
  <si>
    <t>PO-102121</t>
  </si>
  <si>
    <t>PO-102122</t>
  </si>
  <si>
    <t>PO-102123</t>
  </si>
  <si>
    <t>PO-102124</t>
  </si>
  <si>
    <t>PO-102125</t>
  </si>
  <si>
    <t>PO-102126</t>
  </si>
  <si>
    <t>PO-102127</t>
  </si>
  <si>
    <t>PO-102128</t>
  </si>
  <si>
    <t>PO-102129</t>
  </si>
  <si>
    <t>PO-102130</t>
  </si>
  <si>
    <t>PO-102131</t>
  </si>
  <si>
    <t>PO-102132</t>
  </si>
  <si>
    <t>PO-102133</t>
  </si>
  <si>
    <t>PO-102134</t>
  </si>
  <si>
    <t>PO-102135</t>
  </si>
  <si>
    <t>PO-102136</t>
  </si>
  <si>
    <t>PO-102137</t>
  </si>
  <si>
    <t>PO-102138</t>
  </si>
  <si>
    <t>PO-102139</t>
  </si>
  <si>
    <t>PO-102140</t>
  </si>
  <si>
    <t>PO-102141</t>
  </si>
  <si>
    <t>PO-102142</t>
  </si>
  <si>
    <t>PO-102143</t>
  </si>
  <si>
    <t>PO-102144</t>
  </si>
  <si>
    <t>PO-102145</t>
  </si>
  <si>
    <t>PO-102146</t>
  </si>
  <si>
    <t>PO-102147</t>
  </si>
  <si>
    <t>PO-102148</t>
  </si>
  <si>
    <t>PO-102149</t>
  </si>
  <si>
    <t>PO-102150</t>
  </si>
  <si>
    <t>PO-102151</t>
  </si>
  <si>
    <t>PO-102152</t>
  </si>
  <si>
    <t>PO-102153</t>
  </si>
  <si>
    <t>PO-102154</t>
  </si>
  <si>
    <t>PO-102155</t>
  </si>
  <si>
    <t>PO-102156</t>
  </si>
  <si>
    <t>PO-102157</t>
  </si>
  <si>
    <t>PO-102158</t>
  </si>
  <si>
    <t>PO-102159</t>
  </si>
  <si>
    <t>PO-102160</t>
  </si>
  <si>
    <t>PO-102161</t>
  </si>
  <si>
    <t>PO-102162</t>
  </si>
  <si>
    <t>PO-102163</t>
  </si>
  <si>
    <t>PO-102164</t>
  </si>
  <si>
    <t>PO-102165</t>
  </si>
  <si>
    <t>PO-102166</t>
  </si>
  <si>
    <t>PO-102167</t>
  </si>
  <si>
    <t>PO-102168</t>
  </si>
  <si>
    <t>PO-102169</t>
  </si>
  <si>
    <t>PO-102170</t>
  </si>
  <si>
    <t>PO-102171</t>
  </si>
  <si>
    <t>PO-102172</t>
  </si>
  <si>
    <t>PO-102173</t>
  </si>
  <si>
    <t>PO-102174</t>
  </si>
  <si>
    <t>PO-102175</t>
  </si>
  <si>
    <t>PO-102176</t>
  </si>
  <si>
    <t>PO-102177</t>
  </si>
  <si>
    <t>PO-102178</t>
  </si>
  <si>
    <t>PO-102179</t>
  </si>
  <si>
    <t>PO-102180</t>
  </si>
  <si>
    <t>PO-102181</t>
  </si>
  <si>
    <t>PO-102182</t>
  </si>
  <si>
    <t>PO-102183</t>
  </si>
  <si>
    <t>PO-102184</t>
  </si>
  <si>
    <t>PO-102185</t>
  </si>
  <si>
    <t>PO-102186</t>
  </si>
  <si>
    <t>PO-102187</t>
  </si>
  <si>
    <t>PO-102188</t>
  </si>
  <si>
    <t>PO-102189</t>
  </si>
  <si>
    <t>PO-102190</t>
  </si>
  <si>
    <t>PO-102191</t>
  </si>
  <si>
    <t>PO-102192</t>
  </si>
  <si>
    <t>PO-102193</t>
  </si>
  <si>
    <t>PO-102194</t>
  </si>
  <si>
    <t>PO-102195</t>
  </si>
  <si>
    <t>PO-102196</t>
  </si>
  <si>
    <t>PO-102197</t>
  </si>
  <si>
    <t>PO-102198</t>
  </si>
  <si>
    <t>PO-102199</t>
  </si>
  <si>
    <t>PO-102200</t>
  </si>
  <si>
    <t>PO-102201</t>
  </si>
  <si>
    <t>PO-102202</t>
  </si>
  <si>
    <t>PO-102203</t>
  </si>
  <si>
    <t>PO-102204</t>
  </si>
  <si>
    <t>PO-102205</t>
  </si>
  <si>
    <t>PO-102206</t>
  </si>
  <si>
    <t>PO-102207</t>
  </si>
  <si>
    <t>PO-102208</t>
  </si>
  <si>
    <t>PO-102209</t>
  </si>
  <si>
    <t>PO-102210</t>
  </si>
  <si>
    <t>PO-102211</t>
  </si>
  <si>
    <t>PO-102212</t>
  </si>
  <si>
    <t>PO-102213</t>
  </si>
  <si>
    <t>PO-102214</t>
  </si>
  <si>
    <t>PO-102215</t>
  </si>
  <si>
    <t>PO-102216</t>
  </si>
  <si>
    <t>PO-102217</t>
  </si>
  <si>
    <t>PO-102218</t>
  </si>
  <si>
    <t>PO-102219</t>
  </si>
  <si>
    <t>PO-102220</t>
  </si>
  <si>
    <t>PO-102221</t>
  </si>
  <si>
    <t>PO-102222</t>
  </si>
  <si>
    <t>PO-102223</t>
  </si>
  <si>
    <t>PO-102224</t>
  </si>
  <si>
    <t>PO-102225</t>
  </si>
  <si>
    <t>PO-102226</t>
  </si>
  <si>
    <t>PO-102227</t>
  </si>
  <si>
    <t>PO-102228</t>
  </si>
  <si>
    <t>PO-102229</t>
  </si>
  <si>
    <t>PO-102230</t>
  </si>
  <si>
    <t>PO-102231</t>
  </si>
  <si>
    <t>PO-102232</t>
  </si>
  <si>
    <t>PO-102233</t>
  </si>
  <si>
    <t>PO-102234</t>
  </si>
  <si>
    <t>PO-102235</t>
  </si>
  <si>
    <t>PO-102236</t>
  </si>
  <si>
    <t>PO-102237</t>
  </si>
  <si>
    <t>PO-102238</t>
  </si>
  <si>
    <t>PO-102239</t>
  </si>
  <si>
    <t>PO-102240</t>
  </si>
  <si>
    <t>PO-102241</t>
  </si>
  <si>
    <t>PO-102242</t>
  </si>
  <si>
    <t>PO-102243</t>
  </si>
  <si>
    <t>PO-102244</t>
  </si>
  <si>
    <t>PO-102245</t>
  </si>
  <si>
    <t>PO-102246</t>
  </si>
  <si>
    <t>PO-102247</t>
  </si>
  <si>
    <t>PO-102248</t>
  </si>
  <si>
    <t>PO-102249</t>
  </si>
  <si>
    <t>PO-102250</t>
  </si>
  <si>
    <t>PO-102251</t>
  </si>
  <si>
    <t>PO-102252</t>
  </si>
  <si>
    <t>PO-102253</t>
  </si>
  <si>
    <t>PO-102254</t>
  </si>
  <si>
    <t>PO-102255</t>
  </si>
  <si>
    <t>PO-102256</t>
  </si>
  <si>
    <t>PO-102257</t>
  </si>
  <si>
    <t>PO-102258</t>
  </si>
  <si>
    <t>PO-102259</t>
  </si>
  <si>
    <t>PO-102260</t>
  </si>
  <si>
    <t>PO-102261</t>
  </si>
  <si>
    <t>PO-102262</t>
  </si>
  <si>
    <t>PO-102263</t>
  </si>
  <si>
    <t>PO-102264</t>
  </si>
  <si>
    <t>PO-102265</t>
  </si>
  <si>
    <t>PO-102266</t>
  </si>
  <si>
    <t>PO-102267</t>
  </si>
  <si>
    <t>PO-102268</t>
  </si>
  <si>
    <t>PO-102269</t>
  </si>
  <si>
    <t>PO-102270</t>
  </si>
  <si>
    <t>PO-102271</t>
  </si>
  <si>
    <t>PO-102272</t>
  </si>
  <si>
    <t>PO-102273</t>
  </si>
  <si>
    <t>PO-102274</t>
  </si>
  <si>
    <t>PO-102275</t>
  </si>
  <si>
    <t>PO-102276</t>
  </si>
  <si>
    <t>PO-102277</t>
  </si>
  <si>
    <t>PO-102278</t>
  </si>
  <si>
    <t>PO-102279</t>
  </si>
  <si>
    <t>PO-102280</t>
  </si>
  <si>
    <t>PO-102281</t>
  </si>
  <si>
    <t>PO-102282</t>
  </si>
  <si>
    <t>PO-102283</t>
  </si>
  <si>
    <t>PO-102284</t>
  </si>
  <si>
    <t>PO-102285</t>
  </si>
  <si>
    <t>PO-102286</t>
  </si>
  <si>
    <t>PO-102287</t>
  </si>
  <si>
    <t>PO-102288</t>
  </si>
  <si>
    <t>PO-102289</t>
  </si>
  <si>
    <t>PO-102290</t>
  </si>
  <si>
    <t>PO-102291</t>
  </si>
  <si>
    <t>PO-102292</t>
  </si>
  <si>
    <t>PO-102293</t>
  </si>
  <si>
    <t>PO-102294</t>
  </si>
  <si>
    <t>PO-102295</t>
  </si>
  <si>
    <t>PO-102296</t>
  </si>
  <si>
    <t>PO-102297</t>
  </si>
  <si>
    <t>PO-102298</t>
  </si>
  <si>
    <t>PO-102299</t>
  </si>
  <si>
    <t>PO-102300</t>
  </si>
  <si>
    <t>PO-102301</t>
  </si>
  <si>
    <t>PO-102302</t>
  </si>
  <si>
    <t>PO-102303</t>
  </si>
  <si>
    <t>PO-102304</t>
  </si>
  <si>
    <t>PO-102305</t>
  </si>
  <si>
    <t>PO-102306</t>
  </si>
  <si>
    <t>PO-102307</t>
  </si>
  <si>
    <t>PO-102308</t>
  </si>
  <si>
    <t>OPEN</t>
  </si>
  <si>
    <t>PO-102309</t>
  </si>
  <si>
    <t>PO-102310</t>
  </si>
  <si>
    <t>PO-102311</t>
  </si>
  <si>
    <t>PO-102312</t>
  </si>
  <si>
    <t>PO-102313</t>
  </si>
  <si>
    <t>PO-102314</t>
  </si>
  <si>
    <t>PO-102315</t>
  </si>
  <si>
    <t>PO-102316</t>
  </si>
  <si>
    <t>PO-102317</t>
  </si>
  <si>
    <t>PO-102318</t>
  </si>
  <si>
    <t>PO-102319</t>
  </si>
  <si>
    <t>PO-102320</t>
  </si>
  <si>
    <t>PO-102321</t>
  </si>
  <si>
    <t>PO-102322</t>
  </si>
  <si>
    <t>PO-102323</t>
  </si>
  <si>
    <t>PO-102324</t>
  </si>
  <si>
    <t>PO-102325</t>
  </si>
  <si>
    <t>PO-102326</t>
  </si>
  <si>
    <t>PO-102327</t>
  </si>
  <si>
    <t>PO-102328</t>
  </si>
  <si>
    <t>PO-102329</t>
  </si>
  <si>
    <t>PO-102330</t>
  </si>
  <si>
    <t>PO-102331</t>
  </si>
  <si>
    <t>PO-102332</t>
  </si>
  <si>
    <t>PO-102333</t>
  </si>
  <si>
    <t>PO-102334</t>
  </si>
  <si>
    <t>PO-102335</t>
  </si>
  <si>
    <t>PO-102336</t>
  </si>
  <si>
    <t>PO-102337</t>
  </si>
  <si>
    <t>PO-102338</t>
  </si>
  <si>
    <t>PO-102339</t>
  </si>
  <si>
    <t>PO-102340</t>
  </si>
  <si>
    <t>PO-102341</t>
  </si>
  <si>
    <t>PO-102342</t>
  </si>
  <si>
    <t>PO-102343</t>
  </si>
  <si>
    <t>PO-102344</t>
  </si>
  <si>
    <t>PO-102345</t>
  </si>
  <si>
    <t>PO-102346</t>
  </si>
  <si>
    <t>PO-102347</t>
  </si>
  <si>
    <t>PO-102348</t>
  </si>
  <si>
    <t>PO-102349</t>
  </si>
  <si>
    <t>PO-102350</t>
  </si>
  <si>
    <t>PO-102351</t>
  </si>
  <si>
    <t>PO-102352</t>
  </si>
  <si>
    <t>PO-102353</t>
  </si>
  <si>
    <t>PO-102354</t>
  </si>
  <si>
    <t>PO-102355</t>
  </si>
  <si>
    <t>PO-102356</t>
  </si>
  <si>
    <t>PO-102357</t>
  </si>
  <si>
    <t>PO-102358</t>
  </si>
  <si>
    <t>PO-102359</t>
  </si>
  <si>
    <t>PO-102360</t>
  </si>
  <si>
    <t>PO-102361</t>
  </si>
  <si>
    <t>PO-102362</t>
  </si>
  <si>
    <t>PO-102363</t>
  </si>
  <si>
    <t>PO-102364</t>
  </si>
  <si>
    <t>PO-102365</t>
  </si>
  <si>
    <t>PO-102366</t>
  </si>
  <si>
    <t>PO-102367</t>
  </si>
  <si>
    <t>PO-102368</t>
  </si>
  <si>
    <t>PO-102369</t>
  </si>
  <si>
    <t>PO-102370</t>
  </si>
  <si>
    <t>PO-102371</t>
  </si>
  <si>
    <t>PO-102372</t>
  </si>
  <si>
    <t>PO-102373</t>
  </si>
  <si>
    <t>PO-102374</t>
  </si>
  <si>
    <t>PO-102375</t>
  </si>
  <si>
    <t>PO-102376</t>
  </si>
  <si>
    <t>PO-102377</t>
  </si>
  <si>
    <t>PO-102378</t>
  </si>
  <si>
    <t>PO-102379</t>
  </si>
  <si>
    <t>PO-102380</t>
  </si>
  <si>
    <t>PO-102381</t>
  </si>
  <si>
    <t>PO-102382</t>
  </si>
  <si>
    <t>PO-102383</t>
  </si>
  <si>
    <t>PO-102384</t>
  </si>
  <si>
    <t>PO-102385</t>
  </si>
  <si>
    <t>PO-102386</t>
  </si>
  <si>
    <t>PO-102387</t>
  </si>
  <si>
    <t>PO-102388</t>
  </si>
  <si>
    <t>PO-102389</t>
  </si>
  <si>
    <t>PO-102390</t>
  </si>
  <si>
    <t>PO-102391</t>
  </si>
  <si>
    <t>PO-102392</t>
  </si>
  <si>
    <t>PO-102393</t>
  </si>
  <si>
    <t>PO-102394</t>
  </si>
  <si>
    <t>PO-102395</t>
  </si>
  <si>
    <t>PO-102396</t>
  </si>
  <si>
    <t>PO-102397</t>
  </si>
  <si>
    <t>PO-102398</t>
  </si>
  <si>
    <t>PO-102399</t>
  </si>
  <si>
    <t>PO-102400</t>
  </si>
  <si>
    <t>PO-102401</t>
  </si>
  <si>
    <t>PO-102402</t>
  </si>
  <si>
    <t>PO-102403</t>
  </si>
  <si>
    <t>PO-102404</t>
  </si>
  <si>
    <t>PO-102405</t>
  </si>
  <si>
    <t>PO-102406</t>
  </si>
  <si>
    <t>PO-102407</t>
  </si>
  <si>
    <t>PO-102408</t>
  </si>
  <si>
    <t>PO-102409</t>
  </si>
  <si>
    <t>PO-102410</t>
  </si>
  <si>
    <t>PO-102411</t>
  </si>
  <si>
    <t>PO-102412</t>
  </si>
  <si>
    <t>PO-102413</t>
  </si>
  <si>
    <t>PO-102414</t>
  </si>
  <si>
    <t>PO-102415</t>
  </si>
  <si>
    <t>PO-102416</t>
  </si>
  <si>
    <t>PO-102417</t>
  </si>
  <si>
    <t>PO-102418</t>
  </si>
  <si>
    <t>2027-01-09</t>
  </si>
  <si>
    <t>PO-102419</t>
  </si>
  <si>
    <t>PO-102420</t>
  </si>
  <si>
    <t>PO-102421</t>
  </si>
  <si>
    <t>PO-102422</t>
  </si>
  <si>
    <t>PO-102423</t>
  </si>
  <si>
    <t>PO-102424</t>
  </si>
  <si>
    <t>PO-102425</t>
  </si>
  <si>
    <t>PO-102426</t>
  </si>
  <si>
    <t>PO-102427</t>
  </si>
  <si>
    <t>PO-102428</t>
  </si>
  <si>
    <t>PO-102429</t>
  </si>
  <si>
    <t>PO-102430</t>
  </si>
  <si>
    <t>PO-102431</t>
  </si>
  <si>
    <t>PO-102432</t>
  </si>
  <si>
    <t>PO-102433</t>
  </si>
  <si>
    <t>PO-102434</t>
  </si>
  <si>
    <t>PO-102435</t>
  </si>
  <si>
    <t>PO-102436</t>
  </si>
  <si>
    <t>PO-102437</t>
  </si>
  <si>
    <t>PO-102438</t>
  </si>
  <si>
    <t>PO-102439</t>
  </si>
  <si>
    <t>PO-102440</t>
  </si>
  <si>
    <t>PO-102441</t>
  </si>
  <si>
    <t>PO-102442</t>
  </si>
  <si>
    <t>PO-102443</t>
  </si>
  <si>
    <t>PO-102444</t>
  </si>
  <si>
    <t>PO-102445</t>
  </si>
  <si>
    <t>PO-102446</t>
  </si>
  <si>
    <t>PO-102447</t>
  </si>
  <si>
    <t>PO-102448</t>
  </si>
  <si>
    <t>PO-102449</t>
  </si>
  <si>
    <t>PO-102450</t>
  </si>
  <si>
    <t>PO-102451</t>
  </si>
  <si>
    <t>PO-102452</t>
  </si>
  <si>
    <t>PO-102453</t>
  </si>
  <si>
    <t>PO-102454</t>
  </si>
  <si>
    <t>PO-102455</t>
  </si>
  <si>
    <t>PO-102456</t>
  </si>
  <si>
    <t>PO-102457</t>
  </si>
  <si>
    <t>PO-102458</t>
  </si>
  <si>
    <t>PO-102459</t>
  </si>
  <si>
    <t>PO-102460</t>
  </si>
  <si>
    <t>PO-102461</t>
  </si>
  <si>
    <t>PO-102462</t>
  </si>
  <si>
    <t>PO-102463</t>
  </si>
  <si>
    <t>PO-102464</t>
  </si>
  <si>
    <t>PO-102465</t>
  </si>
  <si>
    <t>PO-102466</t>
  </si>
  <si>
    <t>PO-102467</t>
  </si>
  <si>
    <t>PO-102468</t>
  </si>
  <si>
    <t>PO-102469</t>
  </si>
  <si>
    <t>PO-102470</t>
  </si>
  <si>
    <t>PO-102471</t>
  </si>
  <si>
    <t>PO-102472</t>
  </si>
  <si>
    <t>PO-102473</t>
  </si>
  <si>
    <t>PO-102474</t>
  </si>
  <si>
    <t>PO-102475</t>
  </si>
  <si>
    <t>PO-102476</t>
  </si>
  <si>
    <t>PO-102477</t>
  </si>
  <si>
    <t>PO-102478</t>
  </si>
  <si>
    <t>PO-102479</t>
  </si>
  <si>
    <t>PO-102480</t>
  </si>
  <si>
    <t>PO-102481</t>
  </si>
  <si>
    <t>PO-102482</t>
  </si>
  <si>
    <t>PO-102483</t>
  </si>
  <si>
    <t>PO-102484</t>
  </si>
  <si>
    <t>PO-102485</t>
  </si>
  <si>
    <t>PO-102486</t>
  </si>
  <si>
    <t>PO-102487</t>
  </si>
  <si>
    <t>PO-102488</t>
  </si>
  <si>
    <t>PO-102489</t>
  </si>
  <si>
    <t>PO-102490</t>
  </si>
  <si>
    <t>PO-102491</t>
  </si>
  <si>
    <t>PO-102492</t>
  </si>
  <si>
    <t>PO-102493</t>
  </si>
  <si>
    <t>PO-102494</t>
  </si>
  <si>
    <t>PO-102495</t>
  </si>
  <si>
    <t>PO-102496</t>
  </si>
  <si>
    <t>PO-102497</t>
  </si>
  <si>
    <t>PO-102498</t>
  </si>
  <si>
    <t>PO-102499</t>
  </si>
  <si>
    <t>PO-102500</t>
  </si>
  <si>
    <t>PO-102501</t>
  </si>
  <si>
    <t>PO-102502</t>
  </si>
  <si>
    <t>PO-102503</t>
  </si>
  <si>
    <t>PO-102504</t>
  </si>
  <si>
    <t>PO-102505</t>
  </si>
  <si>
    <t>PO-102506</t>
  </si>
  <si>
    <t>PO-102507</t>
  </si>
  <si>
    <t>PO-102508</t>
  </si>
  <si>
    <t>PO-102509</t>
  </si>
  <si>
    <t>PO-102510</t>
  </si>
  <si>
    <t>PO-102511</t>
  </si>
  <si>
    <t>PO-102512</t>
  </si>
  <si>
    <t>PO-102513</t>
  </si>
  <si>
    <t>PO-102514</t>
  </si>
  <si>
    <t>PO-102515</t>
  </si>
  <si>
    <t>PO-102516</t>
  </si>
  <si>
    <t>PO-102517</t>
  </si>
  <si>
    <t>PO-102518</t>
  </si>
  <si>
    <t>PO-102519</t>
  </si>
  <si>
    <t>PO-102520</t>
  </si>
  <si>
    <t>PO-102521</t>
  </si>
  <si>
    <t>PO-102522</t>
  </si>
  <si>
    <t>PO-102523</t>
  </si>
  <si>
    <t>PO-102524</t>
  </si>
  <si>
    <t>PO-102525</t>
  </si>
  <si>
    <t>PO-102526</t>
  </si>
  <si>
    <t>PO-102527</t>
  </si>
  <si>
    <t>PO-102528</t>
  </si>
  <si>
    <t>PO-102529</t>
  </si>
  <si>
    <t>PO-102530</t>
  </si>
  <si>
    <t>PO-102531</t>
  </si>
  <si>
    <t>PO-102532</t>
  </si>
  <si>
    <t>PO-102533</t>
  </si>
  <si>
    <t>PO-102534</t>
  </si>
  <si>
    <t>PO-102535</t>
  </si>
  <si>
    <t>PO-102536</t>
  </si>
  <si>
    <t>PO-102537</t>
  </si>
  <si>
    <t>PO-102538</t>
  </si>
  <si>
    <t>PO-102539</t>
  </si>
  <si>
    <t>PO-102540</t>
  </si>
  <si>
    <t>PO-102541</t>
  </si>
  <si>
    <t>PO-102542</t>
  </si>
  <si>
    <t>PO-102543</t>
  </si>
  <si>
    <t>PO-102544</t>
  </si>
  <si>
    <t>PO-102545</t>
  </si>
  <si>
    <t>PO-102546</t>
  </si>
  <si>
    <t>PO-102547</t>
  </si>
  <si>
    <t>PO-102548</t>
  </si>
  <si>
    <t>PO-102549</t>
  </si>
  <si>
    <t>PO-102550</t>
  </si>
  <si>
    <t>PO-102551</t>
  </si>
  <si>
    <t>PO-102552</t>
  </si>
  <si>
    <t>PO-102553</t>
  </si>
  <si>
    <t>PO-102554</t>
  </si>
  <si>
    <t>PO-102555</t>
  </si>
  <si>
    <t>PO-102556</t>
  </si>
  <si>
    <t>PO-102557</t>
  </si>
  <si>
    <t>PO-102558</t>
  </si>
  <si>
    <t>PO-102559</t>
  </si>
  <si>
    <t>PO-102560</t>
  </si>
  <si>
    <t>PO-102561</t>
  </si>
  <si>
    <t>PO-102562</t>
  </si>
  <si>
    <t>PO-102563</t>
  </si>
  <si>
    <t>PO-102564</t>
  </si>
  <si>
    <t>PO-102565</t>
  </si>
  <si>
    <t>PO-102566</t>
  </si>
  <si>
    <t>PO-102567</t>
  </si>
  <si>
    <t>PO-102568</t>
  </si>
  <si>
    <t>PO-102569</t>
  </si>
  <si>
    <t>PO-102570</t>
  </si>
  <si>
    <t>PO-102571</t>
  </si>
  <si>
    <t>PO-102572</t>
  </si>
  <si>
    <t>PO-102573</t>
  </si>
  <si>
    <t>PO-102574</t>
  </si>
  <si>
    <t>PO-102575</t>
  </si>
  <si>
    <t>PO-102576</t>
  </si>
  <si>
    <t>PO-102577</t>
  </si>
  <si>
    <t>PO-102578</t>
  </si>
  <si>
    <t>PO-102579</t>
  </si>
  <si>
    <t>PO-102580</t>
  </si>
  <si>
    <t>PO-102581</t>
  </si>
  <si>
    <t>PO-102582</t>
  </si>
  <si>
    <t>PO-102583</t>
  </si>
  <si>
    <t>PO-102584</t>
  </si>
  <si>
    <t>PO-102585</t>
  </si>
  <si>
    <t>PO-102586</t>
  </si>
  <si>
    <t>PO-102587</t>
  </si>
  <si>
    <t>PO-102588</t>
  </si>
  <si>
    <t>PO-102589</t>
  </si>
  <si>
    <t>PO-102590</t>
  </si>
  <si>
    <t>PO-102591</t>
  </si>
  <si>
    <t>PO-102592</t>
  </si>
  <si>
    <t>PO-102593</t>
  </si>
  <si>
    <t>PO-102594</t>
  </si>
  <si>
    <t>PO-102595</t>
  </si>
  <si>
    <t>PO-102596</t>
  </si>
  <si>
    <t>PO-102597</t>
  </si>
  <si>
    <t>PO-102598</t>
  </si>
  <si>
    <t>PO-102599</t>
  </si>
  <si>
    <t>PO-102600</t>
  </si>
  <si>
    <t>PO-102601</t>
  </si>
  <si>
    <t>PO-102602</t>
  </si>
  <si>
    <t>PO-102603</t>
  </si>
  <si>
    <t>PO-102604</t>
  </si>
  <si>
    <t>PO-102605</t>
  </si>
  <si>
    <t>PO-102606</t>
  </si>
  <si>
    <t>PO-102607</t>
  </si>
  <si>
    <t>PO-102608</t>
  </si>
  <si>
    <t>PO-102609</t>
  </si>
  <si>
    <t>PO-102610</t>
  </si>
  <si>
    <t>PO-102611</t>
  </si>
  <si>
    <t>PO-102612</t>
  </si>
  <si>
    <t>PO-102613</t>
  </si>
  <si>
    <t>PO-102614</t>
  </si>
  <si>
    <t>PO-102615</t>
  </si>
  <si>
    <t>PO-102616</t>
  </si>
  <si>
    <t>PO-102617</t>
  </si>
  <si>
    <t>PO-102618</t>
  </si>
  <si>
    <t>PO-102619</t>
  </si>
  <si>
    <t>PO-102620</t>
  </si>
  <si>
    <t>PO-102621</t>
  </si>
  <si>
    <t>PO-102622</t>
  </si>
  <si>
    <t>PO-102623</t>
  </si>
  <si>
    <t>PO-102624</t>
  </si>
  <si>
    <t>PO-102625</t>
  </si>
  <si>
    <t>PO-102626</t>
  </si>
  <si>
    <t>PO-102627</t>
  </si>
  <si>
    <t>PO-102628</t>
  </si>
  <si>
    <t>PO-102629</t>
  </si>
  <si>
    <t>PO-102630</t>
  </si>
  <si>
    <t>PO-102631</t>
  </si>
  <si>
    <t>PO-102632</t>
  </si>
  <si>
    <t>PO-102633</t>
  </si>
  <si>
    <t>PO-102634</t>
  </si>
  <si>
    <t>PO-102635</t>
  </si>
  <si>
    <t>PO-102636</t>
  </si>
  <si>
    <t>PO-102637</t>
  </si>
  <si>
    <t>PO-102638</t>
  </si>
  <si>
    <t>PO-102639</t>
  </si>
  <si>
    <t>PO-102640</t>
  </si>
  <si>
    <t>PO-102641</t>
  </si>
  <si>
    <t>PO-102642</t>
  </si>
  <si>
    <t>PO-102643</t>
  </si>
  <si>
    <t>PO-102644</t>
  </si>
  <si>
    <t>PO-102645</t>
  </si>
  <si>
    <t>PO-102646</t>
  </si>
  <si>
    <t>PO-102647</t>
  </si>
  <si>
    <t>PO-102648</t>
  </si>
  <si>
    <t>PO-102649</t>
  </si>
  <si>
    <t>PO-102650</t>
  </si>
  <si>
    <t>PO-102651</t>
  </si>
  <si>
    <t>PO-102652</t>
  </si>
  <si>
    <t>PO-102653</t>
  </si>
  <si>
    <t>PO-102654</t>
  </si>
  <si>
    <t>PO-102655</t>
  </si>
  <si>
    <t>PO-102656</t>
  </si>
  <si>
    <t>PO-102657</t>
  </si>
  <si>
    <t>PO-102658</t>
  </si>
  <si>
    <t>PO-102659</t>
  </si>
  <si>
    <t>PO-102660</t>
  </si>
  <si>
    <t>PO-102661</t>
  </si>
  <si>
    <t>PO-102662</t>
  </si>
  <si>
    <t>PO-102663</t>
  </si>
  <si>
    <t>PO-102664</t>
  </si>
  <si>
    <t>PO-102665</t>
  </si>
  <si>
    <t>PO-102666</t>
  </si>
  <si>
    <t>PO-102667</t>
  </si>
  <si>
    <t>PO-102668</t>
  </si>
  <si>
    <t>PO-102669</t>
  </si>
  <si>
    <t>PO-102670</t>
  </si>
  <si>
    <t>PO-102671</t>
  </si>
  <si>
    <t>PO-102672</t>
  </si>
  <si>
    <t>PO-102673</t>
  </si>
  <si>
    <t>PO-102674</t>
  </si>
  <si>
    <t>PO-102675</t>
  </si>
  <si>
    <t>PO-102676</t>
  </si>
  <si>
    <t>PO-102677</t>
  </si>
  <si>
    <t>PO-102678</t>
  </si>
  <si>
    <t>PO-102679</t>
  </si>
  <si>
    <t>PO-102680</t>
  </si>
  <si>
    <t>PO-102681</t>
  </si>
  <si>
    <t>PO-102682</t>
  </si>
  <si>
    <t>PO-102683</t>
  </si>
  <si>
    <t>PO-102684</t>
  </si>
  <si>
    <t>PO-102685</t>
  </si>
  <si>
    <t>PO-102686</t>
  </si>
  <si>
    <t>PO-102687</t>
  </si>
  <si>
    <t>PO-102688</t>
  </si>
  <si>
    <t>PO-102689</t>
  </si>
  <si>
    <t>PO-102690</t>
  </si>
  <si>
    <t>PO-102691</t>
  </si>
  <si>
    <t>PO-102692</t>
  </si>
  <si>
    <t>PO-102693</t>
  </si>
  <si>
    <t>PO-102694</t>
  </si>
  <si>
    <t>PO-102695</t>
  </si>
  <si>
    <t>PO-102696</t>
  </si>
  <si>
    <t>PO-102697</t>
  </si>
  <si>
    <t>PO-102698</t>
  </si>
  <si>
    <t>PO-102699</t>
  </si>
  <si>
    <t>PO-102700</t>
  </si>
  <si>
    <t>PO-102701</t>
  </si>
  <si>
    <t>PO-102702</t>
  </si>
  <si>
    <t>PO-102703</t>
  </si>
  <si>
    <t>PO-102704</t>
  </si>
  <si>
    <t>PO-102705</t>
  </si>
  <si>
    <t>PO-102706</t>
  </si>
  <si>
    <t>PO-102707</t>
  </si>
  <si>
    <t>PO-102708</t>
  </si>
  <si>
    <t>PO-102709</t>
  </si>
  <si>
    <t>PO-102710</t>
  </si>
  <si>
    <t>PO-102711</t>
  </si>
  <si>
    <t>PO-102712</t>
  </si>
  <si>
    <t>PO-102713</t>
  </si>
  <si>
    <t>PO-102714</t>
  </si>
  <si>
    <t>PO-102715</t>
  </si>
  <si>
    <t>PO-102716</t>
  </si>
  <si>
    <t>PO-102717</t>
  </si>
  <si>
    <t>PO-102718</t>
  </si>
  <si>
    <t>PO-102719</t>
  </si>
  <si>
    <t>PO-102720</t>
  </si>
  <si>
    <t>PO-102721</t>
  </si>
  <si>
    <t>PO-102722</t>
  </si>
  <si>
    <t>PO-102723</t>
  </si>
  <si>
    <t>PO-102724</t>
  </si>
  <si>
    <t>PO-102725</t>
  </si>
  <si>
    <t>PO-102726</t>
  </si>
  <si>
    <t>PO-102727</t>
  </si>
  <si>
    <t>PO-102728</t>
  </si>
  <si>
    <t>PO-102729</t>
  </si>
  <si>
    <t>PO-102730</t>
  </si>
  <si>
    <t>PO-102731</t>
  </si>
  <si>
    <t>PO-102732</t>
  </si>
  <si>
    <t>PO-102733</t>
  </si>
  <si>
    <t>PO-102734</t>
  </si>
  <si>
    <t>PO-102735</t>
  </si>
  <si>
    <t>PO-102736</t>
  </si>
  <si>
    <t>PO-102737</t>
  </si>
  <si>
    <t>PO-102738</t>
  </si>
  <si>
    <t>PO-102739</t>
  </si>
  <si>
    <t>PO-102740</t>
  </si>
  <si>
    <t>PO-102741</t>
  </si>
  <si>
    <t>PO-102742</t>
  </si>
  <si>
    <t>PO-102743</t>
  </si>
  <si>
    <t>PO-102744</t>
  </si>
  <si>
    <t>PO-102745</t>
  </si>
  <si>
    <t>PO-102746</t>
  </si>
  <si>
    <t>PO-102747</t>
  </si>
  <si>
    <t>PO-102748</t>
  </si>
  <si>
    <t>PO-102749</t>
  </si>
  <si>
    <t>PO-102750</t>
  </si>
  <si>
    <t>PO-102751</t>
  </si>
  <si>
    <t>PO-102752</t>
  </si>
  <si>
    <t>PO-102753</t>
  </si>
  <si>
    <t>PO-102754</t>
  </si>
  <si>
    <t>PO-102755</t>
  </si>
  <si>
    <t>PO-102756</t>
  </si>
  <si>
    <t>PO-102757</t>
  </si>
  <si>
    <t>PO-102758</t>
  </si>
  <si>
    <t>PO-102759</t>
  </si>
  <si>
    <t>PO-102760</t>
  </si>
  <si>
    <t>PO-102761</t>
  </si>
  <si>
    <t>PO-102762</t>
  </si>
  <si>
    <t>PO-102763</t>
  </si>
  <si>
    <t>PO-102764</t>
  </si>
  <si>
    <t>PO-102765</t>
  </si>
  <si>
    <t>PO-102766</t>
  </si>
  <si>
    <t>PO-102767</t>
  </si>
  <si>
    <t>PO-102768</t>
  </si>
  <si>
    <t>PO-102769</t>
  </si>
  <si>
    <t>PO-102770</t>
  </si>
  <si>
    <t>PO-102771</t>
  </si>
  <si>
    <t>PO-102772</t>
  </si>
  <si>
    <t>PO-102773</t>
  </si>
  <si>
    <t>PO-102774</t>
  </si>
  <si>
    <t>PO-102775</t>
  </si>
  <si>
    <t>PO-102776</t>
  </si>
  <si>
    <t>PO-102777</t>
  </si>
  <si>
    <t>PO-102778</t>
  </si>
  <si>
    <t>PO-102779</t>
  </si>
  <si>
    <t>PO-102780</t>
  </si>
  <si>
    <t>PO-102781</t>
  </si>
  <si>
    <t>PO-102782</t>
  </si>
  <si>
    <t>PO-102783</t>
  </si>
  <si>
    <t>PO-102784</t>
  </si>
  <si>
    <t>PO-102785</t>
  </si>
  <si>
    <t>PO-102786</t>
  </si>
  <si>
    <t>PO-102787</t>
  </si>
  <si>
    <t>PO-102788</t>
  </si>
  <si>
    <t>PO-102789</t>
  </si>
  <si>
    <t>PO-102790</t>
  </si>
  <si>
    <t>PO-102791</t>
  </si>
  <si>
    <t>PO-102792</t>
  </si>
  <si>
    <t>PO-102793</t>
  </si>
  <si>
    <t>PO-102794</t>
  </si>
  <si>
    <t>PO-102795</t>
  </si>
  <si>
    <t>PO-102796</t>
  </si>
  <si>
    <t>PO-102797</t>
  </si>
  <si>
    <t>PO-102798</t>
  </si>
  <si>
    <t>PO-102799</t>
  </si>
  <si>
    <t>PO-102800</t>
  </si>
  <si>
    <t>PO-102801</t>
  </si>
  <si>
    <t>PO-102802</t>
  </si>
  <si>
    <t>PO-102803</t>
  </si>
  <si>
    <t>PO-102804</t>
  </si>
  <si>
    <t>2025-01-16</t>
  </si>
  <si>
    <t>PO-102805</t>
  </si>
  <si>
    <t>PO-102806</t>
  </si>
  <si>
    <t>PO-102807</t>
  </si>
  <si>
    <t>PO-102808</t>
  </si>
  <si>
    <t>PO-102809</t>
  </si>
  <si>
    <t>PO-102810</t>
  </si>
  <si>
    <t>PO-102811</t>
  </si>
  <si>
    <t>PO-102812</t>
  </si>
  <si>
    <t>PO-102813</t>
  </si>
  <si>
    <t>PO-102814</t>
  </si>
  <si>
    <t>PO-102815</t>
  </si>
  <si>
    <t>PO-102816</t>
  </si>
  <si>
    <t>PO-102817</t>
  </si>
  <si>
    <t>PO-102818</t>
  </si>
  <si>
    <t>PO-102819</t>
  </si>
  <si>
    <t>PO-102820</t>
  </si>
  <si>
    <t>PO-102821</t>
  </si>
  <si>
    <t>PO-102822</t>
  </si>
  <si>
    <t>PO-102823</t>
  </si>
  <si>
    <t>PO-102824</t>
  </si>
  <si>
    <t>PO-102825</t>
  </si>
  <si>
    <t>PO-102826</t>
  </si>
  <si>
    <t>PO-102827</t>
  </si>
  <si>
    <t>PO-102828</t>
  </si>
  <si>
    <t>PO-102829</t>
  </si>
  <si>
    <t>PO-102830</t>
  </si>
  <si>
    <t>PO-102831</t>
  </si>
  <si>
    <t>PO-102832</t>
  </si>
  <si>
    <t>PO-102833</t>
  </si>
  <si>
    <t>PO-102834</t>
  </si>
  <si>
    <t>PO-102835</t>
  </si>
  <si>
    <t>PO-102836</t>
  </si>
  <si>
    <t>PO-102837</t>
  </si>
  <si>
    <t>PO-102838</t>
  </si>
  <si>
    <t>PO-102839</t>
  </si>
  <si>
    <t>PO-102840</t>
  </si>
  <si>
    <t>PO-102841</t>
  </si>
  <si>
    <t>PO-102842</t>
  </si>
  <si>
    <t>PO-102843</t>
  </si>
  <si>
    <t>PO-102844</t>
  </si>
  <si>
    <t>PO-102845</t>
  </si>
  <si>
    <t>PO-102846</t>
  </si>
  <si>
    <t>PO-102847</t>
  </si>
  <si>
    <t>PO-102848</t>
  </si>
  <si>
    <t>PO-102849</t>
  </si>
  <si>
    <t>PO-102850</t>
  </si>
  <si>
    <t>PO-102851</t>
  </si>
  <si>
    <t>PO-102852</t>
  </si>
  <si>
    <t>PO-102853</t>
  </si>
  <si>
    <t>PO-102854</t>
  </si>
  <si>
    <t>PO-102855</t>
  </si>
  <si>
    <t>PO-102856</t>
  </si>
  <si>
    <t>PO-102857</t>
  </si>
  <si>
    <t>PO-102858</t>
  </si>
  <si>
    <t>PO-102859</t>
  </si>
  <si>
    <t>PO-102860</t>
  </si>
  <si>
    <t>PO-102861</t>
  </si>
  <si>
    <t>PO-102862</t>
  </si>
  <si>
    <t>PO-102863</t>
  </si>
  <si>
    <t>PO-102864</t>
  </si>
  <si>
    <t>PO-102865</t>
  </si>
  <si>
    <t>PO-102866</t>
  </si>
  <si>
    <t>PO-102867</t>
  </si>
  <si>
    <t>PO-102868</t>
  </si>
  <si>
    <t>PO-102869</t>
  </si>
  <si>
    <t>PO-102870</t>
  </si>
  <si>
    <t>PO-102871</t>
  </si>
  <si>
    <t>PO-102872</t>
  </si>
  <si>
    <t>PO-102873</t>
  </si>
  <si>
    <t>PO-102874</t>
  </si>
  <si>
    <t>PO-102875</t>
  </si>
  <si>
    <t>PO-102876</t>
  </si>
  <si>
    <t>PO-102877</t>
  </si>
  <si>
    <t>PO-102878</t>
  </si>
  <si>
    <t>PO-102879</t>
  </si>
  <si>
    <t>PO-102880</t>
  </si>
  <si>
    <t>PO-102881</t>
  </si>
  <si>
    <t>PO-102882</t>
  </si>
  <si>
    <t>PO-102883</t>
  </si>
  <si>
    <t>PO-102884</t>
  </si>
  <si>
    <t>PO-102885</t>
  </si>
  <si>
    <t>PO-102886</t>
  </si>
  <si>
    <t>PO-102887</t>
  </si>
  <si>
    <t>PO-102888</t>
  </si>
  <si>
    <t>PO-102889</t>
  </si>
  <si>
    <t>PO-102890</t>
  </si>
  <si>
    <t>PO-102891</t>
  </si>
  <si>
    <t>PO-102892</t>
  </si>
  <si>
    <t>PO-102893</t>
  </si>
  <si>
    <t>PO-102894</t>
  </si>
  <si>
    <t>PO-102895</t>
  </si>
  <si>
    <t>PO-102896</t>
  </si>
  <si>
    <t>PO-102897</t>
  </si>
  <si>
    <t>PO-102898</t>
  </si>
  <si>
    <t>PO-102899</t>
  </si>
  <si>
    <t>PO-102900</t>
  </si>
  <si>
    <t>PO-102901</t>
  </si>
  <si>
    <t>PO-102902</t>
  </si>
  <si>
    <t>PO-102903</t>
  </si>
  <si>
    <t>PO-102904</t>
  </si>
  <si>
    <t>PO-102905</t>
  </si>
  <si>
    <t>PO-102906</t>
  </si>
  <si>
    <t>PO-102907</t>
  </si>
  <si>
    <t>PO-102908</t>
  </si>
  <si>
    <t>PO-102909</t>
  </si>
  <si>
    <t>PO-102910</t>
  </si>
  <si>
    <t>PO-102911</t>
  </si>
  <si>
    <t>PO-102912</t>
  </si>
  <si>
    <t>PO-102913</t>
  </si>
  <si>
    <t>PO-102914</t>
  </si>
  <si>
    <t>PO-102915</t>
  </si>
  <si>
    <t>PO-102916</t>
  </si>
  <si>
    <t>PO-102917</t>
  </si>
  <si>
    <t>PO-102918</t>
  </si>
  <si>
    <t>PO-102919</t>
  </si>
  <si>
    <t>PO-102920</t>
  </si>
  <si>
    <t>PO-102921</t>
  </si>
  <si>
    <t>PO-102922</t>
  </si>
  <si>
    <t>PO-102923</t>
  </si>
  <si>
    <t>PO-102924</t>
  </si>
  <si>
    <t>PO-102925</t>
  </si>
  <si>
    <t>PO-102926</t>
  </si>
  <si>
    <t>PO-102927</t>
  </si>
  <si>
    <t>PO-102928</t>
  </si>
  <si>
    <t>PO-102929</t>
  </si>
  <si>
    <t>PO-102930</t>
  </si>
  <si>
    <t>PO-102931</t>
  </si>
  <si>
    <t>PO-102932</t>
  </si>
  <si>
    <t>PO-102933</t>
  </si>
  <si>
    <t>PO-102934</t>
  </si>
  <si>
    <t>PO-102935</t>
  </si>
  <si>
    <t>PO-102936</t>
  </si>
  <si>
    <t>PO-102937</t>
  </si>
  <si>
    <t>PO-102938</t>
  </si>
  <si>
    <t>PO-102939</t>
  </si>
  <si>
    <t>PO-102940</t>
  </si>
  <si>
    <t>PO-102941</t>
  </si>
  <si>
    <t>PO-102942</t>
  </si>
  <si>
    <t>PO-102943</t>
  </si>
  <si>
    <t>PO-102944</t>
  </si>
  <si>
    <t>PO-102945</t>
  </si>
  <si>
    <t>PO-102946</t>
  </si>
  <si>
    <t>PO-102947</t>
  </si>
  <si>
    <t>PO-102948</t>
  </si>
  <si>
    <t>PO-102949</t>
  </si>
  <si>
    <t>PO-102950</t>
  </si>
  <si>
    <t>PO-102951</t>
  </si>
  <si>
    <t>PO-102952</t>
  </si>
  <si>
    <t>PO-102953</t>
  </si>
  <si>
    <t>PO-102954</t>
  </si>
  <si>
    <t>PO-102955</t>
  </si>
  <si>
    <t>PO-102956</t>
  </si>
  <si>
    <t>PO-102957</t>
  </si>
  <si>
    <t>PO-102958</t>
  </si>
  <si>
    <t>PO-102959</t>
  </si>
  <si>
    <t>PO-102960</t>
  </si>
  <si>
    <t>PO-102961</t>
  </si>
  <si>
    <t>PO-102962</t>
  </si>
  <si>
    <t>PO-102963</t>
  </si>
  <si>
    <t>PO-102964</t>
  </si>
  <si>
    <t>PO-102965</t>
  </si>
  <si>
    <t>PO-102966</t>
  </si>
  <si>
    <t>PO-102967</t>
  </si>
  <si>
    <t>PO-102968</t>
  </si>
  <si>
    <t>PO-102969</t>
  </si>
  <si>
    <t>PO-102970</t>
  </si>
  <si>
    <t>PO-102971</t>
  </si>
  <si>
    <t>PO-102972</t>
  </si>
  <si>
    <t>PO-102973</t>
  </si>
  <si>
    <t>PO-102974</t>
  </si>
  <si>
    <t>PO-102975</t>
  </si>
  <si>
    <t>PO-102976</t>
  </si>
  <si>
    <t>PO-102977</t>
  </si>
  <si>
    <t>PO-102978</t>
  </si>
  <si>
    <t>PO-102979</t>
  </si>
  <si>
    <t>PO-102980</t>
  </si>
  <si>
    <t>PO-102981</t>
  </si>
  <si>
    <t>PO-102982</t>
  </si>
  <si>
    <t>PO-102983</t>
  </si>
  <si>
    <t>PO-102984</t>
  </si>
  <si>
    <t>PO-102985</t>
  </si>
  <si>
    <t>PO-102986</t>
  </si>
  <si>
    <t>PO-102987</t>
  </si>
  <si>
    <t>PO-102988</t>
  </si>
  <si>
    <t>PO-102989</t>
  </si>
  <si>
    <t>PO-102990</t>
  </si>
  <si>
    <t>PO-102991</t>
  </si>
  <si>
    <t>PO-102992</t>
  </si>
  <si>
    <t>PO-102993</t>
  </si>
  <si>
    <t>PO-102994</t>
  </si>
  <si>
    <t>PO-102995</t>
  </si>
  <si>
    <t>PO-102996</t>
  </si>
  <si>
    <t>PO-102997</t>
  </si>
  <si>
    <t>PO-102998</t>
  </si>
  <si>
    <t>PO-102999</t>
  </si>
  <si>
    <t>PO-103000</t>
  </si>
  <si>
    <t>PO-103001</t>
  </si>
  <si>
    <t>PO-103002</t>
  </si>
  <si>
    <t>PO-103003</t>
  </si>
  <si>
    <t>PO-103004</t>
  </si>
  <si>
    <t>PO-103005</t>
  </si>
  <si>
    <t>PO-103006</t>
  </si>
  <si>
    <t>PO-103007</t>
  </si>
  <si>
    <t>PO-103008</t>
  </si>
  <si>
    <t>PO-103009</t>
  </si>
  <si>
    <t>PO-103010</t>
  </si>
  <si>
    <t>PO-103011</t>
  </si>
  <si>
    <t>PO-103012</t>
  </si>
  <si>
    <t>PO-103013</t>
  </si>
  <si>
    <t>PO-103014</t>
  </si>
  <si>
    <t>PO-103015</t>
  </si>
  <si>
    <t>PO-103016</t>
  </si>
  <si>
    <t>PO-103017</t>
  </si>
  <si>
    <t>PO-103018</t>
  </si>
  <si>
    <t>PO-103019</t>
  </si>
  <si>
    <t>PO-103020</t>
  </si>
  <si>
    <t>PO-103021</t>
  </si>
  <si>
    <t>PO-103022</t>
  </si>
  <si>
    <t>PO-103023</t>
  </si>
  <si>
    <t>PO-103024</t>
  </si>
  <si>
    <t>PO-103025</t>
  </si>
  <si>
    <t>PO-103026</t>
  </si>
  <si>
    <t>PO-103027</t>
  </si>
  <si>
    <t>PO-103028</t>
  </si>
  <si>
    <t>PO-103029</t>
  </si>
  <si>
    <t>PO-103030</t>
  </si>
  <si>
    <t>PO-103031</t>
  </si>
  <si>
    <t>PO-103032</t>
  </si>
  <si>
    <t>PO-103033</t>
  </si>
  <si>
    <t>PO-103034</t>
  </si>
  <si>
    <t>PO-103035</t>
  </si>
  <si>
    <t>PO-103036</t>
  </si>
  <si>
    <t>PO-103037</t>
  </si>
  <si>
    <t>PO-103038</t>
  </si>
  <si>
    <t>PO-103039</t>
  </si>
  <si>
    <t>PO-103040</t>
  </si>
  <si>
    <t>PO-103041</t>
  </si>
  <si>
    <t>PO-103042</t>
  </si>
  <si>
    <t>PO-103043</t>
  </si>
  <si>
    <t>PO-103044</t>
  </si>
  <si>
    <t>PO-103045</t>
  </si>
  <si>
    <t>PO-103046</t>
  </si>
  <si>
    <t>PO-103047</t>
  </si>
  <si>
    <t>PO-103048</t>
  </si>
  <si>
    <t>PO-103049</t>
  </si>
  <si>
    <t>PO-103050</t>
  </si>
  <si>
    <t>PO-103051</t>
  </si>
  <si>
    <t>PO-103052</t>
  </si>
  <si>
    <t>PO-103053</t>
  </si>
  <si>
    <t>PO-103054</t>
  </si>
  <si>
    <t>PO-103055</t>
  </si>
  <si>
    <t>PO-103056</t>
  </si>
  <si>
    <t>PO-103057</t>
  </si>
  <si>
    <t>PO-103058</t>
  </si>
  <si>
    <t>PO-103059</t>
  </si>
  <si>
    <t>PO-103060</t>
  </si>
  <si>
    <t>PO-103061</t>
  </si>
  <si>
    <t>PO-103062</t>
  </si>
  <si>
    <t>PO-103063</t>
  </si>
  <si>
    <t>PO-103064</t>
  </si>
  <si>
    <t>PO-103065</t>
  </si>
  <si>
    <t>PO-103066</t>
  </si>
  <si>
    <t>PO-103067</t>
  </si>
  <si>
    <t>PO-103068</t>
  </si>
  <si>
    <t>PO-103069</t>
  </si>
  <si>
    <t>PO-103070</t>
  </si>
  <si>
    <t>PO-103071</t>
  </si>
  <si>
    <t>PO-103072</t>
  </si>
  <si>
    <t>PO-103073</t>
  </si>
  <si>
    <t>PO-103074</t>
  </si>
  <si>
    <t>PO-103075</t>
  </si>
  <si>
    <t>PO-103076</t>
  </si>
  <si>
    <t>PO-103077</t>
  </si>
  <si>
    <t>PO-103078</t>
  </si>
  <si>
    <t>PO-103079</t>
  </si>
  <si>
    <t>PO-103080</t>
  </si>
  <si>
    <t>PO-103081</t>
  </si>
  <si>
    <t>PO-103082</t>
  </si>
  <si>
    <t>PO-103083</t>
  </si>
  <si>
    <t>PO-103084</t>
  </si>
  <si>
    <t>PO-103085</t>
  </si>
  <si>
    <t>PO-103086</t>
  </si>
  <si>
    <t>PO-103087</t>
  </si>
  <si>
    <t>PO-103088</t>
  </si>
  <si>
    <t>PO-103089</t>
  </si>
  <si>
    <t>PO-103090</t>
  </si>
  <si>
    <t>PO-103091</t>
  </si>
  <si>
    <t>PO-103092</t>
  </si>
  <si>
    <t>PO-103093</t>
  </si>
  <si>
    <t>PO-103094</t>
  </si>
  <si>
    <t>PO-103095</t>
  </si>
  <si>
    <t>PO-103096</t>
  </si>
  <si>
    <t>PO-103097</t>
  </si>
  <si>
    <t>PO-103098</t>
  </si>
  <si>
    <t>PO-103099</t>
  </si>
  <si>
    <t>PO-103100</t>
  </si>
  <si>
    <t>PO-103101</t>
  </si>
  <si>
    <t>PO-103102</t>
  </si>
  <si>
    <t>PO-103103</t>
  </si>
  <si>
    <t>PO-103104</t>
  </si>
  <si>
    <t>PO-103105</t>
  </si>
  <si>
    <t>PO-103106</t>
  </si>
  <si>
    <t>PO-103107</t>
  </si>
  <si>
    <t>PO-103108</t>
  </si>
  <si>
    <t>PO-103109</t>
  </si>
  <si>
    <t>PO-103110</t>
  </si>
  <si>
    <t>PO-103111</t>
  </si>
  <si>
    <t>PO-103112</t>
  </si>
  <si>
    <t>PO-103113</t>
  </si>
  <si>
    <t>PO-103114</t>
  </si>
  <si>
    <t>PO-103115</t>
  </si>
  <si>
    <t>PO-103116</t>
  </si>
  <si>
    <t>PO-103117</t>
  </si>
  <si>
    <t>PO-103118</t>
  </si>
  <si>
    <t>PO-103119</t>
  </si>
  <si>
    <t>PO-103120</t>
  </si>
  <si>
    <t>PO-103121</t>
  </si>
  <si>
    <t>PO-103122</t>
  </si>
  <si>
    <t>PO-103123</t>
  </si>
  <si>
    <t>PO-103124</t>
  </si>
  <si>
    <t>PO-103125</t>
  </si>
  <si>
    <t>PO-103126</t>
  </si>
  <si>
    <t>PO-103127</t>
  </si>
  <si>
    <t>PO-103128</t>
  </si>
  <si>
    <t>PO-103129</t>
  </si>
  <si>
    <t>PO-103130</t>
  </si>
  <si>
    <t>PO-103131</t>
  </si>
  <si>
    <t>PO-103132</t>
  </si>
  <si>
    <t>PO-103133</t>
  </si>
  <si>
    <t>PO-103134</t>
  </si>
  <si>
    <t>PO-103135</t>
  </si>
  <si>
    <t>PO-103136</t>
  </si>
  <si>
    <t>PO-103137</t>
  </si>
  <si>
    <t>PO-103138</t>
  </si>
  <si>
    <t>PO-103139</t>
  </si>
  <si>
    <t>PO-103140</t>
  </si>
  <si>
    <t>PO-103141</t>
  </si>
  <si>
    <t>PO-103142</t>
  </si>
  <si>
    <t>PO-103143</t>
  </si>
  <si>
    <t>PO-103144</t>
  </si>
  <si>
    <t>PO-103145</t>
  </si>
  <si>
    <t>PO-103146</t>
  </si>
  <si>
    <t>PO-103147</t>
  </si>
  <si>
    <t>PO-103148</t>
  </si>
  <si>
    <t>PO-103149</t>
  </si>
  <si>
    <t>PO-103150</t>
  </si>
  <si>
    <t>PO-103151</t>
  </si>
  <si>
    <t>PO-103152</t>
  </si>
  <si>
    <t>PO-103153</t>
  </si>
  <si>
    <t>PO-103154</t>
  </si>
  <si>
    <t>PO-103155</t>
  </si>
  <si>
    <t>PO-103156</t>
  </si>
  <si>
    <t>PO-103157</t>
  </si>
  <si>
    <t>PO-103158</t>
  </si>
  <si>
    <t>PO-103159</t>
  </si>
  <si>
    <t>PO-103160</t>
  </si>
  <si>
    <t>PO-103161</t>
  </si>
  <si>
    <t>PO-103162</t>
  </si>
  <si>
    <t>PO-103163</t>
  </si>
  <si>
    <t>PO-103164</t>
  </si>
  <si>
    <t>PO-103165</t>
  </si>
  <si>
    <t>PO-103166</t>
  </si>
  <si>
    <t>PO-103167</t>
  </si>
  <si>
    <t>PO-103168</t>
  </si>
  <si>
    <t>PO-103169</t>
  </si>
  <si>
    <t>PO-103170</t>
  </si>
  <si>
    <t>PO-103171</t>
  </si>
  <si>
    <t>PO-103172</t>
  </si>
  <si>
    <t>PO-103173</t>
  </si>
  <si>
    <t>PO-103174</t>
  </si>
  <si>
    <t>PO-103175</t>
  </si>
  <si>
    <t>PO-103176</t>
  </si>
  <si>
    <t>PO-103177</t>
  </si>
  <si>
    <t>PO-103178</t>
  </si>
  <si>
    <t>PO-103179</t>
  </si>
  <si>
    <t>PO-103180</t>
  </si>
  <si>
    <t>PO-103181</t>
  </si>
  <si>
    <t>PO-103182</t>
  </si>
  <si>
    <t>PO-103183</t>
  </si>
  <si>
    <t>PO-103184</t>
  </si>
  <si>
    <t>PO-103185</t>
  </si>
  <si>
    <t>PO-103186</t>
  </si>
  <si>
    <t>PO-103187</t>
  </si>
  <si>
    <t>PO-103188</t>
  </si>
  <si>
    <t>PO-103189</t>
  </si>
  <si>
    <t>PO-103190</t>
  </si>
  <si>
    <t>PO-103191</t>
  </si>
  <si>
    <t>PO-103192</t>
  </si>
  <si>
    <t>PO-103193</t>
  </si>
  <si>
    <t>PO-103194</t>
  </si>
  <si>
    <t>PO-103195</t>
  </si>
  <si>
    <t>PO-103196</t>
  </si>
  <si>
    <t>PO-103197</t>
  </si>
  <si>
    <t>PO-103198</t>
  </si>
  <si>
    <t>PO-103199</t>
  </si>
  <si>
    <t>PO-103200</t>
  </si>
  <si>
    <t>PO-103201</t>
  </si>
  <si>
    <t>PO-103202</t>
  </si>
  <si>
    <t>PO-103203</t>
  </si>
  <si>
    <t>PO-103204</t>
  </si>
  <si>
    <t>PO-103205</t>
  </si>
  <si>
    <t>PO-103206</t>
  </si>
  <si>
    <t>PO-103207</t>
  </si>
  <si>
    <t>PO-103208</t>
  </si>
  <si>
    <t>PO-103209</t>
  </si>
  <si>
    <t>PO-103210</t>
  </si>
  <si>
    <t>PO-103211</t>
  </si>
  <si>
    <t>PO-103212</t>
  </si>
  <si>
    <t>PO-103213</t>
  </si>
  <si>
    <t>PO-103214</t>
  </si>
  <si>
    <t>PO-103215</t>
  </si>
  <si>
    <t>PO-103216</t>
  </si>
  <si>
    <t>PO-103217</t>
  </si>
  <si>
    <t>PO-103218</t>
  </si>
  <si>
    <t>PO-103219</t>
  </si>
  <si>
    <t>PO-103220</t>
  </si>
  <si>
    <t>PO-103221</t>
  </si>
  <si>
    <t>PO-103222</t>
  </si>
  <si>
    <t>PO-103223</t>
  </si>
  <si>
    <t>PO-103224</t>
  </si>
  <si>
    <t>PO-103225</t>
  </si>
  <si>
    <t>PO-103226</t>
  </si>
  <si>
    <t>PO-103227</t>
  </si>
  <si>
    <t>PO-103228</t>
  </si>
  <si>
    <t>PO-103229</t>
  </si>
  <si>
    <t>PO-103230</t>
  </si>
  <si>
    <t>PO-103231</t>
  </si>
  <si>
    <t>PO-103232</t>
  </si>
  <si>
    <t>PO-103233</t>
  </si>
  <si>
    <t>PO-103234</t>
  </si>
  <si>
    <t>PO-103235</t>
  </si>
  <si>
    <t>PO-103236</t>
  </si>
  <si>
    <t>PO-103237</t>
  </si>
  <si>
    <t>PO-103238</t>
  </si>
  <si>
    <t>PO-103239</t>
  </si>
  <si>
    <t>PO-103240</t>
  </si>
  <si>
    <t>PO-103241</t>
  </si>
  <si>
    <t>PO-103242</t>
  </si>
  <si>
    <t>PO-103243</t>
  </si>
  <si>
    <t>PO-103244</t>
  </si>
  <si>
    <t>PO-103245</t>
  </si>
  <si>
    <t>PO-103246</t>
  </si>
  <si>
    <t>PO-103247</t>
  </si>
  <si>
    <t>PO-103248</t>
  </si>
  <si>
    <t>PO-103249</t>
  </si>
  <si>
    <t>PO-103250</t>
  </si>
  <si>
    <t>PO-103251</t>
  </si>
  <si>
    <t>PO-103252</t>
  </si>
  <si>
    <t>PO-103253</t>
  </si>
  <si>
    <t>PO-103254</t>
  </si>
  <si>
    <t>PO-103255</t>
  </si>
  <si>
    <t>PO-103256</t>
  </si>
  <si>
    <t>PO-103257</t>
  </si>
  <si>
    <t>PO-103258</t>
  </si>
  <si>
    <t>PO-103259</t>
  </si>
  <si>
    <t>PO-103260</t>
  </si>
  <si>
    <t>PO-103261</t>
  </si>
  <si>
    <t>PO-103262</t>
  </si>
  <si>
    <t>PO-103263</t>
  </si>
  <si>
    <t>PO-103264</t>
  </si>
  <si>
    <t>PO-103265</t>
  </si>
  <si>
    <t>PO-103266</t>
  </si>
  <si>
    <t>PO-103267</t>
  </si>
  <si>
    <t>PO-103268</t>
  </si>
  <si>
    <t>PO-103269</t>
  </si>
  <si>
    <t>PO-103270</t>
  </si>
  <si>
    <t>PO-103271</t>
  </si>
  <si>
    <t>PO-103272</t>
  </si>
  <si>
    <t>PO-103273</t>
  </si>
  <si>
    <t>PO-103274</t>
  </si>
  <si>
    <t>PO-103275</t>
  </si>
  <si>
    <t>PO-103276</t>
  </si>
  <si>
    <t>PO-103277</t>
  </si>
  <si>
    <t>PO-103278</t>
  </si>
  <si>
    <t>PO-103279</t>
  </si>
  <si>
    <t>PO-103280</t>
  </si>
  <si>
    <t>PO-103281</t>
  </si>
  <si>
    <t>PO-103282</t>
  </si>
  <si>
    <t>PO-103283</t>
  </si>
  <si>
    <t>PO-103284</t>
  </si>
  <si>
    <t>PO-103285</t>
  </si>
  <si>
    <t>PO-103286</t>
  </si>
  <si>
    <t>PO-103287</t>
  </si>
  <si>
    <t>PO-103288</t>
  </si>
  <si>
    <t>PO-103289</t>
  </si>
  <si>
    <t>PO-103290</t>
  </si>
  <si>
    <t>PO-103291</t>
  </si>
  <si>
    <t>PO-103292</t>
  </si>
  <si>
    <t>PO-103293</t>
  </si>
  <si>
    <t>PO-103294</t>
  </si>
  <si>
    <t>PO-103295</t>
  </si>
  <si>
    <t>PO-103296</t>
  </si>
  <si>
    <t>PO-103297</t>
  </si>
  <si>
    <t>PO-103298</t>
  </si>
  <si>
    <t>PO-103299</t>
  </si>
  <si>
    <t>PO-103300</t>
  </si>
  <si>
    <t>PO-103301</t>
  </si>
  <si>
    <t>PO-103302</t>
  </si>
  <si>
    <t>2026-12-31</t>
  </si>
  <si>
    <t>PO-103303</t>
  </si>
  <si>
    <t>PO-103304</t>
  </si>
  <si>
    <t>PO-103305</t>
  </si>
  <si>
    <t>PO-103306</t>
  </si>
  <si>
    <t>PO-103307</t>
  </si>
  <si>
    <t>PO-103308</t>
  </si>
  <si>
    <t>PO-103309</t>
  </si>
  <si>
    <t>PO-103310</t>
  </si>
  <si>
    <t>PO-103311</t>
  </si>
  <si>
    <t>PO-103312</t>
  </si>
  <si>
    <t>PO-103313</t>
  </si>
  <si>
    <t>PO-103314</t>
  </si>
  <si>
    <t>PO-103315</t>
  </si>
  <si>
    <t>PO-103316</t>
  </si>
  <si>
    <t>PO-103317</t>
  </si>
  <si>
    <t>PO-103318</t>
  </si>
  <si>
    <t>PO-103319</t>
  </si>
  <si>
    <t>PO-103320</t>
  </si>
  <si>
    <t>PO-103321</t>
  </si>
  <si>
    <t>PO-103322</t>
  </si>
  <si>
    <t>PO-103323</t>
  </si>
  <si>
    <t>PO-103324</t>
  </si>
  <si>
    <t>PO-103325</t>
  </si>
  <si>
    <t>PO-103326</t>
  </si>
  <si>
    <t>PO-103327</t>
  </si>
  <si>
    <t>PO-103328</t>
  </si>
  <si>
    <t>PO-103329</t>
  </si>
  <si>
    <t>PO-103330</t>
  </si>
  <si>
    <t>PO-103331</t>
  </si>
  <si>
    <t>PO-103332</t>
  </si>
  <si>
    <t>PO-103333</t>
  </si>
  <si>
    <t>PO-103334</t>
  </si>
  <si>
    <t>PO-103335</t>
  </si>
  <si>
    <t>PO-103336</t>
  </si>
  <si>
    <t>PO-103337</t>
  </si>
  <si>
    <t>PO-103338</t>
  </si>
  <si>
    <t>PO-103339</t>
  </si>
  <si>
    <t>PO-103340</t>
  </si>
  <si>
    <t>PO-103341</t>
  </si>
  <si>
    <t>PO-103342</t>
  </si>
  <si>
    <t>PO-103343</t>
  </si>
  <si>
    <t>PO-103344</t>
  </si>
  <si>
    <t>PO-103345</t>
  </si>
  <si>
    <t>PO-103346</t>
  </si>
  <si>
    <t>PO-103347</t>
  </si>
  <si>
    <t>PO-103348</t>
  </si>
  <si>
    <t>PO-103349</t>
  </si>
  <si>
    <t>PO-103350</t>
  </si>
  <si>
    <t>PO-103351</t>
  </si>
  <si>
    <t>PO-103352</t>
  </si>
  <si>
    <t>PO-103353</t>
  </si>
  <si>
    <t>PO-103354</t>
  </si>
  <si>
    <t>PO-103355</t>
  </si>
  <si>
    <t>PO-103356</t>
  </si>
  <si>
    <t>PO-103357</t>
  </si>
  <si>
    <t>PO-103358</t>
  </si>
  <si>
    <t>PO-103359</t>
  </si>
  <si>
    <t>PO-103360</t>
  </si>
  <si>
    <t>PO-103361</t>
  </si>
  <si>
    <t>PO-103362</t>
  </si>
  <si>
    <t>PO-103363</t>
  </si>
  <si>
    <t>PO-103364</t>
  </si>
  <si>
    <t>PO-103365</t>
  </si>
  <si>
    <t>PO-103366</t>
  </si>
  <si>
    <t>PO-103367</t>
  </si>
  <si>
    <t>PO-103368</t>
  </si>
  <si>
    <t>PO-103369</t>
  </si>
  <si>
    <t>PO-103370</t>
  </si>
  <si>
    <t>PO-103371</t>
  </si>
  <si>
    <t>PO-103372</t>
  </si>
  <si>
    <t>PO-103373</t>
  </si>
  <si>
    <t>PO-103374</t>
  </si>
  <si>
    <t>PO-103375</t>
  </si>
  <si>
    <t>PO-103376</t>
  </si>
  <si>
    <t>PO-103377</t>
  </si>
  <si>
    <t>PO-103378</t>
  </si>
  <si>
    <t>PO-103379</t>
  </si>
  <si>
    <t>PO-103380</t>
  </si>
  <si>
    <t>PO-103381</t>
  </si>
  <si>
    <t>PO-103382</t>
  </si>
  <si>
    <t>PO-103383</t>
  </si>
  <si>
    <t>PO-103384</t>
  </si>
  <si>
    <t>PO-103385</t>
  </si>
  <si>
    <t>PO-103386</t>
  </si>
  <si>
    <t>PO-103387</t>
  </si>
  <si>
    <t>PO-103388</t>
  </si>
  <si>
    <t>PO-103389</t>
  </si>
  <si>
    <t>PO-103390</t>
  </si>
  <si>
    <t>PO-103391</t>
  </si>
  <si>
    <t>PO-103392</t>
  </si>
  <si>
    <t>PO-103393</t>
  </si>
  <si>
    <t>PO-103394</t>
  </si>
  <si>
    <t>PO-103395</t>
  </si>
  <si>
    <t>PO-103396</t>
  </si>
  <si>
    <t>PO-103397</t>
  </si>
  <si>
    <t>PO-103398</t>
  </si>
  <si>
    <t>PO-103399</t>
  </si>
  <si>
    <t>PO-103400</t>
  </si>
  <si>
    <t>PO-103401</t>
  </si>
  <si>
    <t>PO-103402</t>
  </si>
  <si>
    <t>PO-103403</t>
  </si>
  <si>
    <t>PO-103404</t>
  </si>
  <si>
    <t>PO-103405</t>
  </si>
  <si>
    <t>PO-103406</t>
  </si>
  <si>
    <t>PO-103407</t>
  </si>
  <si>
    <t>PO-103408</t>
  </si>
  <si>
    <t>PO-103409</t>
  </si>
  <si>
    <t>PO-103410</t>
  </si>
  <si>
    <t>PO-103411</t>
  </si>
  <si>
    <t>PO-103412</t>
  </si>
  <si>
    <t>PO-103413</t>
  </si>
  <si>
    <t>PO-103414</t>
  </si>
  <si>
    <t>2027-01-03</t>
  </si>
  <si>
    <t>PO-103415</t>
  </si>
  <si>
    <t>PO-103416</t>
  </si>
  <si>
    <t>PO-103417</t>
  </si>
  <si>
    <t>PO-103418</t>
  </si>
  <si>
    <t>PO-103419</t>
  </si>
  <si>
    <t>PO-103420</t>
  </si>
  <si>
    <t>PO-103421</t>
  </si>
  <si>
    <t>PO-103422</t>
  </si>
  <si>
    <t>PO-103423</t>
  </si>
  <si>
    <t>PO-103424</t>
  </si>
  <si>
    <t>PO-103425</t>
  </si>
  <si>
    <t>PO-103426</t>
  </si>
  <si>
    <t>PO-103427</t>
  </si>
  <si>
    <t>PO-103428</t>
  </si>
  <si>
    <t>PO-103429</t>
  </si>
  <si>
    <t>PO-103430</t>
  </si>
  <si>
    <t>PO-103431</t>
  </si>
  <si>
    <t>PO-103432</t>
  </si>
  <si>
    <t>PO-103433</t>
  </si>
  <si>
    <t>PO-103434</t>
  </si>
  <si>
    <t>PO-103435</t>
  </si>
  <si>
    <t>PO-103436</t>
  </si>
  <si>
    <t>PO-103437</t>
  </si>
  <si>
    <t>PO-103438</t>
  </si>
  <si>
    <t>PO-103439</t>
  </si>
  <si>
    <t>PO-103440</t>
  </si>
  <si>
    <t>PO-103441</t>
  </si>
  <si>
    <t>PO-103442</t>
  </si>
  <si>
    <t>PO-103443</t>
  </si>
  <si>
    <t>PO-103444</t>
  </si>
  <si>
    <t>PO-103445</t>
  </si>
  <si>
    <t>PO-103446</t>
  </si>
  <si>
    <t>PO-103447</t>
  </si>
  <si>
    <t>PO-103448</t>
  </si>
  <si>
    <t>PO-103449</t>
  </si>
  <si>
    <t>PO-103450</t>
  </si>
  <si>
    <t>PO-103451</t>
  </si>
  <si>
    <t>PO-103452</t>
  </si>
  <si>
    <t>PO-103453</t>
  </si>
  <si>
    <t>PO-103454</t>
  </si>
  <si>
    <t>PO-103455</t>
  </si>
  <si>
    <t>PO-103456</t>
  </si>
  <si>
    <t>PO-103457</t>
  </si>
  <si>
    <t>PO-103458</t>
  </si>
  <si>
    <t>PO-103459</t>
  </si>
  <si>
    <t>PO-103460</t>
  </si>
  <si>
    <t>PO-103461</t>
  </si>
  <si>
    <t>PO-103462</t>
  </si>
  <si>
    <t>PO-103463</t>
  </si>
  <si>
    <t>PO-103464</t>
  </si>
  <si>
    <t>PO-103465</t>
  </si>
  <si>
    <t>PO-103466</t>
  </si>
  <si>
    <t>PO-103467</t>
  </si>
  <si>
    <t>PO-103468</t>
  </si>
  <si>
    <t>PO-103469</t>
  </si>
  <si>
    <t>PO-103470</t>
  </si>
  <si>
    <t>PO-103471</t>
  </si>
  <si>
    <t>PO-103472</t>
  </si>
  <si>
    <t>PO-103473</t>
  </si>
  <si>
    <t>PO-103474</t>
  </si>
  <si>
    <t>PO-103475</t>
  </si>
  <si>
    <t>PO-103476</t>
  </si>
  <si>
    <t>PO-103477</t>
  </si>
  <si>
    <t>PO-103478</t>
  </si>
  <si>
    <t>PO-103479</t>
  </si>
  <si>
    <t>PO-103480</t>
  </si>
  <si>
    <t>PO-103481</t>
  </si>
  <si>
    <t>PO-103482</t>
  </si>
  <si>
    <t>PO-103483</t>
  </si>
  <si>
    <t>PO-103484</t>
  </si>
  <si>
    <t>PO-103485</t>
  </si>
  <si>
    <t>PO-103486</t>
  </si>
  <si>
    <t>PO-103487</t>
  </si>
  <si>
    <t>PO-103488</t>
  </si>
  <si>
    <t>PO-103489</t>
  </si>
  <si>
    <t>PO-103490</t>
  </si>
  <si>
    <t>PO-103491</t>
  </si>
  <si>
    <t>PO-103492</t>
  </si>
  <si>
    <t>PO-103493</t>
  </si>
  <si>
    <t>PO-103494</t>
  </si>
  <si>
    <t>PO-103495</t>
  </si>
  <si>
    <t>PO-103496</t>
  </si>
  <si>
    <t>PO-103497</t>
  </si>
  <si>
    <t>PO-103498</t>
  </si>
  <si>
    <t>PO-103499</t>
  </si>
  <si>
    <t>PO-103500</t>
  </si>
  <si>
    <t>Country</t>
  </si>
  <si>
    <t>Default_Lead_Time_Days</t>
  </si>
  <si>
    <t>TechSupply Corp</t>
  </si>
  <si>
    <t>India</t>
  </si>
  <si>
    <t>Global Networks</t>
  </si>
  <si>
    <t>Taiwan</t>
  </si>
  <si>
    <t>OfficeDepot Pro</t>
  </si>
  <si>
    <t>MegaFurnish</t>
  </si>
  <si>
    <t>China</t>
  </si>
  <si>
    <t>FastElectronics</t>
  </si>
  <si>
    <t>Vietnam</t>
  </si>
  <si>
    <t>Peripheral Source</t>
  </si>
  <si>
    <t>NextGen Hardware</t>
  </si>
  <si>
    <t>Premium Desks Ltd</t>
  </si>
  <si>
    <t>Primary_Supplier_ID</t>
  </si>
  <si>
    <t>Pro Laptop Model U</t>
  </si>
  <si>
    <t>Pro Laptop Model A</t>
  </si>
  <si>
    <t>Enterprise Router 350X</t>
  </si>
  <si>
    <t>Pro Laptop Model E</t>
  </si>
  <si>
    <t>Enterprise Router 792X</t>
  </si>
  <si>
    <t>Wireless Headset 9</t>
  </si>
  <si>
    <t>Pro Laptop Model S</t>
  </si>
  <si>
    <t>Pro Laptop Model B</t>
  </si>
  <si>
    <t>Wireless Keyboard 2</t>
  </si>
  <si>
    <t>Pro Laptop Model H</t>
  </si>
  <si>
    <t>Pro Laptop Model T</t>
  </si>
  <si>
    <t>Pro Laptop Model R</t>
  </si>
  <si>
    <t>Enterprise Router 833X</t>
  </si>
  <si>
    <t>Enterprise Router 325X</t>
  </si>
  <si>
    <t>Wireless Headset 5</t>
  </si>
  <si>
    <t>Enterprise Router 877X</t>
  </si>
  <si>
    <t>Ergonomic Desk Pro</t>
  </si>
  <si>
    <t>Wireless Mouse 7</t>
  </si>
  <si>
    <t>Pro Laptop Model I</t>
  </si>
  <si>
    <t>Wireless Mouse 4</t>
  </si>
  <si>
    <t>Pro Laptop Model K</t>
  </si>
  <si>
    <t>Pro Laptop Model C</t>
  </si>
  <si>
    <t>Enterprise Router 967X</t>
  </si>
  <si>
    <t>Enterprise Router 718X</t>
  </si>
  <si>
    <t>Enterprise Router 649X</t>
  </si>
  <si>
    <t>Pro Laptop Model M</t>
  </si>
  <si>
    <t>Ergonomic Chair Pro</t>
  </si>
  <si>
    <t>Wireless Headset 4</t>
  </si>
  <si>
    <t>Enterprise Router 171X</t>
  </si>
  <si>
    <t>Pro Laptop Model V</t>
  </si>
  <si>
    <t>Pro Laptop Model Y</t>
  </si>
  <si>
    <t>Wireless Mouse 8</t>
  </si>
  <si>
    <t>Location</t>
  </si>
  <si>
    <t>Mumbai Central</t>
  </si>
  <si>
    <t>Delhi North</t>
  </si>
  <si>
    <t>Bengaluru South</t>
  </si>
  <si>
    <t>Pune West</t>
  </si>
  <si>
    <t>Section</t>
  </si>
  <si>
    <t>Content</t>
  </si>
  <si>
    <t>1. Tool Versions</t>
  </si>
  <si>
    <t>Generated via Python openpyxl for Excel compatibility. Formulas calculate upon opening.</t>
  </si>
  <si>
    <t>2. Limitations</t>
  </si>
  <si>
    <t>PivotTables require manual creation from Cleaned_POs due to binary compilation restrictions in openpyxl.</t>
  </si>
  <si>
    <t>3. Quality Checks</t>
  </si>
  <si>
    <t>Ground truth calculations verified. Duplicates (45) flagged. Text standardization via PROPER/TRIM applied.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</si>
</sst>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  <charset val="1"/>
    </font>
    <font>
      <i/>
      <sz val="10"/>
      <name val="Calibri"/>
      <family val="2"/>
      <charset val="1"/>
    </font>
    <font>
      <b/>
      <sz val="10"/>
      <color rgb="FF1F3864"/>
      <name val="Calibri"/>
      <family val="2"/>
      <charset val="1"/>
    </font>
    <font>
      <b/>
      <sz val="16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2" borderId="0" xfId="0" applyFont="1" applyFill="1"/>
    <xf numFmtId="10" fontId="0" fillId="0" borderId="0" xfId="0" applyNumberFormat="1"/>
    <xf numFmtId="3" fontId="0" fillId="0" borderId="0" xfId="0" applyNumberFormat="1"/>
    <xf numFmtId="3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Supplier Late Delivery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Supplier_Analysis!$G$1</c:f>
              <c:strCache>
                <c:ptCount val="1"/>
                <c:pt idx="0">
                  <c:v>Late_Rate_%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Supplier_Analysis!$B$2:$B$9</c:f>
              <c:strCache>
                <c:ptCount val="8"/>
                <c:pt idx="0">
                  <c:v>TechSupply Corp</c:v>
                </c:pt>
                <c:pt idx="1">
                  <c:v>Global Networks</c:v>
                </c:pt>
                <c:pt idx="2">
                  <c:v>OfficeDepot Pro</c:v>
                </c:pt>
                <c:pt idx="3">
                  <c:v>MegaFurnish</c:v>
                </c:pt>
                <c:pt idx="4">
                  <c:v>FastElectronics</c:v>
                </c:pt>
                <c:pt idx="5">
                  <c:v>Peripheral Source</c:v>
                </c:pt>
                <c:pt idx="6">
                  <c:v>NextGen Hardware</c:v>
                </c:pt>
                <c:pt idx="7">
                  <c:v>Premium Desks Ltd</c:v>
                </c:pt>
              </c:strCache>
            </c:strRef>
          </c:cat>
          <c:val>
            <c:numRef>
              <c:f>Supplier_Analysis!$G$2:$G$9</c:f>
              <c:numCache>
                <c:formatCode>0.00%</c:formatCode>
                <c:ptCount val="8"/>
                <c:pt idx="0">
                  <c:v>0.57263513513513509</c:v>
                </c:pt>
                <c:pt idx="1">
                  <c:v>0.62619047619047619</c:v>
                </c:pt>
                <c:pt idx="2">
                  <c:v>0.62352941176470589</c:v>
                </c:pt>
                <c:pt idx="3">
                  <c:v>0.56862745098039214</c:v>
                </c:pt>
                <c:pt idx="4">
                  <c:v>0.59882869692532947</c:v>
                </c:pt>
                <c:pt idx="5">
                  <c:v>0.56342668863261947</c:v>
                </c:pt>
                <c:pt idx="6">
                  <c:v>0.54929577464788737</c:v>
                </c:pt>
                <c:pt idx="7">
                  <c:v>0.64525139664804465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8-494A-BDD0-792BF33E3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87143"/>
        <c:axId val="86406281"/>
      </c:barChart>
      <c:catAx>
        <c:axId val="1788714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Late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6406281"/>
        <c:crosses val="autoZero"/>
        <c:auto val="1"/>
        <c:lblAlgn val="ctr"/>
        <c:lblOffset val="100"/>
        <c:noMultiLvlLbl val="0"/>
      </c:catAx>
      <c:valAx>
        <c:axId val="864062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Supplier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78871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Inventory Health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Inventory_Analysis!$B$1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82C-4B4C-9168-9C65D89FFE4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82C-4B4C-9168-9C65D89FFE4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82C-4B4C-9168-9C65D89FFE4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2C-4B4C-9168-9C65D89FFE4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2C-4B4C-9168-9C65D89FFE4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2C-4B4C-9168-9C65D89FFE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Inventory_Analysis!$A$2:$A$4</c:f>
              <c:strCache>
                <c:ptCount val="3"/>
                <c:pt idx="0">
                  <c:v>Healthy</c:v>
                </c:pt>
                <c:pt idx="1">
                  <c:v>Excess</c:v>
                </c:pt>
                <c:pt idx="2">
                  <c:v>Stockout Risk</c:v>
                </c:pt>
              </c:strCache>
            </c:strRef>
          </c:cat>
          <c:val>
            <c:numRef>
              <c:f>Inventory_Analysis!$B$2:$B$4</c:f>
              <c:numCache>
                <c:formatCode>General</c:formatCode>
                <c:ptCount val="3"/>
                <c:pt idx="0">
                  <c:v>115</c:v>
                </c:pt>
                <c:pt idx="1">
                  <c:v>20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2C-4B4C-9168-9C65D89FF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Total PO Spend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KPI_Calculations!$B$1</c:f>
              <c:strCache>
                <c:ptCount val="1"/>
                <c:pt idx="0">
                  <c:v>Total_PO_Spend_INR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KPI_Calculations!$A$2:$A$5</c:f>
              <c:strCache>
                <c:ptCount val="4"/>
                <c:pt idx="0">
                  <c:v>Electronics</c:v>
                </c:pt>
                <c:pt idx="1">
                  <c:v>Networking</c:v>
                </c:pt>
                <c:pt idx="2">
                  <c:v>Peripherals</c:v>
                </c:pt>
                <c:pt idx="3">
                  <c:v>Office Furniture</c:v>
                </c:pt>
              </c:strCache>
            </c:strRef>
          </c:cat>
          <c:val>
            <c:numRef>
              <c:f>KPI_Calculations!$B$2:$B$5</c:f>
              <c:numCache>
                <c:formatCode>General</c:formatCode>
                <c:ptCount val="4"/>
                <c:pt idx="0">
                  <c:v>14274393295</c:v>
                </c:pt>
                <c:pt idx="1">
                  <c:v>2875167859</c:v>
                </c:pt>
                <c:pt idx="2">
                  <c:v>473563120</c:v>
                </c:pt>
                <c:pt idx="3">
                  <c:v>938412207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0-45AC-A13D-0320677CB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86373"/>
        <c:axId val="70099051"/>
      </c:barChart>
      <c:catAx>
        <c:axId val="621863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0099051"/>
        <c:crosses val="autoZero"/>
        <c:auto val="1"/>
        <c:lblAlgn val="ctr"/>
        <c:lblOffset val="100"/>
        <c:noMultiLvlLbl val="0"/>
      </c:catAx>
      <c:valAx>
        <c:axId val="700990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Spend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21863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Total PO Spend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Supplier_Analysis!$H$1</c:f>
              <c:strCache>
                <c:ptCount val="1"/>
                <c:pt idx="0">
                  <c:v>Total_Spend_INR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Supplier_Analysis!$B$2:$B$9</c:f>
              <c:strCache>
                <c:ptCount val="8"/>
                <c:pt idx="0">
                  <c:v>TechSupply Corp</c:v>
                </c:pt>
                <c:pt idx="1">
                  <c:v>Global Networks</c:v>
                </c:pt>
                <c:pt idx="2">
                  <c:v>OfficeDepot Pro</c:v>
                </c:pt>
                <c:pt idx="3">
                  <c:v>MegaFurnish</c:v>
                </c:pt>
                <c:pt idx="4">
                  <c:v>FastElectronics</c:v>
                </c:pt>
                <c:pt idx="5">
                  <c:v>Peripheral Source</c:v>
                </c:pt>
                <c:pt idx="6">
                  <c:v>NextGen Hardware</c:v>
                </c:pt>
                <c:pt idx="7">
                  <c:v>Premium Desks Ltd</c:v>
                </c:pt>
              </c:strCache>
            </c:strRef>
          </c:cat>
          <c:val>
            <c:numRef>
              <c:f>Supplier_Analysis!$H$2:$H$9</c:f>
              <c:numCache>
                <c:formatCode>#,##0</c:formatCode>
                <c:ptCount val="8"/>
                <c:pt idx="0">
                  <c:v>6126257631</c:v>
                </c:pt>
                <c:pt idx="1">
                  <c:v>1650042409</c:v>
                </c:pt>
                <c:pt idx="2">
                  <c:v>100634182</c:v>
                </c:pt>
                <c:pt idx="3">
                  <c:v>164670349</c:v>
                </c:pt>
                <c:pt idx="4">
                  <c:v>4929772403</c:v>
                </c:pt>
                <c:pt idx="5">
                  <c:v>372928938</c:v>
                </c:pt>
                <c:pt idx="6">
                  <c:v>4443488711</c:v>
                </c:pt>
                <c:pt idx="7">
                  <c:v>773741858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C-4550-9DFA-9A5F920FB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023508"/>
        <c:axId val="77542067"/>
      </c:barChart>
      <c:catAx>
        <c:axId val="8202350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Spend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7542067"/>
        <c:crosses val="autoZero"/>
        <c:auto val="1"/>
        <c:lblAlgn val="ctr"/>
        <c:lblOffset val="100"/>
        <c:noMultiLvlLbl val="0"/>
      </c:catAx>
      <c:valAx>
        <c:axId val="775420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20235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7560</xdr:rowOff>
    </xdr:from>
    <xdr:to>
      <xdr:col>7</xdr:col>
      <xdr:colOff>272160</xdr:colOff>
      <xdr:row>19</xdr:row>
      <xdr:rowOff>174600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115200</xdr:colOff>
      <xdr:row>6</xdr:row>
      <xdr:rowOff>7560</xdr:rowOff>
    </xdr:from>
    <xdr:to>
      <xdr:col>15</xdr:col>
      <xdr:colOff>235440</xdr:colOff>
      <xdr:row>19</xdr:row>
      <xdr:rowOff>174600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176760</xdr:rowOff>
    </xdr:from>
    <xdr:to>
      <xdr:col>7</xdr:col>
      <xdr:colOff>272160</xdr:colOff>
      <xdr:row>33</xdr:row>
      <xdr:rowOff>162720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115200</xdr:colOff>
      <xdr:row>19</xdr:row>
      <xdr:rowOff>168840</xdr:rowOff>
    </xdr:from>
    <xdr:to>
      <xdr:col>15</xdr:col>
      <xdr:colOff>235440</xdr:colOff>
      <xdr:row>33</xdr:row>
      <xdr:rowOff>154800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"/>
  <sheetViews>
    <sheetView tabSelected="1" zoomScale="80" zoomScaleNormal="80" workbookViewId="0">
      <selection activeCell="X11" sqref="X11"/>
    </sheetView>
  </sheetViews>
  <sheetFormatPr defaultColWidth="8.6640625" defaultRowHeight="14.25" customHeight="1" x14ac:dyDescent="0.45"/>
  <cols>
    <col min="2" max="2" width="11.33203125" customWidth="1"/>
    <col min="3" max="3" width="12.9296875" customWidth="1"/>
    <col min="13" max="13" width="9.06640625" customWidth="1"/>
  </cols>
  <sheetData>
    <row r="1" spans="2:13" ht="30" customHeight="1" x14ac:dyDescent="0.45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2:13" ht="18" customHeight="1" x14ac:dyDescent="0.45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spans="2:13" ht="19.5" customHeight="1" x14ac:dyDescent="0.45">
      <c r="B4" s="8" t="s">
        <v>2</v>
      </c>
      <c r="C4" s="8"/>
      <c r="D4" s="8" t="s">
        <v>3</v>
      </c>
      <c r="E4" s="8"/>
      <c r="F4" s="8" t="s">
        <v>4</v>
      </c>
      <c r="G4" s="8"/>
      <c r="H4" s="8" t="s">
        <v>5</v>
      </c>
      <c r="I4" s="8"/>
      <c r="J4" s="8" t="s">
        <v>6</v>
      </c>
      <c r="K4" s="8"/>
      <c r="L4" s="8" t="s">
        <v>7</v>
      </c>
      <c r="M4" s="8"/>
    </row>
    <row r="5" spans="2:13" ht="30" customHeight="1" x14ac:dyDescent="0.45">
      <c r="B5" s="4">
        <f>SUM(Supplier_Analysis!H2:H9)</f>
        <v>18561536481</v>
      </c>
      <c r="C5" s="4"/>
      <c r="D5" s="4">
        <f>SUM(Supplier_Analysis!C2:C9)</f>
        <v>3500</v>
      </c>
      <c r="E5" s="4"/>
      <c r="F5" s="5">
        <f>SUM(Supplier_Analysis!F2:F9)/SUM(Supplier_Analysis!E2:E9)</f>
        <v>0.58938466025080194</v>
      </c>
      <c r="G5" s="5"/>
      <c r="H5" s="5">
        <f>SUM(Supplier_Analysis!J2:J9)/SUM(Supplier_Analysis!I2:I9)</f>
        <v>6.0437559687529343E-3</v>
      </c>
      <c r="I5" s="5"/>
      <c r="J5" s="4">
        <f>COUNTIF(Cleaned_Inventory!J2:J200, "Stockout Risk")</f>
        <v>25</v>
      </c>
      <c r="K5" s="4"/>
      <c r="L5" s="4">
        <f>COUNTIF(Cleaned_Inventory!J2:J200, "Excess")</f>
        <v>20</v>
      </c>
      <c r="M5" s="4"/>
    </row>
  </sheetData>
  <mergeCells count="14">
    <mergeCell ref="B1:M1"/>
    <mergeCell ref="B2:M2"/>
    <mergeCell ref="B4:C4"/>
    <mergeCell ref="D4:E4"/>
    <mergeCell ref="F4:G4"/>
    <mergeCell ref="H4:I4"/>
    <mergeCell ref="J4:K4"/>
    <mergeCell ref="L4:M4"/>
    <mergeCell ref="L5:M5"/>
    <mergeCell ref="B5:C5"/>
    <mergeCell ref="D5:E5"/>
    <mergeCell ref="F5:G5"/>
    <mergeCell ref="H5:I5"/>
    <mergeCell ref="J5:K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102" zoomScaleNormal="100" workbookViewId="0">
      <selection activeCell="A7" sqref="A7"/>
    </sheetView>
  </sheetViews>
  <sheetFormatPr defaultColWidth="8.6640625" defaultRowHeight="14.25" customHeight="1" x14ac:dyDescent="0.45"/>
  <cols>
    <col min="1" max="2" width="25" customWidth="1"/>
  </cols>
  <sheetData>
    <row r="1" spans="1:2" x14ac:dyDescent="0.45">
      <c r="A1" s="1" t="s">
        <v>8</v>
      </c>
      <c r="B1" s="1" t="s">
        <v>9</v>
      </c>
    </row>
    <row r="2" spans="1:2" x14ac:dyDescent="0.45">
      <c r="A2" t="s">
        <v>10</v>
      </c>
      <c r="B2">
        <f>SUMIF(Cleaned_POs!R$2:R$4000, A2, Cleaned_POs!H$2:H$4000)</f>
        <v>14274393295</v>
      </c>
    </row>
    <row r="3" spans="1:2" x14ac:dyDescent="0.45">
      <c r="A3" t="s">
        <v>11</v>
      </c>
      <c r="B3">
        <f>SUMIF(Cleaned_POs!R$2:R$4000, A3, Cleaned_POs!H$2:H$4000)</f>
        <v>2875167859</v>
      </c>
    </row>
    <row r="4" spans="1:2" x14ac:dyDescent="0.45">
      <c r="A4" t="s">
        <v>12</v>
      </c>
      <c r="B4">
        <f>SUMIF(Cleaned_POs!R$2:R$4000, A4, Cleaned_POs!H$2:H$4000)</f>
        <v>473563120</v>
      </c>
    </row>
    <row r="5" spans="1:2" x14ac:dyDescent="0.45">
      <c r="A5" t="s">
        <v>13</v>
      </c>
      <c r="B5">
        <f>SUMIF(Cleaned_POs!R$2:R$4000, A5, Cleaned_POs!H$2:H$4000)</f>
        <v>938412207</v>
      </c>
    </row>
    <row r="7" spans="1:2" x14ac:dyDescent="0.45">
      <c r="A7" s="1" t="s">
        <v>14</v>
      </c>
      <c r="B7" s="1" t="s">
        <v>9</v>
      </c>
    </row>
    <row r="8" spans="1:2" x14ac:dyDescent="0.45">
      <c r="A8" t="s">
        <v>15</v>
      </c>
      <c r="B8">
        <f>SUMIF(Cleaned_POs!P$2:P$4000, A8, Cleaned_POs!H$2:H$4000)</f>
        <v>4723434998</v>
      </c>
    </row>
    <row r="9" spans="1:2" x14ac:dyDescent="0.45">
      <c r="A9" t="s">
        <v>16</v>
      </c>
      <c r="B9">
        <f>SUMIF(Cleaned_POs!P$2:P$4000, A9, Cleaned_POs!H$2:H$4000)</f>
        <v>4763091147</v>
      </c>
    </row>
    <row r="10" spans="1:2" x14ac:dyDescent="0.45">
      <c r="A10" t="s">
        <v>17</v>
      </c>
      <c r="B10">
        <f>SUMIF(Cleaned_POs!P$2:P$4000, A10, Cleaned_POs!H$2:H$4000)</f>
        <v>4241643395</v>
      </c>
    </row>
    <row r="11" spans="1:2" x14ac:dyDescent="0.45">
      <c r="A11" t="s">
        <v>18</v>
      </c>
      <c r="B11">
        <f>SUMIF(Cleaned_POs!P$2:P$4000, A11, Cleaned_POs!H$2:H$4000)</f>
        <v>4833366941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zoomScaleNormal="100" workbookViewId="0">
      <selection activeCell="Y15" sqref="Y15"/>
    </sheetView>
  </sheetViews>
  <sheetFormatPr defaultColWidth="8.6640625" defaultRowHeight="14.25" customHeight="1" x14ac:dyDescent="0.45"/>
  <cols>
    <col min="1" max="1" width="10.1328125" bestFit="1" customWidth="1"/>
    <col min="2" max="2" width="13.265625" bestFit="1" customWidth="1"/>
    <col min="3" max="3" width="8.86328125" bestFit="1" customWidth="1"/>
    <col min="4" max="4" width="9.265625" bestFit="1" customWidth="1"/>
    <col min="5" max="5" width="12.59765625" bestFit="1" customWidth="1"/>
    <col min="6" max="6" width="13.1328125" bestFit="1" customWidth="1"/>
    <col min="7" max="7" width="11.06640625" bestFit="1" customWidth="1"/>
    <col min="8" max="8" width="14.73046875" bestFit="1" customWidth="1"/>
    <col min="9" max="9" width="17.06640625" bestFit="1" customWidth="1"/>
    <col min="10" max="10" width="16.73046875" bestFit="1" customWidth="1"/>
    <col min="11" max="11" width="12.6640625" bestFit="1" customWidth="1"/>
  </cols>
  <sheetData>
    <row r="1" spans="1:11" x14ac:dyDescent="0.4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x14ac:dyDescent="0.45">
      <c r="A2" t="s">
        <v>30</v>
      </c>
      <c r="B2" t="str">
        <f>VLOOKUP(A2, Lookups!$A$2:$D$10, 2, FALSE())</f>
        <v>TechSupply Corp</v>
      </c>
      <c r="C2">
        <f>COUNTIF(Cleaned_POs!$C$2:$C$4000, A2)</f>
        <v>606</v>
      </c>
      <c r="D2">
        <f>COUNTIFS(Cleaned_POs!$C$2:$C$4000, A2, Cleaned_POs!$O$2:$O$4000, "Open")</f>
        <v>14</v>
      </c>
      <c r="E2">
        <f>COUNTIFS(Cleaned_POs!$C$2:$C$4000, A2, Cleaned_POs!$O$2:$O$4000, "Delivered")</f>
        <v>592</v>
      </c>
      <c r="F2">
        <f>COUNTIFS(Cleaned_POs!$C$2:$C$4000, A2, Cleaned_POs!$U$2:$U$4000, "Late")</f>
        <v>339</v>
      </c>
      <c r="G2" s="2">
        <f t="shared" ref="G2:G9" si="0">IF(E2&gt;0, F2/E2, 0)</f>
        <v>0.57263513513513509</v>
      </c>
      <c r="H2" s="3">
        <f>SUMIF(Cleaned_POs!$C$2:$C$4000, A2, Cleaned_POs!$H$2:$H$4000)</f>
        <v>6126257631</v>
      </c>
      <c r="I2">
        <f>SUMIF(Cleaned_POs!$C$2:$C$4000, A2, Cleaned_POs!$K$2:$K$4000)</f>
        <v>75191</v>
      </c>
      <c r="J2">
        <f>SUMIF(Cleaned_POs!$C$2:$C$4000, A2, Cleaned_POs!$L$2:$L$4000)</f>
        <v>518</v>
      </c>
      <c r="K2" s="2">
        <f t="shared" ref="K2:K9" si="1">IF(I2&gt;0, J2/I2, 0)</f>
        <v>6.8891223683685545E-3</v>
      </c>
    </row>
    <row r="3" spans="1:11" x14ac:dyDescent="0.45">
      <c r="A3" t="s">
        <v>31</v>
      </c>
      <c r="B3" t="str">
        <f>VLOOKUP(A3, Lookups!$A$2:$D$10, 2, FALSE())</f>
        <v>Global Networks</v>
      </c>
      <c r="C3">
        <f>COUNTIF(Cleaned_POs!$C$2:$C$4000, A3)</f>
        <v>432</v>
      </c>
      <c r="D3">
        <f>COUNTIFS(Cleaned_POs!$C$2:$C$4000, A3, Cleaned_POs!$O$2:$O$4000, "Open")</f>
        <v>12</v>
      </c>
      <c r="E3">
        <f>COUNTIFS(Cleaned_POs!$C$2:$C$4000, A3, Cleaned_POs!$O$2:$O$4000, "Delivered")</f>
        <v>420</v>
      </c>
      <c r="F3">
        <f>COUNTIFS(Cleaned_POs!$C$2:$C$4000, A3, Cleaned_POs!$U$2:$U$4000, "Late")</f>
        <v>263</v>
      </c>
      <c r="G3" s="2">
        <f t="shared" si="0"/>
        <v>0.62619047619047619</v>
      </c>
      <c r="H3" s="3">
        <f>SUMIF(Cleaned_POs!$C$2:$C$4000, A3, Cleaned_POs!$H$2:$H$4000)</f>
        <v>1650042409</v>
      </c>
      <c r="I3">
        <f>SUMIF(Cleaned_POs!$C$2:$C$4000, A3, Cleaned_POs!$K$2:$K$4000)</f>
        <v>53551</v>
      </c>
      <c r="J3">
        <f>SUMIF(Cleaned_POs!$C$2:$C$4000, A3, Cleaned_POs!$L$2:$L$4000)</f>
        <v>232</v>
      </c>
      <c r="K3" s="2">
        <f t="shared" si="1"/>
        <v>4.3323187242068307E-3</v>
      </c>
    </row>
    <row r="4" spans="1:11" x14ac:dyDescent="0.45">
      <c r="A4" t="s">
        <v>32</v>
      </c>
      <c r="B4" t="str">
        <f>VLOOKUP(A4, Lookups!$A$2:$D$10, 2, FALSE())</f>
        <v>OfficeDepot Pro</v>
      </c>
      <c r="C4">
        <f>COUNTIF(Cleaned_POs!$C$2:$C$4000, A4)</f>
        <v>176</v>
      </c>
      <c r="D4">
        <f>COUNTIFS(Cleaned_POs!$C$2:$C$4000, A4, Cleaned_POs!$O$2:$O$4000, "Open")</f>
        <v>6</v>
      </c>
      <c r="E4">
        <f>COUNTIFS(Cleaned_POs!$C$2:$C$4000, A4, Cleaned_POs!$O$2:$O$4000, "Delivered")</f>
        <v>170</v>
      </c>
      <c r="F4">
        <f>COUNTIFS(Cleaned_POs!$C$2:$C$4000, A4, Cleaned_POs!$U$2:$U$4000, "Late")</f>
        <v>106</v>
      </c>
      <c r="G4" s="2">
        <f t="shared" si="0"/>
        <v>0.62352941176470589</v>
      </c>
      <c r="H4" s="3">
        <f>SUMIF(Cleaned_POs!$C$2:$C$4000, A4, Cleaned_POs!$H$2:$H$4000)</f>
        <v>100634182</v>
      </c>
      <c r="I4">
        <f>SUMIF(Cleaned_POs!$C$2:$C$4000, A4, Cleaned_POs!$K$2:$K$4000)</f>
        <v>21790</v>
      </c>
      <c r="J4">
        <f>SUMIF(Cleaned_POs!$C$2:$C$4000, A4, Cleaned_POs!$L$2:$L$4000)</f>
        <v>64</v>
      </c>
      <c r="K4" s="2">
        <f t="shared" si="1"/>
        <v>2.937127122533272E-3</v>
      </c>
    </row>
    <row r="5" spans="1:11" x14ac:dyDescent="0.45">
      <c r="A5" t="s">
        <v>33</v>
      </c>
      <c r="B5" t="str">
        <f>VLOOKUP(A5, Lookups!$A$2:$D$10, 2, FALSE())</f>
        <v>MegaFurnish</v>
      </c>
      <c r="C5">
        <f>COUNTIF(Cleaned_POs!$C$2:$C$4000, A5)</f>
        <v>104</v>
      </c>
      <c r="D5">
        <f>COUNTIFS(Cleaned_POs!$C$2:$C$4000, A5, Cleaned_POs!$O$2:$O$4000, "Open")</f>
        <v>2</v>
      </c>
      <c r="E5">
        <f>COUNTIFS(Cleaned_POs!$C$2:$C$4000, A5, Cleaned_POs!$O$2:$O$4000, "Delivered")</f>
        <v>102</v>
      </c>
      <c r="F5">
        <f>COUNTIFS(Cleaned_POs!$C$2:$C$4000, A5, Cleaned_POs!$U$2:$U$4000, "Late")</f>
        <v>58</v>
      </c>
      <c r="G5" s="2">
        <f t="shared" si="0"/>
        <v>0.56862745098039214</v>
      </c>
      <c r="H5" s="3">
        <f>SUMIF(Cleaned_POs!$C$2:$C$4000, A5, Cleaned_POs!$H$2:$H$4000)</f>
        <v>164670349</v>
      </c>
      <c r="I5">
        <f>SUMIF(Cleaned_POs!$C$2:$C$4000, A5, Cleaned_POs!$K$2:$K$4000)</f>
        <v>13998</v>
      </c>
      <c r="J5">
        <f>SUMIF(Cleaned_POs!$C$2:$C$4000, A5, Cleaned_POs!$L$2:$L$4000)</f>
        <v>105</v>
      </c>
      <c r="K5" s="2">
        <f t="shared" si="1"/>
        <v>7.5010715816545221E-3</v>
      </c>
    </row>
    <row r="6" spans="1:11" x14ac:dyDescent="0.45">
      <c r="A6" t="s">
        <v>34</v>
      </c>
      <c r="B6" t="str">
        <f>VLOOKUP(A6, Lookups!$A$2:$D$10, 2, FALSE())</f>
        <v>FastElectronics</v>
      </c>
      <c r="C6">
        <f>COUNTIF(Cleaned_POs!$C$2:$C$4000, A6)</f>
        <v>698</v>
      </c>
      <c r="D6">
        <f>COUNTIFS(Cleaned_POs!$C$2:$C$4000, A6, Cleaned_POs!$O$2:$O$4000, "Open")</f>
        <v>15</v>
      </c>
      <c r="E6">
        <f>COUNTIFS(Cleaned_POs!$C$2:$C$4000, A6, Cleaned_POs!$O$2:$O$4000, "Delivered")</f>
        <v>683</v>
      </c>
      <c r="F6">
        <f>COUNTIFS(Cleaned_POs!$C$2:$C$4000, A6, Cleaned_POs!$U$2:$U$4000, "Late")</f>
        <v>409</v>
      </c>
      <c r="G6" s="2">
        <f t="shared" si="0"/>
        <v>0.59882869692532947</v>
      </c>
      <c r="H6" s="3">
        <f>SUMIF(Cleaned_POs!$C$2:$C$4000, A6, Cleaned_POs!$H$2:$H$4000)</f>
        <v>4929772403</v>
      </c>
      <c r="I6">
        <f>SUMIF(Cleaned_POs!$C$2:$C$4000, A6, Cleaned_POs!$K$2:$K$4000)</f>
        <v>88935</v>
      </c>
      <c r="J6">
        <f>SUMIF(Cleaned_POs!$C$2:$C$4000, A6, Cleaned_POs!$L$2:$L$4000)</f>
        <v>589</v>
      </c>
      <c r="K6" s="2">
        <f t="shared" si="1"/>
        <v>6.622814415022207E-3</v>
      </c>
    </row>
    <row r="7" spans="1:11" x14ac:dyDescent="0.45">
      <c r="A7" t="s">
        <v>35</v>
      </c>
      <c r="B7" t="str">
        <f>VLOOKUP(A7, Lookups!$A$2:$D$10, 2, FALSE())</f>
        <v>Peripheral Source</v>
      </c>
      <c r="C7">
        <f>COUNTIF(Cleaned_POs!$C$2:$C$4000, A7)</f>
        <v>614</v>
      </c>
      <c r="D7">
        <f>COUNTIFS(Cleaned_POs!$C$2:$C$4000, A7, Cleaned_POs!$O$2:$O$4000, "Open")</f>
        <v>7</v>
      </c>
      <c r="E7">
        <f>COUNTIFS(Cleaned_POs!$C$2:$C$4000, A7, Cleaned_POs!$O$2:$O$4000, "Delivered")</f>
        <v>607</v>
      </c>
      <c r="F7">
        <f>COUNTIFS(Cleaned_POs!$C$2:$C$4000, A7, Cleaned_POs!$U$2:$U$4000, "Late")</f>
        <v>342</v>
      </c>
      <c r="G7" s="2">
        <f t="shared" si="0"/>
        <v>0.56342668863261947</v>
      </c>
      <c r="H7" s="3">
        <f>SUMIF(Cleaned_POs!$C$2:$C$4000, A7, Cleaned_POs!$H$2:$H$4000)</f>
        <v>372928938</v>
      </c>
      <c r="I7">
        <f>SUMIF(Cleaned_POs!$C$2:$C$4000, A7, Cleaned_POs!$K$2:$K$4000)</f>
        <v>74359</v>
      </c>
      <c r="J7">
        <f>SUMIF(Cleaned_POs!$C$2:$C$4000, A7, Cleaned_POs!$L$2:$L$4000)</f>
        <v>421</v>
      </c>
      <c r="K7" s="2">
        <f t="shared" si="1"/>
        <v>5.6617221856130398E-3</v>
      </c>
    </row>
    <row r="8" spans="1:11" x14ac:dyDescent="0.45">
      <c r="A8" t="s">
        <v>36</v>
      </c>
      <c r="B8" t="str">
        <f>VLOOKUP(A8, Lookups!$A$2:$D$10, 2, FALSE())</f>
        <v>NextGen Hardware</v>
      </c>
      <c r="C8">
        <f>COUNTIF(Cleaned_POs!$C$2:$C$4000, A8)</f>
        <v>506</v>
      </c>
      <c r="D8">
        <f>COUNTIFS(Cleaned_POs!$C$2:$C$4000, A8, Cleaned_POs!$O$2:$O$4000, "Open")</f>
        <v>9</v>
      </c>
      <c r="E8">
        <f>COUNTIFS(Cleaned_POs!$C$2:$C$4000, A8, Cleaned_POs!$O$2:$O$4000, "Delivered")</f>
        <v>497</v>
      </c>
      <c r="F8">
        <f>COUNTIFS(Cleaned_POs!$C$2:$C$4000, A8, Cleaned_POs!$U$2:$U$4000, "Late")</f>
        <v>273</v>
      </c>
      <c r="G8" s="2">
        <f t="shared" si="0"/>
        <v>0.54929577464788737</v>
      </c>
      <c r="H8" s="3">
        <f>SUMIF(Cleaned_POs!$C$2:$C$4000, A8, Cleaned_POs!$H$2:$H$4000)</f>
        <v>4443488711</v>
      </c>
      <c r="I8">
        <f>SUMIF(Cleaned_POs!$C$2:$C$4000, A8, Cleaned_POs!$K$2:$K$4000)</f>
        <v>62902</v>
      </c>
      <c r="J8">
        <f>SUMIF(Cleaned_POs!$C$2:$C$4000, A8, Cleaned_POs!$L$2:$L$4000)</f>
        <v>456</v>
      </c>
      <c r="K8" s="2">
        <f t="shared" si="1"/>
        <v>7.2493720390448633E-3</v>
      </c>
    </row>
    <row r="9" spans="1:11" x14ac:dyDescent="0.45">
      <c r="A9" t="s">
        <v>37</v>
      </c>
      <c r="B9" t="str">
        <f>VLOOKUP(A9, Lookups!$A$2:$D$10, 2, FALSE())</f>
        <v>Premium Desks Ltd</v>
      </c>
      <c r="C9">
        <f>COUNTIF(Cleaned_POs!$C$2:$C$4000, A9)</f>
        <v>364</v>
      </c>
      <c r="D9">
        <f>COUNTIFS(Cleaned_POs!$C$2:$C$4000, A9, Cleaned_POs!$O$2:$O$4000, "Open")</f>
        <v>6</v>
      </c>
      <c r="E9">
        <f>COUNTIFS(Cleaned_POs!$C$2:$C$4000, A9, Cleaned_POs!$O$2:$O$4000, "Delivered")</f>
        <v>358</v>
      </c>
      <c r="F9">
        <f>COUNTIFS(Cleaned_POs!$C$2:$C$4000, A9, Cleaned_POs!$U$2:$U$4000, "Late")</f>
        <v>231</v>
      </c>
      <c r="G9" s="2">
        <f t="shared" si="0"/>
        <v>0.64525139664804465</v>
      </c>
      <c r="H9" s="3">
        <f>SUMIF(Cleaned_POs!$C$2:$C$4000, A9, Cleaned_POs!$H$2:$H$4000)</f>
        <v>773741858</v>
      </c>
      <c r="I9">
        <f>SUMIF(Cleaned_POs!$C$2:$C$4000, A9, Cleaned_POs!$K$2:$K$4000)</f>
        <v>45923</v>
      </c>
      <c r="J9">
        <f>SUMIF(Cleaned_POs!$C$2:$C$4000, A9, Cleaned_POs!$L$2:$L$4000)</f>
        <v>254</v>
      </c>
      <c r="K9" s="2">
        <f t="shared" si="1"/>
        <v>5.530997539359362E-3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zoomScale="111" zoomScaleNormal="100" workbookViewId="0">
      <selection activeCell="E21" sqref="E21"/>
    </sheetView>
  </sheetViews>
  <sheetFormatPr defaultColWidth="8.6640625" defaultRowHeight="14.25" customHeight="1" x14ac:dyDescent="0.45"/>
  <cols>
    <col min="1" max="1" width="12.265625" customWidth="1"/>
  </cols>
  <sheetData>
    <row r="1" spans="1:2" x14ac:dyDescent="0.45">
      <c r="A1" s="1" t="s">
        <v>38</v>
      </c>
      <c r="B1" s="1" t="s">
        <v>39</v>
      </c>
    </row>
    <row r="2" spans="1:2" x14ac:dyDescent="0.45">
      <c r="A2" t="s">
        <v>40</v>
      </c>
      <c r="B2">
        <f>COUNTIF(Cleaned_Inventory!J2:J200, "Healthy")</f>
        <v>115</v>
      </c>
    </row>
    <row r="3" spans="1:2" x14ac:dyDescent="0.45">
      <c r="A3" t="s">
        <v>41</v>
      </c>
      <c r="B3">
        <f>COUNTIF(Cleaned_Inventory!J2:J200, "Excess")</f>
        <v>20</v>
      </c>
    </row>
    <row r="4" spans="1:2" x14ac:dyDescent="0.45">
      <c r="A4" t="s">
        <v>42</v>
      </c>
      <c r="B4">
        <f>COUNTIF(Cleaned_Inventory!J2:J200, "Stockout Risk")</f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customHeight="1" x14ac:dyDescent="0.45"/>
  <sheetData>
    <row r="1" spans="1:10" x14ac:dyDescent="0.45">
      <c r="A1" s="1" t="s">
        <v>43</v>
      </c>
      <c r="B1" s="1" t="s">
        <v>14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 x14ac:dyDescent="0.45">
      <c r="A2" t="s">
        <v>52</v>
      </c>
      <c r="B2" t="s">
        <v>15</v>
      </c>
      <c r="C2">
        <v>20</v>
      </c>
      <c r="D2">
        <v>8</v>
      </c>
      <c r="E2">
        <v>13</v>
      </c>
      <c r="F2" t="str">
        <f>VLOOKUP(A2, Lookups!$A$12:$E$51, 2, FALSE())</f>
        <v>Pro Laptop Model U</v>
      </c>
      <c r="G2" t="str">
        <f>VLOOKUP(A2, Lookups!$A$12:$E$51, 3, FALSE())</f>
        <v>Electronics</v>
      </c>
      <c r="H2">
        <f>VLOOKUP(A2, Lookups!$A$12:$E$51, 4, FALSE())</f>
        <v>59592</v>
      </c>
      <c r="I2">
        <f t="shared" ref="I2:I33" si="0">E2*H2</f>
        <v>774696</v>
      </c>
      <c r="J2" t="str">
        <f t="shared" ref="J2:J33" si="1">IF(E2&lt;D2, "Stockout Risk", IF(E2&gt;(C2*1.2), "Excess", "Healthy"))</f>
        <v>Healthy</v>
      </c>
    </row>
    <row r="3" spans="1:10" x14ac:dyDescent="0.45">
      <c r="A3" t="s">
        <v>52</v>
      </c>
      <c r="B3" t="s">
        <v>16</v>
      </c>
      <c r="C3">
        <v>10</v>
      </c>
      <c r="D3">
        <v>4</v>
      </c>
      <c r="E3">
        <v>5</v>
      </c>
      <c r="F3" t="str">
        <f>VLOOKUP(A3, Lookups!$A$12:$E$51, 2, FALSE())</f>
        <v>Pro Laptop Model U</v>
      </c>
      <c r="G3" t="str">
        <f>VLOOKUP(A3, Lookups!$A$12:$E$51, 3, FALSE())</f>
        <v>Electronics</v>
      </c>
      <c r="H3">
        <f>VLOOKUP(A3, Lookups!$A$12:$E$51, 4, FALSE())</f>
        <v>59592</v>
      </c>
      <c r="I3">
        <f t="shared" si="0"/>
        <v>297960</v>
      </c>
      <c r="J3" t="str">
        <f t="shared" si="1"/>
        <v>Healthy</v>
      </c>
    </row>
    <row r="4" spans="1:10" x14ac:dyDescent="0.45">
      <c r="A4" t="s">
        <v>52</v>
      </c>
      <c r="B4" t="s">
        <v>17</v>
      </c>
      <c r="C4">
        <v>30</v>
      </c>
      <c r="D4">
        <v>12</v>
      </c>
      <c r="E4">
        <v>29</v>
      </c>
      <c r="F4" t="str">
        <f>VLOOKUP(A4, Lookups!$A$12:$E$51, 2, FALSE())</f>
        <v>Pro Laptop Model U</v>
      </c>
      <c r="G4" t="str">
        <f>VLOOKUP(A4, Lookups!$A$12:$E$51, 3, FALSE())</f>
        <v>Electronics</v>
      </c>
      <c r="H4">
        <f>VLOOKUP(A4, Lookups!$A$12:$E$51, 4, FALSE())</f>
        <v>59592</v>
      </c>
      <c r="I4">
        <f t="shared" si="0"/>
        <v>1728168</v>
      </c>
      <c r="J4" t="str">
        <f t="shared" si="1"/>
        <v>Healthy</v>
      </c>
    </row>
    <row r="5" spans="1:10" x14ac:dyDescent="0.45">
      <c r="A5" t="s">
        <v>52</v>
      </c>
      <c r="B5" t="s">
        <v>18</v>
      </c>
      <c r="C5">
        <v>30</v>
      </c>
      <c r="D5">
        <v>12</v>
      </c>
      <c r="E5">
        <v>26</v>
      </c>
      <c r="F5" t="str">
        <f>VLOOKUP(A5, Lookups!$A$12:$E$51, 2, FALSE())</f>
        <v>Pro Laptop Model U</v>
      </c>
      <c r="G5" t="str">
        <f>VLOOKUP(A5, Lookups!$A$12:$E$51, 3, FALSE())</f>
        <v>Electronics</v>
      </c>
      <c r="H5">
        <f>VLOOKUP(A5, Lookups!$A$12:$E$51, 4, FALSE())</f>
        <v>59592</v>
      </c>
      <c r="I5">
        <f t="shared" si="0"/>
        <v>1549392</v>
      </c>
      <c r="J5" t="str">
        <f t="shared" si="1"/>
        <v>Healthy</v>
      </c>
    </row>
    <row r="6" spans="1:10" x14ac:dyDescent="0.45">
      <c r="A6" t="s">
        <v>53</v>
      </c>
      <c r="B6" t="s">
        <v>15</v>
      </c>
      <c r="C6">
        <v>20</v>
      </c>
      <c r="D6">
        <v>8</v>
      </c>
      <c r="E6">
        <v>22</v>
      </c>
      <c r="F6" t="str">
        <f>VLOOKUP(A6, Lookups!$A$12:$E$51, 2, FALSE())</f>
        <v>Pro Laptop Model A</v>
      </c>
      <c r="G6" t="str">
        <f>VLOOKUP(A6, Lookups!$A$12:$E$51, 3, FALSE())</f>
        <v>Electronics</v>
      </c>
      <c r="H6">
        <f>VLOOKUP(A6, Lookups!$A$12:$E$51, 4, FALSE())</f>
        <v>81048</v>
      </c>
      <c r="I6">
        <f t="shared" si="0"/>
        <v>1783056</v>
      </c>
      <c r="J6" t="str">
        <f t="shared" si="1"/>
        <v>Healthy</v>
      </c>
    </row>
    <row r="7" spans="1:10" x14ac:dyDescent="0.45">
      <c r="A7" t="s">
        <v>53</v>
      </c>
      <c r="B7" t="s">
        <v>16</v>
      </c>
      <c r="C7">
        <v>30</v>
      </c>
      <c r="D7">
        <v>12</v>
      </c>
      <c r="E7">
        <v>19</v>
      </c>
      <c r="F7" t="str">
        <f>VLOOKUP(A7, Lookups!$A$12:$E$51, 2, FALSE())</f>
        <v>Pro Laptop Model A</v>
      </c>
      <c r="G7" t="str">
        <f>VLOOKUP(A7, Lookups!$A$12:$E$51, 3, FALSE())</f>
        <v>Electronics</v>
      </c>
      <c r="H7">
        <f>VLOOKUP(A7, Lookups!$A$12:$E$51, 4, FALSE())</f>
        <v>81048</v>
      </c>
      <c r="I7">
        <f t="shared" si="0"/>
        <v>1539912</v>
      </c>
      <c r="J7" t="str">
        <f t="shared" si="1"/>
        <v>Healthy</v>
      </c>
    </row>
    <row r="8" spans="1:10" x14ac:dyDescent="0.45">
      <c r="A8" t="s">
        <v>53</v>
      </c>
      <c r="B8" t="s">
        <v>17</v>
      </c>
      <c r="C8">
        <v>30</v>
      </c>
      <c r="D8">
        <v>12</v>
      </c>
      <c r="E8">
        <v>13</v>
      </c>
      <c r="F8" t="str">
        <f>VLOOKUP(A8, Lookups!$A$12:$E$51, 2, FALSE())</f>
        <v>Pro Laptop Model A</v>
      </c>
      <c r="G8" t="str">
        <f>VLOOKUP(A8, Lookups!$A$12:$E$51, 3, FALSE())</f>
        <v>Electronics</v>
      </c>
      <c r="H8">
        <f>VLOOKUP(A8, Lookups!$A$12:$E$51, 4, FALSE())</f>
        <v>81048</v>
      </c>
      <c r="I8">
        <f t="shared" si="0"/>
        <v>1053624</v>
      </c>
      <c r="J8" t="str">
        <f t="shared" si="1"/>
        <v>Healthy</v>
      </c>
    </row>
    <row r="9" spans="1:10" x14ac:dyDescent="0.45">
      <c r="A9" t="s">
        <v>53</v>
      </c>
      <c r="B9" t="s">
        <v>18</v>
      </c>
      <c r="C9">
        <v>10</v>
      </c>
      <c r="D9">
        <v>4</v>
      </c>
      <c r="E9">
        <v>9</v>
      </c>
      <c r="F9" t="str">
        <f>VLOOKUP(A9, Lookups!$A$12:$E$51, 2, FALSE())</f>
        <v>Pro Laptop Model A</v>
      </c>
      <c r="G9" t="str">
        <f>VLOOKUP(A9, Lookups!$A$12:$E$51, 3, FALSE())</f>
        <v>Electronics</v>
      </c>
      <c r="H9">
        <f>VLOOKUP(A9, Lookups!$A$12:$E$51, 4, FALSE())</f>
        <v>81048</v>
      </c>
      <c r="I9">
        <f t="shared" si="0"/>
        <v>729432</v>
      </c>
      <c r="J9" t="str">
        <f t="shared" si="1"/>
        <v>Healthy</v>
      </c>
    </row>
    <row r="10" spans="1:10" x14ac:dyDescent="0.45">
      <c r="A10" t="s">
        <v>54</v>
      </c>
      <c r="B10" t="s">
        <v>15</v>
      </c>
      <c r="C10">
        <v>44</v>
      </c>
      <c r="D10">
        <v>17</v>
      </c>
      <c r="E10">
        <v>30</v>
      </c>
      <c r="F10" t="str">
        <f>VLOOKUP(A10, Lookups!$A$12:$E$51, 2, FALSE())</f>
        <v>Enterprise Router 350X</v>
      </c>
      <c r="G10" t="str">
        <f>VLOOKUP(A10, Lookups!$A$12:$E$51, 3, FALSE())</f>
        <v>Networking</v>
      </c>
      <c r="H10">
        <f>VLOOKUP(A10, Lookups!$A$12:$E$51, 4, FALSE())</f>
        <v>22314</v>
      </c>
      <c r="I10">
        <f t="shared" si="0"/>
        <v>669420</v>
      </c>
      <c r="J10" t="str">
        <f t="shared" si="1"/>
        <v>Healthy</v>
      </c>
    </row>
    <row r="11" spans="1:10" x14ac:dyDescent="0.45">
      <c r="A11" t="s">
        <v>54</v>
      </c>
      <c r="B11" t="s">
        <v>16</v>
      </c>
      <c r="C11">
        <v>66</v>
      </c>
      <c r="D11">
        <v>26</v>
      </c>
      <c r="E11">
        <v>119</v>
      </c>
      <c r="F11" t="str">
        <f>VLOOKUP(A11, Lookups!$A$12:$E$51, 2, FALSE())</f>
        <v>Enterprise Router 350X</v>
      </c>
      <c r="G11" t="str">
        <f>VLOOKUP(A11, Lookups!$A$12:$E$51, 3, FALSE())</f>
        <v>Networking</v>
      </c>
      <c r="H11">
        <f>VLOOKUP(A11, Lookups!$A$12:$E$51, 4, FALSE())</f>
        <v>22314</v>
      </c>
      <c r="I11">
        <f t="shared" si="0"/>
        <v>2655366</v>
      </c>
      <c r="J11" t="str">
        <f t="shared" si="1"/>
        <v>Excess</v>
      </c>
    </row>
    <row r="12" spans="1:10" x14ac:dyDescent="0.45">
      <c r="A12" t="s">
        <v>54</v>
      </c>
      <c r="B12" t="s">
        <v>17</v>
      </c>
      <c r="C12">
        <v>22</v>
      </c>
      <c r="D12">
        <v>8</v>
      </c>
      <c r="E12">
        <v>20</v>
      </c>
      <c r="F12" t="str">
        <f>VLOOKUP(A12, Lookups!$A$12:$E$51, 2, FALSE())</f>
        <v>Enterprise Router 350X</v>
      </c>
      <c r="G12" t="str">
        <f>VLOOKUP(A12, Lookups!$A$12:$E$51, 3, FALSE())</f>
        <v>Networking</v>
      </c>
      <c r="H12">
        <f>VLOOKUP(A12, Lookups!$A$12:$E$51, 4, FALSE())</f>
        <v>22314</v>
      </c>
      <c r="I12">
        <f t="shared" si="0"/>
        <v>446280</v>
      </c>
      <c r="J12" t="str">
        <f t="shared" si="1"/>
        <v>Healthy</v>
      </c>
    </row>
    <row r="13" spans="1:10" x14ac:dyDescent="0.45">
      <c r="A13" t="s">
        <v>54</v>
      </c>
      <c r="B13" t="s">
        <v>18</v>
      </c>
      <c r="C13">
        <v>66</v>
      </c>
      <c r="D13">
        <v>26</v>
      </c>
      <c r="E13">
        <v>42</v>
      </c>
      <c r="F13" t="str">
        <f>VLOOKUP(A13, Lookups!$A$12:$E$51, 2, FALSE())</f>
        <v>Enterprise Router 350X</v>
      </c>
      <c r="G13" t="str">
        <f>VLOOKUP(A13, Lookups!$A$12:$E$51, 3, FALSE())</f>
        <v>Networking</v>
      </c>
      <c r="H13">
        <f>VLOOKUP(A13, Lookups!$A$12:$E$51, 4, FALSE())</f>
        <v>22314</v>
      </c>
      <c r="I13">
        <f t="shared" si="0"/>
        <v>937188</v>
      </c>
      <c r="J13" t="str">
        <f t="shared" si="1"/>
        <v>Healthy</v>
      </c>
    </row>
    <row r="14" spans="1:10" x14ac:dyDescent="0.45">
      <c r="A14" t="s">
        <v>55</v>
      </c>
      <c r="B14" t="s">
        <v>15</v>
      </c>
      <c r="C14">
        <v>10</v>
      </c>
      <c r="D14">
        <v>4</v>
      </c>
      <c r="E14">
        <v>8</v>
      </c>
      <c r="F14" t="str">
        <f>VLOOKUP(A14, Lookups!$A$12:$E$51, 2, FALSE())</f>
        <v>Pro Laptop Model E</v>
      </c>
      <c r="G14" t="str">
        <f>VLOOKUP(A14, Lookups!$A$12:$E$51, 3, FALSE())</f>
        <v>Electronics</v>
      </c>
      <c r="H14">
        <f>VLOOKUP(A14, Lookups!$A$12:$E$51, 4, FALSE())</f>
        <v>58434</v>
      </c>
      <c r="I14">
        <f t="shared" si="0"/>
        <v>467472</v>
      </c>
      <c r="J14" t="str">
        <f t="shared" si="1"/>
        <v>Healthy</v>
      </c>
    </row>
    <row r="15" spans="1:10" x14ac:dyDescent="0.45">
      <c r="A15" t="s">
        <v>55</v>
      </c>
      <c r="B15" t="s">
        <v>16</v>
      </c>
      <c r="C15">
        <v>30</v>
      </c>
      <c r="D15">
        <v>12</v>
      </c>
      <c r="E15">
        <v>30</v>
      </c>
      <c r="F15" t="str">
        <f>VLOOKUP(A15, Lookups!$A$12:$E$51, 2, FALSE())</f>
        <v>Pro Laptop Model E</v>
      </c>
      <c r="G15" t="str">
        <f>VLOOKUP(A15, Lookups!$A$12:$E$51, 3, FALSE())</f>
        <v>Electronics</v>
      </c>
      <c r="H15">
        <f>VLOOKUP(A15, Lookups!$A$12:$E$51, 4, FALSE())</f>
        <v>58434</v>
      </c>
      <c r="I15">
        <f t="shared" si="0"/>
        <v>1753020</v>
      </c>
      <c r="J15" t="str">
        <f t="shared" si="1"/>
        <v>Healthy</v>
      </c>
    </row>
    <row r="16" spans="1:10" x14ac:dyDescent="0.45">
      <c r="A16" t="s">
        <v>55</v>
      </c>
      <c r="B16" t="s">
        <v>17</v>
      </c>
      <c r="C16">
        <v>20</v>
      </c>
      <c r="D16">
        <v>8</v>
      </c>
      <c r="E16">
        <v>10</v>
      </c>
      <c r="F16" t="str">
        <f>VLOOKUP(A16, Lookups!$A$12:$E$51, 2, FALSE())</f>
        <v>Pro Laptop Model E</v>
      </c>
      <c r="G16" t="str">
        <f>VLOOKUP(A16, Lookups!$A$12:$E$51, 3, FALSE())</f>
        <v>Electronics</v>
      </c>
      <c r="H16">
        <f>VLOOKUP(A16, Lookups!$A$12:$E$51, 4, FALSE())</f>
        <v>58434</v>
      </c>
      <c r="I16">
        <f t="shared" si="0"/>
        <v>584340</v>
      </c>
      <c r="J16" t="str">
        <f t="shared" si="1"/>
        <v>Healthy</v>
      </c>
    </row>
    <row r="17" spans="1:10" x14ac:dyDescent="0.45">
      <c r="A17" t="s">
        <v>55</v>
      </c>
      <c r="B17" t="s">
        <v>18</v>
      </c>
      <c r="C17">
        <v>30</v>
      </c>
      <c r="D17">
        <v>12</v>
      </c>
      <c r="E17">
        <v>13</v>
      </c>
      <c r="F17" t="str">
        <f>VLOOKUP(A17, Lookups!$A$12:$E$51, 2, FALSE())</f>
        <v>Pro Laptop Model E</v>
      </c>
      <c r="G17" t="str">
        <f>VLOOKUP(A17, Lookups!$A$12:$E$51, 3, FALSE())</f>
        <v>Electronics</v>
      </c>
      <c r="H17">
        <f>VLOOKUP(A17, Lookups!$A$12:$E$51, 4, FALSE())</f>
        <v>58434</v>
      </c>
      <c r="I17">
        <f t="shared" si="0"/>
        <v>759642</v>
      </c>
      <c r="J17" t="str">
        <f t="shared" si="1"/>
        <v>Healthy</v>
      </c>
    </row>
    <row r="18" spans="1:10" x14ac:dyDescent="0.45">
      <c r="A18" t="s">
        <v>56</v>
      </c>
      <c r="B18" t="s">
        <v>15</v>
      </c>
      <c r="C18">
        <v>12</v>
      </c>
      <c r="D18">
        <v>4</v>
      </c>
      <c r="E18">
        <v>6</v>
      </c>
      <c r="F18" t="str">
        <f>VLOOKUP(A18, Lookups!$A$12:$E$51, 2, FALSE())</f>
        <v>Enterprise Router 792X</v>
      </c>
      <c r="G18" t="str">
        <f>VLOOKUP(A18, Lookups!$A$12:$E$51, 3, FALSE())</f>
        <v>Networking</v>
      </c>
      <c r="H18">
        <f>VLOOKUP(A18, Lookups!$A$12:$E$51, 4, FALSE())</f>
        <v>39270</v>
      </c>
      <c r="I18">
        <f t="shared" si="0"/>
        <v>235620</v>
      </c>
      <c r="J18" t="str">
        <f t="shared" si="1"/>
        <v>Healthy</v>
      </c>
    </row>
    <row r="19" spans="1:10" x14ac:dyDescent="0.45">
      <c r="A19" t="s">
        <v>56</v>
      </c>
      <c r="B19" t="s">
        <v>16</v>
      </c>
      <c r="C19">
        <v>36</v>
      </c>
      <c r="D19">
        <v>14</v>
      </c>
      <c r="E19">
        <v>16</v>
      </c>
      <c r="F19" t="str">
        <f>VLOOKUP(A19, Lookups!$A$12:$E$51, 2, FALSE())</f>
        <v>Enterprise Router 792X</v>
      </c>
      <c r="G19" t="str">
        <f>VLOOKUP(A19, Lookups!$A$12:$E$51, 3, FALSE())</f>
        <v>Networking</v>
      </c>
      <c r="H19">
        <f>VLOOKUP(A19, Lookups!$A$12:$E$51, 4, FALSE())</f>
        <v>39270</v>
      </c>
      <c r="I19">
        <f t="shared" si="0"/>
        <v>628320</v>
      </c>
      <c r="J19" t="str">
        <f t="shared" si="1"/>
        <v>Healthy</v>
      </c>
    </row>
    <row r="20" spans="1:10" x14ac:dyDescent="0.45">
      <c r="A20" t="s">
        <v>56</v>
      </c>
      <c r="B20" t="s">
        <v>17</v>
      </c>
      <c r="C20">
        <v>24</v>
      </c>
      <c r="D20">
        <v>9</v>
      </c>
      <c r="E20">
        <v>23</v>
      </c>
      <c r="F20" t="str">
        <f>VLOOKUP(A20, Lookups!$A$12:$E$51, 2, FALSE())</f>
        <v>Enterprise Router 792X</v>
      </c>
      <c r="G20" t="str">
        <f>VLOOKUP(A20, Lookups!$A$12:$E$51, 3, FALSE())</f>
        <v>Networking</v>
      </c>
      <c r="H20">
        <f>VLOOKUP(A20, Lookups!$A$12:$E$51, 4, FALSE())</f>
        <v>39270</v>
      </c>
      <c r="I20">
        <f t="shared" si="0"/>
        <v>903210</v>
      </c>
      <c r="J20" t="str">
        <f t="shared" si="1"/>
        <v>Healthy</v>
      </c>
    </row>
    <row r="21" spans="1:10" x14ac:dyDescent="0.45">
      <c r="A21" t="s">
        <v>56</v>
      </c>
      <c r="B21" t="s">
        <v>18</v>
      </c>
      <c r="C21">
        <v>36</v>
      </c>
      <c r="D21">
        <v>14</v>
      </c>
      <c r="E21">
        <v>31</v>
      </c>
      <c r="F21" t="str">
        <f>VLOOKUP(A21, Lookups!$A$12:$E$51, 2, FALSE())</f>
        <v>Enterprise Router 792X</v>
      </c>
      <c r="G21" t="str">
        <f>VLOOKUP(A21, Lookups!$A$12:$E$51, 3, FALSE())</f>
        <v>Networking</v>
      </c>
      <c r="H21">
        <f>VLOOKUP(A21, Lookups!$A$12:$E$51, 4, FALSE())</f>
        <v>39270</v>
      </c>
      <c r="I21">
        <f t="shared" si="0"/>
        <v>1217370</v>
      </c>
      <c r="J21" t="str">
        <f t="shared" si="1"/>
        <v>Healthy</v>
      </c>
    </row>
    <row r="22" spans="1:10" x14ac:dyDescent="0.45">
      <c r="A22" t="s">
        <v>57</v>
      </c>
      <c r="B22" t="s">
        <v>15</v>
      </c>
      <c r="C22">
        <v>226</v>
      </c>
      <c r="D22">
        <v>90</v>
      </c>
      <c r="E22">
        <v>119</v>
      </c>
      <c r="F22" t="str">
        <f>VLOOKUP(A22, Lookups!$A$12:$E$51, 2, FALSE())</f>
        <v>Wireless Headset 9</v>
      </c>
      <c r="G22" t="str">
        <f>VLOOKUP(A22, Lookups!$A$12:$E$51, 3, FALSE())</f>
        <v>Peripherals</v>
      </c>
      <c r="H22">
        <f>VLOOKUP(A22, Lookups!$A$12:$E$51, 4, FALSE())</f>
        <v>2212</v>
      </c>
      <c r="I22">
        <f t="shared" si="0"/>
        <v>263228</v>
      </c>
      <c r="J22" t="str">
        <f t="shared" si="1"/>
        <v>Healthy</v>
      </c>
    </row>
    <row r="23" spans="1:10" x14ac:dyDescent="0.45">
      <c r="A23" t="s">
        <v>57</v>
      </c>
      <c r="B23" t="s">
        <v>16</v>
      </c>
      <c r="C23">
        <v>678</v>
      </c>
      <c r="D23">
        <v>271</v>
      </c>
      <c r="E23">
        <v>1581</v>
      </c>
      <c r="F23" t="str">
        <f>VLOOKUP(A23, Lookups!$A$12:$E$51, 2, FALSE())</f>
        <v>Wireless Headset 9</v>
      </c>
      <c r="G23" t="str">
        <f>VLOOKUP(A23, Lookups!$A$12:$E$51, 3, FALSE())</f>
        <v>Peripherals</v>
      </c>
      <c r="H23">
        <f>VLOOKUP(A23, Lookups!$A$12:$E$51, 4, FALSE())</f>
        <v>2212</v>
      </c>
      <c r="I23">
        <f t="shared" si="0"/>
        <v>3497172</v>
      </c>
      <c r="J23" t="str">
        <f t="shared" si="1"/>
        <v>Excess</v>
      </c>
    </row>
    <row r="24" spans="1:10" x14ac:dyDescent="0.45">
      <c r="A24" t="s">
        <v>57</v>
      </c>
      <c r="B24" t="s">
        <v>17</v>
      </c>
      <c r="C24">
        <v>452</v>
      </c>
      <c r="D24">
        <v>180</v>
      </c>
      <c r="E24">
        <v>354</v>
      </c>
      <c r="F24" t="str">
        <f>VLOOKUP(A24, Lookups!$A$12:$E$51, 2, FALSE())</f>
        <v>Wireless Headset 9</v>
      </c>
      <c r="G24" t="str">
        <f>VLOOKUP(A24, Lookups!$A$12:$E$51, 3, FALSE())</f>
        <v>Peripherals</v>
      </c>
      <c r="H24">
        <f>VLOOKUP(A24, Lookups!$A$12:$E$51, 4, FALSE())</f>
        <v>2212</v>
      </c>
      <c r="I24">
        <f t="shared" si="0"/>
        <v>783048</v>
      </c>
      <c r="J24" t="str">
        <f t="shared" si="1"/>
        <v>Healthy</v>
      </c>
    </row>
    <row r="25" spans="1:10" x14ac:dyDescent="0.45">
      <c r="A25" t="s">
        <v>57</v>
      </c>
      <c r="B25" t="s">
        <v>18</v>
      </c>
      <c r="C25">
        <v>226</v>
      </c>
      <c r="D25">
        <v>90</v>
      </c>
      <c r="E25">
        <v>130</v>
      </c>
      <c r="F25" t="str">
        <f>VLOOKUP(A25, Lookups!$A$12:$E$51, 2, FALSE())</f>
        <v>Wireless Headset 9</v>
      </c>
      <c r="G25" t="str">
        <f>VLOOKUP(A25, Lookups!$A$12:$E$51, 3, FALSE())</f>
        <v>Peripherals</v>
      </c>
      <c r="H25">
        <f>VLOOKUP(A25, Lookups!$A$12:$E$51, 4, FALSE())</f>
        <v>2212</v>
      </c>
      <c r="I25">
        <f t="shared" si="0"/>
        <v>287560</v>
      </c>
      <c r="J25" t="str">
        <f t="shared" si="1"/>
        <v>Healthy</v>
      </c>
    </row>
    <row r="26" spans="1:10" x14ac:dyDescent="0.45">
      <c r="A26" t="s">
        <v>58</v>
      </c>
      <c r="B26" t="s">
        <v>15</v>
      </c>
      <c r="C26">
        <v>20</v>
      </c>
      <c r="D26">
        <v>8</v>
      </c>
      <c r="E26">
        <v>4</v>
      </c>
      <c r="F26" t="str">
        <f>VLOOKUP(A26, Lookups!$A$12:$E$51, 2, FALSE())</f>
        <v>Pro Laptop Model S</v>
      </c>
      <c r="G26" t="str">
        <f>VLOOKUP(A26, Lookups!$A$12:$E$51, 3, FALSE())</f>
        <v>Electronics</v>
      </c>
      <c r="H26">
        <f>VLOOKUP(A26, Lookups!$A$12:$E$51, 4, FALSE())</f>
        <v>100302</v>
      </c>
      <c r="I26">
        <f t="shared" si="0"/>
        <v>401208</v>
      </c>
      <c r="J26" t="str">
        <f t="shared" si="1"/>
        <v>Stockout Risk</v>
      </c>
    </row>
    <row r="27" spans="1:10" x14ac:dyDescent="0.45">
      <c r="A27" t="s">
        <v>58</v>
      </c>
      <c r="B27" t="s">
        <v>16</v>
      </c>
      <c r="C27">
        <v>30</v>
      </c>
      <c r="D27">
        <v>12</v>
      </c>
      <c r="E27">
        <v>28</v>
      </c>
      <c r="F27" t="str">
        <f>VLOOKUP(A27, Lookups!$A$12:$E$51, 2, FALSE())</f>
        <v>Pro Laptop Model S</v>
      </c>
      <c r="G27" t="str">
        <f>VLOOKUP(A27, Lookups!$A$12:$E$51, 3, FALSE())</f>
        <v>Electronics</v>
      </c>
      <c r="H27">
        <f>VLOOKUP(A27, Lookups!$A$12:$E$51, 4, FALSE())</f>
        <v>100302</v>
      </c>
      <c r="I27">
        <f t="shared" si="0"/>
        <v>2808456</v>
      </c>
      <c r="J27" t="str">
        <f t="shared" si="1"/>
        <v>Healthy</v>
      </c>
    </row>
    <row r="28" spans="1:10" x14ac:dyDescent="0.45">
      <c r="A28" t="s">
        <v>58</v>
      </c>
      <c r="B28" t="s">
        <v>17</v>
      </c>
      <c r="C28">
        <v>10</v>
      </c>
      <c r="D28">
        <v>4</v>
      </c>
      <c r="E28">
        <v>16</v>
      </c>
      <c r="F28" t="str">
        <f>VLOOKUP(A28, Lookups!$A$12:$E$51, 2, FALSE())</f>
        <v>Pro Laptop Model S</v>
      </c>
      <c r="G28" t="str">
        <f>VLOOKUP(A28, Lookups!$A$12:$E$51, 3, FALSE())</f>
        <v>Electronics</v>
      </c>
      <c r="H28">
        <f>VLOOKUP(A28, Lookups!$A$12:$E$51, 4, FALSE())</f>
        <v>100302</v>
      </c>
      <c r="I28">
        <f t="shared" si="0"/>
        <v>1604832</v>
      </c>
      <c r="J28" t="str">
        <f t="shared" si="1"/>
        <v>Excess</v>
      </c>
    </row>
    <row r="29" spans="1:10" x14ac:dyDescent="0.45">
      <c r="A29" t="s">
        <v>58</v>
      </c>
      <c r="B29" t="s">
        <v>18</v>
      </c>
      <c r="C29">
        <v>30</v>
      </c>
      <c r="D29">
        <v>12</v>
      </c>
      <c r="E29">
        <v>18</v>
      </c>
      <c r="F29" t="str">
        <f>VLOOKUP(A29, Lookups!$A$12:$E$51, 2, FALSE())</f>
        <v>Pro Laptop Model S</v>
      </c>
      <c r="G29" t="str">
        <f>VLOOKUP(A29, Lookups!$A$12:$E$51, 3, FALSE())</f>
        <v>Electronics</v>
      </c>
      <c r="H29">
        <f>VLOOKUP(A29, Lookups!$A$12:$E$51, 4, FALSE())</f>
        <v>100302</v>
      </c>
      <c r="I29">
        <f t="shared" si="0"/>
        <v>1805436</v>
      </c>
      <c r="J29" t="str">
        <f t="shared" si="1"/>
        <v>Healthy</v>
      </c>
    </row>
    <row r="30" spans="1:10" x14ac:dyDescent="0.45">
      <c r="A30" t="s">
        <v>59</v>
      </c>
      <c r="B30" t="s">
        <v>15</v>
      </c>
      <c r="C30">
        <v>10</v>
      </c>
      <c r="D30">
        <v>4</v>
      </c>
      <c r="E30">
        <v>6</v>
      </c>
      <c r="F30" t="str">
        <f>VLOOKUP(A30, Lookups!$A$12:$E$51, 2, FALSE())</f>
        <v>Pro Laptop Model B</v>
      </c>
      <c r="G30" t="str">
        <f>VLOOKUP(A30, Lookups!$A$12:$E$51, 3, FALSE())</f>
        <v>Electronics</v>
      </c>
      <c r="H30">
        <f>VLOOKUP(A30, Lookups!$A$12:$E$51, 4, FALSE())</f>
        <v>48905</v>
      </c>
      <c r="I30">
        <f t="shared" si="0"/>
        <v>293430</v>
      </c>
      <c r="J30" t="str">
        <f t="shared" si="1"/>
        <v>Healthy</v>
      </c>
    </row>
    <row r="31" spans="1:10" x14ac:dyDescent="0.45">
      <c r="A31" t="s">
        <v>59</v>
      </c>
      <c r="B31" t="s">
        <v>16</v>
      </c>
      <c r="C31">
        <v>30</v>
      </c>
      <c r="D31">
        <v>12</v>
      </c>
      <c r="E31">
        <v>69</v>
      </c>
      <c r="F31" t="str">
        <f>VLOOKUP(A31, Lookups!$A$12:$E$51, 2, FALSE())</f>
        <v>Pro Laptop Model B</v>
      </c>
      <c r="G31" t="str">
        <f>VLOOKUP(A31, Lookups!$A$12:$E$51, 3, FALSE())</f>
        <v>Electronics</v>
      </c>
      <c r="H31">
        <f>VLOOKUP(A31, Lookups!$A$12:$E$51, 4, FALSE())</f>
        <v>48905</v>
      </c>
      <c r="I31">
        <f t="shared" si="0"/>
        <v>3374445</v>
      </c>
      <c r="J31" t="str">
        <f t="shared" si="1"/>
        <v>Excess</v>
      </c>
    </row>
    <row r="32" spans="1:10" x14ac:dyDescent="0.45">
      <c r="A32" t="s">
        <v>59</v>
      </c>
      <c r="B32" t="s">
        <v>17</v>
      </c>
      <c r="C32">
        <v>10</v>
      </c>
      <c r="D32">
        <v>4</v>
      </c>
      <c r="E32">
        <v>11</v>
      </c>
      <c r="F32" t="str">
        <f>VLOOKUP(A32, Lookups!$A$12:$E$51, 2, FALSE())</f>
        <v>Pro Laptop Model B</v>
      </c>
      <c r="G32" t="str">
        <f>VLOOKUP(A32, Lookups!$A$12:$E$51, 3, FALSE())</f>
        <v>Electronics</v>
      </c>
      <c r="H32">
        <f>VLOOKUP(A32, Lookups!$A$12:$E$51, 4, FALSE())</f>
        <v>48905</v>
      </c>
      <c r="I32">
        <f t="shared" si="0"/>
        <v>537955</v>
      </c>
      <c r="J32" t="str">
        <f t="shared" si="1"/>
        <v>Healthy</v>
      </c>
    </row>
    <row r="33" spans="1:10" x14ac:dyDescent="0.45">
      <c r="A33" t="s">
        <v>59</v>
      </c>
      <c r="B33" t="s">
        <v>18</v>
      </c>
      <c r="C33">
        <v>10</v>
      </c>
      <c r="D33">
        <v>4</v>
      </c>
      <c r="E33">
        <v>2</v>
      </c>
      <c r="F33" t="str">
        <f>VLOOKUP(A33, Lookups!$A$12:$E$51, 2, FALSE())</f>
        <v>Pro Laptop Model B</v>
      </c>
      <c r="G33" t="str">
        <f>VLOOKUP(A33, Lookups!$A$12:$E$51, 3, FALSE())</f>
        <v>Electronics</v>
      </c>
      <c r="H33">
        <f>VLOOKUP(A33, Lookups!$A$12:$E$51, 4, FALSE())</f>
        <v>48905</v>
      </c>
      <c r="I33">
        <f t="shared" si="0"/>
        <v>97810</v>
      </c>
      <c r="J33" t="str">
        <f t="shared" si="1"/>
        <v>Stockout Risk</v>
      </c>
    </row>
    <row r="34" spans="1:10" x14ac:dyDescent="0.45">
      <c r="A34" t="s">
        <v>60</v>
      </c>
      <c r="B34" t="s">
        <v>15</v>
      </c>
      <c r="C34">
        <v>302</v>
      </c>
      <c r="D34">
        <v>120</v>
      </c>
      <c r="E34">
        <v>181</v>
      </c>
      <c r="F34" t="str">
        <f>VLOOKUP(A34, Lookups!$A$12:$E$51, 2, FALSE())</f>
        <v>Wireless Keyboard 2</v>
      </c>
      <c r="G34" t="str">
        <f>VLOOKUP(A34, Lookups!$A$12:$E$51, 3, FALSE())</f>
        <v>Peripherals</v>
      </c>
      <c r="H34">
        <f>VLOOKUP(A34, Lookups!$A$12:$E$51, 4, FALSE())</f>
        <v>3291</v>
      </c>
      <c r="I34">
        <f t="shared" ref="I34:I65" si="2">E34*H34</f>
        <v>595671</v>
      </c>
      <c r="J34" t="str">
        <f t="shared" ref="J34:J65" si="3">IF(E34&lt;D34, "Stockout Risk", IF(E34&gt;(C34*1.2), "Excess", "Healthy"))</f>
        <v>Healthy</v>
      </c>
    </row>
    <row r="35" spans="1:10" x14ac:dyDescent="0.45">
      <c r="A35" t="s">
        <v>60</v>
      </c>
      <c r="B35" t="s">
        <v>16</v>
      </c>
      <c r="C35">
        <v>453</v>
      </c>
      <c r="D35">
        <v>181</v>
      </c>
      <c r="E35">
        <v>630</v>
      </c>
      <c r="F35" t="str">
        <f>VLOOKUP(A35, Lookups!$A$12:$E$51, 2, FALSE())</f>
        <v>Wireless Keyboard 2</v>
      </c>
      <c r="G35" t="str">
        <f>VLOOKUP(A35, Lookups!$A$12:$E$51, 3, FALSE())</f>
        <v>Peripherals</v>
      </c>
      <c r="H35">
        <f>VLOOKUP(A35, Lookups!$A$12:$E$51, 4, FALSE())</f>
        <v>3291</v>
      </c>
      <c r="I35">
        <f t="shared" si="2"/>
        <v>2073330</v>
      </c>
      <c r="J35" t="str">
        <f t="shared" si="3"/>
        <v>Excess</v>
      </c>
    </row>
    <row r="36" spans="1:10" x14ac:dyDescent="0.45">
      <c r="A36" t="s">
        <v>60</v>
      </c>
      <c r="B36" t="s">
        <v>17</v>
      </c>
      <c r="C36">
        <v>453</v>
      </c>
      <c r="D36">
        <v>181</v>
      </c>
      <c r="E36">
        <v>216</v>
      </c>
      <c r="F36" t="str">
        <f>VLOOKUP(A36, Lookups!$A$12:$E$51, 2, FALSE())</f>
        <v>Wireless Keyboard 2</v>
      </c>
      <c r="G36" t="str">
        <f>VLOOKUP(A36, Lookups!$A$12:$E$51, 3, FALSE())</f>
        <v>Peripherals</v>
      </c>
      <c r="H36">
        <f>VLOOKUP(A36, Lookups!$A$12:$E$51, 4, FALSE())</f>
        <v>3291</v>
      </c>
      <c r="I36">
        <f t="shared" si="2"/>
        <v>710856</v>
      </c>
      <c r="J36" t="str">
        <f t="shared" si="3"/>
        <v>Healthy</v>
      </c>
    </row>
    <row r="37" spans="1:10" x14ac:dyDescent="0.45">
      <c r="A37" t="s">
        <v>60</v>
      </c>
      <c r="B37" t="s">
        <v>18</v>
      </c>
      <c r="C37">
        <v>453</v>
      </c>
      <c r="D37">
        <v>181</v>
      </c>
      <c r="E37">
        <v>246</v>
      </c>
      <c r="F37" t="str">
        <f>VLOOKUP(A37, Lookups!$A$12:$E$51, 2, FALSE())</f>
        <v>Wireless Keyboard 2</v>
      </c>
      <c r="G37" t="str">
        <f>VLOOKUP(A37, Lookups!$A$12:$E$51, 3, FALSE())</f>
        <v>Peripherals</v>
      </c>
      <c r="H37">
        <f>VLOOKUP(A37, Lookups!$A$12:$E$51, 4, FALSE())</f>
        <v>3291</v>
      </c>
      <c r="I37">
        <f t="shared" si="2"/>
        <v>809586</v>
      </c>
      <c r="J37" t="str">
        <f t="shared" si="3"/>
        <v>Healthy</v>
      </c>
    </row>
    <row r="38" spans="1:10" x14ac:dyDescent="0.45">
      <c r="A38" t="s">
        <v>61</v>
      </c>
      <c r="B38" t="s">
        <v>15</v>
      </c>
      <c r="C38">
        <v>30</v>
      </c>
      <c r="D38">
        <v>12</v>
      </c>
      <c r="E38">
        <v>29</v>
      </c>
      <c r="F38" t="str">
        <f>VLOOKUP(A38, Lookups!$A$12:$E$51, 2, FALSE())</f>
        <v>Pro Laptop Model H</v>
      </c>
      <c r="G38" t="str">
        <f>VLOOKUP(A38, Lookups!$A$12:$E$51, 3, FALSE())</f>
        <v>Electronics</v>
      </c>
      <c r="H38">
        <f>VLOOKUP(A38, Lookups!$A$12:$E$51, 4, FALSE())</f>
        <v>111237</v>
      </c>
      <c r="I38">
        <f t="shared" si="2"/>
        <v>3225873</v>
      </c>
      <c r="J38" t="str">
        <f t="shared" si="3"/>
        <v>Healthy</v>
      </c>
    </row>
    <row r="39" spans="1:10" x14ac:dyDescent="0.45">
      <c r="A39" t="s">
        <v>61</v>
      </c>
      <c r="B39" t="s">
        <v>16</v>
      </c>
      <c r="C39">
        <v>10</v>
      </c>
      <c r="D39">
        <v>4</v>
      </c>
      <c r="E39">
        <v>10</v>
      </c>
      <c r="F39" t="str">
        <f>VLOOKUP(A39, Lookups!$A$12:$E$51, 2, FALSE())</f>
        <v>Pro Laptop Model H</v>
      </c>
      <c r="G39" t="str">
        <f>VLOOKUP(A39, Lookups!$A$12:$E$51, 3, FALSE())</f>
        <v>Electronics</v>
      </c>
      <c r="H39">
        <f>VLOOKUP(A39, Lookups!$A$12:$E$51, 4, FALSE())</f>
        <v>111237</v>
      </c>
      <c r="I39">
        <f t="shared" si="2"/>
        <v>1112370</v>
      </c>
      <c r="J39" t="str">
        <f t="shared" si="3"/>
        <v>Healthy</v>
      </c>
    </row>
    <row r="40" spans="1:10" x14ac:dyDescent="0.45">
      <c r="A40" t="s">
        <v>61</v>
      </c>
      <c r="B40" t="s">
        <v>17</v>
      </c>
      <c r="C40">
        <v>10</v>
      </c>
      <c r="D40">
        <v>4</v>
      </c>
      <c r="E40">
        <v>24</v>
      </c>
      <c r="F40" t="str">
        <f>VLOOKUP(A40, Lookups!$A$12:$E$51, 2, FALSE())</f>
        <v>Pro Laptop Model H</v>
      </c>
      <c r="G40" t="str">
        <f>VLOOKUP(A40, Lookups!$A$12:$E$51, 3, FALSE())</f>
        <v>Electronics</v>
      </c>
      <c r="H40">
        <f>VLOOKUP(A40, Lookups!$A$12:$E$51, 4, FALSE())</f>
        <v>111237</v>
      </c>
      <c r="I40">
        <f t="shared" si="2"/>
        <v>2669688</v>
      </c>
      <c r="J40" t="str">
        <f t="shared" si="3"/>
        <v>Excess</v>
      </c>
    </row>
    <row r="41" spans="1:10" x14ac:dyDescent="0.45">
      <c r="A41" t="s">
        <v>61</v>
      </c>
      <c r="B41" t="s">
        <v>18</v>
      </c>
      <c r="C41">
        <v>30</v>
      </c>
      <c r="D41">
        <v>12</v>
      </c>
      <c r="E41">
        <v>21</v>
      </c>
      <c r="F41" t="str">
        <f>VLOOKUP(A41, Lookups!$A$12:$E$51, 2, FALSE())</f>
        <v>Pro Laptop Model H</v>
      </c>
      <c r="G41" t="str">
        <f>VLOOKUP(A41, Lookups!$A$12:$E$51, 3, FALSE())</f>
        <v>Electronics</v>
      </c>
      <c r="H41">
        <f>VLOOKUP(A41, Lookups!$A$12:$E$51, 4, FALSE())</f>
        <v>111237</v>
      </c>
      <c r="I41">
        <f t="shared" si="2"/>
        <v>2335977</v>
      </c>
      <c r="J41" t="str">
        <f t="shared" si="3"/>
        <v>Healthy</v>
      </c>
    </row>
    <row r="42" spans="1:10" x14ac:dyDescent="0.45">
      <c r="A42" t="s">
        <v>62</v>
      </c>
      <c r="B42" t="s">
        <v>15</v>
      </c>
      <c r="C42">
        <v>20</v>
      </c>
      <c r="D42">
        <v>8</v>
      </c>
      <c r="E42">
        <v>44</v>
      </c>
      <c r="F42" t="str">
        <f>VLOOKUP(A42, Lookups!$A$12:$E$51, 2, FALSE())</f>
        <v>Pro Laptop Model T</v>
      </c>
      <c r="G42" t="str">
        <f>VLOOKUP(A42, Lookups!$A$12:$E$51, 3, FALSE())</f>
        <v>Electronics</v>
      </c>
      <c r="H42">
        <f>VLOOKUP(A42, Lookups!$A$12:$E$51, 4, FALSE())</f>
        <v>48478</v>
      </c>
      <c r="I42">
        <f t="shared" si="2"/>
        <v>2133032</v>
      </c>
      <c r="J42" t="str">
        <f t="shared" si="3"/>
        <v>Excess</v>
      </c>
    </row>
    <row r="43" spans="1:10" x14ac:dyDescent="0.45">
      <c r="A43" t="s">
        <v>62</v>
      </c>
      <c r="B43" t="s">
        <v>16</v>
      </c>
      <c r="C43">
        <v>20</v>
      </c>
      <c r="D43">
        <v>8</v>
      </c>
      <c r="E43">
        <v>16</v>
      </c>
      <c r="F43" t="str">
        <f>VLOOKUP(A43, Lookups!$A$12:$E$51, 2, FALSE())</f>
        <v>Pro Laptop Model T</v>
      </c>
      <c r="G43" t="str">
        <f>VLOOKUP(A43, Lookups!$A$12:$E$51, 3, FALSE())</f>
        <v>Electronics</v>
      </c>
      <c r="H43">
        <f>VLOOKUP(A43, Lookups!$A$12:$E$51, 4, FALSE())</f>
        <v>48478</v>
      </c>
      <c r="I43">
        <f t="shared" si="2"/>
        <v>775648</v>
      </c>
      <c r="J43" t="str">
        <f t="shared" si="3"/>
        <v>Healthy</v>
      </c>
    </row>
    <row r="44" spans="1:10" x14ac:dyDescent="0.45">
      <c r="A44" t="s">
        <v>62</v>
      </c>
      <c r="B44" t="s">
        <v>17</v>
      </c>
      <c r="C44">
        <v>20</v>
      </c>
      <c r="D44">
        <v>8</v>
      </c>
      <c r="E44">
        <v>3</v>
      </c>
      <c r="F44" t="str">
        <f>VLOOKUP(A44, Lookups!$A$12:$E$51, 2, FALSE())</f>
        <v>Pro Laptop Model T</v>
      </c>
      <c r="G44" t="str">
        <f>VLOOKUP(A44, Lookups!$A$12:$E$51, 3, FALSE())</f>
        <v>Electronics</v>
      </c>
      <c r="H44">
        <f>VLOOKUP(A44, Lookups!$A$12:$E$51, 4, FALSE())</f>
        <v>48478</v>
      </c>
      <c r="I44">
        <f t="shared" si="2"/>
        <v>145434</v>
      </c>
      <c r="J44" t="str">
        <f t="shared" si="3"/>
        <v>Stockout Risk</v>
      </c>
    </row>
    <row r="45" spans="1:10" x14ac:dyDescent="0.45">
      <c r="A45" t="s">
        <v>62</v>
      </c>
      <c r="B45" t="s">
        <v>18</v>
      </c>
      <c r="C45">
        <v>10</v>
      </c>
      <c r="D45">
        <v>4</v>
      </c>
      <c r="E45">
        <v>7</v>
      </c>
      <c r="F45" t="str">
        <f>VLOOKUP(A45, Lookups!$A$12:$E$51, 2, FALSE())</f>
        <v>Pro Laptop Model T</v>
      </c>
      <c r="G45" t="str">
        <f>VLOOKUP(A45, Lookups!$A$12:$E$51, 3, FALSE())</f>
        <v>Electronics</v>
      </c>
      <c r="H45">
        <f>VLOOKUP(A45, Lookups!$A$12:$E$51, 4, FALSE())</f>
        <v>48478</v>
      </c>
      <c r="I45">
        <f t="shared" si="2"/>
        <v>339346</v>
      </c>
      <c r="J45" t="str">
        <f t="shared" si="3"/>
        <v>Healthy</v>
      </c>
    </row>
    <row r="46" spans="1:10" x14ac:dyDescent="0.45">
      <c r="A46" t="s">
        <v>63</v>
      </c>
      <c r="B46" t="s">
        <v>15</v>
      </c>
      <c r="C46">
        <v>30</v>
      </c>
      <c r="D46">
        <v>12</v>
      </c>
      <c r="E46">
        <v>14</v>
      </c>
      <c r="F46" t="str">
        <f>VLOOKUP(A46, Lookups!$A$12:$E$51, 2, FALSE())</f>
        <v>Pro Laptop Model R</v>
      </c>
      <c r="G46" t="str">
        <f>VLOOKUP(A46, Lookups!$A$12:$E$51, 3, FALSE())</f>
        <v>Electronics</v>
      </c>
      <c r="H46">
        <f>VLOOKUP(A46, Lookups!$A$12:$E$51, 4, FALSE())</f>
        <v>71062</v>
      </c>
      <c r="I46">
        <f t="shared" si="2"/>
        <v>994868</v>
      </c>
      <c r="J46" t="str">
        <f t="shared" si="3"/>
        <v>Healthy</v>
      </c>
    </row>
    <row r="47" spans="1:10" x14ac:dyDescent="0.45">
      <c r="A47" t="s">
        <v>63</v>
      </c>
      <c r="B47" t="s">
        <v>16</v>
      </c>
      <c r="C47">
        <v>30</v>
      </c>
      <c r="D47">
        <v>12</v>
      </c>
      <c r="E47">
        <v>19</v>
      </c>
      <c r="F47" t="str">
        <f>VLOOKUP(A47, Lookups!$A$12:$E$51, 2, FALSE())</f>
        <v>Pro Laptop Model R</v>
      </c>
      <c r="G47" t="str">
        <f>VLOOKUP(A47, Lookups!$A$12:$E$51, 3, FALSE())</f>
        <v>Electronics</v>
      </c>
      <c r="H47">
        <f>VLOOKUP(A47, Lookups!$A$12:$E$51, 4, FALSE())</f>
        <v>71062</v>
      </c>
      <c r="I47">
        <f t="shared" si="2"/>
        <v>1350178</v>
      </c>
      <c r="J47" t="str">
        <f t="shared" si="3"/>
        <v>Healthy</v>
      </c>
    </row>
    <row r="48" spans="1:10" x14ac:dyDescent="0.45">
      <c r="A48" t="s">
        <v>63</v>
      </c>
      <c r="B48" t="s">
        <v>17</v>
      </c>
      <c r="C48">
        <v>10</v>
      </c>
      <c r="D48">
        <v>4</v>
      </c>
      <c r="E48">
        <v>25</v>
      </c>
      <c r="F48" t="str">
        <f>VLOOKUP(A48, Lookups!$A$12:$E$51, 2, FALSE())</f>
        <v>Pro Laptop Model R</v>
      </c>
      <c r="G48" t="str">
        <f>VLOOKUP(A48, Lookups!$A$12:$E$51, 3, FALSE())</f>
        <v>Electronics</v>
      </c>
      <c r="H48">
        <f>VLOOKUP(A48, Lookups!$A$12:$E$51, 4, FALSE())</f>
        <v>71062</v>
      </c>
      <c r="I48">
        <f t="shared" si="2"/>
        <v>1776550</v>
      </c>
      <c r="J48" t="str">
        <f t="shared" si="3"/>
        <v>Excess</v>
      </c>
    </row>
    <row r="49" spans="1:10" x14ac:dyDescent="0.45">
      <c r="A49" t="s">
        <v>63</v>
      </c>
      <c r="B49" t="s">
        <v>18</v>
      </c>
      <c r="C49">
        <v>20</v>
      </c>
      <c r="D49">
        <v>8</v>
      </c>
      <c r="E49">
        <v>3</v>
      </c>
      <c r="F49" t="str">
        <f>VLOOKUP(A49, Lookups!$A$12:$E$51, 2, FALSE())</f>
        <v>Pro Laptop Model R</v>
      </c>
      <c r="G49" t="str">
        <f>VLOOKUP(A49, Lookups!$A$12:$E$51, 3, FALSE())</f>
        <v>Electronics</v>
      </c>
      <c r="H49">
        <f>VLOOKUP(A49, Lookups!$A$12:$E$51, 4, FALSE())</f>
        <v>71062</v>
      </c>
      <c r="I49">
        <f t="shared" si="2"/>
        <v>213186</v>
      </c>
      <c r="J49" t="str">
        <f t="shared" si="3"/>
        <v>Stockout Risk</v>
      </c>
    </row>
    <row r="50" spans="1:10" x14ac:dyDescent="0.45">
      <c r="A50" t="s">
        <v>64</v>
      </c>
      <c r="B50" t="s">
        <v>15</v>
      </c>
      <c r="C50">
        <v>26</v>
      </c>
      <c r="D50">
        <v>10</v>
      </c>
      <c r="E50">
        <v>16</v>
      </c>
      <c r="F50" t="str">
        <f>VLOOKUP(A50, Lookups!$A$12:$E$51, 2, FALSE())</f>
        <v>Enterprise Router 833X</v>
      </c>
      <c r="G50" t="str">
        <f>VLOOKUP(A50, Lookups!$A$12:$E$51, 3, FALSE())</f>
        <v>Networking</v>
      </c>
      <c r="H50">
        <f>VLOOKUP(A50, Lookups!$A$12:$E$51, 4, FALSE())</f>
        <v>36295</v>
      </c>
      <c r="I50">
        <f t="shared" si="2"/>
        <v>580720</v>
      </c>
      <c r="J50" t="str">
        <f t="shared" si="3"/>
        <v>Healthy</v>
      </c>
    </row>
    <row r="51" spans="1:10" x14ac:dyDescent="0.45">
      <c r="A51" t="s">
        <v>64</v>
      </c>
      <c r="B51" t="s">
        <v>16</v>
      </c>
      <c r="C51">
        <v>39</v>
      </c>
      <c r="D51">
        <v>15</v>
      </c>
      <c r="E51">
        <v>14</v>
      </c>
      <c r="F51" t="str">
        <f>VLOOKUP(A51, Lookups!$A$12:$E$51, 2, FALSE())</f>
        <v>Enterprise Router 833X</v>
      </c>
      <c r="G51" t="str">
        <f>VLOOKUP(A51, Lookups!$A$12:$E$51, 3, FALSE())</f>
        <v>Networking</v>
      </c>
      <c r="H51">
        <f>VLOOKUP(A51, Lookups!$A$12:$E$51, 4, FALSE())</f>
        <v>36295</v>
      </c>
      <c r="I51">
        <f t="shared" si="2"/>
        <v>508130</v>
      </c>
      <c r="J51" t="str">
        <f t="shared" si="3"/>
        <v>Stockout Risk</v>
      </c>
    </row>
    <row r="52" spans="1:10" x14ac:dyDescent="0.45">
      <c r="A52" t="s">
        <v>64</v>
      </c>
      <c r="B52" t="s">
        <v>17</v>
      </c>
      <c r="C52">
        <v>39</v>
      </c>
      <c r="D52">
        <v>15</v>
      </c>
      <c r="E52">
        <v>22</v>
      </c>
      <c r="F52" t="str">
        <f>VLOOKUP(A52, Lookups!$A$12:$E$51, 2, FALSE())</f>
        <v>Enterprise Router 833X</v>
      </c>
      <c r="G52" t="str">
        <f>VLOOKUP(A52, Lookups!$A$12:$E$51, 3, FALSE())</f>
        <v>Networking</v>
      </c>
      <c r="H52">
        <f>VLOOKUP(A52, Lookups!$A$12:$E$51, 4, FALSE())</f>
        <v>36295</v>
      </c>
      <c r="I52">
        <f t="shared" si="2"/>
        <v>798490</v>
      </c>
      <c r="J52" t="str">
        <f t="shared" si="3"/>
        <v>Healthy</v>
      </c>
    </row>
    <row r="53" spans="1:10" x14ac:dyDescent="0.45">
      <c r="A53" t="s">
        <v>64</v>
      </c>
      <c r="B53" t="s">
        <v>18</v>
      </c>
      <c r="C53">
        <v>26</v>
      </c>
      <c r="D53">
        <v>10</v>
      </c>
      <c r="E53">
        <v>16</v>
      </c>
      <c r="F53" t="str">
        <f>VLOOKUP(A53, Lookups!$A$12:$E$51, 2, FALSE())</f>
        <v>Enterprise Router 833X</v>
      </c>
      <c r="G53" t="str">
        <f>VLOOKUP(A53, Lookups!$A$12:$E$51, 3, FALSE())</f>
        <v>Networking</v>
      </c>
      <c r="H53">
        <f>VLOOKUP(A53, Lookups!$A$12:$E$51, 4, FALSE())</f>
        <v>36295</v>
      </c>
      <c r="I53">
        <f t="shared" si="2"/>
        <v>580720</v>
      </c>
      <c r="J53" t="str">
        <f t="shared" si="3"/>
        <v>Healthy</v>
      </c>
    </row>
    <row r="54" spans="1:10" x14ac:dyDescent="0.45">
      <c r="A54" t="s">
        <v>65</v>
      </c>
      <c r="B54" t="s">
        <v>15</v>
      </c>
      <c r="C54">
        <v>101</v>
      </c>
      <c r="D54">
        <v>40</v>
      </c>
      <c r="E54">
        <v>27</v>
      </c>
      <c r="F54" t="str">
        <f>VLOOKUP(A54, Lookups!$A$12:$E$51, 2, FALSE())</f>
        <v>Wireless Headset 9</v>
      </c>
      <c r="G54" t="str">
        <f>VLOOKUP(A54, Lookups!$A$12:$E$51, 3, FALSE())</f>
        <v>Peripherals</v>
      </c>
      <c r="H54">
        <f>VLOOKUP(A54, Lookups!$A$12:$E$51, 4, FALSE())</f>
        <v>4936</v>
      </c>
      <c r="I54">
        <f t="shared" si="2"/>
        <v>133272</v>
      </c>
      <c r="J54" t="str">
        <f t="shared" si="3"/>
        <v>Stockout Risk</v>
      </c>
    </row>
    <row r="55" spans="1:10" x14ac:dyDescent="0.45">
      <c r="A55" t="s">
        <v>65</v>
      </c>
      <c r="B55" t="s">
        <v>16</v>
      </c>
      <c r="C55">
        <v>202</v>
      </c>
      <c r="D55">
        <v>80</v>
      </c>
      <c r="E55">
        <v>199</v>
      </c>
      <c r="F55" t="str">
        <f>VLOOKUP(A55, Lookups!$A$12:$E$51, 2, FALSE())</f>
        <v>Wireless Headset 9</v>
      </c>
      <c r="G55" t="str">
        <f>VLOOKUP(A55, Lookups!$A$12:$E$51, 3, FALSE())</f>
        <v>Peripherals</v>
      </c>
      <c r="H55">
        <f>VLOOKUP(A55, Lookups!$A$12:$E$51, 4, FALSE())</f>
        <v>4936</v>
      </c>
      <c r="I55">
        <f t="shared" si="2"/>
        <v>982264</v>
      </c>
      <c r="J55" t="str">
        <f t="shared" si="3"/>
        <v>Healthy</v>
      </c>
    </row>
    <row r="56" spans="1:10" x14ac:dyDescent="0.45">
      <c r="A56" t="s">
        <v>65</v>
      </c>
      <c r="B56" t="s">
        <v>17</v>
      </c>
      <c r="C56">
        <v>303</v>
      </c>
      <c r="D56">
        <v>121</v>
      </c>
      <c r="E56">
        <v>83</v>
      </c>
      <c r="F56" t="str">
        <f>VLOOKUP(A56, Lookups!$A$12:$E$51, 2, FALSE())</f>
        <v>Wireless Headset 9</v>
      </c>
      <c r="G56" t="str">
        <f>VLOOKUP(A56, Lookups!$A$12:$E$51, 3, FALSE())</f>
        <v>Peripherals</v>
      </c>
      <c r="H56">
        <f>VLOOKUP(A56, Lookups!$A$12:$E$51, 4, FALSE())</f>
        <v>4936</v>
      </c>
      <c r="I56">
        <f t="shared" si="2"/>
        <v>409688</v>
      </c>
      <c r="J56" t="str">
        <f t="shared" si="3"/>
        <v>Stockout Risk</v>
      </c>
    </row>
    <row r="57" spans="1:10" x14ac:dyDescent="0.45">
      <c r="A57" t="s">
        <v>65</v>
      </c>
      <c r="B57" t="s">
        <v>18</v>
      </c>
      <c r="C57">
        <v>303</v>
      </c>
      <c r="D57">
        <v>121</v>
      </c>
      <c r="E57">
        <v>51</v>
      </c>
      <c r="F57" t="str">
        <f>VLOOKUP(A57, Lookups!$A$12:$E$51, 2, FALSE())</f>
        <v>Wireless Headset 9</v>
      </c>
      <c r="G57" t="str">
        <f>VLOOKUP(A57, Lookups!$A$12:$E$51, 3, FALSE())</f>
        <v>Peripherals</v>
      </c>
      <c r="H57">
        <f>VLOOKUP(A57, Lookups!$A$12:$E$51, 4, FALSE())</f>
        <v>4936</v>
      </c>
      <c r="I57">
        <f t="shared" si="2"/>
        <v>251736</v>
      </c>
      <c r="J57" t="str">
        <f t="shared" si="3"/>
        <v>Stockout Risk</v>
      </c>
    </row>
    <row r="58" spans="1:10" x14ac:dyDescent="0.45">
      <c r="A58" t="s">
        <v>66</v>
      </c>
      <c r="B58" t="s">
        <v>15</v>
      </c>
      <c r="C58">
        <v>48</v>
      </c>
      <c r="D58">
        <v>19</v>
      </c>
      <c r="E58">
        <v>25</v>
      </c>
      <c r="F58" t="str">
        <f>VLOOKUP(A58, Lookups!$A$12:$E$51, 2, FALSE())</f>
        <v>Enterprise Router 325X</v>
      </c>
      <c r="G58" t="str">
        <f>VLOOKUP(A58, Lookups!$A$12:$E$51, 3, FALSE())</f>
        <v>Networking</v>
      </c>
      <c r="H58">
        <f>VLOOKUP(A58, Lookups!$A$12:$E$51, 4, FALSE())</f>
        <v>29719</v>
      </c>
      <c r="I58">
        <f t="shared" si="2"/>
        <v>742975</v>
      </c>
      <c r="J58" t="str">
        <f t="shared" si="3"/>
        <v>Healthy</v>
      </c>
    </row>
    <row r="59" spans="1:10" x14ac:dyDescent="0.45">
      <c r="A59" t="s">
        <v>66</v>
      </c>
      <c r="B59" t="s">
        <v>16</v>
      </c>
      <c r="C59">
        <v>16</v>
      </c>
      <c r="D59">
        <v>6</v>
      </c>
      <c r="E59">
        <v>14</v>
      </c>
      <c r="F59" t="str">
        <f>VLOOKUP(A59, Lookups!$A$12:$E$51, 2, FALSE())</f>
        <v>Enterprise Router 325X</v>
      </c>
      <c r="G59" t="str">
        <f>VLOOKUP(A59, Lookups!$A$12:$E$51, 3, FALSE())</f>
        <v>Networking</v>
      </c>
      <c r="H59">
        <f>VLOOKUP(A59, Lookups!$A$12:$E$51, 4, FALSE())</f>
        <v>29719</v>
      </c>
      <c r="I59">
        <f t="shared" si="2"/>
        <v>416066</v>
      </c>
      <c r="J59" t="str">
        <f t="shared" si="3"/>
        <v>Healthy</v>
      </c>
    </row>
    <row r="60" spans="1:10" x14ac:dyDescent="0.45">
      <c r="A60" t="s">
        <v>66</v>
      </c>
      <c r="B60" t="s">
        <v>17</v>
      </c>
      <c r="C60">
        <v>32</v>
      </c>
      <c r="D60">
        <v>12</v>
      </c>
      <c r="E60">
        <v>2</v>
      </c>
      <c r="F60" t="str">
        <f>VLOOKUP(A60, Lookups!$A$12:$E$51, 2, FALSE())</f>
        <v>Enterprise Router 325X</v>
      </c>
      <c r="G60" t="str">
        <f>VLOOKUP(A60, Lookups!$A$12:$E$51, 3, FALSE())</f>
        <v>Networking</v>
      </c>
      <c r="H60">
        <f>VLOOKUP(A60, Lookups!$A$12:$E$51, 4, FALSE())</f>
        <v>29719</v>
      </c>
      <c r="I60">
        <f t="shared" si="2"/>
        <v>59438</v>
      </c>
      <c r="J60" t="str">
        <f t="shared" si="3"/>
        <v>Stockout Risk</v>
      </c>
    </row>
    <row r="61" spans="1:10" x14ac:dyDescent="0.45">
      <c r="A61" t="s">
        <v>66</v>
      </c>
      <c r="B61" t="s">
        <v>18</v>
      </c>
      <c r="C61">
        <v>32</v>
      </c>
      <c r="D61">
        <v>12</v>
      </c>
      <c r="E61">
        <v>14</v>
      </c>
      <c r="F61" t="str">
        <f>VLOOKUP(A61, Lookups!$A$12:$E$51, 2, FALSE())</f>
        <v>Enterprise Router 325X</v>
      </c>
      <c r="G61" t="str">
        <f>VLOOKUP(A61, Lookups!$A$12:$E$51, 3, FALSE())</f>
        <v>Networking</v>
      </c>
      <c r="H61">
        <f>VLOOKUP(A61, Lookups!$A$12:$E$51, 4, FALSE())</f>
        <v>29719</v>
      </c>
      <c r="I61">
        <f t="shared" si="2"/>
        <v>416066</v>
      </c>
      <c r="J61" t="str">
        <f t="shared" si="3"/>
        <v>Healthy</v>
      </c>
    </row>
    <row r="62" spans="1:10" x14ac:dyDescent="0.45">
      <c r="A62" t="s">
        <v>67</v>
      </c>
      <c r="B62" t="s">
        <v>15</v>
      </c>
      <c r="C62">
        <v>642</v>
      </c>
      <c r="D62">
        <v>256</v>
      </c>
      <c r="E62">
        <v>694</v>
      </c>
      <c r="F62" t="str">
        <f>VLOOKUP(A62, Lookups!$A$12:$E$51, 2, FALSE())</f>
        <v>Wireless Headset 5</v>
      </c>
      <c r="G62" t="str">
        <f>VLOOKUP(A62, Lookups!$A$12:$E$51, 3, FALSE())</f>
        <v>Peripherals</v>
      </c>
      <c r="H62">
        <f>VLOOKUP(A62, Lookups!$A$12:$E$51, 4, FALSE())</f>
        <v>1553</v>
      </c>
      <c r="I62">
        <f t="shared" si="2"/>
        <v>1077782</v>
      </c>
      <c r="J62" t="str">
        <f t="shared" si="3"/>
        <v>Healthy</v>
      </c>
    </row>
    <row r="63" spans="1:10" x14ac:dyDescent="0.45">
      <c r="A63" t="s">
        <v>67</v>
      </c>
      <c r="B63" t="s">
        <v>16</v>
      </c>
      <c r="C63">
        <v>963</v>
      </c>
      <c r="D63">
        <v>385</v>
      </c>
      <c r="E63">
        <v>333</v>
      </c>
      <c r="F63" t="str">
        <f>VLOOKUP(A63, Lookups!$A$12:$E$51, 2, FALSE())</f>
        <v>Wireless Headset 5</v>
      </c>
      <c r="G63" t="str">
        <f>VLOOKUP(A63, Lookups!$A$12:$E$51, 3, FALSE())</f>
        <v>Peripherals</v>
      </c>
      <c r="H63">
        <f>VLOOKUP(A63, Lookups!$A$12:$E$51, 4, FALSE())</f>
        <v>1553</v>
      </c>
      <c r="I63">
        <f t="shared" si="2"/>
        <v>517149</v>
      </c>
      <c r="J63" t="str">
        <f t="shared" si="3"/>
        <v>Stockout Risk</v>
      </c>
    </row>
    <row r="64" spans="1:10" x14ac:dyDescent="0.45">
      <c r="A64" t="s">
        <v>67</v>
      </c>
      <c r="B64" t="s">
        <v>17</v>
      </c>
      <c r="C64">
        <v>963</v>
      </c>
      <c r="D64">
        <v>385</v>
      </c>
      <c r="E64">
        <v>480</v>
      </c>
      <c r="F64" t="str">
        <f>VLOOKUP(A64, Lookups!$A$12:$E$51, 2, FALSE())</f>
        <v>Wireless Headset 5</v>
      </c>
      <c r="G64" t="str">
        <f>VLOOKUP(A64, Lookups!$A$12:$E$51, 3, FALSE())</f>
        <v>Peripherals</v>
      </c>
      <c r="H64">
        <f>VLOOKUP(A64, Lookups!$A$12:$E$51, 4, FALSE())</f>
        <v>1553</v>
      </c>
      <c r="I64">
        <f t="shared" si="2"/>
        <v>745440</v>
      </c>
      <c r="J64" t="str">
        <f t="shared" si="3"/>
        <v>Healthy</v>
      </c>
    </row>
    <row r="65" spans="1:10" x14ac:dyDescent="0.45">
      <c r="A65" t="s">
        <v>67</v>
      </c>
      <c r="B65" t="s">
        <v>18</v>
      </c>
      <c r="C65">
        <v>321</v>
      </c>
      <c r="D65">
        <v>128</v>
      </c>
      <c r="E65">
        <v>252</v>
      </c>
      <c r="F65" t="str">
        <f>VLOOKUP(A65, Lookups!$A$12:$E$51, 2, FALSE())</f>
        <v>Wireless Headset 5</v>
      </c>
      <c r="G65" t="str">
        <f>VLOOKUP(A65, Lookups!$A$12:$E$51, 3, FALSE())</f>
        <v>Peripherals</v>
      </c>
      <c r="H65">
        <f>VLOOKUP(A65, Lookups!$A$12:$E$51, 4, FALSE())</f>
        <v>1553</v>
      </c>
      <c r="I65">
        <f t="shared" si="2"/>
        <v>391356</v>
      </c>
      <c r="J65" t="str">
        <f t="shared" si="3"/>
        <v>Healthy</v>
      </c>
    </row>
    <row r="66" spans="1:10" x14ac:dyDescent="0.45">
      <c r="A66" t="s">
        <v>68</v>
      </c>
      <c r="B66" t="s">
        <v>15</v>
      </c>
      <c r="C66">
        <v>24</v>
      </c>
      <c r="D66">
        <v>9</v>
      </c>
      <c r="E66">
        <v>21</v>
      </c>
      <c r="F66" t="str">
        <f>VLOOKUP(A66, Lookups!$A$12:$E$51, 2, FALSE())</f>
        <v>Enterprise Router 877X</v>
      </c>
      <c r="G66" t="str">
        <f>VLOOKUP(A66, Lookups!$A$12:$E$51, 3, FALSE())</f>
        <v>Networking</v>
      </c>
      <c r="H66">
        <f>VLOOKUP(A66, Lookups!$A$12:$E$51, 4, FALSE())</f>
        <v>41405</v>
      </c>
      <c r="I66">
        <f t="shared" ref="I66:I97" si="4">E66*H66</f>
        <v>869505</v>
      </c>
      <c r="J66" t="str">
        <f t="shared" ref="J66:J97" si="5">IF(E66&lt;D66, "Stockout Risk", IF(E66&gt;(C66*1.2), "Excess", "Healthy"))</f>
        <v>Healthy</v>
      </c>
    </row>
    <row r="67" spans="1:10" x14ac:dyDescent="0.45">
      <c r="A67" t="s">
        <v>68</v>
      </c>
      <c r="B67" t="s">
        <v>16</v>
      </c>
      <c r="C67">
        <v>12</v>
      </c>
      <c r="D67">
        <v>4</v>
      </c>
      <c r="E67">
        <v>4</v>
      </c>
      <c r="F67" t="str">
        <f>VLOOKUP(A67, Lookups!$A$12:$E$51, 2, FALSE())</f>
        <v>Enterprise Router 877X</v>
      </c>
      <c r="G67" t="str">
        <f>VLOOKUP(A67, Lookups!$A$12:$E$51, 3, FALSE())</f>
        <v>Networking</v>
      </c>
      <c r="H67">
        <f>VLOOKUP(A67, Lookups!$A$12:$E$51, 4, FALSE())</f>
        <v>41405</v>
      </c>
      <c r="I67">
        <f t="shared" si="4"/>
        <v>165620</v>
      </c>
      <c r="J67" t="str">
        <f t="shared" si="5"/>
        <v>Healthy</v>
      </c>
    </row>
    <row r="68" spans="1:10" x14ac:dyDescent="0.45">
      <c r="A68" t="s">
        <v>68</v>
      </c>
      <c r="B68" t="s">
        <v>17</v>
      </c>
      <c r="C68">
        <v>24</v>
      </c>
      <c r="D68">
        <v>9</v>
      </c>
      <c r="E68">
        <v>23</v>
      </c>
      <c r="F68" t="str">
        <f>VLOOKUP(A68, Lookups!$A$12:$E$51, 2, FALSE())</f>
        <v>Enterprise Router 877X</v>
      </c>
      <c r="G68" t="str">
        <f>VLOOKUP(A68, Lookups!$A$12:$E$51, 3, FALSE())</f>
        <v>Networking</v>
      </c>
      <c r="H68">
        <f>VLOOKUP(A68, Lookups!$A$12:$E$51, 4, FALSE())</f>
        <v>41405</v>
      </c>
      <c r="I68">
        <f t="shared" si="4"/>
        <v>952315</v>
      </c>
      <c r="J68" t="str">
        <f t="shared" si="5"/>
        <v>Healthy</v>
      </c>
    </row>
    <row r="69" spans="1:10" x14ac:dyDescent="0.45">
      <c r="A69" t="s">
        <v>68</v>
      </c>
      <c r="B69" t="s">
        <v>18</v>
      </c>
      <c r="C69">
        <v>24</v>
      </c>
      <c r="D69">
        <v>9</v>
      </c>
      <c r="E69">
        <v>26</v>
      </c>
      <c r="F69" t="str">
        <f>VLOOKUP(A69, Lookups!$A$12:$E$51, 2, FALSE())</f>
        <v>Enterprise Router 877X</v>
      </c>
      <c r="G69" t="str">
        <f>VLOOKUP(A69, Lookups!$A$12:$E$51, 3, FALSE())</f>
        <v>Networking</v>
      </c>
      <c r="H69">
        <f>VLOOKUP(A69, Lookups!$A$12:$E$51, 4, FALSE())</f>
        <v>41405</v>
      </c>
      <c r="I69">
        <f t="shared" si="4"/>
        <v>1076530</v>
      </c>
      <c r="J69" t="str">
        <f t="shared" si="5"/>
        <v>Healthy</v>
      </c>
    </row>
    <row r="70" spans="1:10" x14ac:dyDescent="0.45">
      <c r="A70" t="s">
        <v>69</v>
      </c>
      <c r="B70" t="s">
        <v>15</v>
      </c>
      <c r="C70">
        <v>111</v>
      </c>
      <c r="D70">
        <v>44</v>
      </c>
      <c r="E70">
        <v>63</v>
      </c>
      <c r="F70" t="str">
        <f>VLOOKUP(A70, Lookups!$A$12:$E$51, 2, FALSE())</f>
        <v>Ergonomic Desk Pro</v>
      </c>
      <c r="G70" t="str">
        <f>VLOOKUP(A70, Lookups!$A$12:$E$51, 3, FALSE())</f>
        <v>Office Furniture</v>
      </c>
      <c r="H70">
        <f>VLOOKUP(A70, Lookups!$A$12:$E$51, 4, FALSE())</f>
        <v>13231</v>
      </c>
      <c r="I70">
        <f t="shared" si="4"/>
        <v>833553</v>
      </c>
      <c r="J70" t="str">
        <f t="shared" si="5"/>
        <v>Healthy</v>
      </c>
    </row>
    <row r="71" spans="1:10" x14ac:dyDescent="0.45">
      <c r="A71" t="s">
        <v>69</v>
      </c>
      <c r="B71" t="s">
        <v>16</v>
      </c>
      <c r="C71">
        <v>37</v>
      </c>
      <c r="D71">
        <v>14</v>
      </c>
      <c r="E71">
        <v>15</v>
      </c>
      <c r="F71" t="str">
        <f>VLOOKUP(A71, Lookups!$A$12:$E$51, 2, FALSE())</f>
        <v>Ergonomic Desk Pro</v>
      </c>
      <c r="G71" t="str">
        <f>VLOOKUP(A71, Lookups!$A$12:$E$51, 3, FALSE())</f>
        <v>Office Furniture</v>
      </c>
      <c r="H71">
        <f>VLOOKUP(A71, Lookups!$A$12:$E$51, 4, FALSE())</f>
        <v>13231</v>
      </c>
      <c r="I71">
        <f t="shared" si="4"/>
        <v>198465</v>
      </c>
      <c r="J71" t="str">
        <f t="shared" si="5"/>
        <v>Healthy</v>
      </c>
    </row>
    <row r="72" spans="1:10" x14ac:dyDescent="0.45">
      <c r="A72" t="s">
        <v>69</v>
      </c>
      <c r="B72" t="s">
        <v>17</v>
      </c>
      <c r="C72">
        <v>111</v>
      </c>
      <c r="D72">
        <v>44</v>
      </c>
      <c r="E72">
        <v>51</v>
      </c>
      <c r="F72" t="str">
        <f>VLOOKUP(A72, Lookups!$A$12:$E$51, 2, FALSE())</f>
        <v>Ergonomic Desk Pro</v>
      </c>
      <c r="G72" t="str">
        <f>VLOOKUP(A72, Lookups!$A$12:$E$51, 3, FALSE())</f>
        <v>Office Furniture</v>
      </c>
      <c r="H72">
        <f>VLOOKUP(A72, Lookups!$A$12:$E$51, 4, FALSE())</f>
        <v>13231</v>
      </c>
      <c r="I72">
        <f t="shared" si="4"/>
        <v>674781</v>
      </c>
      <c r="J72" t="str">
        <f t="shared" si="5"/>
        <v>Healthy</v>
      </c>
    </row>
    <row r="73" spans="1:10" x14ac:dyDescent="0.45">
      <c r="A73" t="s">
        <v>69</v>
      </c>
      <c r="B73" t="s">
        <v>18</v>
      </c>
      <c r="C73">
        <v>111</v>
      </c>
      <c r="D73">
        <v>44</v>
      </c>
      <c r="E73">
        <v>50</v>
      </c>
      <c r="F73" t="str">
        <f>VLOOKUP(A73, Lookups!$A$12:$E$51, 2, FALSE())</f>
        <v>Ergonomic Desk Pro</v>
      </c>
      <c r="G73" t="str">
        <f>VLOOKUP(A73, Lookups!$A$12:$E$51, 3, FALSE())</f>
        <v>Office Furniture</v>
      </c>
      <c r="H73">
        <f>VLOOKUP(A73, Lookups!$A$12:$E$51, 4, FALSE())</f>
        <v>13231</v>
      </c>
      <c r="I73">
        <f t="shared" si="4"/>
        <v>661550</v>
      </c>
      <c r="J73" t="str">
        <f t="shared" si="5"/>
        <v>Healthy</v>
      </c>
    </row>
    <row r="74" spans="1:10" x14ac:dyDescent="0.45">
      <c r="A74" t="s">
        <v>70</v>
      </c>
      <c r="B74" t="s">
        <v>15</v>
      </c>
      <c r="C74">
        <v>348</v>
      </c>
      <c r="D74">
        <v>139</v>
      </c>
      <c r="E74">
        <v>374</v>
      </c>
      <c r="F74" t="str">
        <f>VLOOKUP(A74, Lookups!$A$12:$E$51, 2, FALSE())</f>
        <v>Wireless Mouse 7</v>
      </c>
      <c r="G74" t="str">
        <f>VLOOKUP(A74, Lookups!$A$12:$E$51, 3, FALSE())</f>
        <v>Peripherals</v>
      </c>
      <c r="H74">
        <f>VLOOKUP(A74, Lookups!$A$12:$E$51, 4, FALSE())</f>
        <v>4287</v>
      </c>
      <c r="I74">
        <f t="shared" si="4"/>
        <v>1603338</v>
      </c>
      <c r="J74" t="str">
        <f t="shared" si="5"/>
        <v>Healthy</v>
      </c>
    </row>
    <row r="75" spans="1:10" x14ac:dyDescent="0.45">
      <c r="A75" t="s">
        <v>70</v>
      </c>
      <c r="B75" t="s">
        <v>16</v>
      </c>
      <c r="C75">
        <v>348</v>
      </c>
      <c r="D75">
        <v>139</v>
      </c>
      <c r="E75">
        <v>269</v>
      </c>
      <c r="F75" t="str">
        <f>VLOOKUP(A75, Lookups!$A$12:$E$51, 2, FALSE())</f>
        <v>Wireless Mouse 7</v>
      </c>
      <c r="G75" t="str">
        <f>VLOOKUP(A75, Lookups!$A$12:$E$51, 3, FALSE())</f>
        <v>Peripherals</v>
      </c>
      <c r="H75">
        <f>VLOOKUP(A75, Lookups!$A$12:$E$51, 4, FALSE())</f>
        <v>4287</v>
      </c>
      <c r="I75">
        <f t="shared" si="4"/>
        <v>1153203</v>
      </c>
      <c r="J75" t="str">
        <f t="shared" si="5"/>
        <v>Healthy</v>
      </c>
    </row>
    <row r="76" spans="1:10" x14ac:dyDescent="0.45">
      <c r="A76" t="s">
        <v>70</v>
      </c>
      <c r="B76" t="s">
        <v>17</v>
      </c>
      <c r="C76">
        <v>116</v>
      </c>
      <c r="D76">
        <v>46</v>
      </c>
      <c r="E76">
        <v>156</v>
      </c>
      <c r="F76" t="str">
        <f>VLOOKUP(A76, Lookups!$A$12:$E$51, 2, FALSE())</f>
        <v>Wireless Mouse 7</v>
      </c>
      <c r="G76" t="str">
        <f>VLOOKUP(A76, Lookups!$A$12:$E$51, 3, FALSE())</f>
        <v>Peripherals</v>
      </c>
      <c r="H76">
        <f>VLOOKUP(A76, Lookups!$A$12:$E$51, 4, FALSE())</f>
        <v>4287</v>
      </c>
      <c r="I76">
        <f t="shared" si="4"/>
        <v>668772</v>
      </c>
      <c r="J76" t="str">
        <f t="shared" si="5"/>
        <v>Excess</v>
      </c>
    </row>
    <row r="77" spans="1:10" x14ac:dyDescent="0.45">
      <c r="A77" t="s">
        <v>70</v>
      </c>
      <c r="B77" t="s">
        <v>18</v>
      </c>
      <c r="C77">
        <v>348</v>
      </c>
      <c r="D77">
        <v>139</v>
      </c>
      <c r="E77">
        <v>60</v>
      </c>
      <c r="F77" t="str">
        <f>VLOOKUP(A77, Lookups!$A$12:$E$51, 2, FALSE())</f>
        <v>Wireless Mouse 7</v>
      </c>
      <c r="G77" t="str">
        <f>VLOOKUP(A77, Lookups!$A$12:$E$51, 3, FALSE())</f>
        <v>Peripherals</v>
      </c>
      <c r="H77">
        <f>VLOOKUP(A77, Lookups!$A$12:$E$51, 4, FALSE())</f>
        <v>4287</v>
      </c>
      <c r="I77">
        <f t="shared" si="4"/>
        <v>257220</v>
      </c>
      <c r="J77" t="str">
        <f t="shared" si="5"/>
        <v>Stockout Risk</v>
      </c>
    </row>
    <row r="78" spans="1:10" x14ac:dyDescent="0.45">
      <c r="A78" t="s">
        <v>71</v>
      </c>
      <c r="B78" t="s">
        <v>15</v>
      </c>
      <c r="C78">
        <v>20</v>
      </c>
      <c r="D78">
        <v>8</v>
      </c>
      <c r="E78">
        <v>3</v>
      </c>
      <c r="F78" t="str">
        <f>VLOOKUP(A78, Lookups!$A$12:$E$51, 2, FALSE())</f>
        <v>Pro Laptop Model I</v>
      </c>
      <c r="G78" t="str">
        <f>VLOOKUP(A78, Lookups!$A$12:$E$51, 3, FALSE())</f>
        <v>Electronics</v>
      </c>
      <c r="H78">
        <f>VLOOKUP(A78, Lookups!$A$12:$E$51, 4, FALSE())</f>
        <v>65379</v>
      </c>
      <c r="I78">
        <f t="shared" si="4"/>
        <v>196137</v>
      </c>
      <c r="J78" t="str">
        <f t="shared" si="5"/>
        <v>Stockout Risk</v>
      </c>
    </row>
    <row r="79" spans="1:10" x14ac:dyDescent="0.45">
      <c r="A79" t="s">
        <v>71</v>
      </c>
      <c r="B79" t="s">
        <v>16</v>
      </c>
      <c r="C79">
        <v>30</v>
      </c>
      <c r="D79">
        <v>12</v>
      </c>
      <c r="E79">
        <v>31</v>
      </c>
      <c r="F79" t="str">
        <f>VLOOKUP(A79, Lookups!$A$12:$E$51, 2, FALSE())</f>
        <v>Pro Laptop Model I</v>
      </c>
      <c r="G79" t="str">
        <f>VLOOKUP(A79, Lookups!$A$12:$E$51, 3, FALSE())</f>
        <v>Electronics</v>
      </c>
      <c r="H79">
        <f>VLOOKUP(A79, Lookups!$A$12:$E$51, 4, FALSE())</f>
        <v>65379</v>
      </c>
      <c r="I79">
        <f t="shared" si="4"/>
        <v>2026749</v>
      </c>
      <c r="J79" t="str">
        <f t="shared" si="5"/>
        <v>Healthy</v>
      </c>
    </row>
    <row r="80" spans="1:10" x14ac:dyDescent="0.45">
      <c r="A80" t="s">
        <v>71</v>
      </c>
      <c r="B80" t="s">
        <v>17</v>
      </c>
      <c r="C80">
        <v>10</v>
      </c>
      <c r="D80">
        <v>4</v>
      </c>
      <c r="E80">
        <v>9</v>
      </c>
      <c r="F80" t="str">
        <f>VLOOKUP(A80, Lookups!$A$12:$E$51, 2, FALSE())</f>
        <v>Pro Laptop Model I</v>
      </c>
      <c r="G80" t="str">
        <f>VLOOKUP(A80, Lookups!$A$12:$E$51, 3, FALSE())</f>
        <v>Electronics</v>
      </c>
      <c r="H80">
        <f>VLOOKUP(A80, Lookups!$A$12:$E$51, 4, FALSE())</f>
        <v>65379</v>
      </c>
      <c r="I80">
        <f t="shared" si="4"/>
        <v>588411</v>
      </c>
      <c r="J80" t="str">
        <f t="shared" si="5"/>
        <v>Healthy</v>
      </c>
    </row>
    <row r="81" spans="1:10" x14ac:dyDescent="0.45">
      <c r="A81" t="s">
        <v>71</v>
      </c>
      <c r="B81" t="s">
        <v>18</v>
      </c>
      <c r="C81">
        <v>20</v>
      </c>
      <c r="D81">
        <v>8</v>
      </c>
      <c r="E81">
        <v>19</v>
      </c>
      <c r="F81" t="str">
        <f>VLOOKUP(A81, Lookups!$A$12:$E$51, 2, FALSE())</f>
        <v>Pro Laptop Model I</v>
      </c>
      <c r="G81" t="str">
        <f>VLOOKUP(A81, Lookups!$A$12:$E$51, 3, FALSE())</f>
        <v>Electronics</v>
      </c>
      <c r="H81">
        <f>VLOOKUP(A81, Lookups!$A$12:$E$51, 4, FALSE())</f>
        <v>65379</v>
      </c>
      <c r="I81">
        <f t="shared" si="4"/>
        <v>1242201</v>
      </c>
      <c r="J81" t="str">
        <f t="shared" si="5"/>
        <v>Healthy</v>
      </c>
    </row>
    <row r="82" spans="1:10" x14ac:dyDescent="0.45">
      <c r="A82" t="s">
        <v>72</v>
      </c>
      <c r="B82" t="s">
        <v>15</v>
      </c>
      <c r="C82">
        <v>128</v>
      </c>
      <c r="D82">
        <v>51</v>
      </c>
      <c r="E82">
        <v>101</v>
      </c>
      <c r="F82" t="str">
        <f>VLOOKUP(A82, Lookups!$A$12:$E$51, 2, FALSE())</f>
        <v>Wireless Mouse 4</v>
      </c>
      <c r="G82" t="str">
        <f>VLOOKUP(A82, Lookups!$A$12:$E$51, 3, FALSE())</f>
        <v>Peripherals</v>
      </c>
      <c r="H82">
        <f>VLOOKUP(A82, Lookups!$A$12:$E$51, 4, FALSE())</f>
        <v>7754</v>
      </c>
      <c r="I82">
        <f t="shared" si="4"/>
        <v>783154</v>
      </c>
      <c r="J82" t="str">
        <f t="shared" si="5"/>
        <v>Healthy</v>
      </c>
    </row>
    <row r="83" spans="1:10" x14ac:dyDescent="0.45">
      <c r="A83" t="s">
        <v>72</v>
      </c>
      <c r="B83" t="s">
        <v>16</v>
      </c>
      <c r="C83">
        <v>64</v>
      </c>
      <c r="D83">
        <v>25</v>
      </c>
      <c r="E83">
        <v>44</v>
      </c>
      <c r="F83" t="str">
        <f>VLOOKUP(A83, Lookups!$A$12:$E$51, 2, FALSE())</f>
        <v>Wireless Mouse 4</v>
      </c>
      <c r="G83" t="str">
        <f>VLOOKUP(A83, Lookups!$A$12:$E$51, 3, FALSE())</f>
        <v>Peripherals</v>
      </c>
      <c r="H83">
        <f>VLOOKUP(A83, Lookups!$A$12:$E$51, 4, FALSE())</f>
        <v>7754</v>
      </c>
      <c r="I83">
        <f t="shared" si="4"/>
        <v>341176</v>
      </c>
      <c r="J83" t="str">
        <f t="shared" si="5"/>
        <v>Healthy</v>
      </c>
    </row>
    <row r="84" spans="1:10" x14ac:dyDescent="0.45">
      <c r="A84" t="s">
        <v>72</v>
      </c>
      <c r="B84" t="s">
        <v>17</v>
      </c>
      <c r="C84">
        <v>128</v>
      </c>
      <c r="D84">
        <v>51</v>
      </c>
      <c r="E84">
        <v>60</v>
      </c>
      <c r="F84" t="str">
        <f>VLOOKUP(A84, Lookups!$A$12:$E$51, 2, FALSE())</f>
        <v>Wireless Mouse 4</v>
      </c>
      <c r="G84" t="str">
        <f>VLOOKUP(A84, Lookups!$A$12:$E$51, 3, FALSE())</f>
        <v>Peripherals</v>
      </c>
      <c r="H84">
        <f>VLOOKUP(A84, Lookups!$A$12:$E$51, 4, FALSE())</f>
        <v>7754</v>
      </c>
      <c r="I84">
        <f t="shared" si="4"/>
        <v>465240</v>
      </c>
      <c r="J84" t="str">
        <f t="shared" si="5"/>
        <v>Healthy</v>
      </c>
    </row>
    <row r="85" spans="1:10" x14ac:dyDescent="0.45">
      <c r="A85" t="s">
        <v>72</v>
      </c>
      <c r="B85" t="s">
        <v>18</v>
      </c>
      <c r="C85">
        <v>64</v>
      </c>
      <c r="D85">
        <v>25</v>
      </c>
      <c r="E85">
        <v>61</v>
      </c>
      <c r="F85" t="str">
        <f>VLOOKUP(A85, Lookups!$A$12:$E$51, 2, FALSE())</f>
        <v>Wireless Mouse 4</v>
      </c>
      <c r="G85" t="str">
        <f>VLOOKUP(A85, Lookups!$A$12:$E$51, 3, FALSE())</f>
        <v>Peripherals</v>
      </c>
      <c r="H85">
        <f>VLOOKUP(A85, Lookups!$A$12:$E$51, 4, FALSE())</f>
        <v>7754</v>
      </c>
      <c r="I85">
        <f t="shared" si="4"/>
        <v>472994</v>
      </c>
      <c r="J85" t="str">
        <f t="shared" si="5"/>
        <v>Healthy</v>
      </c>
    </row>
    <row r="86" spans="1:10" x14ac:dyDescent="0.45">
      <c r="A86" t="s">
        <v>73</v>
      </c>
      <c r="B86" t="s">
        <v>15</v>
      </c>
      <c r="C86">
        <v>10</v>
      </c>
      <c r="D86">
        <v>4</v>
      </c>
      <c r="E86">
        <v>1</v>
      </c>
      <c r="F86" t="str">
        <f>VLOOKUP(A86, Lookups!$A$12:$E$51, 2, FALSE())</f>
        <v>Pro Laptop Model K</v>
      </c>
      <c r="G86" t="str">
        <f>VLOOKUP(A86, Lookups!$A$12:$E$51, 3, FALSE())</f>
        <v>Electronics</v>
      </c>
      <c r="H86">
        <f>VLOOKUP(A86, Lookups!$A$12:$E$51, 4, FALSE())</f>
        <v>58396</v>
      </c>
      <c r="I86">
        <f t="shared" si="4"/>
        <v>58396</v>
      </c>
      <c r="J86" t="str">
        <f t="shared" si="5"/>
        <v>Stockout Risk</v>
      </c>
    </row>
    <row r="87" spans="1:10" x14ac:dyDescent="0.45">
      <c r="A87" t="s">
        <v>73</v>
      </c>
      <c r="B87" t="s">
        <v>16</v>
      </c>
      <c r="C87">
        <v>30</v>
      </c>
      <c r="D87">
        <v>12</v>
      </c>
      <c r="E87">
        <v>23</v>
      </c>
      <c r="F87" t="str">
        <f>VLOOKUP(A87, Lookups!$A$12:$E$51, 2, FALSE())</f>
        <v>Pro Laptop Model K</v>
      </c>
      <c r="G87" t="str">
        <f>VLOOKUP(A87, Lookups!$A$12:$E$51, 3, FALSE())</f>
        <v>Electronics</v>
      </c>
      <c r="H87">
        <f>VLOOKUP(A87, Lookups!$A$12:$E$51, 4, FALSE())</f>
        <v>58396</v>
      </c>
      <c r="I87">
        <f t="shared" si="4"/>
        <v>1343108</v>
      </c>
      <c r="J87" t="str">
        <f t="shared" si="5"/>
        <v>Healthy</v>
      </c>
    </row>
    <row r="88" spans="1:10" x14ac:dyDescent="0.45">
      <c r="A88" t="s">
        <v>73</v>
      </c>
      <c r="B88" t="s">
        <v>17</v>
      </c>
      <c r="C88">
        <v>10</v>
      </c>
      <c r="D88">
        <v>4</v>
      </c>
      <c r="E88">
        <v>17</v>
      </c>
      <c r="F88" t="str">
        <f>VLOOKUP(A88, Lookups!$A$12:$E$51, 2, FALSE())</f>
        <v>Pro Laptop Model K</v>
      </c>
      <c r="G88" t="str">
        <f>VLOOKUP(A88, Lookups!$A$12:$E$51, 3, FALSE())</f>
        <v>Electronics</v>
      </c>
      <c r="H88">
        <f>VLOOKUP(A88, Lookups!$A$12:$E$51, 4, FALSE())</f>
        <v>58396</v>
      </c>
      <c r="I88">
        <f t="shared" si="4"/>
        <v>992732</v>
      </c>
      <c r="J88" t="str">
        <f t="shared" si="5"/>
        <v>Excess</v>
      </c>
    </row>
    <row r="89" spans="1:10" x14ac:dyDescent="0.45">
      <c r="A89" t="s">
        <v>73</v>
      </c>
      <c r="B89" t="s">
        <v>18</v>
      </c>
      <c r="C89">
        <v>20</v>
      </c>
      <c r="D89">
        <v>8</v>
      </c>
      <c r="E89">
        <v>21</v>
      </c>
      <c r="F89" t="str">
        <f>VLOOKUP(A89, Lookups!$A$12:$E$51, 2, FALSE())</f>
        <v>Pro Laptop Model K</v>
      </c>
      <c r="G89" t="str">
        <f>VLOOKUP(A89, Lookups!$A$12:$E$51, 3, FALSE())</f>
        <v>Electronics</v>
      </c>
      <c r="H89">
        <f>VLOOKUP(A89, Lookups!$A$12:$E$51, 4, FALSE())</f>
        <v>58396</v>
      </c>
      <c r="I89">
        <f t="shared" si="4"/>
        <v>1226316</v>
      </c>
      <c r="J89" t="str">
        <f t="shared" si="5"/>
        <v>Healthy</v>
      </c>
    </row>
    <row r="90" spans="1:10" x14ac:dyDescent="0.45">
      <c r="A90" t="s">
        <v>74</v>
      </c>
      <c r="B90" t="s">
        <v>15</v>
      </c>
      <c r="C90">
        <v>30</v>
      </c>
      <c r="D90">
        <v>12</v>
      </c>
      <c r="E90">
        <v>31</v>
      </c>
      <c r="F90" t="str">
        <f>VLOOKUP(A90, Lookups!$A$12:$E$51, 2, FALSE())</f>
        <v>Pro Laptop Model C</v>
      </c>
      <c r="G90" t="str">
        <f>VLOOKUP(A90, Lookups!$A$12:$E$51, 3, FALSE())</f>
        <v>Electronics</v>
      </c>
      <c r="H90">
        <f>VLOOKUP(A90, Lookups!$A$12:$E$51, 4, FALSE())</f>
        <v>94797</v>
      </c>
      <c r="I90">
        <f t="shared" si="4"/>
        <v>2938707</v>
      </c>
      <c r="J90" t="str">
        <f t="shared" si="5"/>
        <v>Healthy</v>
      </c>
    </row>
    <row r="91" spans="1:10" x14ac:dyDescent="0.45">
      <c r="A91" t="s">
        <v>74</v>
      </c>
      <c r="B91" t="s">
        <v>16</v>
      </c>
      <c r="C91">
        <v>30</v>
      </c>
      <c r="D91">
        <v>12</v>
      </c>
      <c r="E91">
        <v>33</v>
      </c>
      <c r="F91" t="str">
        <f>VLOOKUP(A91, Lookups!$A$12:$E$51, 2, FALSE())</f>
        <v>Pro Laptop Model C</v>
      </c>
      <c r="G91" t="str">
        <f>VLOOKUP(A91, Lookups!$A$12:$E$51, 3, FALSE())</f>
        <v>Electronics</v>
      </c>
      <c r="H91">
        <f>VLOOKUP(A91, Lookups!$A$12:$E$51, 4, FALSE())</f>
        <v>94797</v>
      </c>
      <c r="I91">
        <f t="shared" si="4"/>
        <v>3128301</v>
      </c>
      <c r="J91" t="str">
        <f t="shared" si="5"/>
        <v>Healthy</v>
      </c>
    </row>
    <row r="92" spans="1:10" x14ac:dyDescent="0.45">
      <c r="A92" t="s">
        <v>74</v>
      </c>
      <c r="B92" t="s">
        <v>17</v>
      </c>
      <c r="C92">
        <v>30</v>
      </c>
      <c r="D92">
        <v>12</v>
      </c>
      <c r="E92">
        <v>33</v>
      </c>
      <c r="F92" t="str">
        <f>VLOOKUP(A92, Lookups!$A$12:$E$51, 2, FALSE())</f>
        <v>Pro Laptop Model C</v>
      </c>
      <c r="G92" t="str">
        <f>VLOOKUP(A92, Lookups!$A$12:$E$51, 3, FALSE())</f>
        <v>Electronics</v>
      </c>
      <c r="H92">
        <f>VLOOKUP(A92, Lookups!$A$12:$E$51, 4, FALSE())</f>
        <v>94797</v>
      </c>
      <c r="I92">
        <f t="shared" si="4"/>
        <v>3128301</v>
      </c>
      <c r="J92" t="str">
        <f t="shared" si="5"/>
        <v>Healthy</v>
      </c>
    </row>
    <row r="93" spans="1:10" x14ac:dyDescent="0.45">
      <c r="A93" t="s">
        <v>74</v>
      </c>
      <c r="B93" t="s">
        <v>18</v>
      </c>
      <c r="C93">
        <v>10</v>
      </c>
      <c r="D93">
        <v>4</v>
      </c>
      <c r="E93">
        <v>14</v>
      </c>
      <c r="F93" t="str">
        <f>VLOOKUP(A93, Lookups!$A$12:$E$51, 2, FALSE())</f>
        <v>Pro Laptop Model C</v>
      </c>
      <c r="G93" t="str">
        <f>VLOOKUP(A93, Lookups!$A$12:$E$51, 3, FALSE())</f>
        <v>Electronics</v>
      </c>
      <c r="H93">
        <f>VLOOKUP(A93, Lookups!$A$12:$E$51, 4, FALSE())</f>
        <v>94797</v>
      </c>
      <c r="I93">
        <f t="shared" si="4"/>
        <v>1327158</v>
      </c>
      <c r="J93" t="str">
        <f t="shared" si="5"/>
        <v>Excess</v>
      </c>
    </row>
    <row r="94" spans="1:10" x14ac:dyDescent="0.45">
      <c r="A94" t="s">
        <v>75</v>
      </c>
      <c r="B94" t="s">
        <v>15</v>
      </c>
      <c r="C94">
        <v>224</v>
      </c>
      <c r="D94">
        <v>89</v>
      </c>
      <c r="E94">
        <v>13</v>
      </c>
      <c r="F94" t="str">
        <f>VLOOKUP(A94, Lookups!$A$12:$E$51, 2, FALSE())</f>
        <v>Wireless Keyboard 2</v>
      </c>
      <c r="G94" t="str">
        <f>VLOOKUP(A94, Lookups!$A$12:$E$51, 3, FALSE())</f>
        <v>Peripherals</v>
      </c>
      <c r="H94">
        <f>VLOOKUP(A94, Lookups!$A$12:$E$51, 4, FALSE())</f>
        <v>4440</v>
      </c>
      <c r="I94">
        <f t="shared" si="4"/>
        <v>57720</v>
      </c>
      <c r="J94" t="str">
        <f t="shared" si="5"/>
        <v>Stockout Risk</v>
      </c>
    </row>
    <row r="95" spans="1:10" x14ac:dyDescent="0.45">
      <c r="A95" t="s">
        <v>75</v>
      </c>
      <c r="B95" t="s">
        <v>16</v>
      </c>
      <c r="C95">
        <v>336</v>
      </c>
      <c r="D95">
        <v>134</v>
      </c>
      <c r="E95">
        <v>203</v>
      </c>
      <c r="F95" t="str">
        <f>VLOOKUP(A95, Lookups!$A$12:$E$51, 2, FALSE())</f>
        <v>Wireless Keyboard 2</v>
      </c>
      <c r="G95" t="str">
        <f>VLOOKUP(A95, Lookups!$A$12:$E$51, 3, FALSE())</f>
        <v>Peripherals</v>
      </c>
      <c r="H95">
        <f>VLOOKUP(A95, Lookups!$A$12:$E$51, 4, FALSE())</f>
        <v>4440</v>
      </c>
      <c r="I95">
        <f t="shared" si="4"/>
        <v>901320</v>
      </c>
      <c r="J95" t="str">
        <f t="shared" si="5"/>
        <v>Healthy</v>
      </c>
    </row>
    <row r="96" spans="1:10" x14ac:dyDescent="0.45">
      <c r="A96" t="s">
        <v>75</v>
      </c>
      <c r="B96" t="s">
        <v>17</v>
      </c>
      <c r="C96">
        <v>224</v>
      </c>
      <c r="D96">
        <v>89</v>
      </c>
      <c r="E96">
        <v>176</v>
      </c>
      <c r="F96" t="str">
        <f>VLOOKUP(A96, Lookups!$A$12:$E$51, 2, FALSE())</f>
        <v>Wireless Keyboard 2</v>
      </c>
      <c r="G96" t="str">
        <f>VLOOKUP(A96, Lookups!$A$12:$E$51, 3, FALSE())</f>
        <v>Peripherals</v>
      </c>
      <c r="H96">
        <f>VLOOKUP(A96, Lookups!$A$12:$E$51, 4, FALSE())</f>
        <v>4440</v>
      </c>
      <c r="I96">
        <f t="shared" si="4"/>
        <v>781440</v>
      </c>
      <c r="J96" t="str">
        <f t="shared" si="5"/>
        <v>Healthy</v>
      </c>
    </row>
    <row r="97" spans="1:10" x14ac:dyDescent="0.45">
      <c r="A97" t="s">
        <v>75</v>
      </c>
      <c r="B97" t="s">
        <v>18</v>
      </c>
      <c r="C97">
        <v>112</v>
      </c>
      <c r="D97">
        <v>44</v>
      </c>
      <c r="E97">
        <v>77</v>
      </c>
      <c r="F97" t="str">
        <f>VLOOKUP(A97, Lookups!$A$12:$E$51, 2, FALSE())</f>
        <v>Wireless Keyboard 2</v>
      </c>
      <c r="G97" t="str">
        <f>VLOOKUP(A97, Lookups!$A$12:$E$51, 3, FALSE())</f>
        <v>Peripherals</v>
      </c>
      <c r="H97">
        <f>VLOOKUP(A97, Lookups!$A$12:$E$51, 4, FALSE())</f>
        <v>4440</v>
      </c>
      <c r="I97">
        <f t="shared" si="4"/>
        <v>341880</v>
      </c>
      <c r="J97" t="str">
        <f t="shared" si="5"/>
        <v>Healthy</v>
      </c>
    </row>
    <row r="98" spans="1:10" x14ac:dyDescent="0.45">
      <c r="A98" t="s">
        <v>76</v>
      </c>
      <c r="B98" t="s">
        <v>15</v>
      </c>
      <c r="C98">
        <v>57</v>
      </c>
      <c r="D98">
        <v>22</v>
      </c>
      <c r="E98">
        <v>25</v>
      </c>
      <c r="F98" t="str">
        <f>VLOOKUP(A98, Lookups!$A$12:$E$51, 2, FALSE())</f>
        <v>Enterprise Router 967X</v>
      </c>
      <c r="G98" t="str">
        <f>VLOOKUP(A98, Lookups!$A$12:$E$51, 3, FALSE())</f>
        <v>Networking</v>
      </c>
      <c r="H98">
        <f>VLOOKUP(A98, Lookups!$A$12:$E$51, 4, FALSE())</f>
        <v>26270</v>
      </c>
      <c r="I98">
        <f t="shared" ref="I98:I129" si="6">E98*H98</f>
        <v>656750</v>
      </c>
      <c r="J98" t="str">
        <f t="shared" ref="J98:J129" si="7">IF(E98&lt;D98, "Stockout Risk", IF(E98&gt;(C98*1.2), "Excess", "Healthy"))</f>
        <v>Healthy</v>
      </c>
    </row>
    <row r="99" spans="1:10" x14ac:dyDescent="0.45">
      <c r="A99" t="s">
        <v>76</v>
      </c>
      <c r="B99" t="s">
        <v>16</v>
      </c>
      <c r="C99">
        <v>19</v>
      </c>
      <c r="D99">
        <v>7</v>
      </c>
      <c r="E99">
        <v>20</v>
      </c>
      <c r="F99" t="str">
        <f>VLOOKUP(A99, Lookups!$A$12:$E$51, 2, FALSE())</f>
        <v>Enterprise Router 967X</v>
      </c>
      <c r="G99" t="str">
        <f>VLOOKUP(A99, Lookups!$A$12:$E$51, 3, FALSE())</f>
        <v>Networking</v>
      </c>
      <c r="H99">
        <f>VLOOKUP(A99, Lookups!$A$12:$E$51, 4, FALSE())</f>
        <v>26270</v>
      </c>
      <c r="I99">
        <f t="shared" si="6"/>
        <v>525400</v>
      </c>
      <c r="J99" t="str">
        <f t="shared" si="7"/>
        <v>Healthy</v>
      </c>
    </row>
    <row r="100" spans="1:10" x14ac:dyDescent="0.45">
      <c r="A100" t="s">
        <v>76</v>
      </c>
      <c r="B100" t="s">
        <v>17</v>
      </c>
      <c r="C100">
        <v>38</v>
      </c>
      <c r="D100">
        <v>15</v>
      </c>
      <c r="E100">
        <v>5</v>
      </c>
      <c r="F100" t="str">
        <f>VLOOKUP(A100, Lookups!$A$12:$E$51, 2, FALSE())</f>
        <v>Enterprise Router 967X</v>
      </c>
      <c r="G100" t="str">
        <f>VLOOKUP(A100, Lookups!$A$12:$E$51, 3, FALSE())</f>
        <v>Networking</v>
      </c>
      <c r="H100">
        <f>VLOOKUP(A100, Lookups!$A$12:$E$51, 4, FALSE())</f>
        <v>26270</v>
      </c>
      <c r="I100">
        <f t="shared" si="6"/>
        <v>131350</v>
      </c>
      <c r="J100" t="str">
        <f t="shared" si="7"/>
        <v>Stockout Risk</v>
      </c>
    </row>
    <row r="101" spans="1:10" x14ac:dyDescent="0.45">
      <c r="A101" t="s">
        <v>76</v>
      </c>
      <c r="B101" t="s">
        <v>18</v>
      </c>
      <c r="C101">
        <v>19</v>
      </c>
      <c r="D101">
        <v>7</v>
      </c>
      <c r="E101">
        <v>11</v>
      </c>
      <c r="F101" t="str">
        <f>VLOOKUP(A101, Lookups!$A$12:$E$51, 2, FALSE())</f>
        <v>Enterprise Router 967X</v>
      </c>
      <c r="G101" t="str">
        <f>VLOOKUP(A101, Lookups!$A$12:$E$51, 3, FALSE())</f>
        <v>Networking</v>
      </c>
      <c r="H101">
        <f>VLOOKUP(A101, Lookups!$A$12:$E$51, 4, FALSE())</f>
        <v>26270</v>
      </c>
      <c r="I101">
        <f t="shared" si="6"/>
        <v>288970</v>
      </c>
      <c r="J101" t="str">
        <f t="shared" si="7"/>
        <v>Healthy</v>
      </c>
    </row>
    <row r="102" spans="1:10" x14ac:dyDescent="0.45">
      <c r="A102" t="s">
        <v>77</v>
      </c>
      <c r="B102" t="s">
        <v>15</v>
      </c>
      <c r="C102">
        <v>21</v>
      </c>
      <c r="D102">
        <v>8</v>
      </c>
      <c r="E102">
        <v>21</v>
      </c>
      <c r="F102" t="str">
        <f>VLOOKUP(A102, Lookups!$A$12:$E$51, 2, FALSE())</f>
        <v>Enterprise Router 718X</v>
      </c>
      <c r="G102" t="str">
        <f>VLOOKUP(A102, Lookups!$A$12:$E$51, 3, FALSE())</f>
        <v>Networking</v>
      </c>
      <c r="H102">
        <f>VLOOKUP(A102, Lookups!$A$12:$E$51, 4, FALSE())</f>
        <v>23667</v>
      </c>
      <c r="I102">
        <f t="shared" si="6"/>
        <v>497007</v>
      </c>
      <c r="J102" t="str">
        <f t="shared" si="7"/>
        <v>Healthy</v>
      </c>
    </row>
    <row r="103" spans="1:10" x14ac:dyDescent="0.45">
      <c r="A103" t="s">
        <v>77</v>
      </c>
      <c r="B103" t="s">
        <v>16</v>
      </c>
      <c r="C103">
        <v>63</v>
      </c>
      <c r="D103">
        <v>25</v>
      </c>
      <c r="E103">
        <v>2</v>
      </c>
      <c r="F103" t="str">
        <f>VLOOKUP(A103, Lookups!$A$12:$E$51, 2, FALSE())</f>
        <v>Enterprise Router 718X</v>
      </c>
      <c r="G103" t="str">
        <f>VLOOKUP(A103, Lookups!$A$12:$E$51, 3, FALSE())</f>
        <v>Networking</v>
      </c>
      <c r="H103">
        <f>VLOOKUP(A103, Lookups!$A$12:$E$51, 4, FALSE())</f>
        <v>23667</v>
      </c>
      <c r="I103">
        <f t="shared" si="6"/>
        <v>47334</v>
      </c>
      <c r="J103" t="str">
        <f t="shared" si="7"/>
        <v>Stockout Risk</v>
      </c>
    </row>
    <row r="104" spans="1:10" x14ac:dyDescent="0.45">
      <c r="A104" t="s">
        <v>77</v>
      </c>
      <c r="B104" t="s">
        <v>17</v>
      </c>
      <c r="C104">
        <v>63</v>
      </c>
      <c r="D104">
        <v>25</v>
      </c>
      <c r="E104">
        <v>144</v>
      </c>
      <c r="F104" t="str">
        <f>VLOOKUP(A104, Lookups!$A$12:$E$51, 2, FALSE())</f>
        <v>Enterprise Router 718X</v>
      </c>
      <c r="G104" t="str">
        <f>VLOOKUP(A104, Lookups!$A$12:$E$51, 3, FALSE())</f>
        <v>Networking</v>
      </c>
      <c r="H104">
        <f>VLOOKUP(A104, Lookups!$A$12:$E$51, 4, FALSE())</f>
        <v>23667</v>
      </c>
      <c r="I104">
        <f t="shared" si="6"/>
        <v>3408048</v>
      </c>
      <c r="J104" t="str">
        <f t="shared" si="7"/>
        <v>Excess</v>
      </c>
    </row>
    <row r="105" spans="1:10" x14ac:dyDescent="0.45">
      <c r="A105" t="s">
        <v>77</v>
      </c>
      <c r="B105" t="s">
        <v>18</v>
      </c>
      <c r="C105">
        <v>21</v>
      </c>
      <c r="D105">
        <v>8</v>
      </c>
      <c r="E105">
        <v>12</v>
      </c>
      <c r="F105" t="str">
        <f>VLOOKUP(A105, Lookups!$A$12:$E$51, 2, FALSE())</f>
        <v>Enterprise Router 718X</v>
      </c>
      <c r="G105" t="str">
        <f>VLOOKUP(A105, Lookups!$A$12:$E$51, 3, FALSE())</f>
        <v>Networking</v>
      </c>
      <c r="H105">
        <f>VLOOKUP(A105, Lookups!$A$12:$E$51, 4, FALSE())</f>
        <v>23667</v>
      </c>
      <c r="I105">
        <f t="shared" si="6"/>
        <v>284004</v>
      </c>
      <c r="J105" t="str">
        <f t="shared" si="7"/>
        <v>Healthy</v>
      </c>
    </row>
    <row r="106" spans="1:10" x14ac:dyDescent="0.45">
      <c r="A106" t="s">
        <v>78</v>
      </c>
      <c r="B106" t="s">
        <v>15</v>
      </c>
      <c r="C106">
        <v>106</v>
      </c>
      <c r="D106">
        <v>42</v>
      </c>
      <c r="E106">
        <v>19</v>
      </c>
      <c r="F106" t="str">
        <f>VLOOKUP(A106, Lookups!$A$12:$E$51, 2, FALSE())</f>
        <v>Ergonomic Desk Pro</v>
      </c>
      <c r="G106" t="str">
        <f>VLOOKUP(A106, Lookups!$A$12:$E$51, 3, FALSE())</f>
        <v>Office Furniture</v>
      </c>
      <c r="H106">
        <f>VLOOKUP(A106, Lookups!$A$12:$E$51, 4, FALSE())</f>
        <v>9423</v>
      </c>
      <c r="I106">
        <f t="shared" si="6"/>
        <v>179037</v>
      </c>
      <c r="J106" t="str">
        <f t="shared" si="7"/>
        <v>Stockout Risk</v>
      </c>
    </row>
    <row r="107" spans="1:10" x14ac:dyDescent="0.45">
      <c r="A107" t="s">
        <v>78</v>
      </c>
      <c r="B107" t="s">
        <v>16</v>
      </c>
      <c r="C107">
        <v>106</v>
      </c>
      <c r="D107">
        <v>42</v>
      </c>
      <c r="E107">
        <v>137</v>
      </c>
      <c r="F107" t="str">
        <f>VLOOKUP(A107, Lookups!$A$12:$E$51, 2, FALSE())</f>
        <v>Ergonomic Desk Pro</v>
      </c>
      <c r="G107" t="str">
        <f>VLOOKUP(A107, Lookups!$A$12:$E$51, 3, FALSE())</f>
        <v>Office Furniture</v>
      </c>
      <c r="H107">
        <f>VLOOKUP(A107, Lookups!$A$12:$E$51, 4, FALSE())</f>
        <v>9423</v>
      </c>
      <c r="I107">
        <f t="shared" si="6"/>
        <v>1290951</v>
      </c>
      <c r="J107" t="str">
        <f t="shared" si="7"/>
        <v>Excess</v>
      </c>
    </row>
    <row r="108" spans="1:10" x14ac:dyDescent="0.45">
      <c r="A108" t="s">
        <v>78</v>
      </c>
      <c r="B108" t="s">
        <v>17</v>
      </c>
      <c r="C108">
        <v>106</v>
      </c>
      <c r="D108">
        <v>42</v>
      </c>
      <c r="E108">
        <v>73</v>
      </c>
      <c r="F108" t="str">
        <f>VLOOKUP(A108, Lookups!$A$12:$E$51, 2, FALSE())</f>
        <v>Ergonomic Desk Pro</v>
      </c>
      <c r="G108" t="str">
        <f>VLOOKUP(A108, Lookups!$A$12:$E$51, 3, FALSE())</f>
        <v>Office Furniture</v>
      </c>
      <c r="H108">
        <f>VLOOKUP(A108, Lookups!$A$12:$E$51, 4, FALSE())</f>
        <v>9423</v>
      </c>
      <c r="I108">
        <f t="shared" si="6"/>
        <v>687879</v>
      </c>
      <c r="J108" t="str">
        <f t="shared" si="7"/>
        <v>Healthy</v>
      </c>
    </row>
    <row r="109" spans="1:10" x14ac:dyDescent="0.45">
      <c r="A109" t="s">
        <v>78</v>
      </c>
      <c r="B109" t="s">
        <v>18</v>
      </c>
      <c r="C109">
        <v>159</v>
      </c>
      <c r="D109">
        <v>63</v>
      </c>
      <c r="E109">
        <v>49</v>
      </c>
      <c r="F109" t="str">
        <f>VLOOKUP(A109, Lookups!$A$12:$E$51, 2, FALSE())</f>
        <v>Ergonomic Desk Pro</v>
      </c>
      <c r="G109" t="str">
        <f>VLOOKUP(A109, Lookups!$A$12:$E$51, 3, FALSE())</f>
        <v>Office Furniture</v>
      </c>
      <c r="H109">
        <f>VLOOKUP(A109, Lookups!$A$12:$E$51, 4, FALSE())</f>
        <v>9423</v>
      </c>
      <c r="I109">
        <f t="shared" si="6"/>
        <v>461727</v>
      </c>
      <c r="J109" t="str">
        <f t="shared" si="7"/>
        <v>Stockout Risk</v>
      </c>
    </row>
    <row r="110" spans="1:10" x14ac:dyDescent="0.45">
      <c r="A110" t="s">
        <v>79</v>
      </c>
      <c r="B110" t="s">
        <v>15</v>
      </c>
      <c r="C110">
        <v>63</v>
      </c>
      <c r="D110">
        <v>25</v>
      </c>
      <c r="E110">
        <v>127</v>
      </c>
      <c r="F110" t="str">
        <f>VLOOKUP(A110, Lookups!$A$12:$E$51, 2, FALSE())</f>
        <v>Ergonomic Desk Pro</v>
      </c>
      <c r="G110" t="str">
        <f>VLOOKUP(A110, Lookups!$A$12:$E$51, 3, FALSE())</f>
        <v>Office Furniture</v>
      </c>
      <c r="H110">
        <f>VLOOKUP(A110, Lookups!$A$12:$E$51, 4, FALSE())</f>
        <v>23054</v>
      </c>
      <c r="I110">
        <f t="shared" si="6"/>
        <v>2927858</v>
      </c>
      <c r="J110" t="str">
        <f t="shared" si="7"/>
        <v>Excess</v>
      </c>
    </row>
    <row r="111" spans="1:10" x14ac:dyDescent="0.45">
      <c r="A111" t="s">
        <v>79</v>
      </c>
      <c r="B111" t="s">
        <v>16</v>
      </c>
      <c r="C111">
        <v>63</v>
      </c>
      <c r="D111">
        <v>25</v>
      </c>
      <c r="E111">
        <v>40</v>
      </c>
      <c r="F111" t="str">
        <f>VLOOKUP(A111, Lookups!$A$12:$E$51, 2, FALSE())</f>
        <v>Ergonomic Desk Pro</v>
      </c>
      <c r="G111" t="str">
        <f>VLOOKUP(A111, Lookups!$A$12:$E$51, 3, FALSE())</f>
        <v>Office Furniture</v>
      </c>
      <c r="H111">
        <f>VLOOKUP(A111, Lookups!$A$12:$E$51, 4, FALSE())</f>
        <v>23054</v>
      </c>
      <c r="I111">
        <f t="shared" si="6"/>
        <v>922160</v>
      </c>
      <c r="J111" t="str">
        <f t="shared" si="7"/>
        <v>Healthy</v>
      </c>
    </row>
    <row r="112" spans="1:10" x14ac:dyDescent="0.45">
      <c r="A112" t="s">
        <v>79</v>
      </c>
      <c r="B112" t="s">
        <v>17</v>
      </c>
      <c r="C112">
        <v>21</v>
      </c>
      <c r="D112">
        <v>8</v>
      </c>
      <c r="E112">
        <v>50</v>
      </c>
      <c r="F112" t="str">
        <f>VLOOKUP(A112, Lookups!$A$12:$E$51, 2, FALSE())</f>
        <v>Ergonomic Desk Pro</v>
      </c>
      <c r="G112" t="str">
        <f>VLOOKUP(A112, Lookups!$A$12:$E$51, 3, FALSE())</f>
        <v>Office Furniture</v>
      </c>
      <c r="H112">
        <f>VLOOKUP(A112, Lookups!$A$12:$E$51, 4, FALSE())</f>
        <v>23054</v>
      </c>
      <c r="I112">
        <f t="shared" si="6"/>
        <v>1152700</v>
      </c>
      <c r="J112" t="str">
        <f t="shared" si="7"/>
        <v>Excess</v>
      </c>
    </row>
    <row r="113" spans="1:10" x14ac:dyDescent="0.45">
      <c r="A113" t="s">
        <v>79</v>
      </c>
      <c r="B113" t="s">
        <v>18</v>
      </c>
      <c r="C113">
        <v>21</v>
      </c>
      <c r="D113">
        <v>8</v>
      </c>
      <c r="E113">
        <v>25</v>
      </c>
      <c r="F113" t="str">
        <f>VLOOKUP(A113, Lookups!$A$12:$E$51, 2, FALSE())</f>
        <v>Ergonomic Desk Pro</v>
      </c>
      <c r="G113" t="str">
        <f>VLOOKUP(A113, Lookups!$A$12:$E$51, 3, FALSE())</f>
        <v>Office Furniture</v>
      </c>
      <c r="H113">
        <f>VLOOKUP(A113, Lookups!$A$12:$E$51, 4, FALSE())</f>
        <v>23054</v>
      </c>
      <c r="I113">
        <f t="shared" si="6"/>
        <v>576350</v>
      </c>
      <c r="J113" t="str">
        <f t="shared" si="7"/>
        <v>Healthy</v>
      </c>
    </row>
    <row r="114" spans="1:10" x14ac:dyDescent="0.45">
      <c r="A114" t="s">
        <v>80</v>
      </c>
      <c r="B114" t="s">
        <v>15</v>
      </c>
      <c r="C114">
        <v>26</v>
      </c>
      <c r="D114">
        <v>10</v>
      </c>
      <c r="E114">
        <v>20</v>
      </c>
      <c r="F114" t="str">
        <f>VLOOKUP(A114, Lookups!$A$12:$E$51, 2, FALSE())</f>
        <v>Enterprise Router 649X</v>
      </c>
      <c r="G114" t="str">
        <f>VLOOKUP(A114, Lookups!$A$12:$E$51, 3, FALSE())</f>
        <v>Networking</v>
      </c>
      <c r="H114">
        <f>VLOOKUP(A114, Lookups!$A$12:$E$51, 4, FALSE())</f>
        <v>19090</v>
      </c>
      <c r="I114">
        <f t="shared" si="6"/>
        <v>381800</v>
      </c>
      <c r="J114" t="str">
        <f t="shared" si="7"/>
        <v>Healthy</v>
      </c>
    </row>
    <row r="115" spans="1:10" x14ac:dyDescent="0.45">
      <c r="A115" t="s">
        <v>80</v>
      </c>
      <c r="B115" t="s">
        <v>16</v>
      </c>
      <c r="C115">
        <v>52</v>
      </c>
      <c r="D115">
        <v>20</v>
      </c>
      <c r="E115">
        <v>35</v>
      </c>
      <c r="F115" t="str">
        <f>VLOOKUP(A115, Lookups!$A$12:$E$51, 2, FALSE())</f>
        <v>Enterprise Router 649X</v>
      </c>
      <c r="G115" t="str">
        <f>VLOOKUP(A115, Lookups!$A$12:$E$51, 3, FALSE())</f>
        <v>Networking</v>
      </c>
      <c r="H115">
        <f>VLOOKUP(A115, Lookups!$A$12:$E$51, 4, FALSE())</f>
        <v>19090</v>
      </c>
      <c r="I115">
        <f t="shared" si="6"/>
        <v>668150</v>
      </c>
      <c r="J115" t="str">
        <f t="shared" si="7"/>
        <v>Healthy</v>
      </c>
    </row>
    <row r="116" spans="1:10" x14ac:dyDescent="0.45">
      <c r="A116" t="s">
        <v>80</v>
      </c>
      <c r="B116" t="s">
        <v>17</v>
      </c>
      <c r="C116">
        <v>52</v>
      </c>
      <c r="D116">
        <v>20</v>
      </c>
      <c r="E116">
        <v>26</v>
      </c>
      <c r="F116" t="str">
        <f>VLOOKUP(A116, Lookups!$A$12:$E$51, 2, FALSE())</f>
        <v>Enterprise Router 649X</v>
      </c>
      <c r="G116" t="str">
        <f>VLOOKUP(A116, Lookups!$A$12:$E$51, 3, FALSE())</f>
        <v>Networking</v>
      </c>
      <c r="H116">
        <f>VLOOKUP(A116, Lookups!$A$12:$E$51, 4, FALSE())</f>
        <v>19090</v>
      </c>
      <c r="I116">
        <f t="shared" si="6"/>
        <v>496340</v>
      </c>
      <c r="J116" t="str">
        <f t="shared" si="7"/>
        <v>Healthy</v>
      </c>
    </row>
    <row r="117" spans="1:10" x14ac:dyDescent="0.45">
      <c r="A117" t="s">
        <v>80</v>
      </c>
      <c r="B117" t="s">
        <v>18</v>
      </c>
      <c r="C117">
        <v>52</v>
      </c>
      <c r="D117">
        <v>20</v>
      </c>
      <c r="E117">
        <v>122</v>
      </c>
      <c r="F117" t="str">
        <f>VLOOKUP(A117, Lookups!$A$12:$E$51, 2, FALSE())</f>
        <v>Enterprise Router 649X</v>
      </c>
      <c r="G117" t="str">
        <f>VLOOKUP(A117, Lookups!$A$12:$E$51, 3, FALSE())</f>
        <v>Networking</v>
      </c>
      <c r="H117">
        <f>VLOOKUP(A117, Lookups!$A$12:$E$51, 4, FALSE())</f>
        <v>19090</v>
      </c>
      <c r="I117">
        <f t="shared" si="6"/>
        <v>2328980</v>
      </c>
      <c r="J117" t="str">
        <f t="shared" si="7"/>
        <v>Excess</v>
      </c>
    </row>
    <row r="118" spans="1:10" x14ac:dyDescent="0.45">
      <c r="A118" t="s">
        <v>81</v>
      </c>
      <c r="B118" t="s">
        <v>15</v>
      </c>
      <c r="C118">
        <v>10</v>
      </c>
      <c r="D118">
        <v>4</v>
      </c>
      <c r="E118">
        <v>11</v>
      </c>
      <c r="F118" t="str">
        <f>VLOOKUP(A118, Lookups!$A$12:$E$51, 2, FALSE())</f>
        <v>Pro Laptop Model M</v>
      </c>
      <c r="G118" t="str">
        <f>VLOOKUP(A118, Lookups!$A$12:$E$51, 3, FALSE())</f>
        <v>Electronics</v>
      </c>
      <c r="H118">
        <f>VLOOKUP(A118, Lookups!$A$12:$E$51, 4, FALSE())</f>
        <v>55328</v>
      </c>
      <c r="I118">
        <f t="shared" si="6"/>
        <v>608608</v>
      </c>
      <c r="J118" t="str">
        <f t="shared" si="7"/>
        <v>Healthy</v>
      </c>
    </row>
    <row r="119" spans="1:10" x14ac:dyDescent="0.45">
      <c r="A119" t="s">
        <v>81</v>
      </c>
      <c r="B119" t="s">
        <v>16</v>
      </c>
      <c r="C119">
        <v>20</v>
      </c>
      <c r="D119">
        <v>8</v>
      </c>
      <c r="E119">
        <v>20</v>
      </c>
      <c r="F119" t="str">
        <f>VLOOKUP(A119, Lookups!$A$12:$E$51, 2, FALSE())</f>
        <v>Pro Laptop Model M</v>
      </c>
      <c r="G119" t="str">
        <f>VLOOKUP(A119, Lookups!$A$12:$E$51, 3, FALSE())</f>
        <v>Electronics</v>
      </c>
      <c r="H119">
        <f>VLOOKUP(A119, Lookups!$A$12:$E$51, 4, FALSE())</f>
        <v>55328</v>
      </c>
      <c r="I119">
        <f t="shared" si="6"/>
        <v>1106560</v>
      </c>
      <c r="J119" t="str">
        <f t="shared" si="7"/>
        <v>Healthy</v>
      </c>
    </row>
    <row r="120" spans="1:10" x14ac:dyDescent="0.45">
      <c r="A120" t="s">
        <v>81</v>
      </c>
      <c r="B120" t="s">
        <v>17</v>
      </c>
      <c r="C120">
        <v>10</v>
      </c>
      <c r="D120">
        <v>4</v>
      </c>
      <c r="E120">
        <v>7</v>
      </c>
      <c r="F120" t="str">
        <f>VLOOKUP(A120, Lookups!$A$12:$E$51, 2, FALSE())</f>
        <v>Pro Laptop Model M</v>
      </c>
      <c r="G120" t="str">
        <f>VLOOKUP(A120, Lookups!$A$12:$E$51, 3, FALSE())</f>
        <v>Electronics</v>
      </c>
      <c r="H120">
        <f>VLOOKUP(A120, Lookups!$A$12:$E$51, 4, FALSE())</f>
        <v>55328</v>
      </c>
      <c r="I120">
        <f t="shared" si="6"/>
        <v>387296</v>
      </c>
      <c r="J120" t="str">
        <f t="shared" si="7"/>
        <v>Healthy</v>
      </c>
    </row>
    <row r="121" spans="1:10" x14ac:dyDescent="0.45">
      <c r="A121" t="s">
        <v>81</v>
      </c>
      <c r="B121" t="s">
        <v>18</v>
      </c>
      <c r="C121">
        <v>20</v>
      </c>
      <c r="D121">
        <v>8</v>
      </c>
      <c r="E121">
        <v>21</v>
      </c>
      <c r="F121" t="str">
        <f>VLOOKUP(A121, Lookups!$A$12:$E$51, 2, FALSE())</f>
        <v>Pro Laptop Model M</v>
      </c>
      <c r="G121" t="str">
        <f>VLOOKUP(A121, Lookups!$A$12:$E$51, 3, FALSE())</f>
        <v>Electronics</v>
      </c>
      <c r="H121">
        <f>VLOOKUP(A121, Lookups!$A$12:$E$51, 4, FALSE())</f>
        <v>55328</v>
      </c>
      <c r="I121">
        <f t="shared" si="6"/>
        <v>1161888</v>
      </c>
      <c r="J121" t="str">
        <f t="shared" si="7"/>
        <v>Healthy</v>
      </c>
    </row>
    <row r="122" spans="1:10" x14ac:dyDescent="0.45">
      <c r="A122" t="s">
        <v>82</v>
      </c>
      <c r="B122" t="s">
        <v>15</v>
      </c>
      <c r="C122">
        <v>10</v>
      </c>
      <c r="D122">
        <v>4</v>
      </c>
      <c r="E122">
        <v>16</v>
      </c>
      <c r="F122" t="str">
        <f>VLOOKUP(A122, Lookups!$A$12:$E$51, 2, FALSE())</f>
        <v>Pro Laptop Model R</v>
      </c>
      <c r="G122" t="str">
        <f>VLOOKUP(A122, Lookups!$A$12:$E$51, 3, FALSE())</f>
        <v>Electronics</v>
      </c>
      <c r="H122">
        <f>VLOOKUP(A122, Lookups!$A$12:$E$51, 4, FALSE())</f>
        <v>83427</v>
      </c>
      <c r="I122">
        <f t="shared" si="6"/>
        <v>1334832</v>
      </c>
      <c r="J122" t="str">
        <f t="shared" si="7"/>
        <v>Excess</v>
      </c>
    </row>
    <row r="123" spans="1:10" x14ac:dyDescent="0.45">
      <c r="A123" t="s">
        <v>82</v>
      </c>
      <c r="B123" t="s">
        <v>16</v>
      </c>
      <c r="C123">
        <v>20</v>
      </c>
      <c r="D123">
        <v>8</v>
      </c>
      <c r="E123">
        <v>14</v>
      </c>
      <c r="F123" t="str">
        <f>VLOOKUP(A123, Lookups!$A$12:$E$51, 2, FALSE())</f>
        <v>Pro Laptop Model R</v>
      </c>
      <c r="G123" t="str">
        <f>VLOOKUP(A123, Lookups!$A$12:$E$51, 3, FALSE())</f>
        <v>Electronics</v>
      </c>
      <c r="H123">
        <f>VLOOKUP(A123, Lookups!$A$12:$E$51, 4, FALSE())</f>
        <v>83427</v>
      </c>
      <c r="I123">
        <f t="shared" si="6"/>
        <v>1167978</v>
      </c>
      <c r="J123" t="str">
        <f t="shared" si="7"/>
        <v>Healthy</v>
      </c>
    </row>
    <row r="124" spans="1:10" x14ac:dyDescent="0.45">
      <c r="A124" t="s">
        <v>82</v>
      </c>
      <c r="B124" t="s">
        <v>17</v>
      </c>
      <c r="C124">
        <v>30</v>
      </c>
      <c r="D124">
        <v>12</v>
      </c>
      <c r="E124">
        <v>70</v>
      </c>
      <c r="F124" t="str">
        <f>VLOOKUP(A124, Lookups!$A$12:$E$51, 2, FALSE())</f>
        <v>Pro Laptop Model R</v>
      </c>
      <c r="G124" t="str">
        <f>VLOOKUP(A124, Lookups!$A$12:$E$51, 3, FALSE())</f>
        <v>Electronics</v>
      </c>
      <c r="H124">
        <f>VLOOKUP(A124, Lookups!$A$12:$E$51, 4, FALSE())</f>
        <v>83427</v>
      </c>
      <c r="I124">
        <f t="shared" si="6"/>
        <v>5839890</v>
      </c>
      <c r="J124" t="str">
        <f t="shared" si="7"/>
        <v>Excess</v>
      </c>
    </row>
    <row r="125" spans="1:10" x14ac:dyDescent="0.45">
      <c r="A125" t="s">
        <v>82</v>
      </c>
      <c r="B125" t="s">
        <v>18</v>
      </c>
      <c r="C125">
        <v>20</v>
      </c>
      <c r="D125">
        <v>8</v>
      </c>
      <c r="E125">
        <v>27</v>
      </c>
      <c r="F125" t="str">
        <f>VLOOKUP(A125, Lookups!$A$12:$E$51, 2, FALSE())</f>
        <v>Pro Laptop Model R</v>
      </c>
      <c r="G125" t="str">
        <f>VLOOKUP(A125, Lookups!$A$12:$E$51, 3, FALSE())</f>
        <v>Electronics</v>
      </c>
      <c r="H125">
        <f>VLOOKUP(A125, Lookups!$A$12:$E$51, 4, FALSE())</f>
        <v>83427</v>
      </c>
      <c r="I125">
        <f t="shared" si="6"/>
        <v>2252529</v>
      </c>
      <c r="J125" t="str">
        <f t="shared" si="7"/>
        <v>Excess</v>
      </c>
    </row>
    <row r="126" spans="1:10" x14ac:dyDescent="0.45">
      <c r="A126" t="s">
        <v>83</v>
      </c>
      <c r="B126" t="s">
        <v>15</v>
      </c>
      <c r="C126">
        <v>50</v>
      </c>
      <c r="D126">
        <v>20</v>
      </c>
      <c r="E126">
        <v>36</v>
      </c>
      <c r="F126" t="str">
        <f>VLOOKUP(A126, Lookups!$A$12:$E$51, 2, FALSE())</f>
        <v>Ergonomic Chair Pro</v>
      </c>
      <c r="G126" t="str">
        <f>VLOOKUP(A126, Lookups!$A$12:$E$51, 3, FALSE())</f>
        <v>Office Furniture</v>
      </c>
      <c r="H126">
        <f>VLOOKUP(A126, Lookups!$A$12:$E$51, 4, FALSE())</f>
        <v>19850</v>
      </c>
      <c r="I126">
        <f t="shared" si="6"/>
        <v>714600</v>
      </c>
      <c r="J126" t="str">
        <f t="shared" si="7"/>
        <v>Healthy</v>
      </c>
    </row>
    <row r="127" spans="1:10" x14ac:dyDescent="0.45">
      <c r="A127" t="s">
        <v>83</v>
      </c>
      <c r="B127" t="s">
        <v>16</v>
      </c>
      <c r="C127">
        <v>25</v>
      </c>
      <c r="D127">
        <v>10</v>
      </c>
      <c r="E127">
        <v>6</v>
      </c>
      <c r="F127" t="str">
        <f>VLOOKUP(A127, Lookups!$A$12:$E$51, 2, FALSE())</f>
        <v>Ergonomic Chair Pro</v>
      </c>
      <c r="G127" t="str">
        <f>VLOOKUP(A127, Lookups!$A$12:$E$51, 3, FALSE())</f>
        <v>Office Furniture</v>
      </c>
      <c r="H127">
        <f>VLOOKUP(A127, Lookups!$A$12:$E$51, 4, FALSE())</f>
        <v>19850</v>
      </c>
      <c r="I127">
        <f t="shared" si="6"/>
        <v>119100</v>
      </c>
      <c r="J127" t="str">
        <f t="shared" si="7"/>
        <v>Stockout Risk</v>
      </c>
    </row>
    <row r="128" spans="1:10" x14ac:dyDescent="0.45">
      <c r="A128" t="s">
        <v>83</v>
      </c>
      <c r="B128" t="s">
        <v>17</v>
      </c>
      <c r="C128">
        <v>50</v>
      </c>
      <c r="D128">
        <v>20</v>
      </c>
      <c r="E128">
        <v>40</v>
      </c>
      <c r="F128" t="str">
        <f>VLOOKUP(A128, Lookups!$A$12:$E$51, 2, FALSE())</f>
        <v>Ergonomic Chair Pro</v>
      </c>
      <c r="G128" t="str">
        <f>VLOOKUP(A128, Lookups!$A$12:$E$51, 3, FALSE())</f>
        <v>Office Furniture</v>
      </c>
      <c r="H128">
        <f>VLOOKUP(A128, Lookups!$A$12:$E$51, 4, FALSE())</f>
        <v>19850</v>
      </c>
      <c r="I128">
        <f t="shared" si="6"/>
        <v>794000</v>
      </c>
      <c r="J128" t="str">
        <f t="shared" si="7"/>
        <v>Healthy</v>
      </c>
    </row>
    <row r="129" spans="1:10" x14ac:dyDescent="0.45">
      <c r="A129" t="s">
        <v>83</v>
      </c>
      <c r="B129" t="s">
        <v>18</v>
      </c>
      <c r="C129">
        <v>50</v>
      </c>
      <c r="D129">
        <v>20</v>
      </c>
      <c r="E129">
        <v>52</v>
      </c>
      <c r="F129" t="str">
        <f>VLOOKUP(A129, Lookups!$A$12:$E$51, 2, FALSE())</f>
        <v>Ergonomic Chair Pro</v>
      </c>
      <c r="G129" t="str">
        <f>VLOOKUP(A129, Lookups!$A$12:$E$51, 3, FALSE())</f>
        <v>Office Furniture</v>
      </c>
      <c r="H129">
        <f>VLOOKUP(A129, Lookups!$A$12:$E$51, 4, FALSE())</f>
        <v>19850</v>
      </c>
      <c r="I129">
        <f t="shared" si="6"/>
        <v>1032200</v>
      </c>
      <c r="J129" t="str">
        <f t="shared" si="7"/>
        <v>Healthy</v>
      </c>
    </row>
    <row r="130" spans="1:10" x14ac:dyDescent="0.45">
      <c r="A130" t="s">
        <v>84</v>
      </c>
      <c r="B130" t="s">
        <v>15</v>
      </c>
      <c r="C130">
        <v>68</v>
      </c>
      <c r="D130">
        <v>27</v>
      </c>
      <c r="E130">
        <v>63</v>
      </c>
      <c r="F130" t="str">
        <f>VLOOKUP(A130, Lookups!$A$12:$E$51, 2, FALSE())</f>
        <v>Wireless Headset 4</v>
      </c>
      <c r="G130" t="str">
        <f>VLOOKUP(A130, Lookups!$A$12:$E$51, 3, FALSE())</f>
        <v>Peripherals</v>
      </c>
      <c r="H130">
        <f>VLOOKUP(A130, Lookups!$A$12:$E$51, 4, FALSE())</f>
        <v>7271</v>
      </c>
      <c r="I130">
        <f t="shared" ref="I130:I161" si="8">E130*H130</f>
        <v>458073</v>
      </c>
      <c r="J130" t="str">
        <f t="shared" ref="J130:J161" si="9">IF(E130&lt;D130, "Stockout Risk", IF(E130&gt;(C130*1.2), "Excess", "Healthy"))</f>
        <v>Healthy</v>
      </c>
    </row>
    <row r="131" spans="1:10" x14ac:dyDescent="0.45">
      <c r="A131" t="s">
        <v>84</v>
      </c>
      <c r="B131" t="s">
        <v>16</v>
      </c>
      <c r="C131">
        <v>68</v>
      </c>
      <c r="D131">
        <v>27</v>
      </c>
      <c r="E131">
        <v>72</v>
      </c>
      <c r="F131" t="str">
        <f>VLOOKUP(A131, Lookups!$A$12:$E$51, 2, FALSE())</f>
        <v>Wireless Headset 4</v>
      </c>
      <c r="G131" t="str">
        <f>VLOOKUP(A131, Lookups!$A$12:$E$51, 3, FALSE())</f>
        <v>Peripherals</v>
      </c>
      <c r="H131">
        <f>VLOOKUP(A131, Lookups!$A$12:$E$51, 4, FALSE())</f>
        <v>7271</v>
      </c>
      <c r="I131">
        <f t="shared" si="8"/>
        <v>523512</v>
      </c>
      <c r="J131" t="str">
        <f t="shared" si="9"/>
        <v>Healthy</v>
      </c>
    </row>
    <row r="132" spans="1:10" x14ac:dyDescent="0.45">
      <c r="A132" t="s">
        <v>84</v>
      </c>
      <c r="B132" t="s">
        <v>17</v>
      </c>
      <c r="C132">
        <v>136</v>
      </c>
      <c r="D132">
        <v>54</v>
      </c>
      <c r="E132">
        <v>51</v>
      </c>
      <c r="F132" t="str">
        <f>VLOOKUP(A132, Lookups!$A$12:$E$51, 2, FALSE())</f>
        <v>Wireless Headset 4</v>
      </c>
      <c r="G132" t="str">
        <f>VLOOKUP(A132, Lookups!$A$12:$E$51, 3, FALSE())</f>
        <v>Peripherals</v>
      </c>
      <c r="H132">
        <f>VLOOKUP(A132, Lookups!$A$12:$E$51, 4, FALSE())</f>
        <v>7271</v>
      </c>
      <c r="I132">
        <f t="shared" si="8"/>
        <v>370821</v>
      </c>
      <c r="J132" t="str">
        <f t="shared" si="9"/>
        <v>Stockout Risk</v>
      </c>
    </row>
    <row r="133" spans="1:10" x14ac:dyDescent="0.45">
      <c r="A133" t="s">
        <v>84</v>
      </c>
      <c r="B133" t="s">
        <v>18</v>
      </c>
      <c r="C133">
        <v>204</v>
      </c>
      <c r="D133">
        <v>81</v>
      </c>
      <c r="E133">
        <v>131</v>
      </c>
      <c r="F133" t="str">
        <f>VLOOKUP(A133, Lookups!$A$12:$E$51, 2, FALSE())</f>
        <v>Wireless Headset 4</v>
      </c>
      <c r="G133" t="str">
        <f>VLOOKUP(A133, Lookups!$A$12:$E$51, 3, FALSE())</f>
        <v>Peripherals</v>
      </c>
      <c r="H133">
        <f>VLOOKUP(A133, Lookups!$A$12:$E$51, 4, FALSE())</f>
        <v>7271</v>
      </c>
      <c r="I133">
        <f t="shared" si="8"/>
        <v>952501</v>
      </c>
      <c r="J133" t="str">
        <f t="shared" si="9"/>
        <v>Healthy</v>
      </c>
    </row>
    <row r="134" spans="1:10" x14ac:dyDescent="0.45">
      <c r="A134" t="s">
        <v>85</v>
      </c>
      <c r="B134" t="s">
        <v>15</v>
      </c>
      <c r="C134">
        <v>60</v>
      </c>
      <c r="D134">
        <v>24</v>
      </c>
      <c r="E134">
        <v>66</v>
      </c>
      <c r="F134" t="str">
        <f>VLOOKUP(A134, Lookups!$A$12:$E$51, 2, FALSE())</f>
        <v>Enterprise Router 171X</v>
      </c>
      <c r="G134" t="str">
        <f>VLOOKUP(A134, Lookups!$A$12:$E$51, 3, FALSE())</f>
        <v>Networking</v>
      </c>
      <c r="H134">
        <f>VLOOKUP(A134, Lookups!$A$12:$E$51, 4, FALSE())</f>
        <v>16501</v>
      </c>
      <c r="I134">
        <f t="shared" si="8"/>
        <v>1089066</v>
      </c>
      <c r="J134" t="str">
        <f t="shared" si="9"/>
        <v>Healthy</v>
      </c>
    </row>
    <row r="135" spans="1:10" x14ac:dyDescent="0.45">
      <c r="A135" t="s">
        <v>85</v>
      </c>
      <c r="B135" t="s">
        <v>16</v>
      </c>
      <c r="C135">
        <v>60</v>
      </c>
      <c r="D135">
        <v>24</v>
      </c>
      <c r="E135">
        <v>66</v>
      </c>
      <c r="F135" t="str">
        <f>VLOOKUP(A135, Lookups!$A$12:$E$51, 2, FALSE())</f>
        <v>Enterprise Router 171X</v>
      </c>
      <c r="G135" t="str">
        <f>VLOOKUP(A135, Lookups!$A$12:$E$51, 3, FALSE())</f>
        <v>Networking</v>
      </c>
      <c r="H135">
        <f>VLOOKUP(A135, Lookups!$A$12:$E$51, 4, FALSE())</f>
        <v>16501</v>
      </c>
      <c r="I135">
        <f t="shared" si="8"/>
        <v>1089066</v>
      </c>
      <c r="J135" t="str">
        <f t="shared" si="9"/>
        <v>Healthy</v>
      </c>
    </row>
    <row r="136" spans="1:10" x14ac:dyDescent="0.45">
      <c r="A136" t="s">
        <v>85</v>
      </c>
      <c r="B136" t="s">
        <v>17</v>
      </c>
      <c r="C136">
        <v>30</v>
      </c>
      <c r="D136">
        <v>12</v>
      </c>
      <c r="E136">
        <v>21</v>
      </c>
      <c r="F136" t="str">
        <f>VLOOKUP(A136, Lookups!$A$12:$E$51, 2, FALSE())</f>
        <v>Enterprise Router 171X</v>
      </c>
      <c r="G136" t="str">
        <f>VLOOKUP(A136, Lookups!$A$12:$E$51, 3, FALSE())</f>
        <v>Networking</v>
      </c>
      <c r="H136">
        <f>VLOOKUP(A136, Lookups!$A$12:$E$51, 4, FALSE())</f>
        <v>16501</v>
      </c>
      <c r="I136">
        <f t="shared" si="8"/>
        <v>346521</v>
      </c>
      <c r="J136" t="str">
        <f t="shared" si="9"/>
        <v>Healthy</v>
      </c>
    </row>
    <row r="137" spans="1:10" x14ac:dyDescent="0.45">
      <c r="A137" t="s">
        <v>85</v>
      </c>
      <c r="B137" t="s">
        <v>18</v>
      </c>
      <c r="C137">
        <v>90</v>
      </c>
      <c r="D137">
        <v>36</v>
      </c>
      <c r="E137">
        <v>88</v>
      </c>
      <c r="F137" t="str">
        <f>VLOOKUP(A137, Lookups!$A$12:$E$51, 2, FALSE())</f>
        <v>Enterprise Router 171X</v>
      </c>
      <c r="G137" t="str">
        <f>VLOOKUP(A137, Lookups!$A$12:$E$51, 3, FALSE())</f>
        <v>Networking</v>
      </c>
      <c r="H137">
        <f>VLOOKUP(A137, Lookups!$A$12:$E$51, 4, FALSE())</f>
        <v>16501</v>
      </c>
      <c r="I137">
        <f t="shared" si="8"/>
        <v>1452088</v>
      </c>
      <c r="J137" t="str">
        <f t="shared" si="9"/>
        <v>Healthy</v>
      </c>
    </row>
    <row r="138" spans="1:10" x14ac:dyDescent="0.45">
      <c r="A138" t="s">
        <v>86</v>
      </c>
      <c r="B138" t="s">
        <v>15</v>
      </c>
      <c r="C138">
        <v>20</v>
      </c>
      <c r="D138">
        <v>8</v>
      </c>
      <c r="E138">
        <v>12</v>
      </c>
      <c r="F138" t="str">
        <f>VLOOKUP(A138, Lookups!$A$12:$E$51, 2, FALSE())</f>
        <v>Pro Laptop Model V</v>
      </c>
      <c r="G138" t="str">
        <f>VLOOKUP(A138, Lookups!$A$12:$E$51, 3, FALSE())</f>
        <v>Electronics</v>
      </c>
      <c r="H138">
        <f>VLOOKUP(A138, Lookups!$A$12:$E$51, 4, FALSE())</f>
        <v>74871</v>
      </c>
      <c r="I138">
        <f t="shared" si="8"/>
        <v>898452</v>
      </c>
      <c r="J138" t="str">
        <f t="shared" si="9"/>
        <v>Healthy</v>
      </c>
    </row>
    <row r="139" spans="1:10" x14ac:dyDescent="0.45">
      <c r="A139" t="s">
        <v>86</v>
      </c>
      <c r="B139" t="s">
        <v>16</v>
      </c>
      <c r="C139">
        <v>30</v>
      </c>
      <c r="D139">
        <v>12</v>
      </c>
      <c r="E139">
        <v>6</v>
      </c>
      <c r="F139" t="str">
        <f>VLOOKUP(A139, Lookups!$A$12:$E$51, 2, FALSE())</f>
        <v>Pro Laptop Model V</v>
      </c>
      <c r="G139" t="str">
        <f>VLOOKUP(A139, Lookups!$A$12:$E$51, 3, FALSE())</f>
        <v>Electronics</v>
      </c>
      <c r="H139">
        <f>VLOOKUP(A139, Lookups!$A$12:$E$51, 4, FALSE())</f>
        <v>74871</v>
      </c>
      <c r="I139">
        <f t="shared" si="8"/>
        <v>449226</v>
      </c>
      <c r="J139" t="str">
        <f t="shared" si="9"/>
        <v>Stockout Risk</v>
      </c>
    </row>
    <row r="140" spans="1:10" x14ac:dyDescent="0.45">
      <c r="A140" t="s">
        <v>86</v>
      </c>
      <c r="B140" t="s">
        <v>17</v>
      </c>
      <c r="C140">
        <v>30</v>
      </c>
      <c r="D140">
        <v>12</v>
      </c>
      <c r="E140">
        <v>47</v>
      </c>
      <c r="F140" t="str">
        <f>VLOOKUP(A140, Lookups!$A$12:$E$51, 2, FALSE())</f>
        <v>Pro Laptop Model V</v>
      </c>
      <c r="G140" t="str">
        <f>VLOOKUP(A140, Lookups!$A$12:$E$51, 3, FALSE())</f>
        <v>Electronics</v>
      </c>
      <c r="H140">
        <f>VLOOKUP(A140, Lookups!$A$12:$E$51, 4, FALSE())</f>
        <v>74871</v>
      </c>
      <c r="I140">
        <f t="shared" si="8"/>
        <v>3518937</v>
      </c>
      <c r="J140" t="str">
        <f t="shared" si="9"/>
        <v>Excess</v>
      </c>
    </row>
    <row r="141" spans="1:10" x14ac:dyDescent="0.45">
      <c r="A141" t="s">
        <v>86</v>
      </c>
      <c r="B141" t="s">
        <v>18</v>
      </c>
      <c r="C141">
        <v>30</v>
      </c>
      <c r="D141">
        <v>12</v>
      </c>
      <c r="E141">
        <v>24</v>
      </c>
      <c r="F141" t="str">
        <f>VLOOKUP(A141, Lookups!$A$12:$E$51, 2, FALSE())</f>
        <v>Pro Laptop Model V</v>
      </c>
      <c r="G141" t="str">
        <f>VLOOKUP(A141, Lookups!$A$12:$E$51, 3, FALSE())</f>
        <v>Electronics</v>
      </c>
      <c r="H141">
        <f>VLOOKUP(A141, Lookups!$A$12:$E$51, 4, FALSE())</f>
        <v>74871</v>
      </c>
      <c r="I141">
        <f t="shared" si="8"/>
        <v>1796904</v>
      </c>
      <c r="J141" t="str">
        <f t="shared" si="9"/>
        <v>Healthy</v>
      </c>
    </row>
    <row r="142" spans="1:10" x14ac:dyDescent="0.45">
      <c r="A142" t="s">
        <v>87</v>
      </c>
      <c r="B142" t="s">
        <v>15</v>
      </c>
      <c r="C142">
        <v>30</v>
      </c>
      <c r="D142">
        <v>12</v>
      </c>
      <c r="E142">
        <v>21</v>
      </c>
      <c r="F142" t="str">
        <f>VLOOKUP(A142, Lookups!$A$12:$E$51, 2, FALSE())</f>
        <v>Pro Laptop Model Y</v>
      </c>
      <c r="G142" t="str">
        <f>VLOOKUP(A142, Lookups!$A$12:$E$51, 3, FALSE())</f>
        <v>Electronics</v>
      </c>
      <c r="H142">
        <f>VLOOKUP(A142, Lookups!$A$12:$E$51, 4, FALSE())</f>
        <v>82930</v>
      </c>
      <c r="I142">
        <f t="shared" si="8"/>
        <v>1741530</v>
      </c>
      <c r="J142" t="str">
        <f t="shared" si="9"/>
        <v>Healthy</v>
      </c>
    </row>
    <row r="143" spans="1:10" x14ac:dyDescent="0.45">
      <c r="A143" t="s">
        <v>87</v>
      </c>
      <c r="B143" t="s">
        <v>16</v>
      </c>
      <c r="C143">
        <v>20</v>
      </c>
      <c r="D143">
        <v>8</v>
      </c>
      <c r="E143">
        <v>20</v>
      </c>
      <c r="F143" t="str">
        <f>VLOOKUP(A143, Lookups!$A$12:$E$51, 2, FALSE())</f>
        <v>Pro Laptop Model Y</v>
      </c>
      <c r="G143" t="str">
        <f>VLOOKUP(A143, Lookups!$A$12:$E$51, 3, FALSE())</f>
        <v>Electronics</v>
      </c>
      <c r="H143">
        <f>VLOOKUP(A143, Lookups!$A$12:$E$51, 4, FALSE())</f>
        <v>82930</v>
      </c>
      <c r="I143">
        <f t="shared" si="8"/>
        <v>1658600</v>
      </c>
      <c r="J143" t="str">
        <f t="shared" si="9"/>
        <v>Healthy</v>
      </c>
    </row>
    <row r="144" spans="1:10" x14ac:dyDescent="0.45">
      <c r="A144" t="s">
        <v>87</v>
      </c>
      <c r="B144" t="s">
        <v>17</v>
      </c>
      <c r="C144">
        <v>30</v>
      </c>
      <c r="D144">
        <v>12</v>
      </c>
      <c r="E144">
        <v>22</v>
      </c>
      <c r="F144" t="str">
        <f>VLOOKUP(A144, Lookups!$A$12:$E$51, 2, FALSE())</f>
        <v>Pro Laptop Model Y</v>
      </c>
      <c r="G144" t="str">
        <f>VLOOKUP(A144, Lookups!$A$12:$E$51, 3, FALSE())</f>
        <v>Electronics</v>
      </c>
      <c r="H144">
        <f>VLOOKUP(A144, Lookups!$A$12:$E$51, 4, FALSE())</f>
        <v>82930</v>
      </c>
      <c r="I144">
        <f t="shared" si="8"/>
        <v>1824460</v>
      </c>
      <c r="J144" t="str">
        <f t="shared" si="9"/>
        <v>Healthy</v>
      </c>
    </row>
    <row r="145" spans="1:10" x14ac:dyDescent="0.45">
      <c r="A145" t="s">
        <v>87</v>
      </c>
      <c r="B145" t="s">
        <v>18</v>
      </c>
      <c r="C145">
        <v>20</v>
      </c>
      <c r="D145">
        <v>8</v>
      </c>
      <c r="E145">
        <v>18</v>
      </c>
      <c r="F145" t="str">
        <f>VLOOKUP(A145, Lookups!$A$12:$E$51, 2, FALSE())</f>
        <v>Pro Laptop Model Y</v>
      </c>
      <c r="G145" t="str">
        <f>VLOOKUP(A145, Lookups!$A$12:$E$51, 3, FALSE())</f>
        <v>Electronics</v>
      </c>
      <c r="H145">
        <f>VLOOKUP(A145, Lookups!$A$12:$E$51, 4, FALSE())</f>
        <v>82930</v>
      </c>
      <c r="I145">
        <f t="shared" si="8"/>
        <v>1492740</v>
      </c>
      <c r="J145" t="str">
        <f t="shared" si="9"/>
        <v>Healthy</v>
      </c>
    </row>
    <row r="146" spans="1:10" x14ac:dyDescent="0.45">
      <c r="A146" t="s">
        <v>88</v>
      </c>
      <c r="B146" t="s">
        <v>15</v>
      </c>
      <c r="C146">
        <v>10</v>
      </c>
      <c r="D146">
        <v>4</v>
      </c>
      <c r="E146">
        <v>6</v>
      </c>
      <c r="F146" t="str">
        <f>VLOOKUP(A146, Lookups!$A$12:$E$51, 2, FALSE())</f>
        <v>Pro Laptop Model C</v>
      </c>
      <c r="G146" t="str">
        <f>VLOOKUP(A146, Lookups!$A$12:$E$51, 3, FALSE())</f>
        <v>Electronics</v>
      </c>
      <c r="H146">
        <f>VLOOKUP(A146, Lookups!$A$12:$E$51, 4, FALSE())</f>
        <v>75512</v>
      </c>
      <c r="I146">
        <f t="shared" si="8"/>
        <v>453072</v>
      </c>
      <c r="J146" t="str">
        <f t="shared" si="9"/>
        <v>Healthy</v>
      </c>
    </row>
    <row r="147" spans="1:10" x14ac:dyDescent="0.45">
      <c r="A147" t="s">
        <v>88</v>
      </c>
      <c r="B147" t="s">
        <v>16</v>
      </c>
      <c r="C147">
        <v>30</v>
      </c>
      <c r="D147">
        <v>12</v>
      </c>
      <c r="E147">
        <v>8</v>
      </c>
      <c r="F147" t="str">
        <f>VLOOKUP(A147, Lookups!$A$12:$E$51, 2, FALSE())</f>
        <v>Pro Laptop Model C</v>
      </c>
      <c r="G147" t="str">
        <f>VLOOKUP(A147, Lookups!$A$12:$E$51, 3, FALSE())</f>
        <v>Electronics</v>
      </c>
      <c r="H147">
        <f>VLOOKUP(A147, Lookups!$A$12:$E$51, 4, FALSE())</f>
        <v>75512</v>
      </c>
      <c r="I147">
        <f t="shared" si="8"/>
        <v>604096</v>
      </c>
      <c r="J147" t="str">
        <f t="shared" si="9"/>
        <v>Stockout Risk</v>
      </c>
    </row>
    <row r="148" spans="1:10" x14ac:dyDescent="0.45">
      <c r="A148" t="s">
        <v>88</v>
      </c>
      <c r="B148" t="s">
        <v>17</v>
      </c>
      <c r="C148">
        <v>30</v>
      </c>
      <c r="D148">
        <v>12</v>
      </c>
      <c r="E148">
        <v>22</v>
      </c>
      <c r="F148" t="str">
        <f>VLOOKUP(A148, Lookups!$A$12:$E$51, 2, FALSE())</f>
        <v>Pro Laptop Model C</v>
      </c>
      <c r="G148" t="str">
        <f>VLOOKUP(A148, Lookups!$A$12:$E$51, 3, FALSE())</f>
        <v>Electronics</v>
      </c>
      <c r="H148">
        <f>VLOOKUP(A148, Lookups!$A$12:$E$51, 4, FALSE())</f>
        <v>75512</v>
      </c>
      <c r="I148">
        <f t="shared" si="8"/>
        <v>1661264</v>
      </c>
      <c r="J148" t="str">
        <f t="shared" si="9"/>
        <v>Healthy</v>
      </c>
    </row>
    <row r="149" spans="1:10" x14ac:dyDescent="0.45">
      <c r="A149" t="s">
        <v>88</v>
      </c>
      <c r="B149" t="s">
        <v>18</v>
      </c>
      <c r="C149">
        <v>10</v>
      </c>
      <c r="D149">
        <v>4</v>
      </c>
      <c r="E149">
        <v>7</v>
      </c>
      <c r="F149" t="str">
        <f>VLOOKUP(A149, Lookups!$A$12:$E$51, 2, FALSE())</f>
        <v>Pro Laptop Model C</v>
      </c>
      <c r="G149" t="str">
        <f>VLOOKUP(A149, Lookups!$A$12:$E$51, 3, FALSE())</f>
        <v>Electronics</v>
      </c>
      <c r="H149">
        <f>VLOOKUP(A149, Lookups!$A$12:$E$51, 4, FALSE())</f>
        <v>75512</v>
      </c>
      <c r="I149">
        <f t="shared" si="8"/>
        <v>528584</v>
      </c>
      <c r="J149" t="str">
        <f t="shared" si="9"/>
        <v>Healthy</v>
      </c>
    </row>
    <row r="150" spans="1:10" x14ac:dyDescent="0.45">
      <c r="A150" t="s">
        <v>89</v>
      </c>
      <c r="B150" t="s">
        <v>15</v>
      </c>
      <c r="C150">
        <v>132</v>
      </c>
      <c r="D150">
        <v>52</v>
      </c>
      <c r="E150">
        <v>77</v>
      </c>
      <c r="F150" t="str">
        <f>VLOOKUP(A150, Lookups!$A$12:$E$51, 2, FALSE())</f>
        <v>Ergonomic Desk Pro</v>
      </c>
      <c r="G150" t="str">
        <f>VLOOKUP(A150, Lookups!$A$12:$E$51, 3, FALSE())</f>
        <v>Office Furniture</v>
      </c>
      <c r="H150">
        <f>VLOOKUP(A150, Lookups!$A$12:$E$51, 4, FALSE())</f>
        <v>11309</v>
      </c>
      <c r="I150">
        <f t="shared" si="8"/>
        <v>870793</v>
      </c>
      <c r="J150" t="str">
        <f t="shared" si="9"/>
        <v>Healthy</v>
      </c>
    </row>
    <row r="151" spans="1:10" x14ac:dyDescent="0.45">
      <c r="A151" t="s">
        <v>89</v>
      </c>
      <c r="B151" t="s">
        <v>16</v>
      </c>
      <c r="C151">
        <v>44</v>
      </c>
      <c r="D151">
        <v>17</v>
      </c>
      <c r="E151">
        <v>7</v>
      </c>
      <c r="F151" t="str">
        <f>VLOOKUP(A151, Lookups!$A$12:$E$51, 2, FALSE())</f>
        <v>Ergonomic Desk Pro</v>
      </c>
      <c r="G151" t="str">
        <f>VLOOKUP(A151, Lookups!$A$12:$E$51, 3, FALSE())</f>
        <v>Office Furniture</v>
      </c>
      <c r="H151">
        <f>VLOOKUP(A151, Lookups!$A$12:$E$51, 4, FALSE())</f>
        <v>11309</v>
      </c>
      <c r="I151">
        <f t="shared" si="8"/>
        <v>79163</v>
      </c>
      <c r="J151" t="str">
        <f t="shared" si="9"/>
        <v>Stockout Risk</v>
      </c>
    </row>
    <row r="152" spans="1:10" x14ac:dyDescent="0.45">
      <c r="A152" t="s">
        <v>89</v>
      </c>
      <c r="B152" t="s">
        <v>17</v>
      </c>
      <c r="C152">
        <v>88</v>
      </c>
      <c r="D152">
        <v>35</v>
      </c>
      <c r="E152">
        <v>84</v>
      </c>
      <c r="F152" t="str">
        <f>VLOOKUP(A152, Lookups!$A$12:$E$51, 2, FALSE())</f>
        <v>Ergonomic Desk Pro</v>
      </c>
      <c r="G152" t="str">
        <f>VLOOKUP(A152, Lookups!$A$12:$E$51, 3, FALSE())</f>
        <v>Office Furniture</v>
      </c>
      <c r="H152">
        <f>VLOOKUP(A152, Lookups!$A$12:$E$51, 4, FALSE())</f>
        <v>11309</v>
      </c>
      <c r="I152">
        <f t="shared" si="8"/>
        <v>949956</v>
      </c>
      <c r="J152" t="str">
        <f t="shared" si="9"/>
        <v>Healthy</v>
      </c>
    </row>
    <row r="153" spans="1:10" x14ac:dyDescent="0.45">
      <c r="A153" t="s">
        <v>89</v>
      </c>
      <c r="B153" t="s">
        <v>18</v>
      </c>
      <c r="C153">
        <v>44</v>
      </c>
      <c r="D153">
        <v>17</v>
      </c>
      <c r="E153">
        <v>29</v>
      </c>
      <c r="F153" t="str">
        <f>VLOOKUP(A153, Lookups!$A$12:$E$51, 2, FALSE())</f>
        <v>Ergonomic Desk Pro</v>
      </c>
      <c r="G153" t="str">
        <f>VLOOKUP(A153, Lookups!$A$12:$E$51, 3, FALSE())</f>
        <v>Office Furniture</v>
      </c>
      <c r="H153">
        <f>VLOOKUP(A153, Lookups!$A$12:$E$51, 4, FALSE())</f>
        <v>11309</v>
      </c>
      <c r="I153">
        <f t="shared" si="8"/>
        <v>327961</v>
      </c>
      <c r="J153" t="str">
        <f t="shared" si="9"/>
        <v>Healthy</v>
      </c>
    </row>
    <row r="154" spans="1:10" x14ac:dyDescent="0.45">
      <c r="A154" t="s">
        <v>90</v>
      </c>
      <c r="B154" t="s">
        <v>15</v>
      </c>
      <c r="C154">
        <v>30</v>
      </c>
      <c r="D154">
        <v>12</v>
      </c>
      <c r="E154">
        <v>27</v>
      </c>
      <c r="F154" t="str">
        <f>VLOOKUP(A154, Lookups!$A$12:$E$51, 2, FALSE())</f>
        <v>Pro Laptop Model M</v>
      </c>
      <c r="G154" t="str">
        <f>VLOOKUP(A154, Lookups!$A$12:$E$51, 3, FALSE())</f>
        <v>Electronics</v>
      </c>
      <c r="H154">
        <f>VLOOKUP(A154, Lookups!$A$12:$E$51, 4, FALSE())</f>
        <v>81434</v>
      </c>
      <c r="I154">
        <f t="shared" si="8"/>
        <v>2198718</v>
      </c>
      <c r="J154" t="str">
        <f t="shared" si="9"/>
        <v>Healthy</v>
      </c>
    </row>
    <row r="155" spans="1:10" x14ac:dyDescent="0.45">
      <c r="A155" t="s">
        <v>90</v>
      </c>
      <c r="B155" t="s">
        <v>16</v>
      </c>
      <c r="C155">
        <v>20</v>
      </c>
      <c r="D155">
        <v>8</v>
      </c>
      <c r="E155">
        <v>18</v>
      </c>
      <c r="F155" t="str">
        <f>VLOOKUP(A155, Lookups!$A$12:$E$51, 2, FALSE())</f>
        <v>Pro Laptop Model M</v>
      </c>
      <c r="G155" t="str">
        <f>VLOOKUP(A155, Lookups!$A$12:$E$51, 3, FALSE())</f>
        <v>Electronics</v>
      </c>
      <c r="H155">
        <f>VLOOKUP(A155, Lookups!$A$12:$E$51, 4, FALSE())</f>
        <v>81434</v>
      </c>
      <c r="I155">
        <f t="shared" si="8"/>
        <v>1465812</v>
      </c>
      <c r="J155" t="str">
        <f t="shared" si="9"/>
        <v>Healthy</v>
      </c>
    </row>
    <row r="156" spans="1:10" x14ac:dyDescent="0.45">
      <c r="A156" t="s">
        <v>90</v>
      </c>
      <c r="B156" t="s">
        <v>17</v>
      </c>
      <c r="C156">
        <v>30</v>
      </c>
      <c r="D156">
        <v>12</v>
      </c>
      <c r="E156">
        <v>1</v>
      </c>
      <c r="F156" t="str">
        <f>VLOOKUP(A156, Lookups!$A$12:$E$51, 2, FALSE())</f>
        <v>Pro Laptop Model M</v>
      </c>
      <c r="G156" t="str">
        <f>VLOOKUP(A156, Lookups!$A$12:$E$51, 3, FALSE())</f>
        <v>Electronics</v>
      </c>
      <c r="H156">
        <f>VLOOKUP(A156, Lookups!$A$12:$E$51, 4, FALSE())</f>
        <v>81434</v>
      </c>
      <c r="I156">
        <f t="shared" si="8"/>
        <v>81434</v>
      </c>
      <c r="J156" t="str">
        <f t="shared" si="9"/>
        <v>Stockout Risk</v>
      </c>
    </row>
    <row r="157" spans="1:10" x14ac:dyDescent="0.45">
      <c r="A157" t="s">
        <v>90</v>
      </c>
      <c r="B157" t="s">
        <v>18</v>
      </c>
      <c r="C157">
        <v>20</v>
      </c>
      <c r="D157">
        <v>8</v>
      </c>
      <c r="E157">
        <v>20</v>
      </c>
      <c r="F157" t="str">
        <f>VLOOKUP(A157, Lookups!$A$12:$E$51, 2, FALSE())</f>
        <v>Pro Laptop Model M</v>
      </c>
      <c r="G157" t="str">
        <f>VLOOKUP(A157, Lookups!$A$12:$E$51, 3, FALSE())</f>
        <v>Electronics</v>
      </c>
      <c r="H157">
        <f>VLOOKUP(A157, Lookups!$A$12:$E$51, 4, FALSE())</f>
        <v>81434</v>
      </c>
      <c r="I157">
        <f t="shared" si="8"/>
        <v>1628680</v>
      </c>
      <c r="J157" t="str">
        <f t="shared" si="9"/>
        <v>Healthy</v>
      </c>
    </row>
    <row r="158" spans="1:10" x14ac:dyDescent="0.45">
      <c r="A158" t="s">
        <v>91</v>
      </c>
      <c r="B158" t="s">
        <v>15</v>
      </c>
      <c r="C158">
        <v>222</v>
      </c>
      <c r="D158">
        <v>88</v>
      </c>
      <c r="E158">
        <v>100</v>
      </c>
      <c r="F158" t="str">
        <f>VLOOKUP(A158, Lookups!$A$12:$E$51, 2, FALSE())</f>
        <v>Wireless Mouse 8</v>
      </c>
      <c r="G158" t="str">
        <f>VLOOKUP(A158, Lookups!$A$12:$E$51, 3, FALSE())</f>
        <v>Peripherals</v>
      </c>
      <c r="H158">
        <f>VLOOKUP(A158, Lookups!$A$12:$E$51, 4, FALSE())</f>
        <v>6707</v>
      </c>
      <c r="I158">
        <f t="shared" si="8"/>
        <v>670700</v>
      </c>
      <c r="J158" t="str">
        <f t="shared" si="9"/>
        <v>Healthy</v>
      </c>
    </row>
    <row r="159" spans="1:10" x14ac:dyDescent="0.45">
      <c r="A159" t="s">
        <v>91</v>
      </c>
      <c r="B159" t="s">
        <v>16</v>
      </c>
      <c r="C159">
        <v>222</v>
      </c>
      <c r="D159">
        <v>88</v>
      </c>
      <c r="E159">
        <v>119</v>
      </c>
      <c r="F159" t="str">
        <f>VLOOKUP(A159, Lookups!$A$12:$E$51, 2, FALSE())</f>
        <v>Wireless Mouse 8</v>
      </c>
      <c r="G159" t="str">
        <f>VLOOKUP(A159, Lookups!$A$12:$E$51, 3, FALSE())</f>
        <v>Peripherals</v>
      </c>
      <c r="H159">
        <f>VLOOKUP(A159, Lookups!$A$12:$E$51, 4, FALSE())</f>
        <v>6707</v>
      </c>
      <c r="I159">
        <f t="shared" si="8"/>
        <v>798133</v>
      </c>
      <c r="J159" t="str">
        <f t="shared" si="9"/>
        <v>Healthy</v>
      </c>
    </row>
    <row r="160" spans="1:10" x14ac:dyDescent="0.45">
      <c r="A160" t="s">
        <v>91</v>
      </c>
      <c r="B160" t="s">
        <v>17</v>
      </c>
      <c r="C160">
        <v>148</v>
      </c>
      <c r="D160">
        <v>59</v>
      </c>
      <c r="E160">
        <v>29</v>
      </c>
      <c r="F160" t="str">
        <f>VLOOKUP(A160, Lookups!$A$12:$E$51, 2, FALSE())</f>
        <v>Wireless Mouse 8</v>
      </c>
      <c r="G160" t="str">
        <f>VLOOKUP(A160, Lookups!$A$12:$E$51, 3, FALSE())</f>
        <v>Peripherals</v>
      </c>
      <c r="H160">
        <f>VLOOKUP(A160, Lookups!$A$12:$E$51, 4, FALSE())</f>
        <v>6707</v>
      </c>
      <c r="I160">
        <f t="shared" si="8"/>
        <v>194503</v>
      </c>
      <c r="J160" t="str">
        <f t="shared" si="9"/>
        <v>Stockout Risk</v>
      </c>
    </row>
    <row r="161" spans="1:10" x14ac:dyDescent="0.45">
      <c r="A161" t="s">
        <v>91</v>
      </c>
      <c r="B161" t="s">
        <v>18</v>
      </c>
      <c r="C161">
        <v>222</v>
      </c>
      <c r="D161">
        <v>88</v>
      </c>
      <c r="E161">
        <v>231</v>
      </c>
      <c r="F161" t="str">
        <f>VLOOKUP(A161, Lookups!$A$12:$E$51, 2, FALSE())</f>
        <v>Wireless Mouse 8</v>
      </c>
      <c r="G161" t="str">
        <f>VLOOKUP(A161, Lookups!$A$12:$E$51, 3, FALSE())</f>
        <v>Peripherals</v>
      </c>
      <c r="H161">
        <f>VLOOKUP(A161, Lookups!$A$12:$E$51, 4, FALSE())</f>
        <v>6707</v>
      </c>
      <c r="I161">
        <f t="shared" si="8"/>
        <v>1549317</v>
      </c>
      <c r="J161" t="str">
        <f t="shared" si="9"/>
        <v>Healthy</v>
      </c>
    </row>
  </sheetData>
  <autoFilter ref="A1:J16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501"/>
  <sheetViews>
    <sheetView zoomScale="80" zoomScaleNormal="80" workbookViewId="0">
      <pane ySplit="1" topLeftCell="A2" activePane="bottomLeft" state="frozen"/>
      <selection pane="bottomLeft" activeCell="AC15" sqref="AC15"/>
    </sheetView>
  </sheetViews>
  <sheetFormatPr defaultColWidth="8.6640625" defaultRowHeight="14.25" customHeight="1" x14ac:dyDescent="0.45"/>
  <cols>
    <col min="1" max="1" width="10.86328125" customWidth="1"/>
    <col min="2" max="2" width="10.3984375" customWidth="1"/>
    <col min="9" max="10" width="10.53125" customWidth="1"/>
    <col min="14" max="14" width="10.3984375" customWidth="1"/>
  </cols>
  <sheetData>
    <row r="1" spans="1:22" x14ac:dyDescent="0.45">
      <c r="A1" s="1" t="s">
        <v>92</v>
      </c>
      <c r="B1" s="1" t="s">
        <v>93</v>
      </c>
      <c r="C1" s="1" t="s">
        <v>19</v>
      </c>
      <c r="D1" s="1" t="s">
        <v>43</v>
      </c>
      <c r="E1" s="1" t="s">
        <v>14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</row>
    <row r="2" spans="1:22" x14ac:dyDescent="0.45">
      <c r="A2" t="s">
        <v>111</v>
      </c>
      <c r="B2" t="s">
        <v>112</v>
      </c>
      <c r="C2" t="s">
        <v>34</v>
      </c>
      <c r="D2" t="s">
        <v>76</v>
      </c>
      <c r="E2" t="s">
        <v>16</v>
      </c>
      <c r="F2">
        <v>213</v>
      </c>
      <c r="G2">
        <v>26270</v>
      </c>
      <c r="H2">
        <v>5595510</v>
      </c>
      <c r="I2" t="s">
        <v>113</v>
      </c>
      <c r="J2" t="s">
        <v>114</v>
      </c>
      <c r="K2">
        <v>213</v>
      </c>
      <c r="L2">
        <v>0</v>
      </c>
      <c r="M2" t="s">
        <v>115</v>
      </c>
      <c r="N2" t="str">
        <f t="shared" ref="N2:N65" si="0">TRIM(A2)</f>
        <v>PO-100001</v>
      </c>
      <c r="O2" t="str">
        <f t="shared" ref="O2:O65" si="1">PROPER(TRIM(M2))</f>
        <v>Delivered</v>
      </c>
      <c r="P2" t="str">
        <f t="shared" ref="P2:P65" si="2">TRIM(E2)</f>
        <v>WH-DEL</v>
      </c>
      <c r="Q2" t="str">
        <f>VLOOKUP(C2, Lookups!$A$2:$D$10, 2, FALSE())</f>
        <v>FastElectronics</v>
      </c>
      <c r="R2" t="str">
        <f>_xlfn.XLOOKUP(D2, Lookups!$A$12:$A$51, Lookups!$C$12:$C$51, "Unknown")</f>
        <v>Networking</v>
      </c>
      <c r="S2" t="str">
        <f>IF(ISBLANK(I2), B2+VLOOKUP(C2, Lookups!$A$2:$D$10, 4, FALSE()), I2)</f>
        <v>2026-07-04</v>
      </c>
      <c r="T2">
        <f t="shared" ref="T2:T65" si="3">IF(ISBLANK(J2), "", J2-B2)</f>
        <v>19</v>
      </c>
      <c r="U2" t="str">
        <f t="shared" ref="U2:U65" si="4">IF(O2="Open", "Open", IF(J2&gt;S2, "Late", "On-Time"))</f>
        <v>Late</v>
      </c>
      <c r="V2">
        <f t="shared" ref="V2:V65" si="5">IF(K2&gt;0, L2/K2, 0)</f>
        <v>0</v>
      </c>
    </row>
    <row r="3" spans="1:22" x14ac:dyDescent="0.45">
      <c r="A3" t="s">
        <v>116</v>
      </c>
      <c r="B3" t="s">
        <v>117</v>
      </c>
      <c r="C3" t="s">
        <v>30</v>
      </c>
      <c r="D3" t="s">
        <v>52</v>
      </c>
      <c r="E3" t="s">
        <v>15</v>
      </c>
      <c r="F3">
        <v>142</v>
      </c>
      <c r="G3">
        <v>59592</v>
      </c>
      <c r="H3">
        <v>8462064</v>
      </c>
      <c r="I3" t="s">
        <v>118</v>
      </c>
      <c r="J3" t="s">
        <v>118</v>
      </c>
      <c r="K3">
        <v>142</v>
      </c>
      <c r="L3">
        <v>0</v>
      </c>
      <c r="M3" t="s">
        <v>115</v>
      </c>
      <c r="N3" t="str">
        <f t="shared" si="0"/>
        <v>PO-100002</v>
      </c>
      <c r="O3" t="str">
        <f t="shared" si="1"/>
        <v>Delivered</v>
      </c>
      <c r="P3" t="str">
        <f t="shared" si="2"/>
        <v>WH-BOM</v>
      </c>
      <c r="Q3" t="str">
        <f>VLOOKUP(C3, Lookups!$A$2:$D$10, 2, FALSE())</f>
        <v>TechSupply Corp</v>
      </c>
      <c r="R3" t="str">
        <f>_xlfn.XLOOKUP(D3, Lookups!$A$12:$A$51, Lookups!$C$12:$C$51, "Unknown")</f>
        <v>Electronics</v>
      </c>
      <c r="S3" t="str">
        <f>IF(ISBLANK(I3), B3+VLOOKUP(C3, Lookups!$A$2:$D$10, 4, FALSE()), I3)</f>
        <v>2026-10-03</v>
      </c>
      <c r="T3">
        <f t="shared" si="3"/>
        <v>14</v>
      </c>
      <c r="U3" t="str">
        <f t="shared" si="4"/>
        <v>On-Time</v>
      </c>
      <c r="V3">
        <f t="shared" si="5"/>
        <v>0</v>
      </c>
    </row>
    <row r="4" spans="1:22" x14ac:dyDescent="0.45">
      <c r="A4" t="s">
        <v>119</v>
      </c>
      <c r="B4" t="s">
        <v>120</v>
      </c>
      <c r="C4" t="s">
        <v>30</v>
      </c>
      <c r="D4" t="s">
        <v>53</v>
      </c>
      <c r="E4" t="s">
        <v>15</v>
      </c>
      <c r="F4">
        <v>108</v>
      </c>
      <c r="G4">
        <v>81048</v>
      </c>
      <c r="H4">
        <v>8753184</v>
      </c>
      <c r="I4" t="s">
        <v>121</v>
      </c>
      <c r="J4" t="s">
        <v>121</v>
      </c>
      <c r="K4">
        <v>108</v>
      </c>
      <c r="L4">
        <v>0</v>
      </c>
      <c r="M4" t="s">
        <v>115</v>
      </c>
      <c r="N4" t="str">
        <f t="shared" si="0"/>
        <v>PO-100003</v>
      </c>
      <c r="O4" t="str">
        <f t="shared" si="1"/>
        <v>Delivered</v>
      </c>
      <c r="P4" t="str">
        <f t="shared" si="2"/>
        <v>WH-BOM</v>
      </c>
      <c r="Q4" t="str">
        <f>VLOOKUP(C4, Lookups!$A$2:$D$10, 2, FALSE())</f>
        <v>TechSupply Corp</v>
      </c>
      <c r="R4" t="str">
        <f>_xlfn.XLOOKUP(D4, Lookups!$A$12:$A$51, Lookups!$C$12:$C$51, "Unknown")</f>
        <v>Electronics</v>
      </c>
      <c r="S4" t="str">
        <f>IF(ISBLANK(I4), B4+VLOOKUP(C4, Lookups!$A$2:$D$10, 4, FALSE()), I4)</f>
        <v>2025-01-17</v>
      </c>
      <c r="T4">
        <f t="shared" si="3"/>
        <v>14</v>
      </c>
      <c r="U4" t="str">
        <f t="shared" si="4"/>
        <v>On-Time</v>
      </c>
      <c r="V4">
        <f t="shared" si="5"/>
        <v>0</v>
      </c>
    </row>
    <row r="5" spans="1:22" x14ac:dyDescent="0.45">
      <c r="A5" t="s">
        <v>122</v>
      </c>
      <c r="B5" t="s">
        <v>123</v>
      </c>
      <c r="C5" t="s">
        <v>31</v>
      </c>
      <c r="D5" t="s">
        <v>64</v>
      </c>
      <c r="E5" t="s">
        <v>18</v>
      </c>
      <c r="F5">
        <v>199</v>
      </c>
      <c r="G5">
        <v>36295</v>
      </c>
      <c r="H5">
        <v>7222705</v>
      </c>
      <c r="I5" t="s">
        <v>124</v>
      </c>
      <c r="J5" t="s">
        <v>125</v>
      </c>
      <c r="K5">
        <v>199</v>
      </c>
      <c r="L5">
        <v>0</v>
      </c>
      <c r="M5" t="s">
        <v>115</v>
      </c>
      <c r="N5" t="str">
        <f t="shared" si="0"/>
        <v>PO-100004</v>
      </c>
      <c r="O5" t="str">
        <f t="shared" si="1"/>
        <v>Delivered</v>
      </c>
      <c r="P5" t="str">
        <f t="shared" si="2"/>
        <v>WH-PUN</v>
      </c>
      <c r="Q5" t="str">
        <f>VLOOKUP(C5, Lookups!$A$2:$D$10, 2, FALSE())</f>
        <v>Global Networks</v>
      </c>
      <c r="R5" t="str">
        <f>_xlfn.XLOOKUP(D5, Lookups!$A$12:$A$51, Lookups!$C$12:$C$51, "Unknown")</f>
        <v>Networking</v>
      </c>
      <c r="S5" t="str">
        <f>IF(ISBLANK(I5), B5+VLOOKUP(C5, Lookups!$A$2:$D$10, 4, FALSE()), I5)</f>
        <v>2026-06-12</v>
      </c>
      <c r="T5">
        <f t="shared" si="3"/>
        <v>22</v>
      </c>
      <c r="U5" t="str">
        <f t="shared" si="4"/>
        <v>Late</v>
      </c>
      <c r="V5">
        <f t="shared" si="5"/>
        <v>0</v>
      </c>
    </row>
    <row r="6" spans="1:22" x14ac:dyDescent="0.45">
      <c r="A6" t="s">
        <v>126</v>
      </c>
      <c r="B6" t="s">
        <v>127</v>
      </c>
      <c r="C6" t="s">
        <v>30</v>
      </c>
      <c r="D6" t="s">
        <v>52</v>
      </c>
      <c r="E6" t="s">
        <v>17</v>
      </c>
      <c r="F6">
        <v>86</v>
      </c>
      <c r="G6">
        <v>59592</v>
      </c>
      <c r="H6">
        <v>5124912</v>
      </c>
      <c r="I6" t="s">
        <v>128</v>
      </c>
      <c r="J6" t="s">
        <v>128</v>
      </c>
      <c r="K6">
        <v>86</v>
      </c>
      <c r="L6">
        <v>0</v>
      </c>
      <c r="M6" t="s">
        <v>115</v>
      </c>
      <c r="N6" t="str">
        <f t="shared" si="0"/>
        <v>PO-100005</v>
      </c>
      <c r="O6" t="str">
        <f t="shared" si="1"/>
        <v>Delivered</v>
      </c>
      <c r="P6" t="str">
        <f t="shared" si="2"/>
        <v>WH-BLR</v>
      </c>
      <c r="Q6" t="str">
        <f>VLOOKUP(C6, Lookups!$A$2:$D$10, 2, FALSE())</f>
        <v>TechSupply Corp</v>
      </c>
      <c r="R6" t="str">
        <f>_xlfn.XLOOKUP(D6, Lookups!$A$12:$A$51, Lookups!$C$12:$C$51, "Unknown")</f>
        <v>Electronics</v>
      </c>
      <c r="S6" t="str">
        <f>IF(ISBLANK(I6), B6+VLOOKUP(C6, Lookups!$A$2:$D$10, 4, FALSE()), I6)</f>
        <v>2026-02-16</v>
      </c>
      <c r="T6">
        <f t="shared" si="3"/>
        <v>14</v>
      </c>
      <c r="U6" t="str">
        <f t="shared" si="4"/>
        <v>On-Time</v>
      </c>
      <c r="V6">
        <f t="shared" si="5"/>
        <v>0</v>
      </c>
    </row>
    <row r="7" spans="1:22" x14ac:dyDescent="0.45">
      <c r="A7" t="s">
        <v>129</v>
      </c>
      <c r="B7" t="s">
        <v>130</v>
      </c>
      <c r="C7" t="s">
        <v>37</v>
      </c>
      <c r="D7" t="s">
        <v>79</v>
      </c>
      <c r="E7" t="s">
        <v>18</v>
      </c>
      <c r="F7">
        <v>76</v>
      </c>
      <c r="G7">
        <v>23054</v>
      </c>
      <c r="H7">
        <v>1752104</v>
      </c>
      <c r="I7" t="s">
        <v>131</v>
      </c>
      <c r="J7" t="s">
        <v>131</v>
      </c>
      <c r="K7">
        <v>76</v>
      </c>
      <c r="L7">
        <v>0</v>
      </c>
      <c r="M7" t="s">
        <v>115</v>
      </c>
      <c r="N7" t="str">
        <f t="shared" si="0"/>
        <v>PO-100006</v>
      </c>
      <c r="O7" t="str">
        <f t="shared" si="1"/>
        <v>Delivered</v>
      </c>
      <c r="P7" t="str">
        <f t="shared" si="2"/>
        <v>WH-PUN</v>
      </c>
      <c r="Q7" t="str">
        <f>VLOOKUP(C7, Lookups!$A$2:$D$10, 2, FALSE())</f>
        <v>Premium Desks Ltd</v>
      </c>
      <c r="R7" t="str">
        <f>_xlfn.XLOOKUP(D7, Lookups!$A$12:$A$51, Lookups!$C$12:$C$51, "Unknown")</f>
        <v>Office Furniture</v>
      </c>
      <c r="S7" t="str">
        <f>IF(ISBLANK(I7), B7+VLOOKUP(C7, Lookups!$A$2:$D$10, 4, FALSE()), I7)</f>
        <v>2026-07-27</v>
      </c>
      <c r="T7">
        <f t="shared" si="3"/>
        <v>12</v>
      </c>
      <c r="U7" t="str">
        <f t="shared" si="4"/>
        <v>On-Time</v>
      </c>
      <c r="V7">
        <f t="shared" si="5"/>
        <v>0</v>
      </c>
    </row>
    <row r="8" spans="1:22" x14ac:dyDescent="0.45">
      <c r="A8" t="s">
        <v>132</v>
      </c>
      <c r="B8" t="s">
        <v>133</v>
      </c>
      <c r="C8" t="s">
        <v>32</v>
      </c>
      <c r="D8" t="s">
        <v>84</v>
      </c>
      <c r="E8" t="s">
        <v>17</v>
      </c>
      <c r="F8">
        <v>185</v>
      </c>
      <c r="G8">
        <v>7271</v>
      </c>
      <c r="H8">
        <v>1345135</v>
      </c>
      <c r="I8" t="s">
        <v>134</v>
      </c>
      <c r="J8" t="s">
        <v>135</v>
      </c>
      <c r="K8">
        <v>185</v>
      </c>
      <c r="L8">
        <v>0</v>
      </c>
      <c r="M8" t="s">
        <v>115</v>
      </c>
      <c r="N8" t="str">
        <f t="shared" si="0"/>
        <v>PO-100007</v>
      </c>
      <c r="O8" t="str">
        <f t="shared" si="1"/>
        <v>Delivered</v>
      </c>
      <c r="P8" t="str">
        <f t="shared" si="2"/>
        <v>WH-BLR</v>
      </c>
      <c r="Q8" t="str">
        <f>VLOOKUP(C8, Lookups!$A$2:$D$10, 2, FALSE())</f>
        <v>OfficeDepot Pro</v>
      </c>
      <c r="R8" t="str">
        <f>_xlfn.XLOOKUP(D8, Lookups!$A$12:$A$51, Lookups!$C$12:$C$51, "Unknown")</f>
        <v>Peripherals</v>
      </c>
      <c r="S8" t="str">
        <f>IF(ISBLANK(I8), B8+VLOOKUP(C8, Lookups!$A$2:$D$10, 4, FALSE()), I8)</f>
        <v>2026-09-03</v>
      </c>
      <c r="T8">
        <f t="shared" si="3"/>
        <v>6</v>
      </c>
      <c r="U8" t="str">
        <f t="shared" si="4"/>
        <v>On-Time</v>
      </c>
      <c r="V8">
        <f t="shared" si="5"/>
        <v>0</v>
      </c>
    </row>
    <row r="9" spans="1:22" x14ac:dyDescent="0.45">
      <c r="A9" t="s">
        <v>136</v>
      </c>
      <c r="B9" t="s">
        <v>137</v>
      </c>
      <c r="C9" t="s">
        <v>34</v>
      </c>
      <c r="D9" t="s">
        <v>80</v>
      </c>
      <c r="E9" t="s">
        <v>15</v>
      </c>
      <c r="F9">
        <v>247</v>
      </c>
      <c r="G9">
        <v>19090</v>
      </c>
      <c r="H9">
        <v>4715230</v>
      </c>
      <c r="I9" t="s">
        <v>138</v>
      </c>
      <c r="J9" t="s">
        <v>139</v>
      </c>
      <c r="K9">
        <v>247</v>
      </c>
      <c r="L9">
        <v>0</v>
      </c>
      <c r="M9" t="s">
        <v>115</v>
      </c>
      <c r="N9" t="str">
        <f t="shared" si="0"/>
        <v>PO-100008</v>
      </c>
      <c r="O9" t="str">
        <f t="shared" si="1"/>
        <v>Delivered</v>
      </c>
      <c r="P9" t="str">
        <f t="shared" si="2"/>
        <v>WH-BOM</v>
      </c>
      <c r="Q9" t="str">
        <f>VLOOKUP(C9, Lookups!$A$2:$D$10, 2, FALSE())</f>
        <v>FastElectronics</v>
      </c>
      <c r="R9" t="str">
        <f>_xlfn.XLOOKUP(D9, Lookups!$A$12:$A$51, Lookups!$C$12:$C$51, "Unknown")</f>
        <v>Networking</v>
      </c>
      <c r="S9" t="str">
        <f>IF(ISBLANK(I9), B9+VLOOKUP(C9, Lookups!$A$2:$D$10, 4, FALSE()), I9)</f>
        <v>2025-09-26</v>
      </c>
      <c r="T9">
        <f t="shared" si="3"/>
        <v>21</v>
      </c>
      <c r="U9" t="str">
        <f t="shared" si="4"/>
        <v>Late</v>
      </c>
      <c r="V9">
        <f t="shared" si="5"/>
        <v>0</v>
      </c>
    </row>
    <row r="10" spans="1:22" x14ac:dyDescent="0.45">
      <c r="A10" t="s">
        <v>140</v>
      </c>
      <c r="B10" t="s">
        <v>141</v>
      </c>
      <c r="C10" t="s">
        <v>35</v>
      </c>
      <c r="D10" t="s">
        <v>75</v>
      </c>
      <c r="E10" t="s">
        <v>17</v>
      </c>
      <c r="F10">
        <v>94</v>
      </c>
      <c r="G10">
        <v>4440</v>
      </c>
      <c r="H10">
        <v>417360</v>
      </c>
      <c r="I10" t="s">
        <v>142</v>
      </c>
      <c r="J10" t="s">
        <v>143</v>
      </c>
      <c r="K10">
        <v>94</v>
      </c>
      <c r="L10">
        <v>11</v>
      </c>
      <c r="M10" t="s">
        <v>115</v>
      </c>
      <c r="N10" t="str">
        <f t="shared" si="0"/>
        <v>PO-100009</v>
      </c>
      <c r="O10" t="str">
        <f t="shared" si="1"/>
        <v>Delivered</v>
      </c>
      <c r="P10" t="str">
        <f t="shared" si="2"/>
        <v>WH-BLR</v>
      </c>
      <c r="Q10" t="str">
        <f>VLOOKUP(C10, Lookups!$A$2:$D$10, 2, FALSE())</f>
        <v>Peripheral Source</v>
      </c>
      <c r="R10" t="str">
        <f>_xlfn.XLOOKUP(D10, Lookups!$A$12:$A$51, Lookups!$C$12:$C$51, "Unknown")</f>
        <v>Peripherals</v>
      </c>
      <c r="S10" t="str">
        <f>IF(ISBLANK(I10), B10+VLOOKUP(C10, Lookups!$A$2:$D$10, 4, FALSE()), I10)</f>
        <v>2026-08-02</v>
      </c>
      <c r="T10">
        <f t="shared" si="3"/>
        <v>11</v>
      </c>
      <c r="U10" t="str">
        <f t="shared" si="4"/>
        <v>Late</v>
      </c>
      <c r="V10">
        <f t="shared" si="5"/>
        <v>0.11702127659574468</v>
      </c>
    </row>
    <row r="11" spans="1:22" x14ac:dyDescent="0.45">
      <c r="A11" t="s">
        <v>144</v>
      </c>
      <c r="B11" t="s">
        <v>145</v>
      </c>
      <c r="C11" t="s">
        <v>30</v>
      </c>
      <c r="D11" t="s">
        <v>52</v>
      </c>
      <c r="E11" t="s">
        <v>15</v>
      </c>
      <c r="F11">
        <v>102</v>
      </c>
      <c r="G11">
        <v>59592</v>
      </c>
      <c r="H11">
        <v>6078384</v>
      </c>
      <c r="I11" t="s">
        <v>146</v>
      </c>
      <c r="J11" t="s">
        <v>147</v>
      </c>
      <c r="K11">
        <v>102</v>
      </c>
      <c r="L11">
        <v>0</v>
      </c>
      <c r="M11" t="s">
        <v>115</v>
      </c>
      <c r="N11" t="str">
        <f t="shared" si="0"/>
        <v>PO-100010</v>
      </c>
      <c r="O11" t="str">
        <f t="shared" si="1"/>
        <v>Delivered</v>
      </c>
      <c r="P11" t="str">
        <f t="shared" si="2"/>
        <v>WH-BOM</v>
      </c>
      <c r="Q11" t="str">
        <f>VLOOKUP(C11, Lookups!$A$2:$D$10, 2, FALSE())</f>
        <v>TechSupply Corp</v>
      </c>
      <c r="R11" t="str">
        <f>_xlfn.XLOOKUP(D11, Lookups!$A$12:$A$51, Lookups!$C$12:$C$51, "Unknown")</f>
        <v>Electronics</v>
      </c>
      <c r="S11" t="str">
        <f>IF(ISBLANK(I11), B11+VLOOKUP(C11, Lookups!$A$2:$D$10, 4, FALSE()), I11)</f>
        <v>2025-10-08</v>
      </c>
      <c r="T11">
        <f t="shared" si="3"/>
        <v>11</v>
      </c>
      <c r="U11" t="str">
        <f t="shared" si="4"/>
        <v>On-Time</v>
      </c>
      <c r="V11">
        <f t="shared" si="5"/>
        <v>0</v>
      </c>
    </row>
    <row r="12" spans="1:22" x14ac:dyDescent="0.45">
      <c r="A12" t="s">
        <v>148</v>
      </c>
      <c r="B12" t="s">
        <v>149</v>
      </c>
      <c r="C12" t="s">
        <v>35</v>
      </c>
      <c r="D12" t="s">
        <v>72</v>
      </c>
      <c r="E12" t="s">
        <v>18</v>
      </c>
      <c r="F12">
        <v>157</v>
      </c>
      <c r="G12">
        <v>7754</v>
      </c>
      <c r="H12">
        <v>1217378</v>
      </c>
      <c r="I12" t="s">
        <v>150</v>
      </c>
      <c r="J12" t="s">
        <v>151</v>
      </c>
      <c r="K12">
        <v>157</v>
      </c>
      <c r="L12">
        <v>0</v>
      </c>
      <c r="M12" t="s">
        <v>115</v>
      </c>
      <c r="N12" t="str">
        <f t="shared" si="0"/>
        <v>PO-100011</v>
      </c>
      <c r="O12" t="str">
        <f t="shared" si="1"/>
        <v>Delivered</v>
      </c>
      <c r="P12" t="str">
        <f t="shared" si="2"/>
        <v>WH-PUN</v>
      </c>
      <c r="Q12" t="str">
        <f>VLOOKUP(C12, Lookups!$A$2:$D$10, 2, FALSE())</f>
        <v>Peripheral Source</v>
      </c>
      <c r="R12" t="str">
        <f>_xlfn.XLOOKUP(D12, Lookups!$A$12:$A$51, Lookups!$C$12:$C$51, "Unknown")</f>
        <v>Peripherals</v>
      </c>
      <c r="S12" t="str">
        <f>IF(ISBLANK(I12), B12+VLOOKUP(C12, Lookups!$A$2:$D$10, 4, FALSE()), I12)</f>
        <v>2026-04-13</v>
      </c>
      <c r="T12">
        <f t="shared" si="3"/>
        <v>11</v>
      </c>
      <c r="U12" t="str">
        <f t="shared" si="4"/>
        <v>Late</v>
      </c>
      <c r="V12">
        <f t="shared" si="5"/>
        <v>0</v>
      </c>
    </row>
    <row r="13" spans="1:22" x14ac:dyDescent="0.45">
      <c r="A13" t="s">
        <v>152</v>
      </c>
      <c r="B13" t="s">
        <v>153</v>
      </c>
      <c r="C13" t="s">
        <v>31</v>
      </c>
      <c r="D13" t="s">
        <v>77</v>
      </c>
      <c r="E13" t="s">
        <v>18</v>
      </c>
      <c r="F13">
        <v>123</v>
      </c>
      <c r="G13">
        <v>23667</v>
      </c>
      <c r="H13">
        <v>2911041</v>
      </c>
      <c r="I13" t="s">
        <v>154</v>
      </c>
      <c r="J13" t="s">
        <v>155</v>
      </c>
      <c r="K13">
        <v>96</v>
      </c>
      <c r="L13">
        <v>0</v>
      </c>
      <c r="M13" t="s">
        <v>115</v>
      </c>
      <c r="N13" t="str">
        <f t="shared" si="0"/>
        <v>PO-100012</v>
      </c>
      <c r="O13" t="str">
        <f t="shared" si="1"/>
        <v>Delivered</v>
      </c>
      <c r="P13" t="str">
        <f t="shared" si="2"/>
        <v>WH-PUN</v>
      </c>
      <c r="Q13" t="str">
        <f>VLOOKUP(C13, Lookups!$A$2:$D$10, 2, FALSE())</f>
        <v>Global Networks</v>
      </c>
      <c r="R13" t="str">
        <f>_xlfn.XLOOKUP(D13, Lookups!$A$12:$A$51, Lookups!$C$12:$C$51, "Unknown")</f>
        <v>Networking</v>
      </c>
      <c r="S13" t="str">
        <f>IF(ISBLANK(I13), B13+VLOOKUP(C13, Lookups!$A$2:$D$10, 4, FALSE()), I13)</f>
        <v>2025-10-28</v>
      </c>
      <c r="T13">
        <f t="shared" si="3"/>
        <v>23</v>
      </c>
      <c r="U13" t="str">
        <f t="shared" si="4"/>
        <v>Late</v>
      </c>
      <c r="V13">
        <f t="shared" si="5"/>
        <v>0</v>
      </c>
    </row>
    <row r="14" spans="1:22" x14ac:dyDescent="0.45">
      <c r="A14" t="s">
        <v>156</v>
      </c>
      <c r="B14" t="s">
        <v>157</v>
      </c>
      <c r="C14" t="s">
        <v>30</v>
      </c>
      <c r="D14" t="s">
        <v>53</v>
      </c>
      <c r="E14" t="s">
        <v>16</v>
      </c>
      <c r="F14">
        <v>190</v>
      </c>
      <c r="G14">
        <v>81048</v>
      </c>
      <c r="H14">
        <v>15399120</v>
      </c>
      <c r="I14" t="s">
        <v>158</v>
      </c>
      <c r="J14" t="s">
        <v>158</v>
      </c>
      <c r="K14">
        <v>190</v>
      </c>
      <c r="L14">
        <v>0</v>
      </c>
      <c r="M14" t="s">
        <v>115</v>
      </c>
      <c r="N14" t="str">
        <f t="shared" si="0"/>
        <v>PO-100013</v>
      </c>
      <c r="O14" t="str">
        <f t="shared" si="1"/>
        <v>Delivered</v>
      </c>
      <c r="P14" t="str">
        <f t="shared" si="2"/>
        <v>WH-DEL</v>
      </c>
      <c r="Q14" t="str">
        <f>VLOOKUP(C14, Lookups!$A$2:$D$10, 2, FALSE())</f>
        <v>TechSupply Corp</v>
      </c>
      <c r="R14" t="str">
        <f>_xlfn.XLOOKUP(D14, Lookups!$A$12:$A$51, Lookups!$C$12:$C$51, "Unknown")</f>
        <v>Electronics</v>
      </c>
      <c r="S14" t="str">
        <f>IF(ISBLANK(I14), B14+VLOOKUP(C14, Lookups!$A$2:$D$10, 4, FALSE()), I14)</f>
        <v>2026-11-05</v>
      </c>
      <c r="T14">
        <f t="shared" si="3"/>
        <v>14</v>
      </c>
      <c r="U14" t="str">
        <f t="shared" si="4"/>
        <v>On-Time</v>
      </c>
      <c r="V14">
        <f t="shared" si="5"/>
        <v>0</v>
      </c>
    </row>
    <row r="15" spans="1:22" x14ac:dyDescent="0.45">
      <c r="A15" t="s">
        <v>159</v>
      </c>
      <c r="B15" t="s">
        <v>160</v>
      </c>
      <c r="C15" t="s">
        <v>31</v>
      </c>
      <c r="D15" t="s">
        <v>66</v>
      </c>
      <c r="E15" t="s">
        <v>18</v>
      </c>
      <c r="F15">
        <v>162</v>
      </c>
      <c r="G15">
        <v>29719</v>
      </c>
      <c r="H15">
        <v>4814478</v>
      </c>
      <c r="I15" t="s">
        <v>161</v>
      </c>
      <c r="J15" t="s">
        <v>162</v>
      </c>
      <c r="K15">
        <v>162</v>
      </c>
      <c r="L15">
        <v>0</v>
      </c>
      <c r="M15" t="s">
        <v>115</v>
      </c>
      <c r="N15" t="str">
        <f t="shared" si="0"/>
        <v>PO-100014</v>
      </c>
      <c r="O15" t="str">
        <f t="shared" si="1"/>
        <v>Delivered</v>
      </c>
      <c r="P15" t="str">
        <f t="shared" si="2"/>
        <v>WH-PUN</v>
      </c>
      <c r="Q15" t="str">
        <f>VLOOKUP(C15, Lookups!$A$2:$D$10, 2, FALSE())</f>
        <v>Global Networks</v>
      </c>
      <c r="R15" t="str">
        <f>_xlfn.XLOOKUP(D15, Lookups!$A$12:$A$51, Lookups!$C$12:$C$51, "Unknown")</f>
        <v>Networking</v>
      </c>
      <c r="S15" t="str">
        <f>IF(ISBLANK(I15), B15+VLOOKUP(C15, Lookups!$A$2:$D$10, 4, FALSE()), I15)</f>
        <v>2025-06-12</v>
      </c>
      <c r="T15">
        <f t="shared" si="3"/>
        <v>22</v>
      </c>
      <c r="U15" t="str">
        <f t="shared" si="4"/>
        <v>Late</v>
      </c>
      <c r="V15">
        <f t="shared" si="5"/>
        <v>0</v>
      </c>
    </row>
    <row r="16" spans="1:22" x14ac:dyDescent="0.45">
      <c r="A16" t="s">
        <v>163</v>
      </c>
      <c r="B16" t="s">
        <v>164</v>
      </c>
      <c r="C16" t="s">
        <v>30</v>
      </c>
      <c r="D16" t="s">
        <v>61</v>
      </c>
      <c r="E16" t="s">
        <v>15</v>
      </c>
      <c r="F16">
        <v>145</v>
      </c>
      <c r="G16">
        <v>111237</v>
      </c>
      <c r="H16">
        <v>16129365</v>
      </c>
      <c r="I16" t="s">
        <v>165</v>
      </c>
      <c r="J16" t="s">
        <v>165</v>
      </c>
      <c r="K16">
        <v>145</v>
      </c>
      <c r="L16">
        <v>0</v>
      </c>
      <c r="M16" t="s">
        <v>166</v>
      </c>
      <c r="N16" t="str">
        <f t="shared" si="0"/>
        <v>PO-100015</v>
      </c>
      <c r="O16" t="str">
        <f t="shared" si="1"/>
        <v>Delivered</v>
      </c>
      <c r="P16" t="str">
        <f t="shared" si="2"/>
        <v>WH-BOM</v>
      </c>
      <c r="Q16" t="str">
        <f>VLOOKUP(C16, Lookups!$A$2:$D$10, 2, FALSE())</f>
        <v>TechSupply Corp</v>
      </c>
      <c r="R16" t="str">
        <f>_xlfn.XLOOKUP(D16, Lookups!$A$12:$A$51, Lookups!$C$12:$C$51, "Unknown")</f>
        <v>Electronics</v>
      </c>
      <c r="S16" t="str">
        <f>IF(ISBLANK(I16), B16+VLOOKUP(C16, Lookups!$A$2:$D$10, 4, FALSE()), I16)</f>
        <v>2026-02-19</v>
      </c>
      <c r="T16">
        <f t="shared" si="3"/>
        <v>14</v>
      </c>
      <c r="U16" t="str">
        <f t="shared" si="4"/>
        <v>On-Time</v>
      </c>
      <c r="V16">
        <f t="shared" si="5"/>
        <v>0</v>
      </c>
    </row>
    <row r="17" spans="1:22" x14ac:dyDescent="0.45">
      <c r="A17" t="s">
        <v>167</v>
      </c>
      <c r="B17" t="s">
        <v>168</v>
      </c>
      <c r="C17" t="s">
        <v>34</v>
      </c>
      <c r="D17" t="s">
        <v>81</v>
      </c>
      <c r="E17" t="s">
        <v>16</v>
      </c>
      <c r="F17">
        <v>212</v>
      </c>
      <c r="G17">
        <v>55328</v>
      </c>
      <c r="H17">
        <v>11729536</v>
      </c>
      <c r="I17" t="s">
        <v>169</v>
      </c>
      <c r="J17" t="s">
        <v>169</v>
      </c>
      <c r="K17">
        <v>212</v>
      </c>
      <c r="L17">
        <v>0</v>
      </c>
      <c r="M17" t="s">
        <v>115</v>
      </c>
      <c r="N17" t="str">
        <f t="shared" si="0"/>
        <v>PO-100016</v>
      </c>
      <c r="O17" t="str">
        <f t="shared" si="1"/>
        <v>Delivered</v>
      </c>
      <c r="P17" t="str">
        <f t="shared" si="2"/>
        <v>WH-DEL</v>
      </c>
      <c r="Q17" t="str">
        <f>VLOOKUP(C17, Lookups!$A$2:$D$10, 2, FALSE())</f>
        <v>FastElectronics</v>
      </c>
      <c r="R17" t="str">
        <f>_xlfn.XLOOKUP(D17, Lookups!$A$12:$A$51, Lookups!$C$12:$C$51, "Unknown")</f>
        <v>Electronics</v>
      </c>
      <c r="S17" t="str">
        <f>IF(ISBLANK(I17), B17+VLOOKUP(C17, Lookups!$A$2:$D$10, 4, FALSE()), I17)</f>
        <v>2025-06-07</v>
      </c>
      <c r="T17">
        <f t="shared" si="3"/>
        <v>18</v>
      </c>
      <c r="U17" t="str">
        <f t="shared" si="4"/>
        <v>On-Time</v>
      </c>
      <c r="V17">
        <f t="shared" si="5"/>
        <v>0</v>
      </c>
    </row>
    <row r="18" spans="1:22" x14ac:dyDescent="0.45">
      <c r="A18" t="s">
        <v>170</v>
      </c>
      <c r="B18" t="s">
        <v>171</v>
      </c>
      <c r="C18" t="s">
        <v>34</v>
      </c>
      <c r="D18" t="s">
        <v>74</v>
      </c>
      <c r="E18" t="s">
        <v>18</v>
      </c>
      <c r="F18">
        <v>14</v>
      </c>
      <c r="G18">
        <v>94797</v>
      </c>
      <c r="H18">
        <v>1327158</v>
      </c>
      <c r="I18" t="s">
        <v>172</v>
      </c>
      <c r="J18" t="s">
        <v>173</v>
      </c>
      <c r="K18">
        <v>14</v>
      </c>
      <c r="L18">
        <v>0</v>
      </c>
      <c r="M18" t="s">
        <v>115</v>
      </c>
      <c r="N18" t="str">
        <f t="shared" si="0"/>
        <v>PO-100017</v>
      </c>
      <c r="O18" t="str">
        <f t="shared" si="1"/>
        <v>Delivered</v>
      </c>
      <c r="P18" t="str">
        <f t="shared" si="2"/>
        <v>WH-PUN</v>
      </c>
      <c r="Q18" t="str">
        <f>VLOOKUP(C18, Lookups!$A$2:$D$10, 2, FALSE())</f>
        <v>FastElectronics</v>
      </c>
      <c r="R18" t="str">
        <f>_xlfn.XLOOKUP(D18, Lookups!$A$12:$A$51, Lookups!$C$12:$C$51, "Unknown")</f>
        <v>Electronics</v>
      </c>
      <c r="S18" t="str">
        <f>IF(ISBLANK(I18), B18+VLOOKUP(C18, Lookups!$A$2:$D$10, 4, FALSE()), I18)</f>
        <v>2025-09-03</v>
      </c>
      <c r="T18">
        <f t="shared" si="3"/>
        <v>21</v>
      </c>
      <c r="U18" t="str">
        <f t="shared" si="4"/>
        <v>Late</v>
      </c>
      <c r="V18">
        <f t="shared" si="5"/>
        <v>0</v>
      </c>
    </row>
    <row r="19" spans="1:22" x14ac:dyDescent="0.45">
      <c r="A19" t="s">
        <v>174</v>
      </c>
      <c r="B19" t="s">
        <v>175</v>
      </c>
      <c r="C19" t="s">
        <v>35</v>
      </c>
      <c r="D19" t="s">
        <v>60</v>
      </c>
      <c r="E19" t="s">
        <v>17</v>
      </c>
      <c r="F19">
        <v>37</v>
      </c>
      <c r="G19">
        <v>3291</v>
      </c>
      <c r="H19">
        <v>121767</v>
      </c>
      <c r="I19" t="s">
        <v>176</v>
      </c>
      <c r="J19" t="s">
        <v>177</v>
      </c>
      <c r="K19">
        <v>37</v>
      </c>
      <c r="L19">
        <v>0</v>
      </c>
      <c r="M19" t="s">
        <v>178</v>
      </c>
      <c r="N19" t="str">
        <f t="shared" si="0"/>
        <v>PO-100018</v>
      </c>
      <c r="O19" t="str">
        <f t="shared" si="1"/>
        <v>Delivered</v>
      </c>
      <c r="P19" t="str">
        <f t="shared" si="2"/>
        <v>WH-BLR</v>
      </c>
      <c r="Q19" t="str">
        <f>VLOOKUP(C19, Lookups!$A$2:$D$10, 2, FALSE())</f>
        <v>Peripheral Source</v>
      </c>
      <c r="R19" t="str">
        <f>_xlfn.XLOOKUP(D19, Lookups!$A$12:$A$51, Lookups!$C$12:$C$51, "Unknown")</f>
        <v>Peripherals</v>
      </c>
      <c r="S19" t="str">
        <f>IF(ISBLANK(I19), B19+VLOOKUP(C19, Lookups!$A$2:$D$10, 4, FALSE()), I19)</f>
        <v>2026-08-07</v>
      </c>
      <c r="T19">
        <f t="shared" si="3"/>
        <v>11</v>
      </c>
      <c r="U19" t="str">
        <f t="shared" si="4"/>
        <v>Late</v>
      </c>
      <c r="V19">
        <f t="shared" si="5"/>
        <v>0</v>
      </c>
    </row>
    <row r="20" spans="1:22" x14ac:dyDescent="0.45">
      <c r="A20" t="s">
        <v>179</v>
      </c>
      <c r="B20" t="s">
        <v>180</v>
      </c>
      <c r="C20" t="s">
        <v>35</v>
      </c>
      <c r="D20" t="s">
        <v>72</v>
      </c>
      <c r="E20" t="s">
        <v>17</v>
      </c>
      <c r="F20">
        <v>154</v>
      </c>
      <c r="G20">
        <v>7754</v>
      </c>
      <c r="H20">
        <v>1194116</v>
      </c>
      <c r="I20" t="s">
        <v>181</v>
      </c>
      <c r="J20" t="s">
        <v>182</v>
      </c>
      <c r="K20">
        <v>154</v>
      </c>
      <c r="L20">
        <v>0</v>
      </c>
      <c r="M20" t="s">
        <v>115</v>
      </c>
      <c r="N20" t="str">
        <f t="shared" si="0"/>
        <v>PO-100019</v>
      </c>
      <c r="O20" t="str">
        <f t="shared" si="1"/>
        <v>Delivered</v>
      </c>
      <c r="P20" t="str">
        <f t="shared" si="2"/>
        <v>WH-BLR</v>
      </c>
      <c r="Q20" t="str">
        <f>VLOOKUP(C20, Lookups!$A$2:$D$10, 2, FALSE())</f>
        <v>Peripheral Source</v>
      </c>
      <c r="R20" t="str">
        <f>_xlfn.XLOOKUP(D20, Lookups!$A$12:$A$51, Lookups!$C$12:$C$51, "Unknown")</f>
        <v>Peripherals</v>
      </c>
      <c r="S20" t="str">
        <f>IF(ISBLANK(I20), B20+VLOOKUP(C20, Lookups!$A$2:$D$10, 4, FALSE()), I20)</f>
        <v>2026-10-19</v>
      </c>
      <c r="T20">
        <f t="shared" si="3"/>
        <v>22</v>
      </c>
      <c r="U20" t="str">
        <f t="shared" si="4"/>
        <v>Late</v>
      </c>
      <c r="V20">
        <f t="shared" si="5"/>
        <v>0</v>
      </c>
    </row>
    <row r="21" spans="1:22" x14ac:dyDescent="0.45">
      <c r="A21" t="s">
        <v>183</v>
      </c>
      <c r="B21" t="s">
        <v>184</v>
      </c>
      <c r="C21" t="s">
        <v>36</v>
      </c>
      <c r="D21" t="s">
        <v>55</v>
      </c>
      <c r="E21" t="s">
        <v>18</v>
      </c>
      <c r="F21">
        <v>164</v>
      </c>
      <c r="G21">
        <v>58434</v>
      </c>
      <c r="H21">
        <v>9583176</v>
      </c>
      <c r="I21" t="s">
        <v>185</v>
      </c>
      <c r="J21" t="s">
        <v>186</v>
      </c>
      <c r="K21">
        <v>164</v>
      </c>
      <c r="L21">
        <v>0</v>
      </c>
      <c r="M21" t="s">
        <v>115</v>
      </c>
      <c r="N21" t="str">
        <f t="shared" si="0"/>
        <v>PO-100020</v>
      </c>
      <c r="O21" t="str">
        <f t="shared" si="1"/>
        <v>Delivered</v>
      </c>
      <c r="P21" t="str">
        <f t="shared" si="2"/>
        <v>WH-PUN</v>
      </c>
      <c r="Q21" t="str">
        <f>VLOOKUP(C21, Lookups!$A$2:$D$10, 2, FALSE())</f>
        <v>NextGen Hardware</v>
      </c>
      <c r="R21" t="str">
        <f>_xlfn.XLOOKUP(D21, Lookups!$A$12:$A$51, Lookups!$C$12:$C$51, "Unknown")</f>
        <v>Electronics</v>
      </c>
      <c r="S21" t="str">
        <f>IF(ISBLANK(I21), B21+VLOOKUP(C21, Lookups!$A$2:$D$10, 4, FALSE()), I21)</f>
        <v>2025-02-26</v>
      </c>
      <c r="T21">
        <f t="shared" si="3"/>
        <v>26</v>
      </c>
      <c r="U21" t="str">
        <f t="shared" si="4"/>
        <v>Late</v>
      </c>
      <c r="V21">
        <f t="shared" si="5"/>
        <v>0</v>
      </c>
    </row>
    <row r="22" spans="1:22" x14ac:dyDescent="0.45">
      <c r="A22" t="s">
        <v>187</v>
      </c>
      <c r="B22" t="s">
        <v>188</v>
      </c>
      <c r="C22" t="s">
        <v>35</v>
      </c>
      <c r="D22" t="s">
        <v>57</v>
      </c>
      <c r="E22" t="s">
        <v>16</v>
      </c>
      <c r="F22">
        <v>153</v>
      </c>
      <c r="G22">
        <v>2212</v>
      </c>
      <c r="H22">
        <v>338436</v>
      </c>
      <c r="I22" t="s">
        <v>189</v>
      </c>
      <c r="J22" t="s">
        <v>189</v>
      </c>
      <c r="K22">
        <v>153</v>
      </c>
      <c r="L22">
        <v>6</v>
      </c>
      <c r="M22" t="s">
        <v>115</v>
      </c>
      <c r="N22" t="str">
        <f t="shared" si="0"/>
        <v>PO-100021</v>
      </c>
      <c r="O22" t="str">
        <f t="shared" si="1"/>
        <v>Delivered</v>
      </c>
      <c r="P22" t="str">
        <f t="shared" si="2"/>
        <v>WH-DEL</v>
      </c>
      <c r="Q22" t="str">
        <f>VLOOKUP(C22, Lookups!$A$2:$D$10, 2, FALSE())</f>
        <v>Peripheral Source</v>
      </c>
      <c r="R22" t="str">
        <f>_xlfn.XLOOKUP(D22, Lookups!$A$12:$A$51, Lookups!$C$12:$C$51, "Unknown")</f>
        <v>Peripherals</v>
      </c>
      <c r="S22" t="str">
        <f>IF(ISBLANK(I22), B22+VLOOKUP(C22, Lookups!$A$2:$D$10, 4, FALSE()), I22)</f>
        <v>2025-03-07</v>
      </c>
      <c r="T22">
        <f t="shared" si="3"/>
        <v>10</v>
      </c>
      <c r="U22" t="str">
        <f t="shared" si="4"/>
        <v>On-Time</v>
      </c>
      <c r="V22">
        <f t="shared" si="5"/>
        <v>3.9215686274509803E-2</v>
      </c>
    </row>
    <row r="23" spans="1:22" x14ac:dyDescent="0.45">
      <c r="A23" t="s">
        <v>190</v>
      </c>
      <c r="B23" t="s">
        <v>191</v>
      </c>
      <c r="C23" t="s">
        <v>35</v>
      </c>
      <c r="D23" t="s">
        <v>60</v>
      </c>
      <c r="E23" t="s">
        <v>18</v>
      </c>
      <c r="F23">
        <v>27</v>
      </c>
      <c r="G23">
        <v>3291</v>
      </c>
      <c r="H23">
        <v>88857</v>
      </c>
      <c r="I23" t="s">
        <v>192</v>
      </c>
      <c r="J23" t="s">
        <v>192</v>
      </c>
      <c r="K23">
        <v>27</v>
      </c>
      <c r="L23">
        <v>0</v>
      </c>
      <c r="M23" t="s">
        <v>115</v>
      </c>
      <c r="N23" t="str">
        <f t="shared" si="0"/>
        <v>PO-100022</v>
      </c>
      <c r="O23" t="str">
        <f t="shared" si="1"/>
        <v>Delivered</v>
      </c>
      <c r="P23" t="str">
        <f t="shared" si="2"/>
        <v>WH-PUN</v>
      </c>
      <c r="Q23" t="str">
        <f>VLOOKUP(C23, Lookups!$A$2:$D$10, 2, FALSE())</f>
        <v>Peripheral Source</v>
      </c>
      <c r="R23" t="str">
        <f>_xlfn.XLOOKUP(D23, Lookups!$A$12:$A$51, Lookups!$C$12:$C$51, "Unknown")</f>
        <v>Peripherals</v>
      </c>
      <c r="S23" t="str">
        <f>IF(ISBLANK(I23), B23+VLOOKUP(C23, Lookups!$A$2:$D$10, 4, FALSE()), I23)</f>
        <v>2025-08-04</v>
      </c>
      <c r="T23">
        <f t="shared" si="3"/>
        <v>10</v>
      </c>
      <c r="U23" t="str">
        <f t="shared" si="4"/>
        <v>On-Time</v>
      </c>
      <c r="V23">
        <f t="shared" si="5"/>
        <v>0</v>
      </c>
    </row>
    <row r="24" spans="1:22" x14ac:dyDescent="0.45">
      <c r="A24" t="s">
        <v>193</v>
      </c>
      <c r="B24" t="s">
        <v>194</v>
      </c>
      <c r="C24" t="s">
        <v>35</v>
      </c>
      <c r="D24" t="s">
        <v>75</v>
      </c>
      <c r="E24" t="s">
        <v>15</v>
      </c>
      <c r="F24">
        <v>137</v>
      </c>
      <c r="G24">
        <v>4440</v>
      </c>
      <c r="H24">
        <v>608280</v>
      </c>
      <c r="I24" t="s">
        <v>195</v>
      </c>
      <c r="J24" t="s">
        <v>196</v>
      </c>
      <c r="K24">
        <v>137</v>
      </c>
      <c r="L24">
        <v>0</v>
      </c>
      <c r="M24" t="s">
        <v>115</v>
      </c>
      <c r="N24" t="str">
        <f t="shared" si="0"/>
        <v>PO-100023</v>
      </c>
      <c r="O24" t="str">
        <f t="shared" si="1"/>
        <v>Delivered</v>
      </c>
      <c r="P24" t="str">
        <f t="shared" si="2"/>
        <v>WH-BOM</v>
      </c>
      <c r="Q24" t="str">
        <f>VLOOKUP(C24, Lookups!$A$2:$D$10, 2, FALSE())</f>
        <v>Peripheral Source</v>
      </c>
      <c r="R24" t="str">
        <f>_xlfn.XLOOKUP(D24, Lookups!$A$12:$A$51, Lookups!$C$12:$C$51, "Unknown")</f>
        <v>Peripherals</v>
      </c>
      <c r="S24" t="str">
        <f>IF(ISBLANK(I24), B24+VLOOKUP(C24, Lookups!$A$2:$D$10, 4, FALSE()), I24)</f>
        <v>2026-07-10</v>
      </c>
      <c r="T24">
        <f t="shared" si="3"/>
        <v>11</v>
      </c>
      <c r="U24" t="str">
        <f t="shared" si="4"/>
        <v>Late</v>
      </c>
      <c r="V24">
        <f t="shared" si="5"/>
        <v>0</v>
      </c>
    </row>
    <row r="25" spans="1:22" x14ac:dyDescent="0.45">
      <c r="A25" t="s">
        <v>197</v>
      </c>
      <c r="B25" t="s">
        <v>198</v>
      </c>
      <c r="C25" t="s">
        <v>36</v>
      </c>
      <c r="D25" t="s">
        <v>71</v>
      </c>
      <c r="E25" t="s">
        <v>18</v>
      </c>
      <c r="F25">
        <v>195</v>
      </c>
      <c r="G25">
        <v>65379</v>
      </c>
      <c r="H25">
        <v>12748905</v>
      </c>
      <c r="I25" t="s">
        <v>199</v>
      </c>
      <c r="J25" t="s">
        <v>200</v>
      </c>
      <c r="K25">
        <v>195</v>
      </c>
      <c r="L25">
        <v>0</v>
      </c>
      <c r="M25" t="s">
        <v>115</v>
      </c>
      <c r="N25" t="str">
        <f t="shared" si="0"/>
        <v>PO-100024</v>
      </c>
      <c r="O25" t="str">
        <f t="shared" si="1"/>
        <v>Delivered</v>
      </c>
      <c r="P25" t="str">
        <f t="shared" si="2"/>
        <v>WH-PUN</v>
      </c>
      <c r="Q25" t="str">
        <f>VLOOKUP(C25, Lookups!$A$2:$D$10, 2, FALSE())</f>
        <v>NextGen Hardware</v>
      </c>
      <c r="R25" t="str">
        <f>_xlfn.XLOOKUP(D25, Lookups!$A$12:$A$51, Lookups!$C$12:$C$51, "Unknown")</f>
        <v>Electronics</v>
      </c>
      <c r="S25" t="str">
        <f>IF(ISBLANK(I25), B25+VLOOKUP(C25, Lookups!$A$2:$D$10, 4, FALSE()), I25)</f>
        <v>2025-10-16</v>
      </c>
      <c r="T25">
        <f t="shared" si="3"/>
        <v>30</v>
      </c>
      <c r="U25" t="str">
        <f t="shared" si="4"/>
        <v>Late</v>
      </c>
      <c r="V25">
        <f t="shared" si="5"/>
        <v>0</v>
      </c>
    </row>
    <row r="26" spans="1:22" x14ac:dyDescent="0.45">
      <c r="A26" t="s">
        <v>201</v>
      </c>
      <c r="B26" t="s">
        <v>202</v>
      </c>
      <c r="C26" t="s">
        <v>37</v>
      </c>
      <c r="D26" t="s">
        <v>78</v>
      </c>
      <c r="E26" t="s">
        <v>16</v>
      </c>
      <c r="F26">
        <v>228</v>
      </c>
      <c r="G26">
        <v>9423</v>
      </c>
      <c r="H26">
        <v>2148444</v>
      </c>
      <c r="I26" t="s">
        <v>203</v>
      </c>
      <c r="J26" t="s">
        <v>204</v>
      </c>
      <c r="K26">
        <v>228</v>
      </c>
      <c r="L26">
        <v>6</v>
      </c>
      <c r="M26" t="s">
        <v>115</v>
      </c>
      <c r="N26" t="str">
        <f t="shared" si="0"/>
        <v>PO-100025</v>
      </c>
      <c r="O26" t="str">
        <f t="shared" si="1"/>
        <v>Delivered</v>
      </c>
      <c r="P26" t="str">
        <f t="shared" si="2"/>
        <v>WH-DEL</v>
      </c>
      <c r="Q26" t="str">
        <f>VLOOKUP(C26, Lookups!$A$2:$D$10, 2, FALSE())</f>
        <v>Premium Desks Ltd</v>
      </c>
      <c r="R26" t="str">
        <f>_xlfn.XLOOKUP(D26, Lookups!$A$12:$A$51, Lookups!$C$12:$C$51, "Unknown")</f>
        <v>Office Furniture</v>
      </c>
      <c r="S26" t="str">
        <f>IF(ISBLANK(I26), B26+VLOOKUP(C26, Lookups!$A$2:$D$10, 4, FALSE()), I26)</f>
        <v>2026-04-08</v>
      </c>
      <c r="T26">
        <f t="shared" si="3"/>
        <v>13</v>
      </c>
      <c r="U26" t="str">
        <f t="shared" si="4"/>
        <v>Late</v>
      </c>
      <c r="V26">
        <f t="shared" si="5"/>
        <v>2.6315789473684209E-2</v>
      </c>
    </row>
    <row r="27" spans="1:22" x14ac:dyDescent="0.45">
      <c r="A27" t="s">
        <v>205</v>
      </c>
      <c r="B27" t="s">
        <v>206</v>
      </c>
      <c r="C27" t="s">
        <v>32</v>
      </c>
      <c r="D27" t="s">
        <v>67</v>
      </c>
      <c r="E27" t="s">
        <v>15</v>
      </c>
      <c r="F27">
        <v>103</v>
      </c>
      <c r="G27">
        <v>1553</v>
      </c>
      <c r="H27">
        <v>159959</v>
      </c>
      <c r="I27" t="s">
        <v>207</v>
      </c>
      <c r="J27" t="s">
        <v>207</v>
      </c>
      <c r="K27">
        <v>103</v>
      </c>
      <c r="L27">
        <v>0</v>
      </c>
      <c r="M27" t="s">
        <v>115</v>
      </c>
      <c r="N27" t="str">
        <f t="shared" si="0"/>
        <v>PO-100026</v>
      </c>
      <c r="O27" t="str">
        <f t="shared" si="1"/>
        <v>Delivered</v>
      </c>
      <c r="P27" t="str">
        <f t="shared" si="2"/>
        <v>WH-BOM</v>
      </c>
      <c r="Q27" t="str">
        <f>VLOOKUP(C27, Lookups!$A$2:$D$10, 2, FALSE())</f>
        <v>OfficeDepot Pro</v>
      </c>
      <c r="R27" t="str">
        <f>_xlfn.XLOOKUP(D27, Lookups!$A$12:$A$51, Lookups!$C$12:$C$51, "Unknown")</f>
        <v>Peripherals</v>
      </c>
      <c r="S27" t="str">
        <f>IF(ISBLANK(I27), B27+VLOOKUP(C27, Lookups!$A$2:$D$10, 4, FALSE()), I27)</f>
        <v>2025-12-14</v>
      </c>
      <c r="T27">
        <f t="shared" si="3"/>
        <v>7</v>
      </c>
      <c r="U27" t="str">
        <f t="shared" si="4"/>
        <v>On-Time</v>
      </c>
      <c r="V27">
        <f t="shared" si="5"/>
        <v>0</v>
      </c>
    </row>
    <row r="28" spans="1:22" x14ac:dyDescent="0.45">
      <c r="A28" t="s">
        <v>208</v>
      </c>
      <c r="B28" t="s">
        <v>209</v>
      </c>
      <c r="C28" t="s">
        <v>34</v>
      </c>
      <c r="D28" t="s">
        <v>68</v>
      </c>
      <c r="E28" t="s">
        <v>16</v>
      </c>
      <c r="F28">
        <v>99</v>
      </c>
      <c r="G28">
        <v>41405</v>
      </c>
      <c r="H28">
        <v>4099095</v>
      </c>
      <c r="I28" t="s">
        <v>210</v>
      </c>
      <c r="J28" t="s">
        <v>211</v>
      </c>
      <c r="K28">
        <v>75</v>
      </c>
      <c r="L28">
        <v>0</v>
      </c>
      <c r="M28" t="s">
        <v>178</v>
      </c>
      <c r="N28" t="str">
        <f t="shared" si="0"/>
        <v>PO-100027</v>
      </c>
      <c r="O28" t="str">
        <f t="shared" si="1"/>
        <v>Delivered</v>
      </c>
      <c r="P28" t="str">
        <f t="shared" si="2"/>
        <v>WH-DEL</v>
      </c>
      <c r="Q28" t="str">
        <f>VLOOKUP(C28, Lookups!$A$2:$D$10, 2, FALSE())</f>
        <v>FastElectronics</v>
      </c>
      <c r="R28" t="str">
        <f>_xlfn.XLOOKUP(D28, Lookups!$A$12:$A$51, Lookups!$C$12:$C$51, "Unknown")</f>
        <v>Networking</v>
      </c>
      <c r="S28" t="str">
        <f>IF(ISBLANK(I28), B28+VLOOKUP(C28, Lookups!$A$2:$D$10, 4, FALSE()), I28)</f>
        <v>2025-06-20</v>
      </c>
      <c r="T28">
        <f t="shared" si="3"/>
        <v>19</v>
      </c>
      <c r="U28" t="str">
        <f t="shared" si="4"/>
        <v>Late</v>
      </c>
      <c r="V28">
        <f t="shared" si="5"/>
        <v>0</v>
      </c>
    </row>
    <row r="29" spans="1:22" x14ac:dyDescent="0.45">
      <c r="A29" t="s">
        <v>212</v>
      </c>
      <c r="B29" t="s">
        <v>213</v>
      </c>
      <c r="C29" t="s">
        <v>35</v>
      </c>
      <c r="D29" t="s">
        <v>72</v>
      </c>
      <c r="E29" t="s">
        <v>15</v>
      </c>
      <c r="F29">
        <v>201</v>
      </c>
      <c r="G29">
        <v>7754</v>
      </c>
      <c r="H29">
        <v>1558554</v>
      </c>
      <c r="I29" t="s">
        <v>214</v>
      </c>
      <c r="J29" t="s">
        <v>215</v>
      </c>
      <c r="K29">
        <v>201</v>
      </c>
      <c r="L29">
        <v>0</v>
      </c>
      <c r="M29" t="s">
        <v>115</v>
      </c>
      <c r="N29" t="str">
        <f t="shared" si="0"/>
        <v>PO-100028</v>
      </c>
      <c r="O29" t="str">
        <f t="shared" si="1"/>
        <v>Delivered</v>
      </c>
      <c r="P29" t="str">
        <f t="shared" si="2"/>
        <v>WH-BOM</v>
      </c>
      <c r="Q29" t="str">
        <f>VLOOKUP(C29, Lookups!$A$2:$D$10, 2, FALSE())</f>
        <v>Peripheral Source</v>
      </c>
      <c r="R29" t="str">
        <f>_xlfn.XLOOKUP(D29, Lookups!$A$12:$A$51, Lookups!$C$12:$C$51, "Unknown")</f>
        <v>Peripherals</v>
      </c>
      <c r="S29" t="str">
        <f>IF(ISBLANK(I29), B29+VLOOKUP(C29, Lookups!$A$2:$D$10, 4, FALSE()), I29)</f>
        <v>2025-06-27</v>
      </c>
      <c r="T29">
        <f t="shared" si="3"/>
        <v>11</v>
      </c>
      <c r="U29" t="str">
        <f t="shared" si="4"/>
        <v>Late</v>
      </c>
      <c r="V29">
        <f t="shared" si="5"/>
        <v>0</v>
      </c>
    </row>
    <row r="30" spans="1:22" x14ac:dyDescent="0.45">
      <c r="A30" t="s">
        <v>216</v>
      </c>
      <c r="B30" t="s">
        <v>204</v>
      </c>
      <c r="C30" t="s">
        <v>30</v>
      </c>
      <c r="D30" t="s">
        <v>52</v>
      </c>
      <c r="E30" t="s">
        <v>18</v>
      </c>
      <c r="F30">
        <v>226</v>
      </c>
      <c r="G30">
        <v>59592</v>
      </c>
      <c r="H30">
        <v>13467792</v>
      </c>
      <c r="I30" t="s">
        <v>217</v>
      </c>
      <c r="J30" t="s">
        <v>218</v>
      </c>
      <c r="K30">
        <v>226</v>
      </c>
      <c r="L30">
        <v>0</v>
      </c>
      <c r="M30" t="s">
        <v>115</v>
      </c>
      <c r="N30" t="str">
        <f t="shared" si="0"/>
        <v>PO-100029</v>
      </c>
      <c r="O30" t="str">
        <f t="shared" si="1"/>
        <v>Delivered</v>
      </c>
      <c r="P30" t="str">
        <f t="shared" si="2"/>
        <v>WH-PUN</v>
      </c>
      <c r="Q30" t="str">
        <f>VLOOKUP(C30, Lookups!$A$2:$D$10, 2, FALSE())</f>
        <v>TechSupply Corp</v>
      </c>
      <c r="R30" t="str">
        <f>_xlfn.XLOOKUP(D30, Lookups!$A$12:$A$51, Lookups!$C$12:$C$51, "Unknown")</f>
        <v>Electronics</v>
      </c>
      <c r="S30" t="str">
        <f>IF(ISBLANK(I30), B30+VLOOKUP(C30, Lookups!$A$2:$D$10, 4, FALSE()), I30)</f>
        <v>2026-04-23</v>
      </c>
      <c r="T30">
        <f t="shared" si="3"/>
        <v>15</v>
      </c>
      <c r="U30" t="str">
        <f t="shared" si="4"/>
        <v>Late</v>
      </c>
      <c r="V30">
        <f t="shared" si="5"/>
        <v>0</v>
      </c>
    </row>
    <row r="31" spans="1:22" x14ac:dyDescent="0.45">
      <c r="A31" t="s">
        <v>219</v>
      </c>
      <c r="B31" t="s">
        <v>220</v>
      </c>
      <c r="C31" t="s">
        <v>30</v>
      </c>
      <c r="D31" t="s">
        <v>61</v>
      </c>
      <c r="E31" t="s">
        <v>16</v>
      </c>
      <c r="F31">
        <v>80</v>
      </c>
      <c r="G31">
        <v>111237</v>
      </c>
      <c r="H31">
        <v>8898960</v>
      </c>
      <c r="I31" t="s">
        <v>221</v>
      </c>
      <c r="J31" t="s">
        <v>222</v>
      </c>
      <c r="K31">
        <v>80</v>
      </c>
      <c r="L31">
        <v>0</v>
      </c>
      <c r="M31" t="s">
        <v>115</v>
      </c>
      <c r="N31" t="str">
        <f t="shared" si="0"/>
        <v>PO-100030</v>
      </c>
      <c r="O31" t="str">
        <f t="shared" si="1"/>
        <v>Delivered</v>
      </c>
      <c r="P31" t="str">
        <f t="shared" si="2"/>
        <v>WH-DEL</v>
      </c>
      <c r="Q31" t="str">
        <f>VLOOKUP(C31, Lookups!$A$2:$D$10, 2, FALSE())</f>
        <v>TechSupply Corp</v>
      </c>
      <c r="R31" t="str">
        <f>_xlfn.XLOOKUP(D31, Lookups!$A$12:$A$51, Lookups!$C$12:$C$51, "Unknown")</f>
        <v>Electronics</v>
      </c>
      <c r="S31" t="str">
        <f>IF(ISBLANK(I31), B31+VLOOKUP(C31, Lookups!$A$2:$D$10, 4, FALSE()), I31)</f>
        <v>2026-02-28</v>
      </c>
      <c r="T31">
        <f t="shared" si="3"/>
        <v>15</v>
      </c>
      <c r="U31" t="str">
        <f t="shared" si="4"/>
        <v>Late</v>
      </c>
      <c r="V31">
        <f t="shared" si="5"/>
        <v>0</v>
      </c>
    </row>
    <row r="32" spans="1:22" x14ac:dyDescent="0.45">
      <c r="A32" t="s">
        <v>223</v>
      </c>
      <c r="B32" t="s">
        <v>224</v>
      </c>
      <c r="C32" t="s">
        <v>34</v>
      </c>
      <c r="D32" t="s">
        <v>80</v>
      </c>
      <c r="E32" t="s">
        <v>17</v>
      </c>
      <c r="F32">
        <v>212</v>
      </c>
      <c r="G32">
        <v>19090</v>
      </c>
      <c r="H32">
        <v>4047080</v>
      </c>
      <c r="I32" t="s">
        <v>225</v>
      </c>
      <c r="J32" t="s">
        <v>226</v>
      </c>
      <c r="K32">
        <v>212</v>
      </c>
      <c r="L32">
        <v>0</v>
      </c>
      <c r="M32" t="s">
        <v>115</v>
      </c>
      <c r="N32" t="str">
        <f t="shared" si="0"/>
        <v>PO-100031</v>
      </c>
      <c r="O32" t="str">
        <f t="shared" si="1"/>
        <v>Delivered</v>
      </c>
      <c r="P32" t="str">
        <f t="shared" si="2"/>
        <v>WH-BLR</v>
      </c>
      <c r="Q32" t="str">
        <f>VLOOKUP(C32, Lookups!$A$2:$D$10, 2, FALSE())</f>
        <v>FastElectronics</v>
      </c>
      <c r="R32" t="str">
        <f>_xlfn.XLOOKUP(D32, Lookups!$A$12:$A$51, Lookups!$C$12:$C$51, "Unknown")</f>
        <v>Networking</v>
      </c>
      <c r="S32" t="str">
        <f>IF(ISBLANK(I32), B32+VLOOKUP(C32, Lookups!$A$2:$D$10, 4, FALSE()), I32)</f>
        <v>2026-07-31</v>
      </c>
      <c r="T32">
        <f t="shared" si="3"/>
        <v>19</v>
      </c>
      <c r="U32" t="str">
        <f t="shared" si="4"/>
        <v>Late</v>
      </c>
      <c r="V32">
        <f t="shared" si="5"/>
        <v>0</v>
      </c>
    </row>
    <row r="33" spans="1:22" x14ac:dyDescent="0.45">
      <c r="A33" t="s">
        <v>227</v>
      </c>
      <c r="B33" t="s">
        <v>162</v>
      </c>
      <c r="C33" t="s">
        <v>33</v>
      </c>
      <c r="D33" t="s">
        <v>89</v>
      </c>
      <c r="E33" t="s">
        <v>15</v>
      </c>
      <c r="F33">
        <v>173</v>
      </c>
      <c r="G33">
        <v>11309</v>
      </c>
      <c r="H33">
        <v>1956457</v>
      </c>
      <c r="I33" t="s">
        <v>228</v>
      </c>
      <c r="J33" t="s">
        <v>229</v>
      </c>
      <c r="K33">
        <v>99</v>
      </c>
      <c r="L33">
        <v>0</v>
      </c>
      <c r="M33" t="s">
        <v>115</v>
      </c>
      <c r="N33" t="str">
        <f t="shared" si="0"/>
        <v>PO-100032</v>
      </c>
      <c r="O33" t="str">
        <f t="shared" si="1"/>
        <v>Delivered</v>
      </c>
      <c r="P33" t="str">
        <f t="shared" si="2"/>
        <v>WH-BOM</v>
      </c>
      <c r="Q33" t="str">
        <f>VLOOKUP(C33, Lookups!$A$2:$D$10, 2, FALSE())</f>
        <v>MegaFurnish</v>
      </c>
      <c r="R33" t="str">
        <f>_xlfn.XLOOKUP(D33, Lookups!$A$12:$A$51, Lookups!$C$12:$C$51, "Unknown")</f>
        <v>Office Furniture</v>
      </c>
      <c r="S33" t="str">
        <f>IF(ISBLANK(I33), B33+VLOOKUP(C33, Lookups!$A$2:$D$10, 4, FALSE()), I33)</f>
        <v>2025-07-13</v>
      </c>
      <c r="T33">
        <f t="shared" si="3"/>
        <v>26</v>
      </c>
      <c r="U33" t="str">
        <f t="shared" si="4"/>
        <v>On-Time</v>
      </c>
      <c r="V33">
        <f t="shared" si="5"/>
        <v>0</v>
      </c>
    </row>
    <row r="34" spans="1:22" x14ac:dyDescent="0.45">
      <c r="A34" t="s">
        <v>230</v>
      </c>
      <c r="B34" t="s">
        <v>231</v>
      </c>
      <c r="C34" t="s">
        <v>32</v>
      </c>
      <c r="D34" t="s">
        <v>84</v>
      </c>
      <c r="E34" t="s">
        <v>18</v>
      </c>
      <c r="F34">
        <v>87</v>
      </c>
      <c r="G34">
        <v>7271</v>
      </c>
      <c r="H34">
        <v>632577</v>
      </c>
      <c r="I34" t="s">
        <v>232</v>
      </c>
      <c r="J34" t="s">
        <v>232</v>
      </c>
      <c r="K34">
        <v>87</v>
      </c>
      <c r="L34">
        <v>0</v>
      </c>
      <c r="M34" t="s">
        <v>166</v>
      </c>
      <c r="N34" t="str">
        <f t="shared" si="0"/>
        <v>PO-100033</v>
      </c>
      <c r="O34" t="str">
        <f t="shared" si="1"/>
        <v>Delivered</v>
      </c>
      <c r="P34" t="str">
        <f t="shared" si="2"/>
        <v>WH-PUN</v>
      </c>
      <c r="Q34" t="str">
        <f>VLOOKUP(C34, Lookups!$A$2:$D$10, 2, FALSE())</f>
        <v>OfficeDepot Pro</v>
      </c>
      <c r="R34" t="str">
        <f>_xlfn.XLOOKUP(D34, Lookups!$A$12:$A$51, Lookups!$C$12:$C$51, "Unknown")</f>
        <v>Peripherals</v>
      </c>
      <c r="S34" t="str">
        <f>IF(ISBLANK(I34), B34+VLOOKUP(C34, Lookups!$A$2:$D$10, 4, FALSE()), I34)</f>
        <v>2025-11-14</v>
      </c>
      <c r="T34">
        <f t="shared" si="3"/>
        <v>7</v>
      </c>
      <c r="U34" t="str">
        <f t="shared" si="4"/>
        <v>On-Time</v>
      </c>
      <c r="V34">
        <f t="shared" si="5"/>
        <v>0</v>
      </c>
    </row>
    <row r="35" spans="1:22" x14ac:dyDescent="0.45">
      <c r="A35" t="s">
        <v>233</v>
      </c>
      <c r="B35" t="s">
        <v>234</v>
      </c>
      <c r="C35" t="s">
        <v>36</v>
      </c>
      <c r="D35" t="s">
        <v>71</v>
      </c>
      <c r="E35" t="s">
        <v>15</v>
      </c>
      <c r="F35">
        <v>88</v>
      </c>
      <c r="G35">
        <v>65379</v>
      </c>
      <c r="H35">
        <v>5753352</v>
      </c>
      <c r="I35" t="s">
        <v>235</v>
      </c>
      <c r="J35" t="s">
        <v>236</v>
      </c>
      <c r="K35">
        <v>88</v>
      </c>
      <c r="L35">
        <v>0</v>
      </c>
      <c r="M35" t="s">
        <v>115</v>
      </c>
      <c r="N35" t="str">
        <f t="shared" si="0"/>
        <v>PO-100034</v>
      </c>
      <c r="O35" t="str">
        <f t="shared" si="1"/>
        <v>Delivered</v>
      </c>
      <c r="P35" t="str">
        <f t="shared" si="2"/>
        <v>WH-BOM</v>
      </c>
      <c r="Q35" t="str">
        <f>VLOOKUP(C35, Lookups!$A$2:$D$10, 2, FALSE())</f>
        <v>NextGen Hardware</v>
      </c>
      <c r="R35" t="str">
        <f>_xlfn.XLOOKUP(D35, Lookups!$A$12:$A$51, Lookups!$C$12:$C$51, "Unknown")</f>
        <v>Electronics</v>
      </c>
      <c r="S35" t="str">
        <f>IF(ISBLANK(I35), B35+VLOOKUP(C35, Lookups!$A$2:$D$10, 4, FALSE()), I35)</f>
        <v>2025-08-27</v>
      </c>
      <c r="T35">
        <f t="shared" si="3"/>
        <v>25</v>
      </c>
      <c r="U35" t="str">
        <f t="shared" si="4"/>
        <v>Late</v>
      </c>
      <c r="V35">
        <f t="shared" si="5"/>
        <v>0</v>
      </c>
    </row>
    <row r="36" spans="1:22" x14ac:dyDescent="0.45">
      <c r="A36" t="s">
        <v>237</v>
      </c>
      <c r="B36" t="s">
        <v>238</v>
      </c>
      <c r="C36" t="s">
        <v>35</v>
      </c>
      <c r="D36" t="s">
        <v>57</v>
      </c>
      <c r="E36" t="s">
        <v>17</v>
      </c>
      <c r="F36">
        <v>212</v>
      </c>
      <c r="G36">
        <v>2212</v>
      </c>
      <c r="H36">
        <v>468944</v>
      </c>
      <c r="I36" t="s">
        <v>239</v>
      </c>
      <c r="J36" t="s">
        <v>240</v>
      </c>
      <c r="K36">
        <v>212</v>
      </c>
      <c r="L36">
        <v>0</v>
      </c>
      <c r="M36" t="s">
        <v>115</v>
      </c>
      <c r="N36" t="str">
        <f t="shared" si="0"/>
        <v>PO-100035</v>
      </c>
      <c r="O36" t="str">
        <f t="shared" si="1"/>
        <v>Delivered</v>
      </c>
      <c r="P36" t="str">
        <f t="shared" si="2"/>
        <v>WH-BLR</v>
      </c>
      <c r="Q36" t="str">
        <f>VLOOKUP(C36, Lookups!$A$2:$D$10, 2, FALSE())</f>
        <v>Peripheral Source</v>
      </c>
      <c r="R36" t="str">
        <f>_xlfn.XLOOKUP(D36, Lookups!$A$12:$A$51, Lookups!$C$12:$C$51, "Unknown")</f>
        <v>Peripherals</v>
      </c>
      <c r="S36" t="str">
        <f>IF(ISBLANK(I36), B36+VLOOKUP(C36, Lookups!$A$2:$D$10, 4, FALSE()), I36)</f>
        <v>2025-06-14</v>
      </c>
      <c r="T36">
        <f t="shared" si="3"/>
        <v>11</v>
      </c>
      <c r="U36" t="str">
        <f t="shared" si="4"/>
        <v>Late</v>
      </c>
      <c r="V36">
        <f t="shared" si="5"/>
        <v>0</v>
      </c>
    </row>
    <row r="37" spans="1:22" x14ac:dyDescent="0.45">
      <c r="A37" t="s">
        <v>241</v>
      </c>
      <c r="B37" t="s">
        <v>213</v>
      </c>
      <c r="C37" t="s">
        <v>34</v>
      </c>
      <c r="D37" t="s">
        <v>74</v>
      </c>
      <c r="E37" t="s">
        <v>17</v>
      </c>
      <c r="F37">
        <v>157</v>
      </c>
      <c r="G37">
        <v>94797</v>
      </c>
      <c r="H37">
        <v>14883129</v>
      </c>
      <c r="I37" t="s">
        <v>242</v>
      </c>
      <c r="J37" t="s">
        <v>242</v>
      </c>
      <c r="K37">
        <v>157</v>
      </c>
      <c r="L37">
        <v>0</v>
      </c>
      <c r="M37" t="s">
        <v>115</v>
      </c>
      <c r="N37" t="str">
        <f t="shared" si="0"/>
        <v>PO-100036</v>
      </c>
      <c r="O37" t="str">
        <f t="shared" si="1"/>
        <v>Delivered</v>
      </c>
      <c r="P37" t="str">
        <f t="shared" si="2"/>
        <v>WH-BLR</v>
      </c>
      <c r="Q37" t="str">
        <f>VLOOKUP(C37, Lookups!$A$2:$D$10, 2, FALSE())</f>
        <v>FastElectronics</v>
      </c>
      <c r="R37" t="str">
        <f>_xlfn.XLOOKUP(D37, Lookups!$A$12:$A$51, Lookups!$C$12:$C$51, "Unknown")</f>
        <v>Electronics</v>
      </c>
      <c r="S37" t="str">
        <f>IF(ISBLANK(I37), B37+VLOOKUP(C37, Lookups!$A$2:$D$10, 4, FALSE()), I37)</f>
        <v>2025-07-05</v>
      </c>
      <c r="T37">
        <f t="shared" si="3"/>
        <v>18</v>
      </c>
      <c r="U37" t="str">
        <f t="shared" si="4"/>
        <v>On-Time</v>
      </c>
      <c r="V37">
        <f t="shared" si="5"/>
        <v>0</v>
      </c>
    </row>
    <row r="38" spans="1:22" x14ac:dyDescent="0.45">
      <c r="A38" t="s">
        <v>243</v>
      </c>
      <c r="B38" t="s">
        <v>244</v>
      </c>
      <c r="C38" t="s">
        <v>35</v>
      </c>
      <c r="D38" t="s">
        <v>70</v>
      </c>
      <c r="E38" t="s">
        <v>245</v>
      </c>
      <c r="F38">
        <v>206</v>
      </c>
      <c r="G38">
        <v>4287</v>
      </c>
      <c r="H38">
        <v>883122</v>
      </c>
      <c r="I38" t="s">
        <v>246</v>
      </c>
      <c r="J38" t="s">
        <v>247</v>
      </c>
      <c r="K38">
        <v>206</v>
      </c>
      <c r="L38">
        <v>0</v>
      </c>
      <c r="M38" t="s">
        <v>115</v>
      </c>
      <c r="N38" t="str">
        <f t="shared" si="0"/>
        <v>PO-100037</v>
      </c>
      <c r="O38" t="str">
        <f t="shared" si="1"/>
        <v>Delivered</v>
      </c>
      <c r="P38" t="str">
        <f t="shared" si="2"/>
        <v>WH-BOM</v>
      </c>
      <c r="Q38" t="str">
        <f>VLOOKUP(C38, Lookups!$A$2:$D$10, 2, FALSE())</f>
        <v>Peripheral Source</v>
      </c>
      <c r="R38" t="str">
        <f>_xlfn.XLOOKUP(D38, Lookups!$A$12:$A$51, Lookups!$C$12:$C$51, "Unknown")</f>
        <v>Peripherals</v>
      </c>
      <c r="S38" t="str">
        <f>IF(ISBLANK(I38), B38+VLOOKUP(C38, Lookups!$A$2:$D$10, 4, FALSE()), I38)</f>
        <v>2025-10-21</v>
      </c>
      <c r="T38">
        <f t="shared" si="3"/>
        <v>22</v>
      </c>
      <c r="U38" t="str">
        <f t="shared" si="4"/>
        <v>Late</v>
      </c>
      <c r="V38">
        <f t="shared" si="5"/>
        <v>0</v>
      </c>
    </row>
    <row r="39" spans="1:22" x14ac:dyDescent="0.45">
      <c r="A39" t="s">
        <v>248</v>
      </c>
      <c r="B39" t="s">
        <v>249</v>
      </c>
      <c r="C39" t="s">
        <v>30</v>
      </c>
      <c r="D39" t="s">
        <v>86</v>
      </c>
      <c r="E39" t="s">
        <v>15</v>
      </c>
      <c r="F39">
        <v>145</v>
      </c>
      <c r="G39">
        <v>74871</v>
      </c>
      <c r="H39">
        <v>10856295</v>
      </c>
      <c r="I39" t="s">
        <v>234</v>
      </c>
      <c r="J39" t="s">
        <v>250</v>
      </c>
      <c r="K39">
        <v>126</v>
      </c>
      <c r="L39">
        <v>0</v>
      </c>
      <c r="M39" t="s">
        <v>115</v>
      </c>
      <c r="N39" t="str">
        <f t="shared" si="0"/>
        <v>PO-100038</v>
      </c>
      <c r="O39" t="str">
        <f t="shared" si="1"/>
        <v>Delivered</v>
      </c>
      <c r="P39" t="str">
        <f t="shared" si="2"/>
        <v>WH-BOM</v>
      </c>
      <c r="Q39" t="str">
        <f>VLOOKUP(C39, Lookups!$A$2:$D$10, 2, FALSE())</f>
        <v>TechSupply Corp</v>
      </c>
      <c r="R39" t="str">
        <f>_xlfn.XLOOKUP(D39, Lookups!$A$12:$A$51, Lookups!$C$12:$C$51, "Unknown")</f>
        <v>Electronics</v>
      </c>
      <c r="S39" t="str">
        <f>IF(ISBLANK(I39), B39+VLOOKUP(C39, Lookups!$A$2:$D$10, 4, FALSE()), I39)</f>
        <v>2025-08-03</v>
      </c>
      <c r="T39">
        <f t="shared" si="3"/>
        <v>19</v>
      </c>
      <c r="U39" t="str">
        <f t="shared" si="4"/>
        <v>Late</v>
      </c>
      <c r="V39">
        <f t="shared" si="5"/>
        <v>0</v>
      </c>
    </row>
    <row r="40" spans="1:22" x14ac:dyDescent="0.45">
      <c r="A40" t="s">
        <v>251</v>
      </c>
      <c r="B40" t="s">
        <v>252</v>
      </c>
      <c r="C40" t="s">
        <v>34</v>
      </c>
      <c r="D40" t="s">
        <v>73</v>
      </c>
      <c r="E40" t="s">
        <v>17</v>
      </c>
      <c r="F40">
        <v>138</v>
      </c>
      <c r="G40">
        <v>58396</v>
      </c>
      <c r="H40">
        <v>8058648</v>
      </c>
      <c r="I40" t="s">
        <v>173</v>
      </c>
      <c r="J40" t="s">
        <v>173</v>
      </c>
      <c r="K40">
        <v>138</v>
      </c>
      <c r="L40">
        <v>0</v>
      </c>
      <c r="M40" t="s">
        <v>115</v>
      </c>
      <c r="N40" t="str">
        <f t="shared" si="0"/>
        <v>PO-100039</v>
      </c>
      <c r="O40" t="str">
        <f t="shared" si="1"/>
        <v>Delivered</v>
      </c>
      <c r="P40" t="str">
        <f t="shared" si="2"/>
        <v>WH-BLR</v>
      </c>
      <c r="Q40" t="str">
        <f>VLOOKUP(C40, Lookups!$A$2:$D$10, 2, FALSE())</f>
        <v>FastElectronics</v>
      </c>
      <c r="R40" t="str">
        <f>_xlfn.XLOOKUP(D40, Lookups!$A$12:$A$51, Lookups!$C$12:$C$51, "Unknown")</f>
        <v>Electronics</v>
      </c>
      <c r="S40" t="str">
        <f>IF(ISBLANK(I40), B40+VLOOKUP(C40, Lookups!$A$2:$D$10, 4, FALSE()), I40)</f>
        <v>2025-09-06</v>
      </c>
      <c r="T40">
        <f t="shared" si="3"/>
        <v>18</v>
      </c>
      <c r="U40" t="str">
        <f t="shared" si="4"/>
        <v>On-Time</v>
      </c>
      <c r="V40">
        <f t="shared" si="5"/>
        <v>0</v>
      </c>
    </row>
    <row r="41" spans="1:22" x14ac:dyDescent="0.45">
      <c r="A41" t="s">
        <v>253</v>
      </c>
      <c r="B41" t="s">
        <v>244</v>
      </c>
      <c r="C41" t="s">
        <v>33</v>
      </c>
      <c r="D41" t="s">
        <v>89</v>
      </c>
      <c r="E41" t="s">
        <v>18</v>
      </c>
      <c r="F41">
        <v>147</v>
      </c>
      <c r="G41">
        <v>11309</v>
      </c>
      <c r="H41">
        <v>1662423</v>
      </c>
      <c r="I41" t="s">
        <v>254</v>
      </c>
      <c r="J41" t="s">
        <v>255</v>
      </c>
      <c r="K41">
        <v>147</v>
      </c>
      <c r="L41">
        <v>0</v>
      </c>
      <c r="M41" t="s">
        <v>115</v>
      </c>
      <c r="N41" t="str">
        <f t="shared" si="0"/>
        <v>PO-100040</v>
      </c>
      <c r="O41" t="str">
        <f t="shared" si="1"/>
        <v>Delivered</v>
      </c>
      <c r="P41" t="str">
        <f t="shared" si="2"/>
        <v>WH-PUN</v>
      </c>
      <c r="Q41" t="str">
        <f>VLOOKUP(C41, Lookups!$A$2:$D$10, 2, FALSE())</f>
        <v>MegaFurnish</v>
      </c>
      <c r="R41" t="str">
        <f>_xlfn.XLOOKUP(D41, Lookups!$A$12:$A$51, Lookups!$C$12:$C$51, "Unknown")</f>
        <v>Office Furniture</v>
      </c>
      <c r="S41" t="str">
        <f>IF(ISBLANK(I41), B41+VLOOKUP(C41, Lookups!$A$2:$D$10, 4, FALSE()), I41)</f>
        <v>2025-11-10</v>
      </c>
      <c r="T41">
        <f t="shared" si="3"/>
        <v>38</v>
      </c>
      <c r="U41" t="str">
        <f t="shared" si="4"/>
        <v>Late</v>
      </c>
      <c r="V41">
        <f t="shared" si="5"/>
        <v>0</v>
      </c>
    </row>
    <row r="42" spans="1:22" x14ac:dyDescent="0.45">
      <c r="A42" t="s">
        <v>256</v>
      </c>
      <c r="B42" t="s">
        <v>257</v>
      </c>
      <c r="C42" t="s">
        <v>34</v>
      </c>
      <c r="D42" t="s">
        <v>74</v>
      </c>
      <c r="E42" t="s">
        <v>15</v>
      </c>
      <c r="F42">
        <v>219</v>
      </c>
      <c r="G42">
        <v>94797</v>
      </c>
      <c r="H42">
        <v>20760543</v>
      </c>
      <c r="I42" t="s">
        <v>258</v>
      </c>
      <c r="J42" t="s">
        <v>259</v>
      </c>
      <c r="K42">
        <v>219</v>
      </c>
      <c r="L42">
        <v>0</v>
      </c>
      <c r="M42" t="s">
        <v>115</v>
      </c>
      <c r="N42" t="str">
        <f t="shared" si="0"/>
        <v>PO-100041</v>
      </c>
      <c r="O42" t="str">
        <f t="shared" si="1"/>
        <v>Delivered</v>
      </c>
      <c r="P42" t="str">
        <f t="shared" si="2"/>
        <v>WH-BOM</v>
      </c>
      <c r="Q42" t="str">
        <f>VLOOKUP(C42, Lookups!$A$2:$D$10, 2, FALSE())</f>
        <v>FastElectronics</v>
      </c>
      <c r="R42" t="str">
        <f>_xlfn.XLOOKUP(D42, Lookups!$A$12:$A$51, Lookups!$C$12:$C$51, "Unknown")</f>
        <v>Electronics</v>
      </c>
      <c r="S42" t="str">
        <f>IF(ISBLANK(I42), B42+VLOOKUP(C42, Lookups!$A$2:$D$10, 4, FALSE()), I42)</f>
        <v>2025-02-06</v>
      </c>
      <c r="T42">
        <f t="shared" si="3"/>
        <v>20</v>
      </c>
      <c r="U42" t="str">
        <f t="shared" si="4"/>
        <v>Late</v>
      </c>
      <c r="V42">
        <f t="shared" si="5"/>
        <v>0</v>
      </c>
    </row>
    <row r="43" spans="1:22" x14ac:dyDescent="0.45">
      <c r="A43" t="s">
        <v>260</v>
      </c>
      <c r="B43" t="s">
        <v>261</v>
      </c>
      <c r="C43" t="s">
        <v>36</v>
      </c>
      <c r="D43" t="s">
        <v>71</v>
      </c>
      <c r="E43" t="s">
        <v>16</v>
      </c>
      <c r="F43">
        <v>178</v>
      </c>
      <c r="G43">
        <v>65379</v>
      </c>
      <c r="H43">
        <v>11637462</v>
      </c>
      <c r="I43" t="s">
        <v>262</v>
      </c>
      <c r="J43" t="s">
        <v>262</v>
      </c>
      <c r="K43">
        <v>178</v>
      </c>
      <c r="L43">
        <v>0</v>
      </c>
      <c r="M43" t="s">
        <v>115</v>
      </c>
      <c r="N43" t="str">
        <f t="shared" si="0"/>
        <v>PO-100042</v>
      </c>
      <c r="O43" t="str">
        <f t="shared" si="1"/>
        <v>Delivered</v>
      </c>
      <c r="P43" t="str">
        <f t="shared" si="2"/>
        <v>WH-DEL</v>
      </c>
      <c r="Q43" t="str">
        <f>VLOOKUP(C43, Lookups!$A$2:$D$10, 2, FALSE())</f>
        <v>NextGen Hardware</v>
      </c>
      <c r="R43" t="str">
        <f>_xlfn.XLOOKUP(D43, Lookups!$A$12:$A$51, Lookups!$C$12:$C$51, "Unknown")</f>
        <v>Electronics</v>
      </c>
      <c r="S43" t="str">
        <f>IF(ISBLANK(I43), B43+VLOOKUP(C43, Lookups!$A$2:$D$10, 4, FALSE()), I43)</f>
        <v>2026-02-08</v>
      </c>
      <c r="T43">
        <f t="shared" si="3"/>
        <v>24</v>
      </c>
      <c r="U43" t="str">
        <f t="shared" si="4"/>
        <v>On-Time</v>
      </c>
      <c r="V43">
        <f t="shared" si="5"/>
        <v>0</v>
      </c>
    </row>
    <row r="44" spans="1:22" x14ac:dyDescent="0.45">
      <c r="A44" t="s">
        <v>263</v>
      </c>
      <c r="B44" t="s">
        <v>264</v>
      </c>
      <c r="C44" t="s">
        <v>30</v>
      </c>
      <c r="D44" t="s">
        <v>59</v>
      </c>
      <c r="E44" t="s">
        <v>18</v>
      </c>
      <c r="F44">
        <v>23</v>
      </c>
      <c r="G44">
        <v>48905</v>
      </c>
      <c r="H44">
        <v>1124815</v>
      </c>
      <c r="I44" t="s">
        <v>265</v>
      </c>
      <c r="J44" t="s">
        <v>266</v>
      </c>
      <c r="K44">
        <v>14</v>
      </c>
      <c r="L44">
        <v>0</v>
      </c>
      <c r="M44" t="s">
        <v>115</v>
      </c>
      <c r="N44" t="str">
        <f t="shared" si="0"/>
        <v>PO-100043</v>
      </c>
      <c r="O44" t="str">
        <f t="shared" si="1"/>
        <v>Delivered</v>
      </c>
      <c r="P44" t="str">
        <f t="shared" si="2"/>
        <v>WH-PUN</v>
      </c>
      <c r="Q44" t="str">
        <f>VLOOKUP(C44, Lookups!$A$2:$D$10, 2, FALSE())</f>
        <v>TechSupply Corp</v>
      </c>
      <c r="R44" t="str">
        <f>_xlfn.XLOOKUP(D44, Lookups!$A$12:$A$51, Lookups!$C$12:$C$51, "Unknown")</f>
        <v>Electronics</v>
      </c>
      <c r="S44" t="str">
        <f>IF(ISBLANK(I44), B44+VLOOKUP(C44, Lookups!$A$2:$D$10, 4, FALSE()), I44)</f>
        <v>2025-02-14</v>
      </c>
      <c r="T44">
        <f t="shared" si="3"/>
        <v>15</v>
      </c>
      <c r="U44" t="str">
        <f t="shared" si="4"/>
        <v>Late</v>
      </c>
      <c r="V44">
        <f t="shared" si="5"/>
        <v>0</v>
      </c>
    </row>
    <row r="45" spans="1:22" x14ac:dyDescent="0.45">
      <c r="A45" t="s">
        <v>267</v>
      </c>
      <c r="B45" t="s">
        <v>268</v>
      </c>
      <c r="C45" t="s">
        <v>32</v>
      </c>
      <c r="D45" t="s">
        <v>84</v>
      </c>
      <c r="E45" t="s">
        <v>18</v>
      </c>
      <c r="F45">
        <v>23</v>
      </c>
      <c r="G45">
        <v>7271</v>
      </c>
      <c r="H45">
        <v>167233</v>
      </c>
      <c r="I45" t="s">
        <v>269</v>
      </c>
      <c r="J45" t="s">
        <v>269</v>
      </c>
      <c r="K45">
        <v>23</v>
      </c>
      <c r="L45">
        <v>0</v>
      </c>
      <c r="M45" t="s">
        <v>115</v>
      </c>
      <c r="N45" t="str">
        <f t="shared" si="0"/>
        <v>PO-100044</v>
      </c>
      <c r="O45" t="str">
        <f t="shared" si="1"/>
        <v>Delivered</v>
      </c>
      <c r="P45" t="str">
        <f t="shared" si="2"/>
        <v>WH-PUN</v>
      </c>
      <c r="Q45" t="str">
        <f>VLOOKUP(C45, Lookups!$A$2:$D$10, 2, FALSE())</f>
        <v>OfficeDepot Pro</v>
      </c>
      <c r="R45" t="str">
        <f>_xlfn.XLOOKUP(D45, Lookups!$A$12:$A$51, Lookups!$C$12:$C$51, "Unknown")</f>
        <v>Peripherals</v>
      </c>
      <c r="S45" t="str">
        <f>IF(ISBLANK(I45), B45+VLOOKUP(C45, Lookups!$A$2:$D$10, 4, FALSE()), I45)</f>
        <v>2025-04-20</v>
      </c>
      <c r="T45">
        <f t="shared" si="3"/>
        <v>7</v>
      </c>
      <c r="U45" t="str">
        <f t="shared" si="4"/>
        <v>On-Time</v>
      </c>
      <c r="V45">
        <f t="shared" si="5"/>
        <v>0</v>
      </c>
    </row>
    <row r="46" spans="1:22" x14ac:dyDescent="0.45">
      <c r="A46" t="s">
        <v>270</v>
      </c>
      <c r="B46" t="s">
        <v>271</v>
      </c>
      <c r="C46" t="s">
        <v>34</v>
      </c>
      <c r="D46" t="s">
        <v>58</v>
      </c>
      <c r="E46" t="s">
        <v>18</v>
      </c>
      <c r="F46">
        <v>150</v>
      </c>
      <c r="G46">
        <v>100302</v>
      </c>
      <c r="H46">
        <v>15045300</v>
      </c>
      <c r="I46" t="s">
        <v>272</v>
      </c>
      <c r="J46" t="s">
        <v>272</v>
      </c>
      <c r="K46">
        <v>110</v>
      </c>
      <c r="L46">
        <v>1</v>
      </c>
      <c r="M46" t="s">
        <v>115</v>
      </c>
      <c r="N46" t="str">
        <f t="shared" si="0"/>
        <v>PO-100045</v>
      </c>
      <c r="O46" t="str">
        <f t="shared" si="1"/>
        <v>Delivered</v>
      </c>
      <c r="P46" t="str">
        <f t="shared" si="2"/>
        <v>WH-PUN</v>
      </c>
      <c r="Q46" t="str">
        <f>VLOOKUP(C46, Lookups!$A$2:$D$10, 2, FALSE())</f>
        <v>FastElectronics</v>
      </c>
      <c r="R46" t="str">
        <f>_xlfn.XLOOKUP(D46, Lookups!$A$12:$A$51, Lookups!$C$12:$C$51, "Unknown")</f>
        <v>Electronics</v>
      </c>
      <c r="S46" t="str">
        <f>IF(ISBLANK(I46), B46+VLOOKUP(C46, Lookups!$A$2:$D$10, 4, FALSE()), I46)</f>
        <v>2025-08-13</v>
      </c>
      <c r="T46">
        <f t="shared" si="3"/>
        <v>18</v>
      </c>
      <c r="U46" t="str">
        <f t="shared" si="4"/>
        <v>On-Time</v>
      </c>
      <c r="V46">
        <f t="shared" si="5"/>
        <v>9.0909090909090905E-3</v>
      </c>
    </row>
    <row r="47" spans="1:22" x14ac:dyDescent="0.45">
      <c r="A47" t="s">
        <v>273</v>
      </c>
      <c r="B47" t="s">
        <v>234</v>
      </c>
      <c r="C47" t="s">
        <v>36</v>
      </c>
      <c r="D47" t="s">
        <v>71</v>
      </c>
      <c r="E47" t="s">
        <v>18</v>
      </c>
      <c r="F47">
        <v>218</v>
      </c>
      <c r="G47">
        <v>65379</v>
      </c>
      <c r="H47">
        <v>14252622</v>
      </c>
      <c r="I47" t="s">
        <v>235</v>
      </c>
      <c r="J47" t="s">
        <v>274</v>
      </c>
      <c r="K47">
        <v>218</v>
      </c>
      <c r="L47">
        <v>0</v>
      </c>
      <c r="M47" t="s">
        <v>115</v>
      </c>
      <c r="N47" t="str">
        <f t="shared" si="0"/>
        <v>PO-100046</v>
      </c>
      <c r="O47" t="str">
        <f t="shared" si="1"/>
        <v>Delivered</v>
      </c>
      <c r="P47" t="str">
        <f t="shared" si="2"/>
        <v>WH-PUN</v>
      </c>
      <c r="Q47" t="str">
        <f>VLOOKUP(C47, Lookups!$A$2:$D$10, 2, FALSE())</f>
        <v>NextGen Hardware</v>
      </c>
      <c r="R47" t="str">
        <f>_xlfn.XLOOKUP(D47, Lookups!$A$12:$A$51, Lookups!$C$12:$C$51, "Unknown")</f>
        <v>Electronics</v>
      </c>
      <c r="S47" t="str">
        <f>IF(ISBLANK(I47), B47+VLOOKUP(C47, Lookups!$A$2:$D$10, 4, FALSE()), I47)</f>
        <v>2025-08-27</v>
      </c>
      <c r="T47">
        <f t="shared" si="3"/>
        <v>27</v>
      </c>
      <c r="U47" t="str">
        <f t="shared" si="4"/>
        <v>Late</v>
      </c>
      <c r="V47">
        <f t="shared" si="5"/>
        <v>0</v>
      </c>
    </row>
    <row r="48" spans="1:22" x14ac:dyDescent="0.45">
      <c r="A48" t="s">
        <v>275</v>
      </c>
      <c r="B48" t="s">
        <v>276</v>
      </c>
      <c r="C48" t="s">
        <v>33</v>
      </c>
      <c r="D48" t="s">
        <v>89</v>
      </c>
      <c r="E48" t="s">
        <v>18</v>
      </c>
      <c r="F48">
        <v>205</v>
      </c>
      <c r="G48">
        <v>11309</v>
      </c>
      <c r="H48">
        <v>2318345</v>
      </c>
      <c r="I48" t="s">
        <v>277</v>
      </c>
      <c r="J48" t="s">
        <v>278</v>
      </c>
      <c r="K48">
        <v>197</v>
      </c>
      <c r="L48">
        <v>0</v>
      </c>
      <c r="M48" t="s">
        <v>115</v>
      </c>
      <c r="N48" t="str">
        <f t="shared" si="0"/>
        <v>PO-100047</v>
      </c>
      <c r="O48" t="str">
        <f t="shared" si="1"/>
        <v>Delivered</v>
      </c>
      <c r="P48" t="str">
        <f t="shared" si="2"/>
        <v>WH-PUN</v>
      </c>
      <c r="Q48" t="str">
        <f>VLOOKUP(C48, Lookups!$A$2:$D$10, 2, FALSE())</f>
        <v>MegaFurnish</v>
      </c>
      <c r="R48" t="str">
        <f>_xlfn.XLOOKUP(D48, Lookups!$A$12:$A$51, Lookups!$C$12:$C$51, "Unknown")</f>
        <v>Office Furniture</v>
      </c>
      <c r="S48" t="str">
        <f>IF(ISBLANK(I48), B48+VLOOKUP(C48, Lookups!$A$2:$D$10, 4, FALSE()), I48)</f>
        <v>2025-05-12</v>
      </c>
      <c r="T48">
        <f t="shared" si="3"/>
        <v>31</v>
      </c>
      <c r="U48" t="str">
        <f t="shared" si="4"/>
        <v>Late</v>
      </c>
      <c r="V48">
        <f t="shared" si="5"/>
        <v>0</v>
      </c>
    </row>
    <row r="49" spans="1:22" x14ac:dyDescent="0.45">
      <c r="A49" t="s">
        <v>279</v>
      </c>
      <c r="B49" t="s">
        <v>280</v>
      </c>
      <c r="C49" t="s">
        <v>34</v>
      </c>
      <c r="D49" t="s">
        <v>76</v>
      </c>
      <c r="E49" t="s">
        <v>16</v>
      </c>
      <c r="F49">
        <v>204</v>
      </c>
      <c r="G49">
        <v>26270</v>
      </c>
      <c r="H49">
        <v>5359080</v>
      </c>
      <c r="I49" t="s">
        <v>281</v>
      </c>
      <c r="J49" t="s">
        <v>282</v>
      </c>
      <c r="K49">
        <v>204</v>
      </c>
      <c r="L49">
        <v>0</v>
      </c>
      <c r="M49" t="s">
        <v>115</v>
      </c>
      <c r="N49" t="str">
        <f t="shared" si="0"/>
        <v>PO-100048</v>
      </c>
      <c r="O49" t="str">
        <f t="shared" si="1"/>
        <v>Delivered</v>
      </c>
      <c r="P49" t="str">
        <f t="shared" si="2"/>
        <v>WH-DEL</v>
      </c>
      <c r="Q49" t="str">
        <f>VLOOKUP(C49, Lookups!$A$2:$D$10, 2, FALSE())</f>
        <v>FastElectronics</v>
      </c>
      <c r="R49" t="str">
        <f>_xlfn.XLOOKUP(D49, Lookups!$A$12:$A$51, Lookups!$C$12:$C$51, "Unknown")</f>
        <v>Networking</v>
      </c>
      <c r="S49" t="str">
        <f>IF(ISBLANK(I49), B49+VLOOKUP(C49, Lookups!$A$2:$D$10, 4, FALSE()), I49)</f>
        <v>2026-10-26</v>
      </c>
      <c r="T49">
        <f t="shared" si="3"/>
        <v>19</v>
      </c>
      <c r="U49" t="str">
        <f t="shared" si="4"/>
        <v>Late</v>
      </c>
      <c r="V49">
        <f t="shared" si="5"/>
        <v>0</v>
      </c>
    </row>
    <row r="50" spans="1:22" x14ac:dyDescent="0.45">
      <c r="A50" t="s">
        <v>283</v>
      </c>
      <c r="B50" t="s">
        <v>284</v>
      </c>
      <c r="C50" t="s">
        <v>32</v>
      </c>
      <c r="D50" t="s">
        <v>84</v>
      </c>
      <c r="E50" t="s">
        <v>17</v>
      </c>
      <c r="F50">
        <v>35</v>
      </c>
      <c r="G50">
        <v>7271</v>
      </c>
      <c r="H50">
        <v>254485</v>
      </c>
      <c r="I50" t="s">
        <v>285</v>
      </c>
      <c r="J50" t="s">
        <v>286</v>
      </c>
      <c r="K50">
        <v>35</v>
      </c>
      <c r="L50">
        <v>0</v>
      </c>
      <c r="M50" t="s">
        <v>115</v>
      </c>
      <c r="N50" t="str">
        <f t="shared" si="0"/>
        <v>PO-100049</v>
      </c>
      <c r="O50" t="str">
        <f t="shared" si="1"/>
        <v>Delivered</v>
      </c>
      <c r="P50" t="str">
        <f t="shared" si="2"/>
        <v>WH-BLR</v>
      </c>
      <c r="Q50" t="str">
        <f>VLOOKUP(C50, Lookups!$A$2:$D$10, 2, FALSE())</f>
        <v>OfficeDepot Pro</v>
      </c>
      <c r="R50" t="str">
        <f>_xlfn.XLOOKUP(D50, Lookups!$A$12:$A$51, Lookups!$C$12:$C$51, "Unknown")</f>
        <v>Peripherals</v>
      </c>
      <c r="S50" t="str">
        <f>IF(ISBLANK(I50), B50+VLOOKUP(C50, Lookups!$A$2:$D$10, 4, FALSE()), I50)</f>
        <v>2025-03-01</v>
      </c>
      <c r="T50">
        <f t="shared" si="3"/>
        <v>8</v>
      </c>
      <c r="U50" t="str">
        <f t="shared" si="4"/>
        <v>Late</v>
      </c>
      <c r="V50">
        <f t="shared" si="5"/>
        <v>0</v>
      </c>
    </row>
    <row r="51" spans="1:22" x14ac:dyDescent="0.45">
      <c r="A51" t="s">
        <v>287</v>
      </c>
      <c r="B51" t="s">
        <v>288</v>
      </c>
      <c r="C51" t="s">
        <v>34</v>
      </c>
      <c r="D51" t="s">
        <v>73</v>
      </c>
      <c r="E51" t="s">
        <v>17</v>
      </c>
      <c r="F51">
        <v>245</v>
      </c>
      <c r="G51">
        <v>58396</v>
      </c>
      <c r="H51">
        <v>14307020</v>
      </c>
      <c r="I51" t="s">
        <v>289</v>
      </c>
      <c r="J51" t="s">
        <v>290</v>
      </c>
      <c r="K51">
        <v>244</v>
      </c>
      <c r="L51">
        <v>0</v>
      </c>
      <c r="M51" t="s">
        <v>115</v>
      </c>
      <c r="N51" t="str">
        <f t="shared" si="0"/>
        <v>PO-100050</v>
      </c>
      <c r="O51" t="str">
        <f t="shared" si="1"/>
        <v>Delivered</v>
      </c>
      <c r="P51" t="str">
        <f t="shared" si="2"/>
        <v>WH-BLR</v>
      </c>
      <c r="Q51" t="str">
        <f>VLOOKUP(C51, Lookups!$A$2:$D$10, 2, FALSE())</f>
        <v>FastElectronics</v>
      </c>
      <c r="R51" t="str">
        <f>_xlfn.XLOOKUP(D51, Lookups!$A$12:$A$51, Lookups!$C$12:$C$51, "Unknown")</f>
        <v>Electronics</v>
      </c>
      <c r="S51" t="str">
        <f>IF(ISBLANK(I51), B51+VLOOKUP(C51, Lookups!$A$2:$D$10, 4, FALSE()), I51)</f>
        <v>2026-07-09</v>
      </c>
      <c r="T51">
        <f t="shared" si="3"/>
        <v>21</v>
      </c>
      <c r="U51" t="str">
        <f t="shared" si="4"/>
        <v>Late</v>
      </c>
      <c r="V51">
        <f t="shared" si="5"/>
        <v>0</v>
      </c>
    </row>
    <row r="52" spans="1:22" x14ac:dyDescent="0.45">
      <c r="A52" t="s">
        <v>291</v>
      </c>
      <c r="B52" t="s">
        <v>292</v>
      </c>
      <c r="C52" t="s">
        <v>34</v>
      </c>
      <c r="D52" t="s">
        <v>73</v>
      </c>
      <c r="E52" t="s">
        <v>16</v>
      </c>
      <c r="F52">
        <v>190</v>
      </c>
      <c r="G52">
        <v>58396</v>
      </c>
      <c r="H52">
        <v>11095240</v>
      </c>
      <c r="I52" t="s">
        <v>293</v>
      </c>
      <c r="J52" t="s">
        <v>294</v>
      </c>
      <c r="K52">
        <v>190</v>
      </c>
      <c r="L52">
        <v>0</v>
      </c>
      <c r="M52" t="s">
        <v>115</v>
      </c>
      <c r="N52" t="str">
        <f t="shared" si="0"/>
        <v>PO-100051</v>
      </c>
      <c r="O52" t="str">
        <f t="shared" si="1"/>
        <v>Delivered</v>
      </c>
      <c r="P52" t="str">
        <f t="shared" si="2"/>
        <v>WH-DEL</v>
      </c>
      <c r="Q52" t="str">
        <f>VLOOKUP(C52, Lookups!$A$2:$D$10, 2, FALSE())</f>
        <v>FastElectronics</v>
      </c>
      <c r="R52" t="str">
        <f>_xlfn.XLOOKUP(D52, Lookups!$A$12:$A$51, Lookups!$C$12:$C$51, "Unknown")</f>
        <v>Electronics</v>
      </c>
      <c r="S52" t="str">
        <f>IF(ISBLANK(I52), B52+VLOOKUP(C52, Lookups!$A$2:$D$10, 4, FALSE()), I52)</f>
        <v>2025-09-04</v>
      </c>
      <c r="T52">
        <f t="shared" si="3"/>
        <v>27</v>
      </c>
      <c r="U52" t="str">
        <f t="shared" si="4"/>
        <v>Late</v>
      </c>
      <c r="V52">
        <f t="shared" si="5"/>
        <v>0</v>
      </c>
    </row>
    <row r="53" spans="1:22" x14ac:dyDescent="0.45">
      <c r="A53" t="s">
        <v>295</v>
      </c>
      <c r="B53" t="s">
        <v>296</v>
      </c>
      <c r="C53" t="s">
        <v>34</v>
      </c>
      <c r="D53" t="s">
        <v>80</v>
      </c>
      <c r="E53" t="s">
        <v>15</v>
      </c>
      <c r="F53">
        <v>130</v>
      </c>
      <c r="G53">
        <v>19090</v>
      </c>
      <c r="H53">
        <v>2481700</v>
      </c>
      <c r="K53">
        <v>0</v>
      </c>
      <c r="L53">
        <v>0</v>
      </c>
      <c r="M53" t="s">
        <v>297</v>
      </c>
      <c r="N53" t="str">
        <f t="shared" si="0"/>
        <v>PO-100052</v>
      </c>
      <c r="O53" t="str">
        <f t="shared" si="1"/>
        <v>Open</v>
      </c>
      <c r="P53" t="str">
        <f t="shared" si="2"/>
        <v>WH-BOM</v>
      </c>
      <c r="Q53" t="str">
        <f>VLOOKUP(C53, Lookups!$A$2:$D$10, 2, FALSE())</f>
        <v>FastElectronics</v>
      </c>
      <c r="R53" t="str">
        <f>_xlfn.XLOOKUP(D53, Lookups!$A$12:$A$51, Lookups!$C$12:$C$51, "Unknown")</f>
        <v>Networking</v>
      </c>
      <c r="S53">
        <f>IF(ISBLANK(I53), B53+VLOOKUP(C53, Lookups!$A$2:$D$10, 4, FALSE()), I53)</f>
        <v>46368</v>
      </c>
      <c r="T53" t="str">
        <f t="shared" si="3"/>
        <v/>
      </c>
      <c r="U53" t="str">
        <f t="shared" si="4"/>
        <v>Open</v>
      </c>
      <c r="V53">
        <f t="shared" si="5"/>
        <v>0</v>
      </c>
    </row>
    <row r="54" spans="1:22" x14ac:dyDescent="0.45">
      <c r="A54" t="s">
        <v>298</v>
      </c>
      <c r="B54" t="s">
        <v>299</v>
      </c>
      <c r="C54" t="s">
        <v>31</v>
      </c>
      <c r="D54" t="s">
        <v>66</v>
      </c>
      <c r="E54" t="s">
        <v>18</v>
      </c>
      <c r="F54">
        <v>38</v>
      </c>
      <c r="G54">
        <v>29719</v>
      </c>
      <c r="H54">
        <v>1129322</v>
      </c>
      <c r="I54" t="s">
        <v>300</v>
      </c>
      <c r="J54" t="s">
        <v>300</v>
      </c>
      <c r="K54">
        <v>38</v>
      </c>
      <c r="L54">
        <v>0</v>
      </c>
      <c r="M54" t="s">
        <v>301</v>
      </c>
      <c r="N54" t="str">
        <f t="shared" si="0"/>
        <v>PO-100053</v>
      </c>
      <c r="O54" t="str">
        <f t="shared" si="1"/>
        <v>Delivered</v>
      </c>
      <c r="P54" t="str">
        <f t="shared" si="2"/>
        <v>WH-PUN</v>
      </c>
      <c r="Q54" t="str">
        <f>VLOOKUP(C54, Lookups!$A$2:$D$10, 2, FALSE())</f>
        <v>Global Networks</v>
      </c>
      <c r="R54" t="str">
        <f>_xlfn.XLOOKUP(D54, Lookups!$A$12:$A$51, Lookups!$C$12:$C$51, "Unknown")</f>
        <v>Networking</v>
      </c>
      <c r="S54" t="str">
        <f>IF(ISBLANK(I54), B54+VLOOKUP(C54, Lookups!$A$2:$D$10, 4, FALSE()), I54)</f>
        <v>2025-03-20</v>
      </c>
      <c r="T54">
        <f t="shared" si="3"/>
        <v>21</v>
      </c>
      <c r="U54" t="str">
        <f t="shared" si="4"/>
        <v>On-Time</v>
      </c>
      <c r="V54">
        <f t="shared" si="5"/>
        <v>0</v>
      </c>
    </row>
    <row r="55" spans="1:22" x14ac:dyDescent="0.45">
      <c r="A55" t="s">
        <v>302</v>
      </c>
      <c r="B55" t="s">
        <v>303</v>
      </c>
      <c r="C55" t="s">
        <v>30</v>
      </c>
      <c r="D55" t="s">
        <v>59</v>
      </c>
      <c r="E55" t="s">
        <v>18</v>
      </c>
      <c r="F55">
        <v>223</v>
      </c>
      <c r="G55">
        <v>48905</v>
      </c>
      <c r="H55">
        <v>10905815</v>
      </c>
      <c r="I55" t="s">
        <v>304</v>
      </c>
      <c r="J55" t="s">
        <v>305</v>
      </c>
      <c r="K55">
        <v>223</v>
      </c>
      <c r="L55">
        <v>0</v>
      </c>
      <c r="M55" t="s">
        <v>115</v>
      </c>
      <c r="N55" t="str">
        <f t="shared" si="0"/>
        <v>PO-100054</v>
      </c>
      <c r="O55" t="str">
        <f t="shared" si="1"/>
        <v>Delivered</v>
      </c>
      <c r="P55" t="str">
        <f t="shared" si="2"/>
        <v>WH-PUN</v>
      </c>
      <c r="Q55" t="str">
        <f>VLOOKUP(C55, Lookups!$A$2:$D$10, 2, FALSE())</f>
        <v>TechSupply Corp</v>
      </c>
      <c r="R55" t="str">
        <f>_xlfn.XLOOKUP(D55, Lookups!$A$12:$A$51, Lookups!$C$12:$C$51, "Unknown")</f>
        <v>Electronics</v>
      </c>
      <c r="S55" t="str">
        <f>IF(ISBLANK(I55), B55+VLOOKUP(C55, Lookups!$A$2:$D$10, 4, FALSE()), I55)</f>
        <v>2026-06-23</v>
      </c>
      <c r="T55">
        <f t="shared" si="3"/>
        <v>19</v>
      </c>
      <c r="U55" t="str">
        <f t="shared" si="4"/>
        <v>Late</v>
      </c>
      <c r="V55">
        <f t="shared" si="5"/>
        <v>0</v>
      </c>
    </row>
    <row r="56" spans="1:22" x14ac:dyDescent="0.45">
      <c r="A56" t="s">
        <v>306</v>
      </c>
      <c r="B56" t="s">
        <v>307</v>
      </c>
      <c r="C56" t="s">
        <v>34</v>
      </c>
      <c r="D56" t="s">
        <v>76</v>
      </c>
      <c r="E56" t="s">
        <v>17</v>
      </c>
      <c r="F56">
        <v>133</v>
      </c>
      <c r="G56">
        <v>26270</v>
      </c>
      <c r="H56">
        <v>3493910</v>
      </c>
      <c r="I56" t="s">
        <v>308</v>
      </c>
      <c r="J56" t="s">
        <v>308</v>
      </c>
      <c r="K56">
        <v>133</v>
      </c>
      <c r="L56">
        <v>0</v>
      </c>
      <c r="M56" t="s">
        <v>115</v>
      </c>
      <c r="N56" t="str">
        <f t="shared" si="0"/>
        <v>PO-100055</v>
      </c>
      <c r="O56" t="str">
        <f t="shared" si="1"/>
        <v>Delivered</v>
      </c>
      <c r="P56" t="str">
        <f t="shared" si="2"/>
        <v>WH-BLR</v>
      </c>
      <c r="Q56" t="str">
        <f>VLOOKUP(C56, Lookups!$A$2:$D$10, 2, FALSE())</f>
        <v>FastElectronics</v>
      </c>
      <c r="R56" t="str">
        <f>_xlfn.XLOOKUP(D56, Lookups!$A$12:$A$51, Lookups!$C$12:$C$51, "Unknown")</f>
        <v>Networking</v>
      </c>
      <c r="S56" t="str">
        <f>IF(ISBLANK(I56), B56+VLOOKUP(C56, Lookups!$A$2:$D$10, 4, FALSE()), I56)</f>
        <v>2026-09-13</v>
      </c>
      <c r="T56">
        <f t="shared" si="3"/>
        <v>18</v>
      </c>
      <c r="U56" t="str">
        <f t="shared" si="4"/>
        <v>On-Time</v>
      </c>
      <c r="V56">
        <f t="shared" si="5"/>
        <v>0</v>
      </c>
    </row>
    <row r="57" spans="1:22" x14ac:dyDescent="0.45">
      <c r="A57" t="s">
        <v>309</v>
      </c>
      <c r="B57" t="s">
        <v>310</v>
      </c>
      <c r="C57" t="s">
        <v>34</v>
      </c>
      <c r="D57" t="s">
        <v>54</v>
      </c>
      <c r="E57" t="s">
        <v>18</v>
      </c>
      <c r="F57">
        <v>234</v>
      </c>
      <c r="G57">
        <v>22314</v>
      </c>
      <c r="H57">
        <v>5221476</v>
      </c>
      <c r="I57" t="s">
        <v>137</v>
      </c>
      <c r="J57" t="s">
        <v>137</v>
      </c>
      <c r="K57">
        <v>234</v>
      </c>
      <c r="L57">
        <v>19</v>
      </c>
      <c r="M57" t="s">
        <v>115</v>
      </c>
      <c r="N57" t="str">
        <f t="shared" si="0"/>
        <v>PO-100056</v>
      </c>
      <c r="O57" t="str">
        <f t="shared" si="1"/>
        <v>Delivered</v>
      </c>
      <c r="P57" t="str">
        <f t="shared" si="2"/>
        <v>WH-PUN</v>
      </c>
      <c r="Q57" t="str">
        <f>VLOOKUP(C57, Lookups!$A$2:$D$10, 2, FALSE())</f>
        <v>FastElectronics</v>
      </c>
      <c r="R57" t="str">
        <f>_xlfn.XLOOKUP(D57, Lookups!$A$12:$A$51, Lookups!$C$12:$C$51, "Unknown")</f>
        <v>Networking</v>
      </c>
      <c r="S57" t="str">
        <f>IF(ISBLANK(I57), B57+VLOOKUP(C57, Lookups!$A$2:$D$10, 4, FALSE()), I57)</f>
        <v>2025-09-08</v>
      </c>
      <c r="T57">
        <f t="shared" si="3"/>
        <v>18</v>
      </c>
      <c r="U57" t="str">
        <f t="shared" si="4"/>
        <v>On-Time</v>
      </c>
      <c r="V57">
        <f t="shared" si="5"/>
        <v>8.11965811965812E-2</v>
      </c>
    </row>
    <row r="58" spans="1:22" x14ac:dyDescent="0.45">
      <c r="A58" t="s">
        <v>311</v>
      </c>
      <c r="B58" t="s">
        <v>130</v>
      </c>
      <c r="C58" t="s">
        <v>30</v>
      </c>
      <c r="D58" t="s">
        <v>52</v>
      </c>
      <c r="E58" t="s">
        <v>17</v>
      </c>
      <c r="F58">
        <v>210</v>
      </c>
      <c r="G58">
        <v>59592</v>
      </c>
      <c r="H58">
        <v>12514320</v>
      </c>
      <c r="I58" t="s">
        <v>312</v>
      </c>
      <c r="J58" t="s">
        <v>312</v>
      </c>
      <c r="K58">
        <v>188</v>
      </c>
      <c r="L58">
        <v>0</v>
      </c>
      <c r="M58" t="s">
        <v>115</v>
      </c>
      <c r="N58" t="str">
        <f t="shared" si="0"/>
        <v>PO-100057</v>
      </c>
      <c r="O58" t="str">
        <f t="shared" si="1"/>
        <v>Delivered</v>
      </c>
      <c r="P58" t="str">
        <f t="shared" si="2"/>
        <v>WH-BLR</v>
      </c>
      <c r="Q58" t="str">
        <f>VLOOKUP(C58, Lookups!$A$2:$D$10, 2, FALSE())</f>
        <v>TechSupply Corp</v>
      </c>
      <c r="R58" t="str">
        <f>_xlfn.XLOOKUP(D58, Lookups!$A$12:$A$51, Lookups!$C$12:$C$51, "Unknown")</f>
        <v>Electronics</v>
      </c>
      <c r="S58" t="str">
        <f>IF(ISBLANK(I58), B58+VLOOKUP(C58, Lookups!$A$2:$D$10, 4, FALSE()), I58)</f>
        <v>2026-07-29</v>
      </c>
      <c r="T58">
        <f t="shared" si="3"/>
        <v>14</v>
      </c>
      <c r="U58" t="str">
        <f t="shared" si="4"/>
        <v>On-Time</v>
      </c>
      <c r="V58">
        <f t="shared" si="5"/>
        <v>0</v>
      </c>
    </row>
    <row r="59" spans="1:22" x14ac:dyDescent="0.45">
      <c r="A59" t="s">
        <v>313</v>
      </c>
      <c r="B59" t="s">
        <v>154</v>
      </c>
      <c r="C59" t="s">
        <v>31</v>
      </c>
      <c r="D59" t="s">
        <v>64</v>
      </c>
      <c r="E59" t="s">
        <v>16</v>
      </c>
      <c r="F59">
        <v>64</v>
      </c>
      <c r="G59">
        <v>36295</v>
      </c>
      <c r="H59">
        <v>2322880</v>
      </c>
      <c r="I59" t="s">
        <v>255</v>
      </c>
      <c r="J59" t="s">
        <v>255</v>
      </c>
      <c r="K59">
        <v>64</v>
      </c>
      <c r="L59">
        <v>0</v>
      </c>
      <c r="M59" t="s">
        <v>115</v>
      </c>
      <c r="N59" t="str">
        <f t="shared" si="0"/>
        <v>PO-100058</v>
      </c>
      <c r="O59" t="str">
        <f t="shared" si="1"/>
        <v>Delivered</v>
      </c>
      <c r="P59" t="str">
        <f t="shared" si="2"/>
        <v>WH-DEL</v>
      </c>
      <c r="Q59" t="str">
        <f>VLOOKUP(C59, Lookups!$A$2:$D$10, 2, FALSE())</f>
        <v>Global Networks</v>
      </c>
      <c r="R59" t="str">
        <f>_xlfn.XLOOKUP(D59, Lookups!$A$12:$A$51, Lookups!$C$12:$C$51, "Unknown")</f>
        <v>Networking</v>
      </c>
      <c r="S59" t="str">
        <f>IF(ISBLANK(I59), B59+VLOOKUP(C59, Lookups!$A$2:$D$10, 4, FALSE()), I59)</f>
        <v>2025-11-18</v>
      </c>
      <c r="T59">
        <f t="shared" si="3"/>
        <v>21</v>
      </c>
      <c r="U59" t="str">
        <f t="shared" si="4"/>
        <v>On-Time</v>
      </c>
      <c r="V59">
        <f t="shared" si="5"/>
        <v>0</v>
      </c>
    </row>
    <row r="60" spans="1:22" x14ac:dyDescent="0.45">
      <c r="A60" t="s">
        <v>314</v>
      </c>
      <c r="B60" t="s">
        <v>164</v>
      </c>
      <c r="C60" t="s">
        <v>33</v>
      </c>
      <c r="D60" t="s">
        <v>89</v>
      </c>
      <c r="E60" t="s">
        <v>15</v>
      </c>
      <c r="F60">
        <v>212</v>
      </c>
      <c r="G60">
        <v>11309</v>
      </c>
      <c r="H60">
        <v>2397508</v>
      </c>
      <c r="I60" t="s">
        <v>315</v>
      </c>
      <c r="J60" t="s">
        <v>316</v>
      </c>
      <c r="K60">
        <v>212</v>
      </c>
      <c r="L60">
        <v>0</v>
      </c>
      <c r="M60" t="s">
        <v>115</v>
      </c>
      <c r="N60" t="str">
        <f t="shared" si="0"/>
        <v>PO-100059</v>
      </c>
      <c r="O60" t="str">
        <f t="shared" si="1"/>
        <v>Delivered</v>
      </c>
      <c r="P60" t="str">
        <f t="shared" si="2"/>
        <v>WH-BOM</v>
      </c>
      <c r="Q60" t="str">
        <f>VLOOKUP(C60, Lookups!$A$2:$D$10, 2, FALSE())</f>
        <v>MegaFurnish</v>
      </c>
      <c r="R60" t="str">
        <f>_xlfn.XLOOKUP(D60, Lookups!$A$12:$A$51, Lookups!$C$12:$C$51, "Unknown")</f>
        <v>Office Furniture</v>
      </c>
      <c r="S60" t="str">
        <f>IF(ISBLANK(I60), B60+VLOOKUP(C60, Lookups!$A$2:$D$10, 4, FALSE()), I60)</f>
        <v>2026-03-07</v>
      </c>
      <c r="T60">
        <f t="shared" si="3"/>
        <v>31</v>
      </c>
      <c r="U60" t="str">
        <f t="shared" si="4"/>
        <v>Late</v>
      </c>
      <c r="V60">
        <f t="shared" si="5"/>
        <v>0</v>
      </c>
    </row>
    <row r="61" spans="1:22" x14ac:dyDescent="0.45">
      <c r="A61" t="s">
        <v>317</v>
      </c>
      <c r="B61" t="s">
        <v>318</v>
      </c>
      <c r="C61" t="s">
        <v>31</v>
      </c>
      <c r="D61" t="s">
        <v>77</v>
      </c>
      <c r="E61" t="s">
        <v>18</v>
      </c>
      <c r="F61">
        <v>15</v>
      </c>
      <c r="G61">
        <v>23667</v>
      </c>
      <c r="H61">
        <v>355005</v>
      </c>
      <c r="I61" t="s">
        <v>319</v>
      </c>
      <c r="J61" t="s">
        <v>320</v>
      </c>
      <c r="K61">
        <v>15</v>
      </c>
      <c r="L61">
        <v>0</v>
      </c>
      <c r="M61" t="s">
        <v>115</v>
      </c>
      <c r="N61" t="str">
        <f t="shared" si="0"/>
        <v>PO-100060</v>
      </c>
      <c r="O61" t="str">
        <f t="shared" si="1"/>
        <v>Delivered</v>
      </c>
      <c r="P61" t="str">
        <f t="shared" si="2"/>
        <v>WH-PUN</v>
      </c>
      <c r="Q61" t="str">
        <f>VLOOKUP(C61, Lookups!$A$2:$D$10, 2, FALSE())</f>
        <v>Global Networks</v>
      </c>
      <c r="R61" t="str">
        <f>_xlfn.XLOOKUP(D61, Lookups!$A$12:$A$51, Lookups!$C$12:$C$51, "Unknown")</f>
        <v>Networking</v>
      </c>
      <c r="S61" t="str">
        <f>IF(ISBLANK(I61), B61+VLOOKUP(C61, Lookups!$A$2:$D$10, 4, FALSE()), I61)</f>
        <v>2025-10-14</v>
      </c>
      <c r="T61">
        <f t="shared" si="3"/>
        <v>22</v>
      </c>
      <c r="U61" t="str">
        <f t="shared" si="4"/>
        <v>Late</v>
      </c>
      <c r="V61">
        <f t="shared" si="5"/>
        <v>0</v>
      </c>
    </row>
    <row r="62" spans="1:22" x14ac:dyDescent="0.45">
      <c r="A62" t="s">
        <v>321</v>
      </c>
      <c r="B62" t="s">
        <v>322</v>
      </c>
      <c r="C62" t="s">
        <v>35</v>
      </c>
      <c r="D62" t="s">
        <v>91</v>
      </c>
      <c r="E62" t="s">
        <v>15</v>
      </c>
      <c r="F62">
        <v>72</v>
      </c>
      <c r="G62">
        <v>6707</v>
      </c>
      <c r="H62">
        <v>482904</v>
      </c>
      <c r="I62" t="s">
        <v>149</v>
      </c>
      <c r="J62" t="s">
        <v>323</v>
      </c>
      <c r="K62">
        <v>72</v>
      </c>
      <c r="L62">
        <v>0</v>
      </c>
      <c r="M62" t="s">
        <v>115</v>
      </c>
      <c r="N62" t="str">
        <f t="shared" si="0"/>
        <v>PO-100061</v>
      </c>
      <c r="O62" t="str">
        <f t="shared" si="1"/>
        <v>Delivered</v>
      </c>
      <c r="P62" t="str">
        <f t="shared" si="2"/>
        <v>WH-BOM</v>
      </c>
      <c r="Q62" t="str">
        <f>VLOOKUP(C62, Lookups!$A$2:$D$10, 2, FALSE())</f>
        <v>Peripheral Source</v>
      </c>
      <c r="R62" t="str">
        <f>_xlfn.XLOOKUP(D62, Lookups!$A$12:$A$51, Lookups!$C$12:$C$51, "Unknown")</f>
        <v>Peripherals</v>
      </c>
      <c r="S62" t="str">
        <f>IF(ISBLANK(I62), B62+VLOOKUP(C62, Lookups!$A$2:$D$10, 4, FALSE()), I62)</f>
        <v>2026-04-03</v>
      </c>
      <c r="T62">
        <f t="shared" si="3"/>
        <v>11</v>
      </c>
      <c r="U62" t="str">
        <f t="shared" si="4"/>
        <v>Late</v>
      </c>
      <c r="V62">
        <f t="shared" si="5"/>
        <v>0</v>
      </c>
    </row>
    <row r="63" spans="1:22" x14ac:dyDescent="0.45">
      <c r="A63" t="s">
        <v>324</v>
      </c>
      <c r="B63" t="s">
        <v>325</v>
      </c>
      <c r="C63" t="s">
        <v>35</v>
      </c>
      <c r="D63" t="s">
        <v>57</v>
      </c>
      <c r="E63" t="s">
        <v>326</v>
      </c>
      <c r="F63">
        <v>24</v>
      </c>
      <c r="G63">
        <v>2212</v>
      </c>
      <c r="H63">
        <v>53088</v>
      </c>
      <c r="I63" t="s">
        <v>327</v>
      </c>
      <c r="J63" t="s">
        <v>328</v>
      </c>
      <c r="K63">
        <v>24</v>
      </c>
      <c r="L63">
        <v>0</v>
      </c>
      <c r="M63" t="s">
        <v>115</v>
      </c>
      <c r="N63" t="str">
        <f t="shared" si="0"/>
        <v>PO-100062</v>
      </c>
      <c r="O63" t="str">
        <f t="shared" si="1"/>
        <v>Delivered</v>
      </c>
      <c r="P63" t="str">
        <f t="shared" si="2"/>
        <v>WH-BLR</v>
      </c>
      <c r="Q63" t="str">
        <f>VLOOKUP(C63, Lookups!$A$2:$D$10, 2, FALSE())</f>
        <v>Peripheral Source</v>
      </c>
      <c r="R63" t="str">
        <f>_xlfn.XLOOKUP(D63, Lookups!$A$12:$A$51, Lookups!$C$12:$C$51, "Unknown")</f>
        <v>Peripherals</v>
      </c>
      <c r="S63" t="str">
        <f>IF(ISBLANK(I63), B63+VLOOKUP(C63, Lookups!$A$2:$D$10, 4, FALSE()), I63)</f>
        <v>2025-06-05</v>
      </c>
      <c r="T63">
        <f t="shared" si="3"/>
        <v>11</v>
      </c>
      <c r="U63" t="str">
        <f t="shared" si="4"/>
        <v>Late</v>
      </c>
      <c r="V63">
        <f t="shared" si="5"/>
        <v>0</v>
      </c>
    </row>
    <row r="64" spans="1:22" x14ac:dyDescent="0.45">
      <c r="A64" t="s">
        <v>329</v>
      </c>
      <c r="B64" t="s">
        <v>127</v>
      </c>
      <c r="C64" t="s">
        <v>31</v>
      </c>
      <c r="D64" t="s">
        <v>56</v>
      </c>
      <c r="E64" t="s">
        <v>15</v>
      </c>
      <c r="F64">
        <v>132</v>
      </c>
      <c r="G64">
        <v>39270</v>
      </c>
      <c r="H64">
        <v>5183640</v>
      </c>
      <c r="I64" t="s">
        <v>330</v>
      </c>
      <c r="J64" t="s">
        <v>330</v>
      </c>
      <c r="K64">
        <v>132</v>
      </c>
      <c r="L64">
        <v>17</v>
      </c>
      <c r="M64" t="s">
        <v>115</v>
      </c>
      <c r="N64" t="str">
        <f t="shared" si="0"/>
        <v>PO-100063</v>
      </c>
      <c r="O64" t="str">
        <f t="shared" si="1"/>
        <v>Delivered</v>
      </c>
      <c r="P64" t="str">
        <f t="shared" si="2"/>
        <v>WH-BOM</v>
      </c>
      <c r="Q64" t="str">
        <f>VLOOKUP(C64, Lookups!$A$2:$D$10, 2, FALSE())</f>
        <v>Global Networks</v>
      </c>
      <c r="R64" t="str">
        <f>_xlfn.XLOOKUP(D64, Lookups!$A$12:$A$51, Lookups!$C$12:$C$51, "Unknown")</f>
        <v>Networking</v>
      </c>
      <c r="S64" t="str">
        <f>IF(ISBLANK(I64), B64+VLOOKUP(C64, Lookups!$A$2:$D$10, 4, FALSE()), I64)</f>
        <v>2026-02-23</v>
      </c>
      <c r="T64">
        <f t="shared" si="3"/>
        <v>21</v>
      </c>
      <c r="U64" t="str">
        <f t="shared" si="4"/>
        <v>On-Time</v>
      </c>
      <c r="V64">
        <f t="shared" si="5"/>
        <v>0.12878787878787878</v>
      </c>
    </row>
    <row r="65" spans="1:22" x14ac:dyDescent="0.45">
      <c r="A65" t="s">
        <v>331</v>
      </c>
      <c r="B65" t="s">
        <v>198</v>
      </c>
      <c r="C65" t="s">
        <v>36</v>
      </c>
      <c r="D65" t="s">
        <v>62</v>
      </c>
      <c r="E65" t="s">
        <v>17</v>
      </c>
      <c r="F65">
        <v>227</v>
      </c>
      <c r="G65">
        <v>48478</v>
      </c>
      <c r="H65">
        <v>11004506</v>
      </c>
      <c r="I65" t="s">
        <v>199</v>
      </c>
      <c r="J65" t="s">
        <v>332</v>
      </c>
      <c r="K65">
        <v>227</v>
      </c>
      <c r="L65">
        <v>0</v>
      </c>
      <c r="M65" t="s">
        <v>115</v>
      </c>
      <c r="N65" t="str">
        <f t="shared" si="0"/>
        <v>PO-100064</v>
      </c>
      <c r="O65" t="str">
        <f t="shared" si="1"/>
        <v>Delivered</v>
      </c>
      <c r="P65" t="str">
        <f t="shared" si="2"/>
        <v>WH-BLR</v>
      </c>
      <c r="Q65" t="str">
        <f>VLOOKUP(C65, Lookups!$A$2:$D$10, 2, FALSE())</f>
        <v>NextGen Hardware</v>
      </c>
      <c r="R65" t="str">
        <f>_xlfn.XLOOKUP(D65, Lookups!$A$12:$A$51, Lookups!$C$12:$C$51, "Unknown")</f>
        <v>Electronics</v>
      </c>
      <c r="S65" t="str">
        <f>IF(ISBLANK(I65), B65+VLOOKUP(C65, Lookups!$A$2:$D$10, 4, FALSE()), I65)</f>
        <v>2025-10-16</v>
      </c>
      <c r="T65">
        <f t="shared" si="3"/>
        <v>20</v>
      </c>
      <c r="U65" t="str">
        <f t="shared" si="4"/>
        <v>On-Time</v>
      </c>
      <c r="V65">
        <f t="shared" si="5"/>
        <v>0</v>
      </c>
    </row>
    <row r="66" spans="1:22" x14ac:dyDescent="0.45">
      <c r="A66" t="s">
        <v>333</v>
      </c>
      <c r="B66" t="s">
        <v>334</v>
      </c>
      <c r="C66" t="s">
        <v>35</v>
      </c>
      <c r="D66" t="s">
        <v>60</v>
      </c>
      <c r="E66" t="s">
        <v>17</v>
      </c>
      <c r="F66">
        <v>148</v>
      </c>
      <c r="G66">
        <v>3291</v>
      </c>
      <c r="H66">
        <v>487068</v>
      </c>
      <c r="I66" t="s">
        <v>335</v>
      </c>
      <c r="J66" t="s">
        <v>335</v>
      </c>
      <c r="K66">
        <v>148</v>
      </c>
      <c r="L66">
        <v>4</v>
      </c>
      <c r="M66" t="s">
        <v>115</v>
      </c>
      <c r="N66" t="str">
        <f t="shared" ref="N66:N129" si="6">TRIM(A66)</f>
        <v>PO-100065</v>
      </c>
      <c r="O66" t="str">
        <f t="shared" ref="O66:O129" si="7">PROPER(TRIM(M66))</f>
        <v>Delivered</v>
      </c>
      <c r="P66" t="str">
        <f t="shared" ref="P66:P129" si="8">TRIM(E66)</f>
        <v>WH-BLR</v>
      </c>
      <c r="Q66" t="str">
        <f>VLOOKUP(C66, Lookups!$A$2:$D$10, 2, FALSE())</f>
        <v>Peripheral Source</v>
      </c>
      <c r="R66" t="str">
        <f>_xlfn.XLOOKUP(D66, Lookups!$A$12:$A$51, Lookups!$C$12:$C$51, "Unknown")</f>
        <v>Peripherals</v>
      </c>
      <c r="S66" t="str">
        <f>IF(ISBLANK(I66), B66+VLOOKUP(C66, Lookups!$A$2:$D$10, 4, FALSE()), I66)</f>
        <v>2026-08-25</v>
      </c>
      <c r="T66">
        <f t="shared" ref="T66:T129" si="9">IF(ISBLANK(J66), "", J66-B66)</f>
        <v>10</v>
      </c>
      <c r="U66" t="str">
        <f t="shared" ref="U66:U129" si="10">IF(O66="Open", "Open", IF(J66&gt;S66, "Late", "On-Time"))</f>
        <v>On-Time</v>
      </c>
      <c r="V66">
        <f t="shared" ref="V66:V129" si="11">IF(K66&gt;0, L66/K66, 0)</f>
        <v>2.7027027027027029E-2</v>
      </c>
    </row>
    <row r="67" spans="1:22" x14ac:dyDescent="0.45">
      <c r="A67" t="s">
        <v>336</v>
      </c>
      <c r="B67" t="s">
        <v>337</v>
      </c>
      <c r="C67" t="s">
        <v>36</v>
      </c>
      <c r="D67" t="s">
        <v>90</v>
      </c>
      <c r="E67" t="s">
        <v>15</v>
      </c>
      <c r="F67">
        <v>218</v>
      </c>
      <c r="G67">
        <v>81434</v>
      </c>
      <c r="H67">
        <v>17752612</v>
      </c>
      <c r="I67" t="s">
        <v>338</v>
      </c>
      <c r="J67" t="s">
        <v>339</v>
      </c>
      <c r="K67">
        <v>218</v>
      </c>
      <c r="L67">
        <v>0</v>
      </c>
      <c r="M67" t="s">
        <v>115</v>
      </c>
      <c r="N67" t="str">
        <f t="shared" si="6"/>
        <v>PO-100066</v>
      </c>
      <c r="O67" t="str">
        <f t="shared" si="7"/>
        <v>Delivered</v>
      </c>
      <c r="P67" t="str">
        <f t="shared" si="8"/>
        <v>WH-BOM</v>
      </c>
      <c r="Q67" t="str">
        <f>VLOOKUP(C67, Lookups!$A$2:$D$10, 2, FALSE())</f>
        <v>NextGen Hardware</v>
      </c>
      <c r="R67" t="str">
        <f>_xlfn.XLOOKUP(D67, Lookups!$A$12:$A$51, Lookups!$C$12:$C$51, "Unknown")</f>
        <v>Electronics</v>
      </c>
      <c r="S67" t="str">
        <f>IF(ISBLANK(I67), B67+VLOOKUP(C67, Lookups!$A$2:$D$10, 4, FALSE()), I67)</f>
        <v>2026-04-05</v>
      </c>
      <c r="T67">
        <f t="shared" si="9"/>
        <v>39</v>
      </c>
      <c r="U67" t="str">
        <f t="shared" si="10"/>
        <v>Late</v>
      </c>
      <c r="V67">
        <f t="shared" si="11"/>
        <v>0</v>
      </c>
    </row>
    <row r="68" spans="1:22" x14ac:dyDescent="0.45">
      <c r="A68" t="s">
        <v>340</v>
      </c>
      <c r="B68" t="s">
        <v>341</v>
      </c>
      <c r="C68" t="s">
        <v>31</v>
      </c>
      <c r="D68" t="s">
        <v>56</v>
      </c>
      <c r="E68" t="s">
        <v>18</v>
      </c>
      <c r="F68">
        <v>131</v>
      </c>
      <c r="G68">
        <v>39270</v>
      </c>
      <c r="H68">
        <v>5144370</v>
      </c>
      <c r="I68" t="s">
        <v>342</v>
      </c>
      <c r="J68" t="s">
        <v>343</v>
      </c>
      <c r="K68">
        <v>131</v>
      </c>
      <c r="L68">
        <v>0</v>
      </c>
      <c r="M68" t="s">
        <v>115</v>
      </c>
      <c r="N68" t="str">
        <f t="shared" si="6"/>
        <v>PO-100067</v>
      </c>
      <c r="O68" t="str">
        <f t="shared" si="7"/>
        <v>Delivered</v>
      </c>
      <c r="P68" t="str">
        <f t="shared" si="8"/>
        <v>WH-PUN</v>
      </c>
      <c r="Q68" t="str">
        <f>VLOOKUP(C68, Lookups!$A$2:$D$10, 2, FALSE())</f>
        <v>Global Networks</v>
      </c>
      <c r="R68" t="str">
        <f>_xlfn.XLOOKUP(D68, Lookups!$A$12:$A$51, Lookups!$C$12:$C$51, "Unknown")</f>
        <v>Networking</v>
      </c>
      <c r="S68" t="str">
        <f>IF(ISBLANK(I68), B68+VLOOKUP(C68, Lookups!$A$2:$D$10, 4, FALSE()), I68)</f>
        <v>2026-02-03</v>
      </c>
      <c r="T68">
        <f t="shared" si="9"/>
        <v>22</v>
      </c>
      <c r="U68" t="str">
        <f t="shared" si="10"/>
        <v>Late</v>
      </c>
      <c r="V68">
        <f t="shared" si="11"/>
        <v>0</v>
      </c>
    </row>
    <row r="69" spans="1:22" x14ac:dyDescent="0.45">
      <c r="A69" t="s">
        <v>344</v>
      </c>
      <c r="B69" t="s">
        <v>137</v>
      </c>
      <c r="C69" t="s">
        <v>31</v>
      </c>
      <c r="D69" t="s">
        <v>66</v>
      </c>
      <c r="E69" t="s">
        <v>17</v>
      </c>
      <c r="F69">
        <v>69</v>
      </c>
      <c r="G69">
        <v>29719</v>
      </c>
      <c r="H69">
        <v>2050611</v>
      </c>
      <c r="I69" t="s">
        <v>139</v>
      </c>
      <c r="J69" t="s">
        <v>139</v>
      </c>
      <c r="K69">
        <v>54</v>
      </c>
      <c r="L69">
        <v>2</v>
      </c>
      <c r="M69" t="s">
        <v>115</v>
      </c>
      <c r="N69" t="str">
        <f t="shared" si="6"/>
        <v>PO-100068</v>
      </c>
      <c r="O69" t="str">
        <f t="shared" si="7"/>
        <v>Delivered</v>
      </c>
      <c r="P69" t="str">
        <f t="shared" si="8"/>
        <v>WH-BLR</v>
      </c>
      <c r="Q69" t="str">
        <f>VLOOKUP(C69, Lookups!$A$2:$D$10, 2, FALSE())</f>
        <v>Global Networks</v>
      </c>
      <c r="R69" t="str">
        <f>_xlfn.XLOOKUP(D69, Lookups!$A$12:$A$51, Lookups!$C$12:$C$51, "Unknown")</f>
        <v>Networking</v>
      </c>
      <c r="S69" t="str">
        <f>IF(ISBLANK(I69), B69+VLOOKUP(C69, Lookups!$A$2:$D$10, 4, FALSE()), I69)</f>
        <v>2025-09-29</v>
      </c>
      <c r="T69">
        <f t="shared" si="9"/>
        <v>21</v>
      </c>
      <c r="U69" t="str">
        <f t="shared" si="10"/>
        <v>On-Time</v>
      </c>
      <c r="V69">
        <f t="shared" si="11"/>
        <v>3.7037037037037035E-2</v>
      </c>
    </row>
    <row r="70" spans="1:22" x14ac:dyDescent="0.45">
      <c r="A70" t="s">
        <v>345</v>
      </c>
      <c r="B70" t="s">
        <v>346</v>
      </c>
      <c r="C70" t="s">
        <v>37</v>
      </c>
      <c r="D70" t="s">
        <v>83</v>
      </c>
      <c r="E70" t="s">
        <v>18</v>
      </c>
      <c r="F70">
        <v>76</v>
      </c>
      <c r="G70">
        <v>19850</v>
      </c>
      <c r="H70">
        <v>1508600</v>
      </c>
      <c r="I70" t="s">
        <v>200</v>
      </c>
      <c r="J70" t="s">
        <v>200</v>
      </c>
      <c r="K70">
        <v>76</v>
      </c>
      <c r="L70">
        <v>0</v>
      </c>
      <c r="M70" t="s">
        <v>115</v>
      </c>
      <c r="N70" t="str">
        <f t="shared" si="6"/>
        <v>PO-100069</v>
      </c>
      <c r="O70" t="str">
        <f t="shared" si="7"/>
        <v>Delivered</v>
      </c>
      <c r="P70" t="str">
        <f t="shared" si="8"/>
        <v>WH-PUN</v>
      </c>
      <c r="Q70" t="str">
        <f>VLOOKUP(C70, Lookups!$A$2:$D$10, 2, FALSE())</f>
        <v>Premium Desks Ltd</v>
      </c>
      <c r="R70" t="str">
        <f>_xlfn.XLOOKUP(D70, Lookups!$A$12:$A$51, Lookups!$C$12:$C$51, "Unknown")</f>
        <v>Office Furniture</v>
      </c>
      <c r="S70" t="str">
        <f>IF(ISBLANK(I70), B70+VLOOKUP(C70, Lookups!$A$2:$D$10, 4, FALSE()), I70)</f>
        <v>2025-10-22</v>
      </c>
      <c r="T70">
        <f t="shared" si="9"/>
        <v>12</v>
      </c>
      <c r="U70" t="str">
        <f t="shared" si="10"/>
        <v>On-Time</v>
      </c>
      <c r="V70">
        <f t="shared" si="11"/>
        <v>0</v>
      </c>
    </row>
    <row r="71" spans="1:22" x14ac:dyDescent="0.45">
      <c r="A71" t="s">
        <v>347</v>
      </c>
      <c r="B71" t="s">
        <v>348</v>
      </c>
      <c r="C71" t="s">
        <v>37</v>
      </c>
      <c r="D71" t="s">
        <v>79</v>
      </c>
      <c r="E71" t="s">
        <v>15</v>
      </c>
      <c r="F71">
        <v>91</v>
      </c>
      <c r="G71">
        <v>23054</v>
      </c>
      <c r="H71">
        <v>2097914</v>
      </c>
      <c r="I71" t="s">
        <v>349</v>
      </c>
      <c r="J71" t="s">
        <v>350</v>
      </c>
      <c r="K71">
        <v>91</v>
      </c>
      <c r="L71">
        <v>0</v>
      </c>
      <c r="M71" t="s">
        <v>115</v>
      </c>
      <c r="N71" t="str">
        <f t="shared" si="6"/>
        <v>PO-100070</v>
      </c>
      <c r="O71" t="str">
        <f t="shared" si="7"/>
        <v>Delivered</v>
      </c>
      <c r="P71" t="str">
        <f t="shared" si="8"/>
        <v>WH-BOM</v>
      </c>
      <c r="Q71" t="str">
        <f>VLOOKUP(C71, Lookups!$A$2:$D$10, 2, FALSE())</f>
        <v>Premium Desks Ltd</v>
      </c>
      <c r="R71" t="str">
        <f>_xlfn.XLOOKUP(D71, Lookups!$A$12:$A$51, Lookups!$C$12:$C$51, "Unknown")</f>
        <v>Office Furniture</v>
      </c>
      <c r="S71" t="str">
        <f>IF(ISBLANK(I71), B71+VLOOKUP(C71, Lookups!$A$2:$D$10, 4, FALSE()), I71)</f>
        <v>2026-09-04</v>
      </c>
      <c r="T71">
        <f t="shared" si="9"/>
        <v>13</v>
      </c>
      <c r="U71" t="str">
        <f t="shared" si="10"/>
        <v>Late</v>
      </c>
      <c r="V71">
        <f t="shared" si="11"/>
        <v>0</v>
      </c>
    </row>
    <row r="72" spans="1:22" x14ac:dyDescent="0.45">
      <c r="A72" t="s">
        <v>351</v>
      </c>
      <c r="B72" t="s">
        <v>352</v>
      </c>
      <c r="C72" t="s">
        <v>35</v>
      </c>
      <c r="D72" t="s">
        <v>60</v>
      </c>
      <c r="E72" t="s">
        <v>15</v>
      </c>
      <c r="F72">
        <v>241</v>
      </c>
      <c r="G72">
        <v>3291</v>
      </c>
      <c r="H72">
        <v>793131</v>
      </c>
      <c r="I72" t="s">
        <v>353</v>
      </c>
      <c r="J72" t="s">
        <v>354</v>
      </c>
      <c r="K72">
        <v>241</v>
      </c>
      <c r="L72">
        <v>0</v>
      </c>
      <c r="M72" t="s">
        <v>115</v>
      </c>
      <c r="N72" t="str">
        <f t="shared" si="6"/>
        <v>PO-100071</v>
      </c>
      <c r="O72" t="str">
        <f t="shared" si="7"/>
        <v>Delivered</v>
      </c>
      <c r="P72" t="str">
        <f t="shared" si="8"/>
        <v>WH-BOM</v>
      </c>
      <c r="Q72" t="str">
        <f>VLOOKUP(C72, Lookups!$A$2:$D$10, 2, FALSE())</f>
        <v>Peripheral Source</v>
      </c>
      <c r="R72" t="str">
        <f>_xlfn.XLOOKUP(D72, Lookups!$A$12:$A$51, Lookups!$C$12:$C$51, "Unknown")</f>
        <v>Peripherals</v>
      </c>
      <c r="S72" t="str">
        <f>IF(ISBLANK(I72), B72+VLOOKUP(C72, Lookups!$A$2:$D$10, 4, FALSE()), I72)</f>
        <v>2025-05-04</v>
      </c>
      <c r="T72">
        <f t="shared" si="9"/>
        <v>11</v>
      </c>
      <c r="U72" t="str">
        <f t="shared" si="10"/>
        <v>Late</v>
      </c>
      <c r="V72">
        <f t="shared" si="11"/>
        <v>0</v>
      </c>
    </row>
    <row r="73" spans="1:22" x14ac:dyDescent="0.45">
      <c r="A73" t="s">
        <v>355</v>
      </c>
      <c r="B73" t="s">
        <v>236</v>
      </c>
      <c r="C73" t="s">
        <v>33</v>
      </c>
      <c r="D73" t="s">
        <v>89</v>
      </c>
      <c r="E73" t="s">
        <v>17</v>
      </c>
      <c r="F73">
        <v>205</v>
      </c>
      <c r="G73">
        <v>11309</v>
      </c>
      <c r="H73">
        <v>2318345</v>
      </c>
      <c r="I73" t="s">
        <v>356</v>
      </c>
      <c r="J73" t="s">
        <v>356</v>
      </c>
      <c r="K73">
        <v>205</v>
      </c>
      <c r="L73">
        <v>0</v>
      </c>
      <c r="M73" t="s">
        <v>115</v>
      </c>
      <c r="N73" t="str">
        <f t="shared" si="6"/>
        <v>PO-100072</v>
      </c>
      <c r="O73" t="str">
        <f t="shared" si="7"/>
        <v>Delivered</v>
      </c>
      <c r="P73" t="str">
        <f t="shared" si="8"/>
        <v>WH-BLR</v>
      </c>
      <c r="Q73" t="str">
        <f>VLOOKUP(C73, Lookups!$A$2:$D$10, 2, FALSE())</f>
        <v>MegaFurnish</v>
      </c>
      <c r="R73" t="str">
        <f>_xlfn.XLOOKUP(D73, Lookups!$A$12:$A$51, Lookups!$C$12:$C$51, "Unknown")</f>
        <v>Office Furniture</v>
      </c>
      <c r="S73" t="str">
        <f>IF(ISBLANK(I73), B73+VLOOKUP(C73, Lookups!$A$2:$D$10, 4, FALSE()), I73)</f>
        <v>2025-09-27</v>
      </c>
      <c r="T73">
        <f t="shared" si="9"/>
        <v>30</v>
      </c>
      <c r="U73" t="str">
        <f t="shared" si="10"/>
        <v>On-Time</v>
      </c>
      <c r="V73">
        <f t="shared" si="11"/>
        <v>0</v>
      </c>
    </row>
    <row r="74" spans="1:22" x14ac:dyDescent="0.45">
      <c r="A74" t="s">
        <v>357</v>
      </c>
      <c r="B74" t="s">
        <v>358</v>
      </c>
      <c r="C74" t="s">
        <v>34</v>
      </c>
      <c r="D74" t="s">
        <v>54</v>
      </c>
      <c r="E74" t="s">
        <v>18</v>
      </c>
      <c r="F74">
        <v>51</v>
      </c>
      <c r="G74">
        <v>22314</v>
      </c>
      <c r="H74">
        <v>1138014</v>
      </c>
      <c r="I74" t="s">
        <v>262</v>
      </c>
      <c r="J74" t="s">
        <v>359</v>
      </c>
      <c r="K74">
        <v>34</v>
      </c>
      <c r="L74">
        <v>0</v>
      </c>
      <c r="M74" t="s">
        <v>115</v>
      </c>
      <c r="N74" t="str">
        <f t="shared" si="6"/>
        <v>PO-100073</v>
      </c>
      <c r="O74" t="str">
        <f t="shared" si="7"/>
        <v>Delivered</v>
      </c>
      <c r="P74" t="str">
        <f t="shared" si="8"/>
        <v>WH-PUN</v>
      </c>
      <c r="Q74" t="str">
        <f>VLOOKUP(C74, Lookups!$A$2:$D$10, 2, FALSE())</f>
        <v>FastElectronics</v>
      </c>
      <c r="R74" t="str">
        <f>_xlfn.XLOOKUP(D74, Lookups!$A$12:$A$51, Lookups!$C$12:$C$51, "Unknown")</f>
        <v>Networking</v>
      </c>
      <c r="S74" t="str">
        <f>IF(ISBLANK(I74), B74+VLOOKUP(C74, Lookups!$A$2:$D$10, 4, FALSE()), I74)</f>
        <v>2026-02-08</v>
      </c>
      <c r="T74">
        <f t="shared" si="9"/>
        <v>17</v>
      </c>
      <c r="U74" t="str">
        <f t="shared" si="10"/>
        <v>On-Time</v>
      </c>
      <c r="V74">
        <f t="shared" si="11"/>
        <v>0</v>
      </c>
    </row>
    <row r="75" spans="1:22" x14ac:dyDescent="0.45">
      <c r="A75" t="s">
        <v>360</v>
      </c>
      <c r="B75" t="s">
        <v>361</v>
      </c>
      <c r="C75" t="s">
        <v>35</v>
      </c>
      <c r="D75" t="s">
        <v>75</v>
      </c>
      <c r="E75" t="s">
        <v>17</v>
      </c>
      <c r="F75">
        <v>118</v>
      </c>
      <c r="G75">
        <v>4440</v>
      </c>
      <c r="H75">
        <v>523920</v>
      </c>
      <c r="I75" t="s">
        <v>362</v>
      </c>
      <c r="J75" t="s">
        <v>363</v>
      </c>
      <c r="K75">
        <v>118</v>
      </c>
      <c r="L75">
        <v>0</v>
      </c>
      <c r="M75" t="s">
        <v>115</v>
      </c>
      <c r="N75" t="str">
        <f t="shared" si="6"/>
        <v>PO-100074</v>
      </c>
      <c r="O75" t="str">
        <f t="shared" si="7"/>
        <v>Delivered</v>
      </c>
      <c r="P75" t="str">
        <f t="shared" si="8"/>
        <v>WH-BLR</v>
      </c>
      <c r="Q75" t="str">
        <f>VLOOKUP(C75, Lookups!$A$2:$D$10, 2, FALSE())</f>
        <v>Peripheral Source</v>
      </c>
      <c r="R75" t="str">
        <f>_xlfn.XLOOKUP(D75, Lookups!$A$12:$A$51, Lookups!$C$12:$C$51, "Unknown")</f>
        <v>Peripherals</v>
      </c>
      <c r="S75" t="str">
        <f>IF(ISBLANK(I75), B75+VLOOKUP(C75, Lookups!$A$2:$D$10, 4, FALSE()), I75)</f>
        <v>2026-04-01</v>
      </c>
      <c r="T75">
        <f t="shared" si="9"/>
        <v>11</v>
      </c>
      <c r="U75" t="str">
        <f t="shared" si="10"/>
        <v>Late</v>
      </c>
      <c r="V75">
        <f t="shared" si="11"/>
        <v>0</v>
      </c>
    </row>
    <row r="76" spans="1:22" x14ac:dyDescent="0.45">
      <c r="A76" t="s">
        <v>364</v>
      </c>
      <c r="B76" t="s">
        <v>365</v>
      </c>
      <c r="C76" t="s">
        <v>34</v>
      </c>
      <c r="D76" t="s">
        <v>58</v>
      </c>
      <c r="E76" t="s">
        <v>15</v>
      </c>
      <c r="F76">
        <v>127</v>
      </c>
      <c r="G76">
        <v>100302</v>
      </c>
      <c r="H76">
        <v>12738354</v>
      </c>
      <c r="I76" t="s">
        <v>366</v>
      </c>
      <c r="J76" t="s">
        <v>367</v>
      </c>
      <c r="K76">
        <v>127</v>
      </c>
      <c r="L76">
        <v>0</v>
      </c>
      <c r="M76" t="s">
        <v>115</v>
      </c>
      <c r="N76" t="str">
        <f t="shared" si="6"/>
        <v>PO-100075</v>
      </c>
      <c r="O76" t="str">
        <f t="shared" si="7"/>
        <v>Delivered</v>
      </c>
      <c r="P76" t="str">
        <f t="shared" si="8"/>
        <v>WH-BOM</v>
      </c>
      <c r="Q76" t="str">
        <f>VLOOKUP(C76, Lookups!$A$2:$D$10, 2, FALSE())</f>
        <v>FastElectronics</v>
      </c>
      <c r="R76" t="str">
        <f>_xlfn.XLOOKUP(D76, Lookups!$A$12:$A$51, Lookups!$C$12:$C$51, "Unknown")</f>
        <v>Electronics</v>
      </c>
      <c r="S76" t="str">
        <f>IF(ISBLANK(I76), B76+VLOOKUP(C76, Lookups!$A$2:$D$10, 4, FALSE()), I76)</f>
        <v>2026-04-16</v>
      </c>
      <c r="T76">
        <f t="shared" si="9"/>
        <v>17</v>
      </c>
      <c r="U76" t="str">
        <f t="shared" si="10"/>
        <v>On-Time</v>
      </c>
      <c r="V76">
        <f t="shared" si="11"/>
        <v>0</v>
      </c>
    </row>
    <row r="77" spans="1:22" x14ac:dyDescent="0.45">
      <c r="A77" t="s">
        <v>368</v>
      </c>
      <c r="B77" t="s">
        <v>356</v>
      </c>
      <c r="C77" t="s">
        <v>30</v>
      </c>
      <c r="D77" t="s">
        <v>82</v>
      </c>
      <c r="E77" t="s">
        <v>16</v>
      </c>
      <c r="F77">
        <v>133</v>
      </c>
      <c r="G77">
        <v>83427</v>
      </c>
      <c r="H77">
        <v>11095791</v>
      </c>
      <c r="I77" t="s">
        <v>244</v>
      </c>
      <c r="J77" t="s">
        <v>244</v>
      </c>
      <c r="K77">
        <v>133</v>
      </c>
      <c r="L77">
        <v>0</v>
      </c>
      <c r="M77" t="s">
        <v>115</v>
      </c>
      <c r="N77" t="str">
        <f t="shared" si="6"/>
        <v>PO-100076</v>
      </c>
      <c r="O77" t="str">
        <f t="shared" si="7"/>
        <v>Delivered</v>
      </c>
      <c r="P77" t="str">
        <f t="shared" si="8"/>
        <v>WH-DEL</v>
      </c>
      <c r="Q77" t="str">
        <f>VLOOKUP(C77, Lookups!$A$2:$D$10, 2, FALSE())</f>
        <v>TechSupply Corp</v>
      </c>
      <c r="R77" t="str">
        <f>_xlfn.XLOOKUP(D77, Lookups!$A$12:$A$51, Lookups!$C$12:$C$51, "Unknown")</f>
        <v>Electronics</v>
      </c>
      <c r="S77" t="str">
        <f>IF(ISBLANK(I77), B77+VLOOKUP(C77, Lookups!$A$2:$D$10, 4, FALSE()), I77)</f>
        <v>2025-10-11</v>
      </c>
      <c r="T77">
        <f t="shared" si="9"/>
        <v>14</v>
      </c>
      <c r="U77" t="str">
        <f t="shared" si="10"/>
        <v>On-Time</v>
      </c>
      <c r="V77">
        <f t="shared" si="11"/>
        <v>0</v>
      </c>
    </row>
    <row r="78" spans="1:22" x14ac:dyDescent="0.45">
      <c r="A78" t="s">
        <v>369</v>
      </c>
      <c r="B78" t="s">
        <v>370</v>
      </c>
      <c r="C78" t="s">
        <v>31</v>
      </c>
      <c r="D78" t="s">
        <v>66</v>
      </c>
      <c r="E78" t="s">
        <v>15</v>
      </c>
      <c r="F78">
        <v>208</v>
      </c>
      <c r="G78">
        <v>29719</v>
      </c>
      <c r="H78">
        <v>6181552</v>
      </c>
      <c r="I78" t="s">
        <v>371</v>
      </c>
      <c r="J78" t="s">
        <v>372</v>
      </c>
      <c r="K78">
        <v>208</v>
      </c>
      <c r="L78">
        <v>10</v>
      </c>
      <c r="M78" t="s">
        <v>115</v>
      </c>
      <c r="N78" t="str">
        <f t="shared" si="6"/>
        <v>PO-100077</v>
      </c>
      <c r="O78" t="str">
        <f t="shared" si="7"/>
        <v>Delivered</v>
      </c>
      <c r="P78" t="str">
        <f t="shared" si="8"/>
        <v>WH-BOM</v>
      </c>
      <c r="Q78" t="str">
        <f>VLOOKUP(C78, Lookups!$A$2:$D$10, 2, FALSE())</f>
        <v>Global Networks</v>
      </c>
      <c r="R78" t="str">
        <f>_xlfn.XLOOKUP(D78, Lookups!$A$12:$A$51, Lookups!$C$12:$C$51, "Unknown")</f>
        <v>Networking</v>
      </c>
      <c r="S78" t="str">
        <f>IF(ISBLANK(I78), B78+VLOOKUP(C78, Lookups!$A$2:$D$10, 4, FALSE()), I78)</f>
        <v>2025-12-02</v>
      </c>
      <c r="T78">
        <f t="shared" si="9"/>
        <v>20</v>
      </c>
      <c r="U78" t="str">
        <f t="shared" si="10"/>
        <v>On-Time</v>
      </c>
      <c r="V78">
        <f t="shared" si="11"/>
        <v>4.807692307692308E-2</v>
      </c>
    </row>
    <row r="79" spans="1:22" x14ac:dyDescent="0.45">
      <c r="A79" t="s">
        <v>373</v>
      </c>
      <c r="B79" t="s">
        <v>374</v>
      </c>
      <c r="C79" t="s">
        <v>35</v>
      </c>
      <c r="D79" t="s">
        <v>72</v>
      </c>
      <c r="E79" t="s">
        <v>18</v>
      </c>
      <c r="F79">
        <v>181</v>
      </c>
      <c r="G79">
        <v>7754</v>
      </c>
      <c r="H79">
        <v>1403474</v>
      </c>
      <c r="I79" t="s">
        <v>375</v>
      </c>
      <c r="J79" t="s">
        <v>376</v>
      </c>
      <c r="K79">
        <v>181</v>
      </c>
      <c r="L79">
        <v>0</v>
      </c>
      <c r="M79" t="s">
        <v>115</v>
      </c>
      <c r="N79" t="str">
        <f t="shared" si="6"/>
        <v>PO-100078</v>
      </c>
      <c r="O79" t="str">
        <f t="shared" si="7"/>
        <v>Delivered</v>
      </c>
      <c r="P79" t="str">
        <f t="shared" si="8"/>
        <v>WH-PUN</v>
      </c>
      <c r="Q79" t="str">
        <f>VLOOKUP(C79, Lookups!$A$2:$D$10, 2, FALSE())</f>
        <v>Peripheral Source</v>
      </c>
      <c r="R79" t="str">
        <f>_xlfn.XLOOKUP(D79, Lookups!$A$12:$A$51, Lookups!$C$12:$C$51, "Unknown")</f>
        <v>Peripherals</v>
      </c>
      <c r="S79" t="str">
        <f>IF(ISBLANK(I79), B79+VLOOKUP(C79, Lookups!$A$2:$D$10, 4, FALSE()), I79)</f>
        <v>2026-06-10</v>
      </c>
      <c r="T79">
        <f t="shared" si="9"/>
        <v>6</v>
      </c>
      <c r="U79" t="str">
        <f t="shared" si="10"/>
        <v>On-Time</v>
      </c>
      <c r="V79">
        <f t="shared" si="11"/>
        <v>0</v>
      </c>
    </row>
    <row r="80" spans="1:22" x14ac:dyDescent="0.45">
      <c r="A80" t="s">
        <v>377</v>
      </c>
      <c r="B80" t="s">
        <v>318</v>
      </c>
      <c r="C80" t="s">
        <v>31</v>
      </c>
      <c r="D80" t="s">
        <v>77</v>
      </c>
      <c r="E80" t="s">
        <v>18</v>
      </c>
      <c r="F80">
        <v>47</v>
      </c>
      <c r="G80">
        <v>23667</v>
      </c>
      <c r="H80">
        <v>1112349</v>
      </c>
      <c r="I80" t="s">
        <v>319</v>
      </c>
      <c r="J80" t="s">
        <v>319</v>
      </c>
      <c r="K80">
        <v>47</v>
      </c>
      <c r="L80">
        <v>0</v>
      </c>
      <c r="M80" t="s">
        <v>115</v>
      </c>
      <c r="N80" t="str">
        <f t="shared" si="6"/>
        <v>PO-100079</v>
      </c>
      <c r="O80" t="str">
        <f t="shared" si="7"/>
        <v>Delivered</v>
      </c>
      <c r="P80" t="str">
        <f t="shared" si="8"/>
        <v>WH-PUN</v>
      </c>
      <c r="Q80" t="str">
        <f>VLOOKUP(C80, Lookups!$A$2:$D$10, 2, FALSE())</f>
        <v>Global Networks</v>
      </c>
      <c r="R80" t="str">
        <f>_xlfn.XLOOKUP(D80, Lookups!$A$12:$A$51, Lookups!$C$12:$C$51, "Unknown")</f>
        <v>Networking</v>
      </c>
      <c r="S80" t="str">
        <f>IF(ISBLANK(I80), B80+VLOOKUP(C80, Lookups!$A$2:$D$10, 4, FALSE()), I80)</f>
        <v>2025-10-14</v>
      </c>
      <c r="T80">
        <f t="shared" si="9"/>
        <v>21</v>
      </c>
      <c r="U80" t="str">
        <f t="shared" si="10"/>
        <v>On-Time</v>
      </c>
      <c r="V80">
        <f t="shared" si="11"/>
        <v>0</v>
      </c>
    </row>
    <row r="81" spans="1:22" x14ac:dyDescent="0.45">
      <c r="A81" t="s">
        <v>378</v>
      </c>
      <c r="B81" t="s">
        <v>379</v>
      </c>
      <c r="C81" t="s">
        <v>34</v>
      </c>
      <c r="D81" t="s">
        <v>80</v>
      </c>
      <c r="E81" t="s">
        <v>18</v>
      </c>
      <c r="F81">
        <v>119</v>
      </c>
      <c r="G81">
        <v>19090</v>
      </c>
      <c r="H81">
        <v>2271710</v>
      </c>
      <c r="I81" t="s">
        <v>380</v>
      </c>
      <c r="J81" t="s">
        <v>380</v>
      </c>
      <c r="K81">
        <v>119</v>
      </c>
      <c r="L81">
        <v>0</v>
      </c>
      <c r="M81" t="s">
        <v>115</v>
      </c>
      <c r="N81" t="str">
        <f t="shared" si="6"/>
        <v>PO-100080</v>
      </c>
      <c r="O81" t="str">
        <f t="shared" si="7"/>
        <v>Delivered</v>
      </c>
      <c r="P81" t="str">
        <f t="shared" si="8"/>
        <v>WH-PUN</v>
      </c>
      <c r="Q81" t="str">
        <f>VLOOKUP(C81, Lookups!$A$2:$D$10, 2, FALSE())</f>
        <v>FastElectronics</v>
      </c>
      <c r="R81" t="str">
        <f>_xlfn.XLOOKUP(D81, Lookups!$A$12:$A$51, Lookups!$C$12:$C$51, "Unknown")</f>
        <v>Networking</v>
      </c>
      <c r="S81" t="str">
        <f>IF(ISBLANK(I81), B81+VLOOKUP(C81, Lookups!$A$2:$D$10, 4, FALSE()), I81)</f>
        <v>2025-03-06</v>
      </c>
      <c r="T81">
        <f t="shared" si="9"/>
        <v>18</v>
      </c>
      <c r="U81" t="str">
        <f t="shared" si="10"/>
        <v>On-Time</v>
      </c>
      <c r="V81">
        <f t="shared" si="11"/>
        <v>0</v>
      </c>
    </row>
    <row r="82" spans="1:22" x14ac:dyDescent="0.45">
      <c r="A82" t="s">
        <v>381</v>
      </c>
      <c r="B82" t="s">
        <v>382</v>
      </c>
      <c r="C82" t="s">
        <v>35</v>
      </c>
      <c r="D82" t="s">
        <v>65</v>
      </c>
      <c r="E82" t="s">
        <v>16</v>
      </c>
      <c r="F82">
        <v>132</v>
      </c>
      <c r="G82">
        <v>4936</v>
      </c>
      <c r="H82">
        <v>651552</v>
      </c>
      <c r="I82" t="s">
        <v>383</v>
      </c>
      <c r="J82" t="s">
        <v>383</v>
      </c>
      <c r="K82">
        <v>132</v>
      </c>
      <c r="L82">
        <v>0</v>
      </c>
      <c r="M82" t="s">
        <v>115</v>
      </c>
      <c r="N82" t="str">
        <f t="shared" si="6"/>
        <v>PO-100081</v>
      </c>
      <c r="O82" t="str">
        <f t="shared" si="7"/>
        <v>Delivered</v>
      </c>
      <c r="P82" t="str">
        <f t="shared" si="8"/>
        <v>WH-DEL</v>
      </c>
      <c r="Q82" t="str">
        <f>VLOOKUP(C82, Lookups!$A$2:$D$10, 2, FALSE())</f>
        <v>Peripheral Source</v>
      </c>
      <c r="R82" t="str">
        <f>_xlfn.XLOOKUP(D82, Lookups!$A$12:$A$51, Lookups!$C$12:$C$51, "Unknown")</f>
        <v>Peripherals</v>
      </c>
      <c r="S82" t="str">
        <f>IF(ISBLANK(I82), B82+VLOOKUP(C82, Lookups!$A$2:$D$10, 4, FALSE()), I82)</f>
        <v>2026-12-11</v>
      </c>
      <c r="T82">
        <f t="shared" si="9"/>
        <v>10</v>
      </c>
      <c r="U82" t="str">
        <f t="shared" si="10"/>
        <v>On-Time</v>
      </c>
      <c r="V82">
        <f t="shared" si="11"/>
        <v>0</v>
      </c>
    </row>
    <row r="83" spans="1:22" x14ac:dyDescent="0.45">
      <c r="A83" t="s">
        <v>384</v>
      </c>
      <c r="B83" t="s">
        <v>385</v>
      </c>
      <c r="C83" t="s">
        <v>30</v>
      </c>
      <c r="D83" t="s">
        <v>82</v>
      </c>
      <c r="E83" t="s">
        <v>18</v>
      </c>
      <c r="F83">
        <v>187</v>
      </c>
      <c r="G83">
        <v>83427</v>
      </c>
      <c r="H83">
        <v>15600849</v>
      </c>
      <c r="I83" t="s">
        <v>222</v>
      </c>
      <c r="J83" t="s">
        <v>337</v>
      </c>
      <c r="K83">
        <v>187</v>
      </c>
      <c r="L83">
        <v>0</v>
      </c>
      <c r="M83" t="s">
        <v>115</v>
      </c>
      <c r="N83" t="str">
        <f t="shared" si="6"/>
        <v>PO-100082</v>
      </c>
      <c r="O83" t="str">
        <f t="shared" si="7"/>
        <v>Delivered</v>
      </c>
      <c r="P83" t="str">
        <f t="shared" si="8"/>
        <v>WH-PUN</v>
      </c>
      <c r="Q83" t="str">
        <f>VLOOKUP(C83, Lookups!$A$2:$D$10, 2, FALSE())</f>
        <v>TechSupply Corp</v>
      </c>
      <c r="R83" t="str">
        <f>_xlfn.XLOOKUP(D83, Lookups!$A$12:$A$51, Lookups!$C$12:$C$51, "Unknown")</f>
        <v>Electronics</v>
      </c>
      <c r="S83" t="str">
        <f>IF(ISBLANK(I83), B83+VLOOKUP(C83, Lookups!$A$2:$D$10, 4, FALSE()), I83)</f>
        <v>2026-03-01</v>
      </c>
      <c r="T83">
        <f t="shared" si="9"/>
        <v>25</v>
      </c>
      <c r="U83" t="str">
        <f t="shared" si="10"/>
        <v>Late</v>
      </c>
      <c r="V83">
        <f t="shared" si="11"/>
        <v>0</v>
      </c>
    </row>
    <row r="84" spans="1:22" x14ac:dyDescent="0.45">
      <c r="A84" t="s">
        <v>386</v>
      </c>
      <c r="B84" t="s">
        <v>387</v>
      </c>
      <c r="C84" t="s">
        <v>32</v>
      </c>
      <c r="D84" t="s">
        <v>84</v>
      </c>
      <c r="E84" t="s">
        <v>18</v>
      </c>
      <c r="F84">
        <v>165</v>
      </c>
      <c r="G84">
        <v>7271</v>
      </c>
      <c r="H84">
        <v>1199715</v>
      </c>
      <c r="I84" t="s">
        <v>388</v>
      </c>
      <c r="J84" t="s">
        <v>389</v>
      </c>
      <c r="K84">
        <v>165</v>
      </c>
      <c r="L84">
        <v>0</v>
      </c>
      <c r="M84" t="s">
        <v>115</v>
      </c>
      <c r="N84" t="str">
        <f t="shared" si="6"/>
        <v>PO-100083</v>
      </c>
      <c r="O84" t="str">
        <f t="shared" si="7"/>
        <v>Delivered</v>
      </c>
      <c r="P84" t="str">
        <f t="shared" si="8"/>
        <v>WH-PUN</v>
      </c>
      <c r="Q84" t="str">
        <f>VLOOKUP(C84, Lookups!$A$2:$D$10, 2, FALSE())</f>
        <v>OfficeDepot Pro</v>
      </c>
      <c r="R84" t="str">
        <f>_xlfn.XLOOKUP(D84, Lookups!$A$12:$A$51, Lookups!$C$12:$C$51, "Unknown")</f>
        <v>Peripherals</v>
      </c>
      <c r="S84" t="str">
        <f>IF(ISBLANK(I84), B84+VLOOKUP(C84, Lookups!$A$2:$D$10, 4, FALSE()), I84)</f>
        <v>2026-03-25</v>
      </c>
      <c r="T84">
        <f t="shared" si="9"/>
        <v>19</v>
      </c>
      <c r="U84" t="str">
        <f t="shared" si="10"/>
        <v>Late</v>
      </c>
      <c r="V84">
        <f t="shared" si="11"/>
        <v>0</v>
      </c>
    </row>
    <row r="85" spans="1:22" x14ac:dyDescent="0.45">
      <c r="A85" t="s">
        <v>390</v>
      </c>
      <c r="B85" t="s">
        <v>391</v>
      </c>
      <c r="C85" t="s">
        <v>31</v>
      </c>
      <c r="D85" t="s">
        <v>85</v>
      </c>
      <c r="E85" t="s">
        <v>18</v>
      </c>
      <c r="F85">
        <v>161</v>
      </c>
      <c r="G85">
        <v>16501</v>
      </c>
      <c r="H85">
        <v>2656661</v>
      </c>
      <c r="I85" t="s">
        <v>114</v>
      </c>
      <c r="J85" t="s">
        <v>114</v>
      </c>
      <c r="K85">
        <v>122</v>
      </c>
      <c r="L85">
        <v>0</v>
      </c>
      <c r="M85" t="s">
        <v>115</v>
      </c>
      <c r="N85" t="str">
        <f t="shared" si="6"/>
        <v>PO-100084</v>
      </c>
      <c r="O85" t="str">
        <f t="shared" si="7"/>
        <v>Delivered</v>
      </c>
      <c r="P85" t="str">
        <f t="shared" si="8"/>
        <v>WH-PUN</v>
      </c>
      <c r="Q85" t="str">
        <f>VLOOKUP(C85, Lookups!$A$2:$D$10, 2, FALSE())</f>
        <v>Global Networks</v>
      </c>
      <c r="R85" t="str">
        <f>_xlfn.XLOOKUP(D85, Lookups!$A$12:$A$51, Lookups!$C$12:$C$51, "Unknown")</f>
        <v>Networking</v>
      </c>
      <c r="S85" t="str">
        <f>IF(ISBLANK(I85), B85+VLOOKUP(C85, Lookups!$A$2:$D$10, 4, FALSE()), I85)</f>
        <v>2026-07-05</v>
      </c>
      <c r="T85">
        <f t="shared" si="9"/>
        <v>21</v>
      </c>
      <c r="U85" t="str">
        <f t="shared" si="10"/>
        <v>On-Time</v>
      </c>
      <c r="V85">
        <f t="shared" si="11"/>
        <v>0</v>
      </c>
    </row>
    <row r="86" spans="1:22" x14ac:dyDescent="0.45">
      <c r="A86" t="s">
        <v>392</v>
      </c>
      <c r="B86" t="s">
        <v>393</v>
      </c>
      <c r="C86" t="s">
        <v>34</v>
      </c>
      <c r="D86" t="s">
        <v>68</v>
      </c>
      <c r="E86" t="s">
        <v>15</v>
      </c>
      <c r="F86">
        <v>98</v>
      </c>
      <c r="G86">
        <v>41405</v>
      </c>
      <c r="H86">
        <v>4057690</v>
      </c>
      <c r="I86" t="s">
        <v>394</v>
      </c>
      <c r="J86" t="s">
        <v>394</v>
      </c>
      <c r="K86">
        <v>98</v>
      </c>
      <c r="L86">
        <v>0</v>
      </c>
      <c r="M86" t="s">
        <v>115</v>
      </c>
      <c r="N86" t="str">
        <f t="shared" si="6"/>
        <v>PO-100085</v>
      </c>
      <c r="O86" t="str">
        <f t="shared" si="7"/>
        <v>Delivered</v>
      </c>
      <c r="P86" t="str">
        <f t="shared" si="8"/>
        <v>WH-BOM</v>
      </c>
      <c r="Q86" t="str">
        <f>VLOOKUP(C86, Lookups!$A$2:$D$10, 2, FALSE())</f>
        <v>FastElectronics</v>
      </c>
      <c r="R86" t="str">
        <f>_xlfn.XLOOKUP(D86, Lookups!$A$12:$A$51, Lookups!$C$12:$C$51, "Unknown")</f>
        <v>Networking</v>
      </c>
      <c r="S86" t="str">
        <f>IF(ISBLANK(I86), B86+VLOOKUP(C86, Lookups!$A$2:$D$10, 4, FALSE()), I86)</f>
        <v>2025-09-16</v>
      </c>
      <c r="T86">
        <f t="shared" si="9"/>
        <v>18</v>
      </c>
      <c r="U86" t="str">
        <f t="shared" si="10"/>
        <v>On-Time</v>
      </c>
      <c r="V86">
        <f t="shared" si="11"/>
        <v>0</v>
      </c>
    </row>
    <row r="87" spans="1:22" x14ac:dyDescent="0.45">
      <c r="A87" t="s">
        <v>395</v>
      </c>
      <c r="B87" t="s">
        <v>396</v>
      </c>
      <c r="C87" t="s">
        <v>35</v>
      </c>
      <c r="D87" t="s">
        <v>72</v>
      </c>
      <c r="E87" t="s">
        <v>18</v>
      </c>
      <c r="F87">
        <v>119</v>
      </c>
      <c r="G87">
        <v>7754</v>
      </c>
      <c r="H87">
        <v>922726</v>
      </c>
      <c r="I87" t="s">
        <v>397</v>
      </c>
      <c r="J87" t="s">
        <v>397</v>
      </c>
      <c r="K87">
        <v>119</v>
      </c>
      <c r="L87">
        <v>0</v>
      </c>
      <c r="M87" t="s">
        <v>115</v>
      </c>
      <c r="N87" t="str">
        <f t="shared" si="6"/>
        <v>PO-100086</v>
      </c>
      <c r="O87" t="str">
        <f t="shared" si="7"/>
        <v>Delivered</v>
      </c>
      <c r="P87" t="str">
        <f t="shared" si="8"/>
        <v>WH-PUN</v>
      </c>
      <c r="Q87" t="str">
        <f>VLOOKUP(C87, Lookups!$A$2:$D$10, 2, FALSE())</f>
        <v>Peripheral Source</v>
      </c>
      <c r="R87" t="str">
        <f>_xlfn.XLOOKUP(D87, Lookups!$A$12:$A$51, Lookups!$C$12:$C$51, "Unknown")</f>
        <v>Peripherals</v>
      </c>
      <c r="S87" t="str">
        <f>IF(ISBLANK(I87), B87+VLOOKUP(C87, Lookups!$A$2:$D$10, 4, FALSE()), I87)</f>
        <v>2025-04-06</v>
      </c>
      <c r="T87">
        <f t="shared" si="9"/>
        <v>10</v>
      </c>
      <c r="U87" t="str">
        <f t="shared" si="10"/>
        <v>On-Time</v>
      </c>
      <c r="V87">
        <f t="shared" si="11"/>
        <v>0</v>
      </c>
    </row>
    <row r="88" spans="1:22" x14ac:dyDescent="0.45">
      <c r="A88" t="s">
        <v>398</v>
      </c>
      <c r="B88" t="s">
        <v>399</v>
      </c>
      <c r="C88" t="s">
        <v>37</v>
      </c>
      <c r="D88" t="s">
        <v>78</v>
      </c>
      <c r="E88" t="s">
        <v>18</v>
      </c>
      <c r="F88">
        <v>24</v>
      </c>
      <c r="G88">
        <v>9423</v>
      </c>
      <c r="H88">
        <v>226152</v>
      </c>
      <c r="I88" t="s">
        <v>400</v>
      </c>
      <c r="J88" t="s">
        <v>401</v>
      </c>
      <c r="K88">
        <v>24</v>
      </c>
      <c r="L88">
        <v>0</v>
      </c>
      <c r="M88" t="s">
        <v>115</v>
      </c>
      <c r="N88" t="str">
        <f t="shared" si="6"/>
        <v>PO-100087</v>
      </c>
      <c r="O88" t="str">
        <f t="shared" si="7"/>
        <v>Delivered</v>
      </c>
      <c r="P88" t="str">
        <f t="shared" si="8"/>
        <v>WH-PUN</v>
      </c>
      <c r="Q88" t="str">
        <f>VLOOKUP(C88, Lookups!$A$2:$D$10, 2, FALSE())</f>
        <v>Premium Desks Ltd</v>
      </c>
      <c r="R88" t="str">
        <f>_xlfn.XLOOKUP(D88, Lookups!$A$12:$A$51, Lookups!$C$12:$C$51, "Unknown")</f>
        <v>Office Furniture</v>
      </c>
      <c r="S88" t="str">
        <f>IF(ISBLANK(I88), B88+VLOOKUP(C88, Lookups!$A$2:$D$10, 4, FALSE()), I88)</f>
        <v>2025-12-08</v>
      </c>
      <c r="T88">
        <f t="shared" si="9"/>
        <v>13</v>
      </c>
      <c r="U88" t="str">
        <f t="shared" si="10"/>
        <v>Late</v>
      </c>
      <c r="V88">
        <f t="shared" si="11"/>
        <v>0</v>
      </c>
    </row>
    <row r="89" spans="1:22" x14ac:dyDescent="0.45">
      <c r="A89" t="s">
        <v>402</v>
      </c>
      <c r="B89" t="s">
        <v>403</v>
      </c>
      <c r="C89" t="s">
        <v>36</v>
      </c>
      <c r="D89" t="s">
        <v>62</v>
      </c>
      <c r="E89" t="s">
        <v>18</v>
      </c>
      <c r="F89">
        <v>227</v>
      </c>
      <c r="G89">
        <v>48478</v>
      </c>
      <c r="H89">
        <v>11004506</v>
      </c>
      <c r="I89" t="s">
        <v>332</v>
      </c>
      <c r="J89" t="s">
        <v>404</v>
      </c>
      <c r="K89">
        <v>227</v>
      </c>
      <c r="L89">
        <v>0</v>
      </c>
      <c r="M89" t="s">
        <v>115</v>
      </c>
      <c r="N89" t="str">
        <f t="shared" si="6"/>
        <v>PO-100088</v>
      </c>
      <c r="O89" t="str">
        <f t="shared" si="7"/>
        <v>Delivered</v>
      </c>
      <c r="P89" t="str">
        <f t="shared" si="8"/>
        <v>WH-PUN</v>
      </c>
      <c r="Q89" t="str">
        <f>VLOOKUP(C89, Lookups!$A$2:$D$10, 2, FALSE())</f>
        <v>NextGen Hardware</v>
      </c>
      <c r="R89" t="str">
        <f>_xlfn.XLOOKUP(D89, Lookups!$A$12:$A$51, Lookups!$C$12:$C$51, "Unknown")</f>
        <v>Electronics</v>
      </c>
      <c r="S89" t="str">
        <f>IF(ISBLANK(I89), B89+VLOOKUP(C89, Lookups!$A$2:$D$10, 4, FALSE()), I89)</f>
        <v>2025-10-12</v>
      </c>
      <c r="T89">
        <f t="shared" si="9"/>
        <v>37</v>
      </c>
      <c r="U89" t="str">
        <f t="shared" si="10"/>
        <v>Late</v>
      </c>
      <c r="V89">
        <f t="shared" si="11"/>
        <v>0</v>
      </c>
    </row>
    <row r="90" spans="1:22" x14ac:dyDescent="0.45">
      <c r="A90" t="s">
        <v>405</v>
      </c>
      <c r="B90" t="s">
        <v>406</v>
      </c>
      <c r="C90" t="s">
        <v>34</v>
      </c>
      <c r="D90" t="s">
        <v>68</v>
      </c>
      <c r="E90" t="s">
        <v>16</v>
      </c>
      <c r="F90">
        <v>226</v>
      </c>
      <c r="G90">
        <v>41405</v>
      </c>
      <c r="H90">
        <v>9357530</v>
      </c>
      <c r="I90" t="s">
        <v>290</v>
      </c>
      <c r="J90" t="s">
        <v>289</v>
      </c>
      <c r="K90">
        <v>226</v>
      </c>
      <c r="L90">
        <v>0</v>
      </c>
      <c r="M90" t="s">
        <v>115</v>
      </c>
      <c r="N90" t="str">
        <f t="shared" si="6"/>
        <v>PO-100089</v>
      </c>
      <c r="O90" t="str">
        <f t="shared" si="7"/>
        <v>Delivered</v>
      </c>
      <c r="P90" t="str">
        <f t="shared" si="8"/>
        <v>WH-DEL</v>
      </c>
      <c r="Q90" t="str">
        <f>VLOOKUP(C90, Lookups!$A$2:$D$10, 2, FALSE())</f>
        <v>FastElectronics</v>
      </c>
      <c r="R90" t="str">
        <f>_xlfn.XLOOKUP(D90, Lookups!$A$12:$A$51, Lookups!$C$12:$C$51, "Unknown")</f>
        <v>Networking</v>
      </c>
      <c r="S90" t="str">
        <f>IF(ISBLANK(I90), B90+VLOOKUP(C90, Lookups!$A$2:$D$10, 4, FALSE()), I90)</f>
        <v>2026-07-12</v>
      </c>
      <c r="T90">
        <f t="shared" si="9"/>
        <v>15</v>
      </c>
      <c r="U90" t="str">
        <f t="shared" si="10"/>
        <v>On-Time</v>
      </c>
      <c r="V90">
        <f t="shared" si="11"/>
        <v>0</v>
      </c>
    </row>
    <row r="91" spans="1:22" x14ac:dyDescent="0.45">
      <c r="A91" t="s">
        <v>407</v>
      </c>
      <c r="B91" t="s">
        <v>408</v>
      </c>
      <c r="C91" t="s">
        <v>34</v>
      </c>
      <c r="D91" t="s">
        <v>81</v>
      </c>
      <c r="E91" t="s">
        <v>16</v>
      </c>
      <c r="F91">
        <v>56</v>
      </c>
      <c r="G91">
        <v>55328</v>
      </c>
      <c r="H91">
        <v>3098368</v>
      </c>
      <c r="I91" t="s">
        <v>409</v>
      </c>
      <c r="J91" t="s">
        <v>327</v>
      </c>
      <c r="K91">
        <v>56</v>
      </c>
      <c r="L91">
        <v>0</v>
      </c>
      <c r="M91" t="s">
        <v>115</v>
      </c>
      <c r="N91" t="str">
        <f t="shared" si="6"/>
        <v>PO-100090</v>
      </c>
      <c r="O91" t="str">
        <f t="shared" si="7"/>
        <v>Delivered</v>
      </c>
      <c r="P91" t="str">
        <f t="shared" si="8"/>
        <v>WH-DEL</v>
      </c>
      <c r="Q91" t="str">
        <f>VLOOKUP(C91, Lookups!$A$2:$D$10, 2, FALSE())</f>
        <v>FastElectronics</v>
      </c>
      <c r="R91" t="str">
        <f>_xlfn.XLOOKUP(D91, Lookups!$A$12:$A$51, Lookups!$C$12:$C$51, "Unknown")</f>
        <v>Electronics</v>
      </c>
      <c r="S91" t="str">
        <f>IF(ISBLANK(I91), B91+VLOOKUP(C91, Lookups!$A$2:$D$10, 4, FALSE()), I91)</f>
        <v>2025-06-01</v>
      </c>
      <c r="T91">
        <f t="shared" si="9"/>
        <v>22</v>
      </c>
      <c r="U91" t="str">
        <f t="shared" si="10"/>
        <v>Late</v>
      </c>
      <c r="V91">
        <f t="shared" si="11"/>
        <v>0</v>
      </c>
    </row>
    <row r="92" spans="1:22" x14ac:dyDescent="0.45">
      <c r="A92" t="s">
        <v>410</v>
      </c>
      <c r="B92" t="s">
        <v>411</v>
      </c>
      <c r="C92" t="s">
        <v>34</v>
      </c>
      <c r="D92" t="s">
        <v>58</v>
      </c>
      <c r="E92" t="s">
        <v>15</v>
      </c>
      <c r="F92">
        <v>204</v>
      </c>
      <c r="G92">
        <v>100302</v>
      </c>
      <c r="H92">
        <v>20461608</v>
      </c>
      <c r="I92" t="s">
        <v>412</v>
      </c>
      <c r="J92" t="s">
        <v>413</v>
      </c>
      <c r="K92">
        <v>204</v>
      </c>
      <c r="L92">
        <v>0</v>
      </c>
      <c r="M92" t="s">
        <v>115</v>
      </c>
      <c r="N92" t="str">
        <f t="shared" si="6"/>
        <v>PO-100091</v>
      </c>
      <c r="O92" t="str">
        <f t="shared" si="7"/>
        <v>Delivered</v>
      </c>
      <c r="P92" t="str">
        <f t="shared" si="8"/>
        <v>WH-BOM</v>
      </c>
      <c r="Q92" t="str">
        <f>VLOOKUP(C92, Lookups!$A$2:$D$10, 2, FALSE())</f>
        <v>FastElectronics</v>
      </c>
      <c r="R92" t="str">
        <f>_xlfn.XLOOKUP(D92, Lookups!$A$12:$A$51, Lookups!$C$12:$C$51, "Unknown")</f>
        <v>Electronics</v>
      </c>
      <c r="S92" t="str">
        <f>IF(ISBLANK(I92), B92+VLOOKUP(C92, Lookups!$A$2:$D$10, 4, FALSE()), I92)</f>
        <v>2026-05-27</v>
      </c>
      <c r="T92">
        <f t="shared" si="9"/>
        <v>27</v>
      </c>
      <c r="U92" t="str">
        <f t="shared" si="10"/>
        <v>Late</v>
      </c>
      <c r="V92">
        <f t="shared" si="11"/>
        <v>0</v>
      </c>
    </row>
    <row r="93" spans="1:22" x14ac:dyDescent="0.45">
      <c r="A93" t="s">
        <v>414</v>
      </c>
      <c r="B93" t="s">
        <v>415</v>
      </c>
      <c r="C93" t="s">
        <v>37</v>
      </c>
      <c r="D93" t="s">
        <v>79</v>
      </c>
      <c r="E93" t="s">
        <v>15</v>
      </c>
      <c r="F93">
        <v>135</v>
      </c>
      <c r="G93">
        <v>23054</v>
      </c>
      <c r="H93">
        <v>3112290</v>
      </c>
      <c r="I93" t="s">
        <v>416</v>
      </c>
      <c r="J93" t="s">
        <v>417</v>
      </c>
      <c r="K93">
        <v>104</v>
      </c>
      <c r="L93">
        <v>0</v>
      </c>
      <c r="M93" t="s">
        <v>115</v>
      </c>
      <c r="N93" t="str">
        <f t="shared" si="6"/>
        <v>PO-100092</v>
      </c>
      <c r="O93" t="str">
        <f t="shared" si="7"/>
        <v>Delivered</v>
      </c>
      <c r="P93" t="str">
        <f t="shared" si="8"/>
        <v>WH-BOM</v>
      </c>
      <c r="Q93" t="str">
        <f>VLOOKUP(C93, Lookups!$A$2:$D$10, 2, FALSE())</f>
        <v>Premium Desks Ltd</v>
      </c>
      <c r="R93" t="str">
        <f>_xlfn.XLOOKUP(D93, Lookups!$A$12:$A$51, Lookups!$C$12:$C$51, "Unknown")</f>
        <v>Office Furniture</v>
      </c>
      <c r="S93" t="str">
        <f>IF(ISBLANK(I93), B93+VLOOKUP(C93, Lookups!$A$2:$D$10, 4, FALSE()), I93)</f>
        <v>2026-05-29</v>
      </c>
      <c r="T93">
        <f t="shared" si="9"/>
        <v>16</v>
      </c>
      <c r="U93" t="str">
        <f t="shared" si="10"/>
        <v>Late</v>
      </c>
      <c r="V93">
        <f t="shared" si="11"/>
        <v>0</v>
      </c>
    </row>
    <row r="94" spans="1:22" x14ac:dyDescent="0.45">
      <c r="A94" t="s">
        <v>418</v>
      </c>
      <c r="B94" t="s">
        <v>196</v>
      </c>
      <c r="C94" t="s">
        <v>35</v>
      </c>
      <c r="D94" t="s">
        <v>75</v>
      </c>
      <c r="E94" t="s">
        <v>15</v>
      </c>
      <c r="F94">
        <v>83</v>
      </c>
      <c r="G94">
        <v>4440</v>
      </c>
      <c r="H94">
        <v>368520</v>
      </c>
      <c r="I94" t="s">
        <v>419</v>
      </c>
      <c r="J94" t="s">
        <v>420</v>
      </c>
      <c r="K94">
        <v>83</v>
      </c>
      <c r="L94">
        <v>0</v>
      </c>
      <c r="M94" t="s">
        <v>115</v>
      </c>
      <c r="N94" t="str">
        <f t="shared" si="6"/>
        <v>PO-100093</v>
      </c>
      <c r="O94" t="str">
        <f t="shared" si="7"/>
        <v>Delivered</v>
      </c>
      <c r="P94" t="str">
        <f t="shared" si="8"/>
        <v>WH-BOM</v>
      </c>
      <c r="Q94" t="str">
        <f>VLOOKUP(C94, Lookups!$A$2:$D$10, 2, FALSE())</f>
        <v>Peripheral Source</v>
      </c>
      <c r="R94" t="str">
        <f>_xlfn.XLOOKUP(D94, Lookups!$A$12:$A$51, Lookups!$C$12:$C$51, "Unknown")</f>
        <v>Peripherals</v>
      </c>
      <c r="S94" t="str">
        <f>IF(ISBLANK(I94), B94+VLOOKUP(C94, Lookups!$A$2:$D$10, 4, FALSE()), I94)</f>
        <v>2026-07-21</v>
      </c>
      <c r="T94">
        <f t="shared" si="9"/>
        <v>11</v>
      </c>
      <c r="U94" t="str">
        <f t="shared" si="10"/>
        <v>Late</v>
      </c>
      <c r="V94">
        <f t="shared" si="11"/>
        <v>0</v>
      </c>
    </row>
    <row r="95" spans="1:22" x14ac:dyDescent="0.45">
      <c r="A95" t="s">
        <v>421</v>
      </c>
      <c r="B95" t="s">
        <v>422</v>
      </c>
      <c r="C95" t="s">
        <v>36</v>
      </c>
      <c r="D95" t="s">
        <v>63</v>
      </c>
      <c r="E95" t="s">
        <v>15</v>
      </c>
      <c r="F95">
        <v>223</v>
      </c>
      <c r="G95">
        <v>71062</v>
      </c>
      <c r="H95">
        <v>15846826</v>
      </c>
      <c r="I95" t="s">
        <v>423</v>
      </c>
      <c r="J95" t="s">
        <v>423</v>
      </c>
      <c r="K95">
        <v>223</v>
      </c>
      <c r="L95">
        <v>0</v>
      </c>
      <c r="M95" t="s">
        <v>178</v>
      </c>
      <c r="N95" t="str">
        <f t="shared" si="6"/>
        <v>PO-100094</v>
      </c>
      <c r="O95" t="str">
        <f t="shared" si="7"/>
        <v>Delivered</v>
      </c>
      <c r="P95" t="str">
        <f t="shared" si="8"/>
        <v>WH-BOM</v>
      </c>
      <c r="Q95" t="str">
        <f>VLOOKUP(C95, Lookups!$A$2:$D$10, 2, FALSE())</f>
        <v>NextGen Hardware</v>
      </c>
      <c r="R95" t="str">
        <f>_xlfn.XLOOKUP(D95, Lookups!$A$12:$A$51, Lookups!$C$12:$C$51, "Unknown")</f>
        <v>Electronics</v>
      </c>
      <c r="S95" t="str">
        <f>IF(ISBLANK(I95), B95+VLOOKUP(C95, Lookups!$A$2:$D$10, 4, FALSE()), I95)</f>
        <v>2026-02-12</v>
      </c>
      <c r="T95">
        <f t="shared" si="9"/>
        <v>24</v>
      </c>
      <c r="U95" t="str">
        <f t="shared" si="10"/>
        <v>On-Time</v>
      </c>
      <c r="V95">
        <f t="shared" si="11"/>
        <v>0</v>
      </c>
    </row>
    <row r="96" spans="1:22" x14ac:dyDescent="0.45">
      <c r="A96" t="s">
        <v>424</v>
      </c>
      <c r="B96" t="s">
        <v>425</v>
      </c>
      <c r="C96" t="s">
        <v>36</v>
      </c>
      <c r="D96" t="s">
        <v>63</v>
      </c>
      <c r="E96" t="s">
        <v>15</v>
      </c>
      <c r="F96">
        <v>240</v>
      </c>
      <c r="G96">
        <v>71062</v>
      </c>
      <c r="H96">
        <v>17054880</v>
      </c>
      <c r="I96" t="s">
        <v>426</v>
      </c>
      <c r="J96" t="s">
        <v>271</v>
      </c>
      <c r="K96">
        <v>240</v>
      </c>
      <c r="L96">
        <v>0</v>
      </c>
      <c r="M96" t="s">
        <v>115</v>
      </c>
      <c r="N96" t="str">
        <f t="shared" si="6"/>
        <v>PO-100095</v>
      </c>
      <c r="O96" t="str">
        <f t="shared" si="7"/>
        <v>Delivered</v>
      </c>
      <c r="P96" t="str">
        <f t="shared" si="8"/>
        <v>WH-BOM</v>
      </c>
      <c r="Q96" t="str">
        <f>VLOOKUP(C96, Lookups!$A$2:$D$10, 2, FALSE())</f>
        <v>NextGen Hardware</v>
      </c>
      <c r="R96" t="str">
        <f>_xlfn.XLOOKUP(D96, Lookups!$A$12:$A$51, Lookups!$C$12:$C$51, "Unknown")</f>
        <v>Electronics</v>
      </c>
      <c r="S96" t="str">
        <f>IF(ISBLANK(I96), B96+VLOOKUP(C96, Lookups!$A$2:$D$10, 4, FALSE()), I96)</f>
        <v>2025-07-27</v>
      </c>
      <c r="T96">
        <f t="shared" si="9"/>
        <v>23</v>
      </c>
      <c r="U96" t="str">
        <f t="shared" si="10"/>
        <v>On-Time</v>
      </c>
      <c r="V96">
        <f t="shared" si="11"/>
        <v>0</v>
      </c>
    </row>
    <row r="97" spans="1:22" x14ac:dyDescent="0.45">
      <c r="A97" t="s">
        <v>427</v>
      </c>
      <c r="B97" t="s">
        <v>428</v>
      </c>
      <c r="C97" t="s">
        <v>30</v>
      </c>
      <c r="D97" t="s">
        <v>52</v>
      </c>
      <c r="E97" t="s">
        <v>15</v>
      </c>
      <c r="F97">
        <v>237</v>
      </c>
      <c r="G97">
        <v>59592</v>
      </c>
      <c r="H97">
        <v>14123304</v>
      </c>
      <c r="I97" t="s">
        <v>225</v>
      </c>
      <c r="J97" t="s">
        <v>226</v>
      </c>
      <c r="K97">
        <v>237</v>
      </c>
      <c r="L97">
        <v>0</v>
      </c>
      <c r="M97" t="s">
        <v>115</v>
      </c>
      <c r="N97" t="str">
        <f t="shared" si="6"/>
        <v>PO-100096</v>
      </c>
      <c r="O97" t="str">
        <f t="shared" si="7"/>
        <v>Delivered</v>
      </c>
      <c r="P97" t="str">
        <f t="shared" si="8"/>
        <v>WH-BOM</v>
      </c>
      <c r="Q97" t="str">
        <f>VLOOKUP(C97, Lookups!$A$2:$D$10, 2, FALSE())</f>
        <v>TechSupply Corp</v>
      </c>
      <c r="R97" t="str">
        <f>_xlfn.XLOOKUP(D97, Lookups!$A$12:$A$51, Lookups!$C$12:$C$51, "Unknown")</f>
        <v>Electronics</v>
      </c>
      <c r="S97" t="str">
        <f>IF(ISBLANK(I97), B97+VLOOKUP(C97, Lookups!$A$2:$D$10, 4, FALSE()), I97)</f>
        <v>2026-07-31</v>
      </c>
      <c r="T97">
        <f t="shared" si="9"/>
        <v>15</v>
      </c>
      <c r="U97" t="str">
        <f t="shared" si="10"/>
        <v>Late</v>
      </c>
      <c r="V97">
        <f t="shared" si="11"/>
        <v>0</v>
      </c>
    </row>
    <row r="98" spans="1:22" x14ac:dyDescent="0.45">
      <c r="A98" t="s">
        <v>429</v>
      </c>
      <c r="B98" t="s">
        <v>430</v>
      </c>
      <c r="C98" t="s">
        <v>37</v>
      </c>
      <c r="D98" t="s">
        <v>79</v>
      </c>
      <c r="E98" t="s">
        <v>15</v>
      </c>
      <c r="F98">
        <v>232</v>
      </c>
      <c r="G98">
        <v>23054</v>
      </c>
      <c r="H98">
        <v>5348528</v>
      </c>
      <c r="I98" t="s">
        <v>431</v>
      </c>
      <c r="J98" t="s">
        <v>432</v>
      </c>
      <c r="K98">
        <v>232</v>
      </c>
      <c r="L98">
        <v>0</v>
      </c>
      <c r="M98" t="s">
        <v>115</v>
      </c>
      <c r="N98" t="str">
        <f t="shared" si="6"/>
        <v>PO-100097</v>
      </c>
      <c r="O98" t="str">
        <f t="shared" si="7"/>
        <v>Delivered</v>
      </c>
      <c r="P98" t="str">
        <f t="shared" si="8"/>
        <v>WH-BOM</v>
      </c>
      <c r="Q98" t="str">
        <f>VLOOKUP(C98, Lookups!$A$2:$D$10, 2, FALSE())</f>
        <v>Premium Desks Ltd</v>
      </c>
      <c r="R98" t="str">
        <f>_xlfn.XLOOKUP(D98, Lookups!$A$12:$A$51, Lookups!$C$12:$C$51, "Unknown")</f>
        <v>Office Furniture</v>
      </c>
      <c r="S98" t="str">
        <f>IF(ISBLANK(I98), B98+VLOOKUP(C98, Lookups!$A$2:$D$10, 4, FALSE()), I98)</f>
        <v>2025-03-16</v>
      </c>
      <c r="T98">
        <f t="shared" si="9"/>
        <v>21</v>
      </c>
      <c r="U98" t="str">
        <f t="shared" si="10"/>
        <v>Late</v>
      </c>
      <c r="V98">
        <f t="shared" si="11"/>
        <v>0</v>
      </c>
    </row>
    <row r="99" spans="1:22" x14ac:dyDescent="0.45">
      <c r="A99" t="s">
        <v>433</v>
      </c>
      <c r="B99" t="s">
        <v>434</v>
      </c>
      <c r="C99" t="s">
        <v>35</v>
      </c>
      <c r="D99" t="s">
        <v>57</v>
      </c>
      <c r="E99" t="s">
        <v>18</v>
      </c>
      <c r="F99">
        <v>246</v>
      </c>
      <c r="G99">
        <v>2212</v>
      </c>
      <c r="H99">
        <v>544152</v>
      </c>
      <c r="I99" t="s">
        <v>435</v>
      </c>
      <c r="J99" t="s">
        <v>171</v>
      </c>
      <c r="K99">
        <v>246</v>
      </c>
      <c r="L99">
        <v>0</v>
      </c>
      <c r="M99" t="s">
        <v>115</v>
      </c>
      <c r="N99" t="str">
        <f t="shared" si="6"/>
        <v>PO-100098</v>
      </c>
      <c r="O99" t="str">
        <f t="shared" si="7"/>
        <v>Delivered</v>
      </c>
      <c r="P99" t="str">
        <f t="shared" si="8"/>
        <v>WH-PUN</v>
      </c>
      <c r="Q99" t="str">
        <f>VLOOKUP(C99, Lookups!$A$2:$D$10, 2, FALSE())</f>
        <v>Peripheral Source</v>
      </c>
      <c r="R99" t="str">
        <f>_xlfn.XLOOKUP(D99, Lookups!$A$12:$A$51, Lookups!$C$12:$C$51, "Unknown")</f>
        <v>Peripherals</v>
      </c>
      <c r="S99" t="str">
        <f>IF(ISBLANK(I99), B99+VLOOKUP(C99, Lookups!$A$2:$D$10, 4, FALSE()), I99)</f>
        <v>2025-08-20</v>
      </c>
      <c r="T99">
        <f t="shared" si="9"/>
        <v>6</v>
      </c>
      <c r="U99" t="str">
        <f t="shared" si="10"/>
        <v>On-Time</v>
      </c>
      <c r="V99">
        <f t="shared" si="11"/>
        <v>0</v>
      </c>
    </row>
    <row r="100" spans="1:22" x14ac:dyDescent="0.45">
      <c r="A100" t="s">
        <v>436</v>
      </c>
      <c r="B100" t="s">
        <v>437</v>
      </c>
      <c r="C100" t="s">
        <v>35</v>
      </c>
      <c r="D100" t="s">
        <v>70</v>
      </c>
      <c r="E100" t="s">
        <v>16</v>
      </c>
      <c r="F100">
        <v>63</v>
      </c>
      <c r="G100">
        <v>4287</v>
      </c>
      <c r="H100">
        <v>270081</v>
      </c>
      <c r="I100" t="s">
        <v>438</v>
      </c>
      <c r="J100" t="s">
        <v>439</v>
      </c>
      <c r="K100">
        <v>63</v>
      </c>
      <c r="L100">
        <v>0</v>
      </c>
      <c r="M100" t="s">
        <v>115</v>
      </c>
      <c r="N100" t="str">
        <f t="shared" si="6"/>
        <v>PO-100099</v>
      </c>
      <c r="O100" t="str">
        <f t="shared" si="7"/>
        <v>Delivered</v>
      </c>
      <c r="P100" t="str">
        <f t="shared" si="8"/>
        <v>WH-DEL</v>
      </c>
      <c r="Q100" t="str">
        <f>VLOOKUP(C100, Lookups!$A$2:$D$10, 2, FALSE())</f>
        <v>Peripheral Source</v>
      </c>
      <c r="R100" t="str">
        <f>_xlfn.XLOOKUP(D100, Lookups!$A$12:$A$51, Lookups!$C$12:$C$51, "Unknown")</f>
        <v>Peripherals</v>
      </c>
      <c r="S100" t="str">
        <f>IF(ISBLANK(I100), B100+VLOOKUP(C100, Lookups!$A$2:$D$10, 4, FALSE()), I100)</f>
        <v>2025-02-13</v>
      </c>
      <c r="T100">
        <f t="shared" si="9"/>
        <v>9</v>
      </c>
      <c r="U100" t="str">
        <f t="shared" si="10"/>
        <v>On-Time</v>
      </c>
      <c r="V100">
        <f t="shared" si="11"/>
        <v>0</v>
      </c>
    </row>
    <row r="101" spans="1:22" x14ac:dyDescent="0.45">
      <c r="A101" t="s">
        <v>440</v>
      </c>
      <c r="B101" t="s">
        <v>358</v>
      </c>
      <c r="C101" t="s">
        <v>30</v>
      </c>
      <c r="D101" t="s">
        <v>88</v>
      </c>
      <c r="E101" t="s">
        <v>16</v>
      </c>
      <c r="F101">
        <v>228</v>
      </c>
      <c r="G101">
        <v>75512</v>
      </c>
      <c r="H101">
        <v>17216736</v>
      </c>
      <c r="I101" t="s">
        <v>343</v>
      </c>
      <c r="J101" t="s">
        <v>441</v>
      </c>
      <c r="K101">
        <v>228</v>
      </c>
      <c r="L101">
        <v>0</v>
      </c>
      <c r="M101" t="s">
        <v>115</v>
      </c>
      <c r="N101" t="str">
        <f t="shared" si="6"/>
        <v>PO-100100</v>
      </c>
      <c r="O101" t="str">
        <f t="shared" si="7"/>
        <v>Delivered</v>
      </c>
      <c r="P101" t="str">
        <f t="shared" si="8"/>
        <v>WH-DEL</v>
      </c>
      <c r="Q101" t="str">
        <f>VLOOKUP(C101, Lookups!$A$2:$D$10, 2, FALSE())</f>
        <v>TechSupply Corp</v>
      </c>
      <c r="R101" t="str">
        <f>_xlfn.XLOOKUP(D101, Lookups!$A$12:$A$51, Lookups!$C$12:$C$51, "Unknown")</f>
        <v>Electronics</v>
      </c>
      <c r="S101" t="str">
        <f>IF(ISBLANK(I101), B101+VLOOKUP(C101, Lookups!$A$2:$D$10, 4, FALSE()), I101)</f>
        <v>2026-02-04</v>
      </c>
      <c r="T101">
        <f t="shared" si="9"/>
        <v>28</v>
      </c>
      <c r="U101" t="str">
        <f t="shared" si="10"/>
        <v>Late</v>
      </c>
      <c r="V101">
        <f t="shared" si="11"/>
        <v>0</v>
      </c>
    </row>
    <row r="102" spans="1:22" x14ac:dyDescent="0.45">
      <c r="A102" t="s">
        <v>442</v>
      </c>
      <c r="B102" t="s">
        <v>443</v>
      </c>
      <c r="C102" t="s">
        <v>37</v>
      </c>
      <c r="D102" t="s">
        <v>79</v>
      </c>
      <c r="E102" t="s">
        <v>16</v>
      </c>
      <c r="F102">
        <v>244</v>
      </c>
      <c r="G102">
        <v>23054</v>
      </c>
      <c r="H102">
        <v>5625176</v>
      </c>
      <c r="I102" t="s">
        <v>444</v>
      </c>
      <c r="J102" t="s">
        <v>444</v>
      </c>
      <c r="K102">
        <v>244</v>
      </c>
      <c r="L102">
        <v>26</v>
      </c>
      <c r="M102" t="s">
        <v>115</v>
      </c>
      <c r="N102" t="str">
        <f t="shared" si="6"/>
        <v>PO-100101</v>
      </c>
      <c r="O102" t="str">
        <f t="shared" si="7"/>
        <v>Delivered</v>
      </c>
      <c r="P102" t="str">
        <f t="shared" si="8"/>
        <v>WH-DEL</v>
      </c>
      <c r="Q102" t="str">
        <f>VLOOKUP(C102, Lookups!$A$2:$D$10, 2, FALSE())</f>
        <v>Premium Desks Ltd</v>
      </c>
      <c r="R102" t="str">
        <f>_xlfn.XLOOKUP(D102, Lookups!$A$12:$A$51, Lookups!$C$12:$C$51, "Unknown")</f>
        <v>Office Furniture</v>
      </c>
      <c r="S102" t="str">
        <f>IF(ISBLANK(I102), B102+VLOOKUP(C102, Lookups!$A$2:$D$10, 4, FALSE()), I102)</f>
        <v>2026-04-12</v>
      </c>
      <c r="T102">
        <f t="shared" si="9"/>
        <v>12</v>
      </c>
      <c r="U102" t="str">
        <f t="shared" si="10"/>
        <v>On-Time</v>
      </c>
      <c r="V102">
        <f t="shared" si="11"/>
        <v>0.10655737704918032</v>
      </c>
    </row>
    <row r="103" spans="1:22" x14ac:dyDescent="0.45">
      <c r="A103" t="s">
        <v>445</v>
      </c>
      <c r="B103" t="s">
        <v>446</v>
      </c>
      <c r="C103" t="s">
        <v>34</v>
      </c>
      <c r="D103" t="s">
        <v>68</v>
      </c>
      <c r="E103" t="s">
        <v>15</v>
      </c>
      <c r="F103">
        <v>50</v>
      </c>
      <c r="G103">
        <v>41405</v>
      </c>
      <c r="H103">
        <v>2070250</v>
      </c>
      <c r="I103" t="s">
        <v>447</v>
      </c>
      <c r="J103" t="s">
        <v>448</v>
      </c>
      <c r="K103">
        <v>50</v>
      </c>
      <c r="L103">
        <v>0</v>
      </c>
      <c r="M103" t="s">
        <v>115</v>
      </c>
      <c r="N103" t="str">
        <f t="shared" si="6"/>
        <v>PO-100102</v>
      </c>
      <c r="O103" t="str">
        <f t="shared" si="7"/>
        <v>Delivered</v>
      </c>
      <c r="P103" t="str">
        <f t="shared" si="8"/>
        <v>WH-BOM</v>
      </c>
      <c r="Q103" t="str">
        <f>VLOOKUP(C103, Lookups!$A$2:$D$10, 2, FALSE())</f>
        <v>FastElectronics</v>
      </c>
      <c r="R103" t="str">
        <f>_xlfn.XLOOKUP(D103, Lookups!$A$12:$A$51, Lookups!$C$12:$C$51, "Unknown")</f>
        <v>Networking</v>
      </c>
      <c r="S103" t="str">
        <f>IF(ISBLANK(I103), B103+VLOOKUP(C103, Lookups!$A$2:$D$10, 4, FALSE()), I103)</f>
        <v>2025-12-17</v>
      </c>
      <c r="T103">
        <f t="shared" si="9"/>
        <v>19</v>
      </c>
      <c r="U103" t="str">
        <f t="shared" si="10"/>
        <v>Late</v>
      </c>
      <c r="V103">
        <f t="shared" si="11"/>
        <v>0</v>
      </c>
    </row>
    <row r="104" spans="1:22" x14ac:dyDescent="0.45">
      <c r="A104" t="s">
        <v>449</v>
      </c>
      <c r="B104" t="s">
        <v>450</v>
      </c>
      <c r="C104" t="s">
        <v>31</v>
      </c>
      <c r="D104" t="s">
        <v>66</v>
      </c>
      <c r="E104" t="s">
        <v>16</v>
      </c>
      <c r="F104">
        <v>128</v>
      </c>
      <c r="G104">
        <v>29719</v>
      </c>
      <c r="H104">
        <v>3804032</v>
      </c>
      <c r="I104" t="s">
        <v>118</v>
      </c>
      <c r="J104" t="s">
        <v>451</v>
      </c>
      <c r="K104">
        <v>128</v>
      </c>
      <c r="L104">
        <v>0</v>
      </c>
      <c r="M104" t="s">
        <v>115</v>
      </c>
      <c r="N104" t="str">
        <f t="shared" si="6"/>
        <v>PO-100103</v>
      </c>
      <c r="O104" t="str">
        <f t="shared" si="7"/>
        <v>Delivered</v>
      </c>
      <c r="P104" t="str">
        <f t="shared" si="8"/>
        <v>WH-DEL</v>
      </c>
      <c r="Q104" t="str">
        <f>VLOOKUP(C104, Lookups!$A$2:$D$10, 2, FALSE())</f>
        <v>Global Networks</v>
      </c>
      <c r="R104" t="str">
        <f>_xlfn.XLOOKUP(D104, Lookups!$A$12:$A$51, Lookups!$C$12:$C$51, "Unknown")</f>
        <v>Networking</v>
      </c>
      <c r="S104" t="str">
        <f>IF(ISBLANK(I104), B104+VLOOKUP(C104, Lookups!$A$2:$D$10, 4, FALSE()), I104)</f>
        <v>2026-10-03</v>
      </c>
      <c r="T104">
        <f t="shared" si="9"/>
        <v>22</v>
      </c>
      <c r="U104" t="str">
        <f t="shared" si="10"/>
        <v>Late</v>
      </c>
      <c r="V104">
        <f t="shared" si="11"/>
        <v>0</v>
      </c>
    </row>
    <row r="105" spans="1:22" x14ac:dyDescent="0.45">
      <c r="A105" t="s">
        <v>452</v>
      </c>
      <c r="B105" t="s">
        <v>162</v>
      </c>
      <c r="C105" t="s">
        <v>30</v>
      </c>
      <c r="D105" t="s">
        <v>88</v>
      </c>
      <c r="E105" t="s">
        <v>15</v>
      </c>
      <c r="F105">
        <v>220</v>
      </c>
      <c r="G105">
        <v>75512</v>
      </c>
      <c r="H105">
        <v>16612640</v>
      </c>
      <c r="I105" t="s">
        <v>214</v>
      </c>
      <c r="J105" t="s">
        <v>215</v>
      </c>
      <c r="K105">
        <v>220</v>
      </c>
      <c r="L105">
        <v>0</v>
      </c>
      <c r="M105" t="s">
        <v>115</v>
      </c>
      <c r="N105" t="str">
        <f t="shared" si="6"/>
        <v>PO-100104</v>
      </c>
      <c r="O105" t="str">
        <f t="shared" si="7"/>
        <v>Delivered</v>
      </c>
      <c r="P105" t="str">
        <f t="shared" si="8"/>
        <v>WH-BOM</v>
      </c>
      <c r="Q105" t="str">
        <f>VLOOKUP(C105, Lookups!$A$2:$D$10, 2, FALSE())</f>
        <v>TechSupply Corp</v>
      </c>
      <c r="R105" t="str">
        <f>_xlfn.XLOOKUP(D105, Lookups!$A$12:$A$51, Lookups!$C$12:$C$51, "Unknown")</f>
        <v>Electronics</v>
      </c>
      <c r="S105" t="str">
        <f>IF(ISBLANK(I105), B105+VLOOKUP(C105, Lookups!$A$2:$D$10, 4, FALSE()), I105)</f>
        <v>2025-06-27</v>
      </c>
      <c r="T105">
        <f t="shared" si="9"/>
        <v>15</v>
      </c>
      <c r="U105" t="str">
        <f t="shared" si="10"/>
        <v>Late</v>
      </c>
      <c r="V105">
        <f t="shared" si="11"/>
        <v>0</v>
      </c>
    </row>
    <row r="106" spans="1:22" x14ac:dyDescent="0.45">
      <c r="A106" t="s">
        <v>453</v>
      </c>
      <c r="B106" t="s">
        <v>225</v>
      </c>
      <c r="C106" t="s">
        <v>37</v>
      </c>
      <c r="D106" t="s">
        <v>79</v>
      </c>
      <c r="E106" t="s">
        <v>15</v>
      </c>
      <c r="F106">
        <v>42</v>
      </c>
      <c r="G106">
        <v>23054</v>
      </c>
      <c r="H106">
        <v>968268</v>
      </c>
      <c r="I106" t="s">
        <v>454</v>
      </c>
      <c r="J106" t="s">
        <v>455</v>
      </c>
      <c r="K106">
        <v>42</v>
      </c>
      <c r="L106">
        <v>0</v>
      </c>
      <c r="M106" t="s">
        <v>115</v>
      </c>
      <c r="N106" t="str">
        <f t="shared" si="6"/>
        <v>PO-100105</v>
      </c>
      <c r="O106" t="str">
        <f t="shared" si="7"/>
        <v>Delivered</v>
      </c>
      <c r="P106" t="str">
        <f t="shared" si="8"/>
        <v>WH-BOM</v>
      </c>
      <c r="Q106" t="str">
        <f>VLOOKUP(C106, Lookups!$A$2:$D$10, 2, FALSE())</f>
        <v>Premium Desks Ltd</v>
      </c>
      <c r="R106" t="str">
        <f>_xlfn.XLOOKUP(D106, Lookups!$A$12:$A$51, Lookups!$C$12:$C$51, "Unknown")</f>
        <v>Office Furniture</v>
      </c>
      <c r="S106" t="str">
        <f>IF(ISBLANK(I106), B106+VLOOKUP(C106, Lookups!$A$2:$D$10, 4, FALSE()), I106)</f>
        <v>2026-08-12</v>
      </c>
      <c r="T106">
        <f t="shared" si="9"/>
        <v>13</v>
      </c>
      <c r="U106" t="str">
        <f t="shared" si="10"/>
        <v>Late</v>
      </c>
      <c r="V106">
        <f t="shared" si="11"/>
        <v>0</v>
      </c>
    </row>
    <row r="107" spans="1:22" x14ac:dyDescent="0.45">
      <c r="A107" t="s">
        <v>456</v>
      </c>
      <c r="B107" t="s">
        <v>457</v>
      </c>
      <c r="C107" t="s">
        <v>34</v>
      </c>
      <c r="D107" t="s">
        <v>81</v>
      </c>
      <c r="E107" t="s">
        <v>16</v>
      </c>
      <c r="F107">
        <v>151</v>
      </c>
      <c r="G107">
        <v>55328</v>
      </c>
      <c r="H107">
        <v>8354528</v>
      </c>
      <c r="I107" t="s">
        <v>228</v>
      </c>
      <c r="J107" t="s">
        <v>458</v>
      </c>
      <c r="K107">
        <v>151</v>
      </c>
      <c r="L107">
        <v>0</v>
      </c>
      <c r="M107" t="s">
        <v>115</v>
      </c>
      <c r="N107" t="str">
        <f t="shared" si="6"/>
        <v>PO-100106</v>
      </c>
      <c r="O107" t="str">
        <f t="shared" si="7"/>
        <v>Delivered</v>
      </c>
      <c r="P107" t="str">
        <f t="shared" si="8"/>
        <v>WH-DEL</v>
      </c>
      <c r="Q107" t="str">
        <f>VLOOKUP(C107, Lookups!$A$2:$D$10, 2, FALSE())</f>
        <v>FastElectronics</v>
      </c>
      <c r="R107" t="str">
        <f>_xlfn.XLOOKUP(D107, Lookups!$A$12:$A$51, Lookups!$C$12:$C$51, "Unknown")</f>
        <v>Electronics</v>
      </c>
      <c r="S107" t="str">
        <f>IF(ISBLANK(I107), B107+VLOOKUP(C107, Lookups!$A$2:$D$10, 4, FALSE()), I107)</f>
        <v>2025-07-13</v>
      </c>
      <c r="T107">
        <f t="shared" si="9"/>
        <v>19</v>
      </c>
      <c r="U107" t="str">
        <f t="shared" si="10"/>
        <v>Late</v>
      </c>
      <c r="V107">
        <f t="shared" si="11"/>
        <v>0</v>
      </c>
    </row>
    <row r="108" spans="1:22" x14ac:dyDescent="0.45">
      <c r="A108" t="s">
        <v>459</v>
      </c>
      <c r="B108" t="s">
        <v>139</v>
      </c>
      <c r="C108" t="s">
        <v>35</v>
      </c>
      <c r="D108" t="s">
        <v>91</v>
      </c>
      <c r="E108" t="s">
        <v>17</v>
      </c>
      <c r="F108">
        <v>15</v>
      </c>
      <c r="G108">
        <v>6707</v>
      </c>
      <c r="H108">
        <v>100605</v>
      </c>
      <c r="I108" t="s">
        <v>460</v>
      </c>
      <c r="J108" t="s">
        <v>460</v>
      </c>
      <c r="K108">
        <v>15</v>
      </c>
      <c r="L108">
        <v>0</v>
      </c>
      <c r="M108" t="s">
        <v>115</v>
      </c>
      <c r="N108" t="str">
        <f t="shared" si="6"/>
        <v>PO-100107</v>
      </c>
      <c r="O108" t="str">
        <f t="shared" si="7"/>
        <v>Delivered</v>
      </c>
      <c r="P108" t="str">
        <f t="shared" si="8"/>
        <v>WH-BLR</v>
      </c>
      <c r="Q108" t="str">
        <f>VLOOKUP(C108, Lookups!$A$2:$D$10, 2, FALSE())</f>
        <v>Peripheral Source</v>
      </c>
      <c r="R108" t="str">
        <f>_xlfn.XLOOKUP(D108, Lookups!$A$12:$A$51, Lookups!$C$12:$C$51, "Unknown")</f>
        <v>Peripherals</v>
      </c>
      <c r="S108" t="str">
        <f>IF(ISBLANK(I108), B108+VLOOKUP(C108, Lookups!$A$2:$D$10, 4, FALSE()), I108)</f>
        <v>2025-10-09</v>
      </c>
      <c r="T108">
        <f t="shared" si="9"/>
        <v>10</v>
      </c>
      <c r="U108" t="str">
        <f t="shared" si="10"/>
        <v>On-Time</v>
      </c>
      <c r="V108">
        <f t="shared" si="11"/>
        <v>0</v>
      </c>
    </row>
    <row r="109" spans="1:22" x14ac:dyDescent="0.45">
      <c r="A109" t="s">
        <v>461</v>
      </c>
      <c r="B109" t="s">
        <v>462</v>
      </c>
      <c r="C109" t="s">
        <v>30</v>
      </c>
      <c r="D109" t="s">
        <v>52</v>
      </c>
      <c r="E109" t="s">
        <v>18</v>
      </c>
      <c r="F109">
        <v>201</v>
      </c>
      <c r="G109">
        <v>59592</v>
      </c>
      <c r="H109">
        <v>11977992</v>
      </c>
      <c r="I109" t="s">
        <v>463</v>
      </c>
      <c r="J109" t="s">
        <v>464</v>
      </c>
      <c r="K109">
        <v>201</v>
      </c>
      <c r="L109">
        <v>0</v>
      </c>
      <c r="M109" t="s">
        <v>115</v>
      </c>
      <c r="N109" t="str">
        <f t="shared" si="6"/>
        <v>PO-100108</v>
      </c>
      <c r="O109" t="str">
        <f t="shared" si="7"/>
        <v>Delivered</v>
      </c>
      <c r="P109" t="str">
        <f t="shared" si="8"/>
        <v>WH-PUN</v>
      </c>
      <c r="Q109" t="str">
        <f>VLOOKUP(C109, Lookups!$A$2:$D$10, 2, FALSE())</f>
        <v>TechSupply Corp</v>
      </c>
      <c r="R109" t="str">
        <f>_xlfn.XLOOKUP(D109, Lookups!$A$12:$A$51, Lookups!$C$12:$C$51, "Unknown")</f>
        <v>Electronics</v>
      </c>
      <c r="S109" t="str">
        <f>IF(ISBLANK(I109), B109+VLOOKUP(C109, Lookups!$A$2:$D$10, 4, FALSE()), I109)</f>
        <v>2025-11-19</v>
      </c>
      <c r="T109">
        <f t="shared" si="9"/>
        <v>15</v>
      </c>
      <c r="U109" t="str">
        <f t="shared" si="10"/>
        <v>Late</v>
      </c>
      <c r="V109">
        <f t="shared" si="11"/>
        <v>0</v>
      </c>
    </row>
    <row r="110" spans="1:22" x14ac:dyDescent="0.45">
      <c r="A110" t="s">
        <v>465</v>
      </c>
      <c r="B110" t="s">
        <v>466</v>
      </c>
      <c r="C110" t="s">
        <v>36</v>
      </c>
      <c r="D110" t="s">
        <v>62</v>
      </c>
      <c r="E110" t="s">
        <v>15</v>
      </c>
      <c r="F110">
        <v>149</v>
      </c>
      <c r="G110">
        <v>48478</v>
      </c>
      <c r="H110">
        <v>7223222</v>
      </c>
      <c r="I110" t="s">
        <v>379</v>
      </c>
      <c r="J110" t="s">
        <v>285</v>
      </c>
      <c r="K110">
        <v>149</v>
      </c>
      <c r="L110">
        <v>0</v>
      </c>
      <c r="M110" t="s">
        <v>115</v>
      </c>
      <c r="N110" t="str">
        <f t="shared" si="6"/>
        <v>PO-100109</v>
      </c>
      <c r="O110" t="str">
        <f t="shared" si="7"/>
        <v>Delivered</v>
      </c>
      <c r="P110" t="str">
        <f t="shared" si="8"/>
        <v>WH-BOM</v>
      </c>
      <c r="Q110" t="str">
        <f>VLOOKUP(C110, Lookups!$A$2:$D$10, 2, FALSE())</f>
        <v>NextGen Hardware</v>
      </c>
      <c r="R110" t="str">
        <f>_xlfn.XLOOKUP(D110, Lookups!$A$12:$A$51, Lookups!$C$12:$C$51, "Unknown")</f>
        <v>Electronics</v>
      </c>
      <c r="S110" t="str">
        <f>IF(ISBLANK(I110), B110+VLOOKUP(C110, Lookups!$A$2:$D$10, 4, FALSE()), I110)</f>
        <v>2025-02-16</v>
      </c>
      <c r="T110">
        <f t="shared" si="9"/>
        <v>37</v>
      </c>
      <c r="U110" t="str">
        <f t="shared" si="10"/>
        <v>Late</v>
      </c>
      <c r="V110">
        <f t="shared" si="11"/>
        <v>0</v>
      </c>
    </row>
    <row r="111" spans="1:22" x14ac:dyDescent="0.45">
      <c r="A111" t="s">
        <v>467</v>
      </c>
      <c r="B111" t="s">
        <v>457</v>
      </c>
      <c r="C111" t="s">
        <v>36</v>
      </c>
      <c r="D111" t="s">
        <v>90</v>
      </c>
      <c r="E111" t="s">
        <v>15</v>
      </c>
      <c r="F111">
        <v>52</v>
      </c>
      <c r="G111">
        <v>81434</v>
      </c>
      <c r="H111">
        <v>4234568</v>
      </c>
      <c r="I111" t="s">
        <v>468</v>
      </c>
      <c r="J111" t="s">
        <v>469</v>
      </c>
      <c r="K111">
        <v>52</v>
      </c>
      <c r="L111">
        <v>0</v>
      </c>
      <c r="M111" t="s">
        <v>178</v>
      </c>
      <c r="N111" t="str">
        <f t="shared" si="6"/>
        <v>PO-100110</v>
      </c>
      <c r="O111" t="str">
        <f t="shared" si="7"/>
        <v>Delivered</v>
      </c>
      <c r="P111" t="str">
        <f t="shared" si="8"/>
        <v>WH-BOM</v>
      </c>
      <c r="Q111" t="str">
        <f>VLOOKUP(C111, Lookups!$A$2:$D$10, 2, FALSE())</f>
        <v>NextGen Hardware</v>
      </c>
      <c r="R111" t="str">
        <f>_xlfn.XLOOKUP(D111, Lookups!$A$12:$A$51, Lookups!$C$12:$C$51, "Unknown")</f>
        <v>Electronics</v>
      </c>
      <c r="S111" t="str">
        <f>IF(ISBLANK(I111), B111+VLOOKUP(C111, Lookups!$A$2:$D$10, 4, FALSE()), I111)</f>
        <v>2025-07-19</v>
      </c>
      <c r="T111">
        <f t="shared" si="9"/>
        <v>20</v>
      </c>
      <c r="U111" t="str">
        <f t="shared" si="10"/>
        <v>On-Time</v>
      </c>
      <c r="V111">
        <f t="shared" si="11"/>
        <v>0</v>
      </c>
    </row>
    <row r="112" spans="1:22" x14ac:dyDescent="0.45">
      <c r="A112" t="s">
        <v>470</v>
      </c>
      <c r="B112" t="s">
        <v>471</v>
      </c>
      <c r="C112" t="s">
        <v>32</v>
      </c>
      <c r="D112" t="s">
        <v>67</v>
      </c>
      <c r="E112" t="s">
        <v>15</v>
      </c>
      <c r="F112">
        <v>81</v>
      </c>
      <c r="G112">
        <v>1553</v>
      </c>
      <c r="H112">
        <v>125793</v>
      </c>
      <c r="I112" t="s">
        <v>254</v>
      </c>
      <c r="J112" t="s">
        <v>254</v>
      </c>
      <c r="K112">
        <v>81</v>
      </c>
      <c r="L112">
        <v>0</v>
      </c>
      <c r="M112" t="s">
        <v>115</v>
      </c>
      <c r="N112" t="str">
        <f t="shared" si="6"/>
        <v>PO-100111</v>
      </c>
      <c r="O112" t="str">
        <f t="shared" si="7"/>
        <v>Delivered</v>
      </c>
      <c r="P112" t="str">
        <f t="shared" si="8"/>
        <v>WH-BOM</v>
      </c>
      <c r="Q112" t="str">
        <f>VLOOKUP(C112, Lookups!$A$2:$D$10, 2, FALSE())</f>
        <v>OfficeDepot Pro</v>
      </c>
      <c r="R112" t="str">
        <f>_xlfn.XLOOKUP(D112, Lookups!$A$12:$A$51, Lookups!$C$12:$C$51, "Unknown")</f>
        <v>Peripherals</v>
      </c>
      <c r="S112" t="str">
        <f>IF(ISBLANK(I112), B112+VLOOKUP(C112, Lookups!$A$2:$D$10, 4, FALSE()), I112)</f>
        <v>2025-11-10</v>
      </c>
      <c r="T112">
        <f t="shared" si="9"/>
        <v>7</v>
      </c>
      <c r="U112" t="str">
        <f t="shared" si="10"/>
        <v>On-Time</v>
      </c>
      <c r="V112">
        <f t="shared" si="11"/>
        <v>0</v>
      </c>
    </row>
    <row r="113" spans="1:22" x14ac:dyDescent="0.45">
      <c r="A113" t="s">
        <v>472</v>
      </c>
      <c r="B113" t="s">
        <v>473</v>
      </c>
      <c r="C113" t="s">
        <v>34</v>
      </c>
      <c r="D113" t="s">
        <v>74</v>
      </c>
      <c r="E113" t="s">
        <v>16</v>
      </c>
      <c r="F113">
        <v>73</v>
      </c>
      <c r="G113">
        <v>94797</v>
      </c>
      <c r="H113">
        <v>6920181</v>
      </c>
      <c r="I113" t="s">
        <v>215</v>
      </c>
      <c r="J113" t="s">
        <v>474</v>
      </c>
      <c r="K113">
        <v>73</v>
      </c>
      <c r="L113">
        <v>0</v>
      </c>
      <c r="M113" t="s">
        <v>115</v>
      </c>
      <c r="N113" t="str">
        <f t="shared" si="6"/>
        <v>PO-100112</v>
      </c>
      <c r="O113" t="str">
        <f t="shared" si="7"/>
        <v>Delivered</v>
      </c>
      <c r="P113" t="str">
        <f t="shared" si="8"/>
        <v>WH-DEL</v>
      </c>
      <c r="Q113" t="str">
        <f>VLOOKUP(C113, Lookups!$A$2:$D$10, 2, FALSE())</f>
        <v>FastElectronics</v>
      </c>
      <c r="R113" t="str">
        <f>_xlfn.XLOOKUP(D113, Lookups!$A$12:$A$51, Lookups!$C$12:$C$51, "Unknown")</f>
        <v>Electronics</v>
      </c>
      <c r="S113" t="str">
        <f>IF(ISBLANK(I113), B113+VLOOKUP(C113, Lookups!$A$2:$D$10, 4, FALSE()), I113)</f>
        <v>2025-06-28</v>
      </c>
      <c r="T113">
        <f t="shared" si="9"/>
        <v>14</v>
      </c>
      <c r="U113" t="str">
        <f t="shared" si="10"/>
        <v>On-Time</v>
      </c>
      <c r="V113">
        <f t="shared" si="11"/>
        <v>0</v>
      </c>
    </row>
    <row r="114" spans="1:22" x14ac:dyDescent="0.45">
      <c r="A114" t="s">
        <v>475</v>
      </c>
      <c r="B114" t="s">
        <v>476</v>
      </c>
      <c r="C114" t="s">
        <v>34</v>
      </c>
      <c r="D114" t="s">
        <v>54</v>
      </c>
      <c r="E114" t="s">
        <v>16</v>
      </c>
      <c r="F114">
        <v>217</v>
      </c>
      <c r="G114">
        <v>22314</v>
      </c>
      <c r="H114">
        <v>4842138</v>
      </c>
      <c r="I114" t="s">
        <v>477</v>
      </c>
      <c r="J114" t="s">
        <v>478</v>
      </c>
      <c r="K114">
        <v>217</v>
      </c>
      <c r="L114">
        <v>0</v>
      </c>
      <c r="M114" t="s">
        <v>115</v>
      </c>
      <c r="N114" t="str">
        <f t="shared" si="6"/>
        <v>PO-100113</v>
      </c>
      <c r="O114" t="str">
        <f t="shared" si="7"/>
        <v>Delivered</v>
      </c>
      <c r="P114" t="str">
        <f t="shared" si="8"/>
        <v>WH-DEL</v>
      </c>
      <c r="Q114" t="str">
        <f>VLOOKUP(C114, Lookups!$A$2:$D$10, 2, FALSE())</f>
        <v>FastElectronics</v>
      </c>
      <c r="R114" t="str">
        <f>_xlfn.XLOOKUP(D114, Lookups!$A$12:$A$51, Lookups!$C$12:$C$51, "Unknown")</f>
        <v>Networking</v>
      </c>
      <c r="S114" t="str">
        <f>IF(ISBLANK(I114), B114+VLOOKUP(C114, Lookups!$A$2:$D$10, 4, FALSE()), I114)</f>
        <v>2025-03-28</v>
      </c>
      <c r="T114">
        <f t="shared" si="9"/>
        <v>19</v>
      </c>
      <c r="U114" t="str">
        <f t="shared" si="10"/>
        <v>Late</v>
      </c>
      <c r="V114">
        <f t="shared" si="11"/>
        <v>0</v>
      </c>
    </row>
    <row r="115" spans="1:22" x14ac:dyDescent="0.45">
      <c r="A115" t="s">
        <v>479</v>
      </c>
      <c r="B115" t="s">
        <v>480</v>
      </c>
      <c r="C115" t="s">
        <v>35</v>
      </c>
      <c r="D115" t="s">
        <v>91</v>
      </c>
      <c r="E115" t="s">
        <v>16</v>
      </c>
      <c r="F115">
        <v>96</v>
      </c>
      <c r="G115">
        <v>6707</v>
      </c>
      <c r="H115">
        <v>643872</v>
      </c>
      <c r="I115" t="s">
        <v>481</v>
      </c>
      <c r="J115" t="s">
        <v>481</v>
      </c>
      <c r="K115">
        <v>96</v>
      </c>
      <c r="L115">
        <v>0</v>
      </c>
      <c r="M115" t="s">
        <v>115</v>
      </c>
      <c r="N115" t="str">
        <f t="shared" si="6"/>
        <v>PO-100114</v>
      </c>
      <c r="O115" t="str">
        <f t="shared" si="7"/>
        <v>Delivered</v>
      </c>
      <c r="P115" t="str">
        <f t="shared" si="8"/>
        <v>WH-DEL</v>
      </c>
      <c r="Q115" t="str">
        <f>VLOOKUP(C115, Lookups!$A$2:$D$10, 2, FALSE())</f>
        <v>Peripheral Source</v>
      </c>
      <c r="R115" t="str">
        <f>_xlfn.XLOOKUP(D115, Lookups!$A$12:$A$51, Lookups!$C$12:$C$51, "Unknown")</f>
        <v>Peripherals</v>
      </c>
      <c r="S115" t="str">
        <f>IF(ISBLANK(I115), B115+VLOOKUP(C115, Lookups!$A$2:$D$10, 4, FALSE()), I115)</f>
        <v>2025-05-07</v>
      </c>
      <c r="T115">
        <f t="shared" si="9"/>
        <v>10</v>
      </c>
      <c r="U115" t="str">
        <f t="shared" si="10"/>
        <v>On-Time</v>
      </c>
      <c r="V115">
        <f t="shared" si="11"/>
        <v>0</v>
      </c>
    </row>
    <row r="116" spans="1:22" x14ac:dyDescent="0.45">
      <c r="A116" t="s">
        <v>482</v>
      </c>
      <c r="B116" t="s">
        <v>483</v>
      </c>
      <c r="C116" t="s">
        <v>36</v>
      </c>
      <c r="D116" t="s">
        <v>87</v>
      </c>
      <c r="E116" t="s">
        <v>17</v>
      </c>
      <c r="F116">
        <v>187</v>
      </c>
      <c r="G116">
        <v>82930</v>
      </c>
      <c r="H116">
        <v>15507910</v>
      </c>
      <c r="I116" t="s">
        <v>484</v>
      </c>
      <c r="J116" t="s">
        <v>484</v>
      </c>
      <c r="K116">
        <v>187</v>
      </c>
      <c r="L116">
        <v>0</v>
      </c>
      <c r="M116" t="s">
        <v>115</v>
      </c>
      <c r="N116" t="str">
        <f t="shared" si="6"/>
        <v>PO-100115</v>
      </c>
      <c r="O116" t="str">
        <f t="shared" si="7"/>
        <v>Delivered</v>
      </c>
      <c r="P116" t="str">
        <f t="shared" si="8"/>
        <v>WH-BLR</v>
      </c>
      <c r="Q116" t="str">
        <f>VLOOKUP(C116, Lookups!$A$2:$D$10, 2, FALSE())</f>
        <v>NextGen Hardware</v>
      </c>
      <c r="R116" t="str">
        <f>_xlfn.XLOOKUP(D116, Lookups!$A$12:$A$51, Lookups!$C$12:$C$51, "Unknown")</f>
        <v>Electronics</v>
      </c>
      <c r="S116" t="str">
        <f>IF(ISBLANK(I116), B116+VLOOKUP(C116, Lookups!$A$2:$D$10, 4, FALSE()), I116)</f>
        <v>2026-06-25</v>
      </c>
      <c r="T116">
        <f t="shared" si="9"/>
        <v>24</v>
      </c>
      <c r="U116" t="str">
        <f t="shared" si="10"/>
        <v>On-Time</v>
      </c>
      <c r="V116">
        <f t="shared" si="11"/>
        <v>0</v>
      </c>
    </row>
    <row r="117" spans="1:22" x14ac:dyDescent="0.45">
      <c r="A117" t="s">
        <v>485</v>
      </c>
      <c r="B117" t="s">
        <v>486</v>
      </c>
      <c r="C117" t="s">
        <v>35</v>
      </c>
      <c r="D117" t="s">
        <v>70</v>
      </c>
      <c r="E117" t="s">
        <v>16</v>
      </c>
      <c r="F117">
        <v>110</v>
      </c>
      <c r="G117">
        <v>4287</v>
      </c>
      <c r="H117">
        <v>471570</v>
      </c>
      <c r="I117" t="s">
        <v>487</v>
      </c>
      <c r="J117" t="s">
        <v>214</v>
      </c>
      <c r="K117">
        <v>110</v>
      </c>
      <c r="L117">
        <v>0</v>
      </c>
      <c r="M117" t="s">
        <v>115</v>
      </c>
      <c r="N117" t="str">
        <f t="shared" si="6"/>
        <v>PO-100116</v>
      </c>
      <c r="O117" t="str">
        <f t="shared" si="7"/>
        <v>Delivered</v>
      </c>
      <c r="P117" t="str">
        <f t="shared" si="8"/>
        <v>WH-DEL</v>
      </c>
      <c r="Q117" t="str">
        <f>VLOOKUP(C117, Lookups!$A$2:$D$10, 2, FALSE())</f>
        <v>Peripheral Source</v>
      </c>
      <c r="R117" t="str">
        <f>_xlfn.XLOOKUP(D117, Lookups!$A$12:$A$51, Lookups!$C$12:$C$51, "Unknown")</f>
        <v>Peripherals</v>
      </c>
      <c r="S117" t="str">
        <f>IF(ISBLANK(I117), B117+VLOOKUP(C117, Lookups!$A$2:$D$10, 4, FALSE()), I117)</f>
        <v>2025-06-26</v>
      </c>
      <c r="T117">
        <f t="shared" si="9"/>
        <v>11</v>
      </c>
      <c r="U117" t="str">
        <f t="shared" si="10"/>
        <v>Late</v>
      </c>
      <c r="V117">
        <f t="shared" si="11"/>
        <v>0</v>
      </c>
    </row>
    <row r="118" spans="1:22" x14ac:dyDescent="0.45">
      <c r="A118" t="s">
        <v>488</v>
      </c>
      <c r="B118" t="s">
        <v>489</v>
      </c>
      <c r="C118" t="s">
        <v>34</v>
      </c>
      <c r="D118" t="s">
        <v>74</v>
      </c>
      <c r="E118" t="s">
        <v>16</v>
      </c>
      <c r="F118">
        <v>41</v>
      </c>
      <c r="G118">
        <v>94797</v>
      </c>
      <c r="H118">
        <v>3886677</v>
      </c>
      <c r="I118" t="s">
        <v>266</v>
      </c>
      <c r="J118" t="s">
        <v>285</v>
      </c>
      <c r="K118">
        <v>41</v>
      </c>
      <c r="L118">
        <v>0</v>
      </c>
      <c r="M118" t="s">
        <v>115</v>
      </c>
      <c r="N118" t="str">
        <f t="shared" si="6"/>
        <v>PO-100117</v>
      </c>
      <c r="O118" t="str">
        <f t="shared" si="7"/>
        <v>Delivered</v>
      </c>
      <c r="P118" t="str">
        <f t="shared" si="8"/>
        <v>WH-DEL</v>
      </c>
      <c r="Q118" t="str">
        <f>VLOOKUP(C118, Lookups!$A$2:$D$10, 2, FALSE())</f>
        <v>FastElectronics</v>
      </c>
      <c r="R118" t="str">
        <f>_xlfn.XLOOKUP(D118, Lookups!$A$12:$A$51, Lookups!$C$12:$C$51, "Unknown")</f>
        <v>Electronics</v>
      </c>
      <c r="S118" t="str">
        <f>IF(ISBLANK(I118), B118+VLOOKUP(C118, Lookups!$A$2:$D$10, 4, FALSE()), I118)</f>
        <v>2025-02-15</v>
      </c>
      <c r="T118">
        <f t="shared" si="9"/>
        <v>32</v>
      </c>
      <c r="U118" t="str">
        <f t="shared" si="10"/>
        <v>Late</v>
      </c>
      <c r="V118">
        <f t="shared" si="11"/>
        <v>0</v>
      </c>
    </row>
    <row r="119" spans="1:22" x14ac:dyDescent="0.45">
      <c r="A119" t="s">
        <v>490</v>
      </c>
      <c r="B119" t="s">
        <v>240</v>
      </c>
      <c r="C119" t="s">
        <v>33</v>
      </c>
      <c r="D119" t="s">
        <v>89</v>
      </c>
      <c r="E119" t="s">
        <v>15</v>
      </c>
      <c r="F119">
        <v>123</v>
      </c>
      <c r="G119">
        <v>11309</v>
      </c>
      <c r="H119">
        <v>1391007</v>
      </c>
      <c r="I119" t="s">
        <v>469</v>
      </c>
      <c r="J119" t="s">
        <v>491</v>
      </c>
      <c r="K119">
        <v>123</v>
      </c>
      <c r="L119">
        <v>0</v>
      </c>
      <c r="M119" t="s">
        <v>115</v>
      </c>
      <c r="N119" t="str">
        <f t="shared" si="6"/>
        <v>PO-100118</v>
      </c>
      <c r="O119" t="str">
        <f t="shared" si="7"/>
        <v>Delivered</v>
      </c>
      <c r="P119" t="str">
        <f t="shared" si="8"/>
        <v>WH-BOM</v>
      </c>
      <c r="Q119" t="str">
        <f>VLOOKUP(C119, Lookups!$A$2:$D$10, 2, FALSE())</f>
        <v>MegaFurnish</v>
      </c>
      <c r="R119" t="str">
        <f>_xlfn.XLOOKUP(D119, Lookups!$A$12:$A$51, Lookups!$C$12:$C$51, "Unknown")</f>
        <v>Office Furniture</v>
      </c>
      <c r="S119" t="str">
        <f>IF(ISBLANK(I119), B119+VLOOKUP(C119, Lookups!$A$2:$D$10, 4, FALSE()), I119)</f>
        <v>2025-07-15</v>
      </c>
      <c r="T119">
        <f t="shared" si="9"/>
        <v>31</v>
      </c>
      <c r="U119" t="str">
        <f t="shared" si="10"/>
        <v>Late</v>
      </c>
      <c r="V119">
        <f t="shared" si="11"/>
        <v>0</v>
      </c>
    </row>
    <row r="120" spans="1:22" x14ac:dyDescent="0.45">
      <c r="A120" t="s">
        <v>492</v>
      </c>
      <c r="B120" t="s">
        <v>493</v>
      </c>
      <c r="C120" t="s">
        <v>35</v>
      </c>
      <c r="D120" t="s">
        <v>91</v>
      </c>
      <c r="E120" t="s">
        <v>16</v>
      </c>
      <c r="F120">
        <v>24</v>
      </c>
      <c r="G120">
        <v>6707</v>
      </c>
      <c r="H120">
        <v>160968</v>
      </c>
      <c r="I120" t="s">
        <v>494</v>
      </c>
      <c r="J120" t="s">
        <v>495</v>
      </c>
      <c r="K120">
        <v>24</v>
      </c>
      <c r="L120">
        <v>0</v>
      </c>
      <c r="M120" t="s">
        <v>115</v>
      </c>
      <c r="N120" t="str">
        <f t="shared" si="6"/>
        <v>PO-100119</v>
      </c>
      <c r="O120" t="str">
        <f t="shared" si="7"/>
        <v>Delivered</v>
      </c>
      <c r="P120" t="str">
        <f t="shared" si="8"/>
        <v>WH-DEL</v>
      </c>
      <c r="Q120" t="str">
        <f>VLOOKUP(C120, Lookups!$A$2:$D$10, 2, FALSE())</f>
        <v>Peripheral Source</v>
      </c>
      <c r="R120" t="str">
        <f>_xlfn.XLOOKUP(D120, Lookups!$A$12:$A$51, Lookups!$C$12:$C$51, "Unknown")</f>
        <v>Peripherals</v>
      </c>
      <c r="S120" t="str">
        <f>IF(ISBLANK(I120), B120+VLOOKUP(C120, Lookups!$A$2:$D$10, 4, FALSE()), I120)</f>
        <v>2026-09-18</v>
      </c>
      <c r="T120">
        <f t="shared" si="9"/>
        <v>15</v>
      </c>
      <c r="U120" t="str">
        <f t="shared" si="10"/>
        <v>Late</v>
      </c>
      <c r="V120">
        <f t="shared" si="11"/>
        <v>0</v>
      </c>
    </row>
    <row r="121" spans="1:22" x14ac:dyDescent="0.45">
      <c r="A121" t="s">
        <v>496</v>
      </c>
      <c r="B121" t="s">
        <v>497</v>
      </c>
      <c r="C121" t="s">
        <v>30</v>
      </c>
      <c r="D121" t="s">
        <v>82</v>
      </c>
      <c r="E121" t="s">
        <v>18</v>
      </c>
      <c r="F121">
        <v>89</v>
      </c>
      <c r="G121">
        <v>83427</v>
      </c>
      <c r="H121">
        <v>7425003</v>
      </c>
      <c r="I121" t="s">
        <v>498</v>
      </c>
      <c r="J121" t="s">
        <v>499</v>
      </c>
      <c r="K121">
        <v>89</v>
      </c>
      <c r="L121">
        <v>0</v>
      </c>
      <c r="M121" t="s">
        <v>115</v>
      </c>
      <c r="N121" t="str">
        <f t="shared" si="6"/>
        <v>PO-100120</v>
      </c>
      <c r="O121" t="str">
        <f t="shared" si="7"/>
        <v>Delivered</v>
      </c>
      <c r="P121" t="str">
        <f t="shared" si="8"/>
        <v>WH-PUN</v>
      </c>
      <c r="Q121" t="str">
        <f>VLOOKUP(C121, Lookups!$A$2:$D$10, 2, FALSE())</f>
        <v>TechSupply Corp</v>
      </c>
      <c r="R121" t="str">
        <f>_xlfn.XLOOKUP(D121, Lookups!$A$12:$A$51, Lookups!$C$12:$C$51, "Unknown")</f>
        <v>Electronics</v>
      </c>
      <c r="S121" t="str">
        <f>IF(ISBLANK(I121), B121+VLOOKUP(C121, Lookups!$A$2:$D$10, 4, FALSE()), I121)</f>
        <v>2025-04-02</v>
      </c>
      <c r="T121">
        <f t="shared" si="9"/>
        <v>15</v>
      </c>
      <c r="U121" t="str">
        <f t="shared" si="10"/>
        <v>Late</v>
      </c>
      <c r="V121">
        <f t="shared" si="11"/>
        <v>0</v>
      </c>
    </row>
    <row r="122" spans="1:22" x14ac:dyDescent="0.45">
      <c r="A122" t="s">
        <v>500</v>
      </c>
      <c r="B122" t="s">
        <v>501</v>
      </c>
      <c r="C122" t="s">
        <v>36</v>
      </c>
      <c r="D122" t="s">
        <v>63</v>
      </c>
      <c r="E122" t="s">
        <v>17</v>
      </c>
      <c r="F122">
        <v>174</v>
      </c>
      <c r="G122">
        <v>71062</v>
      </c>
      <c r="H122">
        <v>12364788</v>
      </c>
      <c r="I122" t="s">
        <v>502</v>
      </c>
      <c r="J122" t="s">
        <v>503</v>
      </c>
      <c r="K122">
        <v>174</v>
      </c>
      <c r="L122">
        <v>0</v>
      </c>
      <c r="M122" t="s">
        <v>166</v>
      </c>
      <c r="N122" t="str">
        <f t="shared" si="6"/>
        <v>PO-100121</v>
      </c>
      <c r="O122" t="str">
        <f t="shared" si="7"/>
        <v>Delivered</v>
      </c>
      <c r="P122" t="str">
        <f t="shared" si="8"/>
        <v>WH-BLR</v>
      </c>
      <c r="Q122" t="str">
        <f>VLOOKUP(C122, Lookups!$A$2:$D$10, 2, FALSE())</f>
        <v>NextGen Hardware</v>
      </c>
      <c r="R122" t="str">
        <f>_xlfn.XLOOKUP(D122, Lookups!$A$12:$A$51, Lookups!$C$12:$C$51, "Unknown")</f>
        <v>Electronics</v>
      </c>
      <c r="S122" t="str">
        <f>IF(ISBLANK(I122), B122+VLOOKUP(C122, Lookups!$A$2:$D$10, 4, FALSE()), I122)</f>
        <v>2026-02-22</v>
      </c>
      <c r="T122">
        <f t="shared" si="9"/>
        <v>29</v>
      </c>
      <c r="U122" t="str">
        <f t="shared" si="10"/>
        <v>Late</v>
      </c>
      <c r="V122">
        <f t="shared" si="11"/>
        <v>0</v>
      </c>
    </row>
    <row r="123" spans="1:22" x14ac:dyDescent="0.45">
      <c r="A123" t="s">
        <v>504</v>
      </c>
      <c r="B123" t="s">
        <v>505</v>
      </c>
      <c r="C123" t="s">
        <v>33</v>
      </c>
      <c r="D123" t="s">
        <v>89</v>
      </c>
      <c r="E123" t="s">
        <v>16</v>
      </c>
      <c r="F123">
        <v>56</v>
      </c>
      <c r="G123">
        <v>11309</v>
      </c>
      <c r="H123">
        <v>633304</v>
      </c>
      <c r="I123" t="s">
        <v>506</v>
      </c>
      <c r="J123" t="s">
        <v>506</v>
      </c>
      <c r="K123">
        <v>56</v>
      </c>
      <c r="L123">
        <v>0</v>
      </c>
      <c r="M123" t="s">
        <v>115</v>
      </c>
      <c r="N123" t="str">
        <f t="shared" si="6"/>
        <v>PO-100122</v>
      </c>
      <c r="O123" t="str">
        <f t="shared" si="7"/>
        <v>Delivered</v>
      </c>
      <c r="P123" t="str">
        <f t="shared" si="8"/>
        <v>WH-DEL</v>
      </c>
      <c r="Q123" t="str">
        <f>VLOOKUP(C123, Lookups!$A$2:$D$10, 2, FALSE())</f>
        <v>MegaFurnish</v>
      </c>
      <c r="R123" t="str">
        <f>_xlfn.XLOOKUP(D123, Lookups!$A$12:$A$51, Lookups!$C$12:$C$51, "Unknown")</f>
        <v>Office Furniture</v>
      </c>
      <c r="S123" t="str">
        <f>IF(ISBLANK(I123), B123+VLOOKUP(C123, Lookups!$A$2:$D$10, 4, FALSE()), I123)</f>
        <v>2025-05-11</v>
      </c>
      <c r="T123">
        <f t="shared" si="9"/>
        <v>30</v>
      </c>
      <c r="U123" t="str">
        <f t="shared" si="10"/>
        <v>On-Time</v>
      </c>
      <c r="V123">
        <f t="shared" si="11"/>
        <v>0</v>
      </c>
    </row>
    <row r="124" spans="1:22" x14ac:dyDescent="0.45">
      <c r="A124" t="s">
        <v>507</v>
      </c>
      <c r="B124" t="s">
        <v>508</v>
      </c>
      <c r="C124" t="s">
        <v>31</v>
      </c>
      <c r="D124" t="s">
        <v>66</v>
      </c>
      <c r="E124" t="s">
        <v>18</v>
      </c>
      <c r="F124">
        <v>42</v>
      </c>
      <c r="G124">
        <v>29719</v>
      </c>
      <c r="H124">
        <v>1248198</v>
      </c>
      <c r="I124" t="s">
        <v>359</v>
      </c>
      <c r="J124" t="s">
        <v>262</v>
      </c>
      <c r="K124">
        <v>42</v>
      </c>
      <c r="L124">
        <v>0</v>
      </c>
      <c r="M124" t="s">
        <v>115</v>
      </c>
      <c r="N124" t="str">
        <f t="shared" si="6"/>
        <v>PO-100123</v>
      </c>
      <c r="O124" t="str">
        <f t="shared" si="7"/>
        <v>Delivered</v>
      </c>
      <c r="P124" t="str">
        <f t="shared" si="8"/>
        <v>WH-PUN</v>
      </c>
      <c r="Q124" t="str">
        <f>VLOOKUP(C124, Lookups!$A$2:$D$10, 2, FALSE())</f>
        <v>Global Networks</v>
      </c>
      <c r="R124" t="str">
        <f>_xlfn.XLOOKUP(D124, Lookups!$A$12:$A$51, Lookups!$C$12:$C$51, "Unknown")</f>
        <v>Networking</v>
      </c>
      <c r="S124" t="str">
        <f>IF(ISBLANK(I124), B124+VLOOKUP(C124, Lookups!$A$2:$D$10, 4, FALSE()), I124)</f>
        <v>2026-02-07</v>
      </c>
      <c r="T124">
        <f t="shared" si="9"/>
        <v>22</v>
      </c>
      <c r="U124" t="str">
        <f t="shared" si="10"/>
        <v>Late</v>
      </c>
      <c r="V124">
        <f t="shared" si="11"/>
        <v>0</v>
      </c>
    </row>
    <row r="125" spans="1:22" x14ac:dyDescent="0.45">
      <c r="A125" t="s">
        <v>509</v>
      </c>
      <c r="B125" t="s">
        <v>413</v>
      </c>
      <c r="C125" t="s">
        <v>31</v>
      </c>
      <c r="D125" t="s">
        <v>77</v>
      </c>
      <c r="E125" t="s">
        <v>17</v>
      </c>
      <c r="F125">
        <v>108</v>
      </c>
      <c r="G125">
        <v>23667</v>
      </c>
      <c r="H125">
        <v>2556036</v>
      </c>
      <c r="I125" t="s">
        <v>510</v>
      </c>
      <c r="J125" t="s">
        <v>194</v>
      </c>
      <c r="K125">
        <v>108</v>
      </c>
      <c r="L125">
        <v>0</v>
      </c>
      <c r="M125" t="s">
        <v>115</v>
      </c>
      <c r="N125" t="str">
        <f t="shared" si="6"/>
        <v>PO-100124</v>
      </c>
      <c r="O125" t="str">
        <f t="shared" si="7"/>
        <v>Delivered</v>
      </c>
      <c r="P125" t="str">
        <f t="shared" si="8"/>
        <v>WH-BLR</v>
      </c>
      <c r="Q125" t="str">
        <f>VLOOKUP(C125, Lookups!$A$2:$D$10, 2, FALSE())</f>
        <v>Global Networks</v>
      </c>
      <c r="R125" t="str">
        <f>_xlfn.XLOOKUP(D125, Lookups!$A$12:$A$51, Lookups!$C$12:$C$51, "Unknown")</f>
        <v>Networking</v>
      </c>
      <c r="S125" t="str">
        <f>IF(ISBLANK(I125), B125+VLOOKUP(C125, Lookups!$A$2:$D$10, 4, FALSE()), I125)</f>
        <v>2026-06-26</v>
      </c>
      <c r="T125">
        <f t="shared" si="9"/>
        <v>25</v>
      </c>
      <c r="U125" t="str">
        <f t="shared" si="10"/>
        <v>Late</v>
      </c>
      <c r="V125">
        <f t="shared" si="11"/>
        <v>0</v>
      </c>
    </row>
    <row r="126" spans="1:22" x14ac:dyDescent="0.45">
      <c r="A126" t="s">
        <v>511</v>
      </c>
      <c r="B126" t="s">
        <v>337</v>
      </c>
      <c r="C126" t="s">
        <v>30</v>
      </c>
      <c r="D126" t="s">
        <v>59</v>
      </c>
      <c r="E126" t="s">
        <v>18</v>
      </c>
      <c r="F126">
        <v>217</v>
      </c>
      <c r="G126">
        <v>48905</v>
      </c>
      <c r="H126">
        <v>10612385</v>
      </c>
      <c r="I126" t="s">
        <v>512</v>
      </c>
      <c r="J126" t="s">
        <v>512</v>
      </c>
      <c r="K126">
        <v>183</v>
      </c>
      <c r="L126">
        <v>0</v>
      </c>
      <c r="M126" t="s">
        <v>115</v>
      </c>
      <c r="N126" t="str">
        <f t="shared" si="6"/>
        <v>PO-100125</v>
      </c>
      <c r="O126" t="str">
        <f t="shared" si="7"/>
        <v>Delivered</v>
      </c>
      <c r="P126" t="str">
        <f t="shared" si="8"/>
        <v>WH-PUN</v>
      </c>
      <c r="Q126" t="str">
        <f>VLOOKUP(C126, Lookups!$A$2:$D$10, 2, FALSE())</f>
        <v>TechSupply Corp</v>
      </c>
      <c r="R126" t="str">
        <f>_xlfn.XLOOKUP(D126, Lookups!$A$12:$A$51, Lookups!$C$12:$C$51, "Unknown")</f>
        <v>Electronics</v>
      </c>
      <c r="S126" t="str">
        <f>IF(ISBLANK(I126), B126+VLOOKUP(C126, Lookups!$A$2:$D$10, 4, FALSE()), I126)</f>
        <v>2026-03-26</v>
      </c>
      <c r="T126">
        <f t="shared" si="9"/>
        <v>14</v>
      </c>
      <c r="U126" t="str">
        <f t="shared" si="10"/>
        <v>On-Time</v>
      </c>
      <c r="V126">
        <f t="shared" si="11"/>
        <v>0</v>
      </c>
    </row>
    <row r="127" spans="1:22" x14ac:dyDescent="0.45">
      <c r="A127" t="s">
        <v>513</v>
      </c>
      <c r="B127" t="s">
        <v>194</v>
      </c>
      <c r="C127" t="s">
        <v>37</v>
      </c>
      <c r="D127" t="s">
        <v>69</v>
      </c>
      <c r="E127" t="s">
        <v>17</v>
      </c>
      <c r="F127">
        <v>233</v>
      </c>
      <c r="G127">
        <v>13231</v>
      </c>
      <c r="H127">
        <v>3082823</v>
      </c>
      <c r="I127" t="s">
        <v>290</v>
      </c>
      <c r="J127" t="s">
        <v>514</v>
      </c>
      <c r="K127">
        <v>233</v>
      </c>
      <c r="L127">
        <v>0</v>
      </c>
      <c r="M127" t="s">
        <v>115</v>
      </c>
      <c r="N127" t="str">
        <f t="shared" si="6"/>
        <v>PO-100126</v>
      </c>
      <c r="O127" t="str">
        <f t="shared" si="7"/>
        <v>Delivered</v>
      </c>
      <c r="P127" t="str">
        <f t="shared" si="8"/>
        <v>WH-BLR</v>
      </c>
      <c r="Q127" t="str">
        <f>VLOOKUP(C127, Lookups!$A$2:$D$10, 2, FALSE())</f>
        <v>Premium Desks Ltd</v>
      </c>
      <c r="R127" t="str">
        <f>_xlfn.XLOOKUP(D127, Lookups!$A$12:$A$51, Lookups!$C$12:$C$51, "Unknown")</f>
        <v>Office Furniture</v>
      </c>
      <c r="S127" t="str">
        <f>IF(ISBLANK(I127), B127+VLOOKUP(C127, Lookups!$A$2:$D$10, 4, FALSE()), I127)</f>
        <v>2026-07-12</v>
      </c>
      <c r="T127">
        <f t="shared" si="9"/>
        <v>14</v>
      </c>
      <c r="U127" t="str">
        <f t="shared" si="10"/>
        <v>Late</v>
      </c>
      <c r="V127">
        <f t="shared" si="11"/>
        <v>0</v>
      </c>
    </row>
    <row r="128" spans="1:22" x14ac:dyDescent="0.45">
      <c r="A128" t="s">
        <v>515</v>
      </c>
      <c r="B128" t="s">
        <v>380</v>
      </c>
      <c r="C128" t="s">
        <v>34</v>
      </c>
      <c r="D128" t="s">
        <v>74</v>
      </c>
      <c r="E128" t="s">
        <v>16</v>
      </c>
      <c r="F128">
        <v>230</v>
      </c>
      <c r="G128">
        <v>94797</v>
      </c>
      <c r="H128">
        <v>21803310</v>
      </c>
      <c r="I128" t="s">
        <v>516</v>
      </c>
      <c r="J128" t="s">
        <v>516</v>
      </c>
      <c r="K128">
        <v>230</v>
      </c>
      <c r="L128">
        <v>0</v>
      </c>
      <c r="M128" t="s">
        <v>115</v>
      </c>
      <c r="N128" t="str">
        <f t="shared" si="6"/>
        <v>PO-100127</v>
      </c>
      <c r="O128" t="str">
        <f t="shared" si="7"/>
        <v>Delivered</v>
      </c>
      <c r="P128" t="str">
        <f t="shared" si="8"/>
        <v>WH-DEL</v>
      </c>
      <c r="Q128" t="str">
        <f>VLOOKUP(C128, Lookups!$A$2:$D$10, 2, FALSE())</f>
        <v>FastElectronics</v>
      </c>
      <c r="R128" t="str">
        <f>_xlfn.XLOOKUP(D128, Lookups!$A$12:$A$51, Lookups!$C$12:$C$51, "Unknown")</f>
        <v>Electronics</v>
      </c>
      <c r="S128" t="str">
        <f>IF(ISBLANK(I128), B128+VLOOKUP(C128, Lookups!$A$2:$D$10, 4, FALSE()), I128)</f>
        <v>2025-03-24</v>
      </c>
      <c r="T128">
        <f t="shared" si="9"/>
        <v>18</v>
      </c>
      <c r="U128" t="str">
        <f t="shared" si="10"/>
        <v>On-Time</v>
      </c>
      <c r="V128">
        <f t="shared" si="11"/>
        <v>0</v>
      </c>
    </row>
    <row r="129" spans="1:22" x14ac:dyDescent="0.45">
      <c r="A129" t="s">
        <v>517</v>
      </c>
      <c r="B129" t="s">
        <v>518</v>
      </c>
      <c r="C129" t="s">
        <v>34</v>
      </c>
      <c r="D129" t="s">
        <v>58</v>
      </c>
      <c r="E129" t="s">
        <v>15</v>
      </c>
      <c r="F129">
        <v>86</v>
      </c>
      <c r="G129">
        <v>100302</v>
      </c>
      <c r="H129">
        <v>8625972</v>
      </c>
      <c r="I129" t="s">
        <v>473</v>
      </c>
      <c r="J129" t="s">
        <v>473</v>
      </c>
      <c r="K129">
        <v>86</v>
      </c>
      <c r="L129">
        <v>0</v>
      </c>
      <c r="M129" t="s">
        <v>115</v>
      </c>
      <c r="N129" t="str">
        <f t="shared" si="6"/>
        <v>PO-100128</v>
      </c>
      <c r="O129" t="str">
        <f t="shared" si="7"/>
        <v>Delivered</v>
      </c>
      <c r="P129" t="str">
        <f t="shared" si="8"/>
        <v>WH-BOM</v>
      </c>
      <c r="Q129" t="str">
        <f>VLOOKUP(C129, Lookups!$A$2:$D$10, 2, FALSE())</f>
        <v>FastElectronics</v>
      </c>
      <c r="R129" t="str">
        <f>_xlfn.XLOOKUP(D129, Lookups!$A$12:$A$51, Lookups!$C$12:$C$51, "Unknown")</f>
        <v>Electronics</v>
      </c>
      <c r="S129" t="str">
        <f>IF(ISBLANK(I129), B129+VLOOKUP(C129, Lookups!$A$2:$D$10, 4, FALSE()), I129)</f>
        <v>2025-06-10</v>
      </c>
      <c r="T129">
        <f t="shared" si="9"/>
        <v>18</v>
      </c>
      <c r="U129" t="str">
        <f t="shared" si="10"/>
        <v>On-Time</v>
      </c>
      <c r="V129">
        <f t="shared" si="11"/>
        <v>0</v>
      </c>
    </row>
    <row r="130" spans="1:22" x14ac:dyDescent="0.45">
      <c r="A130" t="s">
        <v>519</v>
      </c>
      <c r="B130" t="s">
        <v>520</v>
      </c>
      <c r="C130" t="s">
        <v>34</v>
      </c>
      <c r="D130" t="s">
        <v>81</v>
      </c>
      <c r="E130" t="s">
        <v>16</v>
      </c>
      <c r="F130">
        <v>76</v>
      </c>
      <c r="G130">
        <v>55328</v>
      </c>
      <c r="H130">
        <v>4204928</v>
      </c>
      <c r="I130" t="s">
        <v>521</v>
      </c>
      <c r="J130" t="s">
        <v>521</v>
      </c>
      <c r="K130">
        <v>76</v>
      </c>
      <c r="L130">
        <v>0</v>
      </c>
      <c r="M130" t="s">
        <v>115</v>
      </c>
      <c r="N130" t="str">
        <f t="shared" ref="N130:N193" si="12">TRIM(A130)</f>
        <v>PO-100129</v>
      </c>
      <c r="O130" t="str">
        <f t="shared" ref="O130:O193" si="13">PROPER(TRIM(M130))</f>
        <v>Delivered</v>
      </c>
      <c r="P130" t="str">
        <f t="shared" ref="P130:P193" si="14">TRIM(E130)</f>
        <v>WH-DEL</v>
      </c>
      <c r="Q130" t="str">
        <f>VLOOKUP(C130, Lookups!$A$2:$D$10, 2, FALSE())</f>
        <v>FastElectronics</v>
      </c>
      <c r="R130" t="str">
        <f>_xlfn.XLOOKUP(D130, Lookups!$A$12:$A$51, Lookups!$C$12:$C$51, "Unknown")</f>
        <v>Electronics</v>
      </c>
      <c r="S130" t="str">
        <f>IF(ISBLANK(I130), B130+VLOOKUP(C130, Lookups!$A$2:$D$10, 4, FALSE()), I130)</f>
        <v>2026-09-16</v>
      </c>
      <c r="T130">
        <f t="shared" ref="T130:T193" si="15">IF(ISBLANK(J130), "", J130-B130)</f>
        <v>18</v>
      </c>
      <c r="U130" t="str">
        <f t="shared" ref="U130:U193" si="16">IF(O130="Open", "Open", IF(J130&gt;S130, "Late", "On-Time"))</f>
        <v>On-Time</v>
      </c>
      <c r="V130">
        <f t="shared" ref="V130:V193" si="17">IF(K130&gt;0, L130/K130, 0)</f>
        <v>0</v>
      </c>
    </row>
    <row r="131" spans="1:22" x14ac:dyDescent="0.45">
      <c r="A131" t="s">
        <v>522</v>
      </c>
      <c r="B131" t="s">
        <v>523</v>
      </c>
      <c r="C131" t="s">
        <v>30</v>
      </c>
      <c r="D131" t="s">
        <v>61</v>
      </c>
      <c r="E131" t="s">
        <v>15</v>
      </c>
      <c r="F131">
        <v>138</v>
      </c>
      <c r="G131">
        <v>111237</v>
      </c>
      <c r="H131">
        <v>15350706</v>
      </c>
      <c r="I131" t="s">
        <v>524</v>
      </c>
      <c r="J131" t="s">
        <v>525</v>
      </c>
      <c r="K131">
        <v>138</v>
      </c>
      <c r="L131">
        <v>0</v>
      </c>
      <c r="M131" t="s">
        <v>115</v>
      </c>
      <c r="N131" t="str">
        <f t="shared" si="12"/>
        <v>PO-100130</v>
      </c>
      <c r="O131" t="str">
        <f t="shared" si="13"/>
        <v>Delivered</v>
      </c>
      <c r="P131" t="str">
        <f t="shared" si="14"/>
        <v>WH-BOM</v>
      </c>
      <c r="Q131" t="str">
        <f>VLOOKUP(C131, Lookups!$A$2:$D$10, 2, FALSE())</f>
        <v>TechSupply Corp</v>
      </c>
      <c r="R131" t="str">
        <f>_xlfn.XLOOKUP(D131, Lookups!$A$12:$A$51, Lookups!$C$12:$C$51, "Unknown")</f>
        <v>Electronics</v>
      </c>
      <c r="S131" t="str">
        <f>IF(ISBLANK(I131), B131+VLOOKUP(C131, Lookups!$A$2:$D$10, 4, FALSE()), I131)</f>
        <v>2025-05-29</v>
      </c>
      <c r="T131">
        <f t="shared" si="15"/>
        <v>15</v>
      </c>
      <c r="U131" t="str">
        <f t="shared" si="16"/>
        <v>Late</v>
      </c>
      <c r="V131">
        <f t="shared" si="17"/>
        <v>0</v>
      </c>
    </row>
    <row r="132" spans="1:22" x14ac:dyDescent="0.45">
      <c r="A132" t="s">
        <v>526</v>
      </c>
      <c r="B132" t="s">
        <v>527</v>
      </c>
      <c r="C132" t="s">
        <v>30</v>
      </c>
      <c r="D132" t="s">
        <v>59</v>
      </c>
      <c r="E132" t="s">
        <v>16</v>
      </c>
      <c r="F132">
        <v>198</v>
      </c>
      <c r="G132">
        <v>48905</v>
      </c>
      <c r="H132">
        <v>9683190</v>
      </c>
      <c r="I132" t="s">
        <v>419</v>
      </c>
      <c r="J132" t="s">
        <v>419</v>
      </c>
      <c r="K132">
        <v>198</v>
      </c>
      <c r="L132">
        <v>0</v>
      </c>
      <c r="M132" t="s">
        <v>115</v>
      </c>
      <c r="N132" t="str">
        <f t="shared" si="12"/>
        <v>PO-100131</v>
      </c>
      <c r="O132" t="str">
        <f t="shared" si="13"/>
        <v>Delivered</v>
      </c>
      <c r="P132" t="str">
        <f t="shared" si="14"/>
        <v>WH-DEL</v>
      </c>
      <c r="Q132" t="str">
        <f>VLOOKUP(C132, Lookups!$A$2:$D$10, 2, FALSE())</f>
        <v>TechSupply Corp</v>
      </c>
      <c r="R132" t="str">
        <f>_xlfn.XLOOKUP(D132, Lookups!$A$12:$A$51, Lookups!$C$12:$C$51, "Unknown")</f>
        <v>Electronics</v>
      </c>
      <c r="S132" t="str">
        <f>IF(ISBLANK(I132), B132+VLOOKUP(C132, Lookups!$A$2:$D$10, 4, FALSE()), I132)</f>
        <v>2026-07-21</v>
      </c>
      <c r="T132">
        <f t="shared" si="15"/>
        <v>14</v>
      </c>
      <c r="U132" t="str">
        <f t="shared" si="16"/>
        <v>On-Time</v>
      </c>
      <c r="V132">
        <f t="shared" si="17"/>
        <v>0</v>
      </c>
    </row>
    <row r="133" spans="1:22" x14ac:dyDescent="0.45">
      <c r="A133" t="s">
        <v>528</v>
      </c>
      <c r="B133" t="s">
        <v>529</v>
      </c>
      <c r="C133" t="s">
        <v>34</v>
      </c>
      <c r="D133" t="s">
        <v>54</v>
      </c>
      <c r="E133" t="s">
        <v>18</v>
      </c>
      <c r="F133">
        <v>136</v>
      </c>
      <c r="G133">
        <v>22314</v>
      </c>
      <c r="H133">
        <v>3034704</v>
      </c>
      <c r="I133" t="s">
        <v>530</v>
      </c>
      <c r="J133" t="s">
        <v>530</v>
      </c>
      <c r="K133">
        <v>136</v>
      </c>
      <c r="L133">
        <v>0</v>
      </c>
      <c r="M133" t="s">
        <v>115</v>
      </c>
      <c r="N133" t="str">
        <f t="shared" si="12"/>
        <v>PO-100132</v>
      </c>
      <c r="O133" t="str">
        <f t="shared" si="13"/>
        <v>Delivered</v>
      </c>
      <c r="P133" t="str">
        <f t="shared" si="14"/>
        <v>WH-PUN</v>
      </c>
      <c r="Q133" t="str">
        <f>VLOOKUP(C133, Lookups!$A$2:$D$10, 2, FALSE())</f>
        <v>FastElectronics</v>
      </c>
      <c r="R133" t="str">
        <f>_xlfn.XLOOKUP(D133, Lookups!$A$12:$A$51, Lookups!$C$12:$C$51, "Unknown")</f>
        <v>Networking</v>
      </c>
      <c r="S133" t="str">
        <f>IF(ISBLANK(I133), B133+VLOOKUP(C133, Lookups!$A$2:$D$10, 4, FALSE()), I133)</f>
        <v>2026-06-07</v>
      </c>
      <c r="T133">
        <f t="shared" si="15"/>
        <v>18</v>
      </c>
      <c r="U133" t="str">
        <f t="shared" si="16"/>
        <v>On-Time</v>
      </c>
      <c r="V133">
        <f t="shared" si="17"/>
        <v>0</v>
      </c>
    </row>
    <row r="134" spans="1:22" x14ac:dyDescent="0.45">
      <c r="A134" t="s">
        <v>531</v>
      </c>
      <c r="B134" t="s">
        <v>474</v>
      </c>
      <c r="C134" t="s">
        <v>33</v>
      </c>
      <c r="D134" t="s">
        <v>89</v>
      </c>
      <c r="E134" t="s">
        <v>532</v>
      </c>
      <c r="F134">
        <v>100</v>
      </c>
      <c r="G134">
        <v>11309</v>
      </c>
      <c r="H134">
        <v>1130900</v>
      </c>
      <c r="I134" t="s">
        <v>533</v>
      </c>
      <c r="J134" t="s">
        <v>250</v>
      </c>
      <c r="K134">
        <v>100</v>
      </c>
      <c r="L134">
        <v>6</v>
      </c>
      <c r="M134" t="s">
        <v>115</v>
      </c>
      <c r="N134" t="str">
        <f t="shared" si="12"/>
        <v>PO-100133</v>
      </c>
      <c r="O134" t="str">
        <f t="shared" si="13"/>
        <v>Delivered</v>
      </c>
      <c r="P134" t="str">
        <f t="shared" si="14"/>
        <v>WH-PUN</v>
      </c>
      <c r="Q134" t="str">
        <f>VLOOKUP(C134, Lookups!$A$2:$D$10, 2, FALSE())</f>
        <v>MegaFurnish</v>
      </c>
      <c r="R134" t="str">
        <f>_xlfn.XLOOKUP(D134, Lookups!$A$12:$A$51, Lookups!$C$12:$C$51, "Unknown")</f>
        <v>Office Furniture</v>
      </c>
      <c r="S134" t="str">
        <f>IF(ISBLANK(I134), B134+VLOOKUP(C134, Lookups!$A$2:$D$10, 4, FALSE()), I134)</f>
        <v>2025-07-24</v>
      </c>
      <c r="T134">
        <f t="shared" si="15"/>
        <v>45</v>
      </c>
      <c r="U134" t="str">
        <f t="shared" si="16"/>
        <v>Late</v>
      </c>
      <c r="V134">
        <f t="shared" si="17"/>
        <v>0.06</v>
      </c>
    </row>
    <row r="135" spans="1:22" x14ac:dyDescent="0.45">
      <c r="A135" t="s">
        <v>534</v>
      </c>
      <c r="B135" t="s">
        <v>218</v>
      </c>
      <c r="C135" t="s">
        <v>30</v>
      </c>
      <c r="D135" t="s">
        <v>86</v>
      </c>
      <c r="E135" t="s">
        <v>17</v>
      </c>
      <c r="F135">
        <v>120</v>
      </c>
      <c r="G135">
        <v>74871</v>
      </c>
      <c r="H135">
        <v>8984520</v>
      </c>
      <c r="I135" t="s">
        <v>535</v>
      </c>
      <c r="J135" t="s">
        <v>411</v>
      </c>
      <c r="K135">
        <v>120</v>
      </c>
      <c r="L135">
        <v>0</v>
      </c>
      <c r="M135" t="s">
        <v>115</v>
      </c>
      <c r="N135" t="str">
        <f t="shared" si="12"/>
        <v>PO-100134</v>
      </c>
      <c r="O135" t="str">
        <f t="shared" si="13"/>
        <v>Delivered</v>
      </c>
      <c r="P135" t="str">
        <f t="shared" si="14"/>
        <v>WH-BLR</v>
      </c>
      <c r="Q135" t="str">
        <f>VLOOKUP(C135, Lookups!$A$2:$D$10, 2, FALSE())</f>
        <v>TechSupply Corp</v>
      </c>
      <c r="R135" t="str">
        <f>_xlfn.XLOOKUP(D135, Lookups!$A$12:$A$51, Lookups!$C$12:$C$51, "Unknown")</f>
        <v>Electronics</v>
      </c>
      <c r="S135" t="str">
        <f>IF(ISBLANK(I135), B135+VLOOKUP(C135, Lookups!$A$2:$D$10, 4, FALSE()), I135)</f>
        <v>2026-05-08</v>
      </c>
      <c r="T135">
        <f t="shared" si="15"/>
        <v>15</v>
      </c>
      <c r="U135" t="str">
        <f t="shared" si="16"/>
        <v>Late</v>
      </c>
      <c r="V135">
        <f t="shared" si="17"/>
        <v>0</v>
      </c>
    </row>
    <row r="136" spans="1:22" x14ac:dyDescent="0.45">
      <c r="A136" t="s">
        <v>536</v>
      </c>
      <c r="B136" t="s">
        <v>537</v>
      </c>
      <c r="C136" t="s">
        <v>31</v>
      </c>
      <c r="D136" t="s">
        <v>85</v>
      </c>
      <c r="E136" t="s">
        <v>16</v>
      </c>
      <c r="F136">
        <v>222</v>
      </c>
      <c r="G136">
        <v>16501</v>
      </c>
      <c r="H136">
        <v>3663222</v>
      </c>
      <c r="I136" t="s">
        <v>538</v>
      </c>
      <c r="J136" t="s">
        <v>538</v>
      </c>
      <c r="K136">
        <v>222</v>
      </c>
      <c r="L136">
        <v>0</v>
      </c>
      <c r="M136" t="s">
        <v>115</v>
      </c>
      <c r="N136" t="str">
        <f t="shared" si="12"/>
        <v>PO-100135</v>
      </c>
      <c r="O136" t="str">
        <f t="shared" si="13"/>
        <v>Delivered</v>
      </c>
      <c r="P136" t="str">
        <f t="shared" si="14"/>
        <v>WH-DEL</v>
      </c>
      <c r="Q136" t="str">
        <f>VLOOKUP(C136, Lookups!$A$2:$D$10, 2, FALSE())</f>
        <v>Global Networks</v>
      </c>
      <c r="R136" t="str">
        <f>_xlfn.XLOOKUP(D136, Lookups!$A$12:$A$51, Lookups!$C$12:$C$51, "Unknown")</f>
        <v>Networking</v>
      </c>
      <c r="S136" t="str">
        <f>IF(ISBLANK(I136), B136+VLOOKUP(C136, Lookups!$A$2:$D$10, 4, FALSE()), I136)</f>
        <v>2026-01-24</v>
      </c>
      <c r="T136">
        <f t="shared" si="15"/>
        <v>21</v>
      </c>
      <c r="U136" t="str">
        <f t="shared" si="16"/>
        <v>On-Time</v>
      </c>
      <c r="V136">
        <f t="shared" si="17"/>
        <v>0</v>
      </c>
    </row>
    <row r="137" spans="1:22" x14ac:dyDescent="0.45">
      <c r="A137" t="s">
        <v>539</v>
      </c>
      <c r="B137" t="s">
        <v>322</v>
      </c>
      <c r="C137" t="s">
        <v>30</v>
      </c>
      <c r="D137" t="s">
        <v>82</v>
      </c>
      <c r="E137" t="s">
        <v>16</v>
      </c>
      <c r="F137">
        <v>113</v>
      </c>
      <c r="G137">
        <v>83427</v>
      </c>
      <c r="H137">
        <v>9427251</v>
      </c>
      <c r="I137" t="s">
        <v>540</v>
      </c>
      <c r="J137" t="s">
        <v>540</v>
      </c>
      <c r="K137">
        <v>113</v>
      </c>
      <c r="L137">
        <v>0</v>
      </c>
      <c r="M137" t="s">
        <v>115</v>
      </c>
      <c r="N137" t="str">
        <f t="shared" si="12"/>
        <v>PO-100136</v>
      </c>
      <c r="O137" t="str">
        <f t="shared" si="13"/>
        <v>Delivered</v>
      </c>
      <c r="P137" t="str">
        <f t="shared" si="14"/>
        <v>WH-DEL</v>
      </c>
      <c r="Q137" t="str">
        <f>VLOOKUP(C137, Lookups!$A$2:$D$10, 2, FALSE())</f>
        <v>TechSupply Corp</v>
      </c>
      <c r="R137" t="str">
        <f>_xlfn.XLOOKUP(D137, Lookups!$A$12:$A$51, Lookups!$C$12:$C$51, "Unknown")</f>
        <v>Electronics</v>
      </c>
      <c r="S137" t="str">
        <f>IF(ISBLANK(I137), B137+VLOOKUP(C137, Lookups!$A$2:$D$10, 4, FALSE()), I137)</f>
        <v>2026-04-07</v>
      </c>
      <c r="T137">
        <f t="shared" si="15"/>
        <v>14</v>
      </c>
      <c r="U137" t="str">
        <f t="shared" si="16"/>
        <v>On-Time</v>
      </c>
      <c r="V137">
        <f t="shared" si="17"/>
        <v>0</v>
      </c>
    </row>
    <row r="138" spans="1:22" x14ac:dyDescent="0.45">
      <c r="A138" t="s">
        <v>541</v>
      </c>
      <c r="B138" t="s">
        <v>411</v>
      </c>
      <c r="C138" t="s">
        <v>35</v>
      </c>
      <c r="D138" t="s">
        <v>60</v>
      </c>
      <c r="E138" t="s">
        <v>16</v>
      </c>
      <c r="F138">
        <v>102</v>
      </c>
      <c r="G138">
        <v>3291</v>
      </c>
      <c r="H138">
        <v>335682</v>
      </c>
      <c r="I138" t="s">
        <v>542</v>
      </c>
      <c r="J138" t="s">
        <v>542</v>
      </c>
      <c r="K138">
        <v>102</v>
      </c>
      <c r="L138">
        <v>0</v>
      </c>
      <c r="M138" t="s">
        <v>115</v>
      </c>
      <c r="N138" t="str">
        <f t="shared" si="12"/>
        <v>PO-100137</v>
      </c>
      <c r="O138" t="str">
        <f t="shared" si="13"/>
        <v>Delivered</v>
      </c>
      <c r="P138" t="str">
        <f t="shared" si="14"/>
        <v>WH-DEL</v>
      </c>
      <c r="Q138" t="str">
        <f>VLOOKUP(C138, Lookups!$A$2:$D$10, 2, FALSE())</f>
        <v>Peripheral Source</v>
      </c>
      <c r="R138" t="str">
        <f>_xlfn.XLOOKUP(D138, Lookups!$A$12:$A$51, Lookups!$C$12:$C$51, "Unknown")</f>
        <v>Peripherals</v>
      </c>
      <c r="S138" t="str">
        <f>IF(ISBLANK(I138), B138+VLOOKUP(C138, Lookups!$A$2:$D$10, 4, FALSE()), I138)</f>
        <v>2026-05-19</v>
      </c>
      <c r="T138">
        <f t="shared" si="15"/>
        <v>10</v>
      </c>
      <c r="U138" t="str">
        <f t="shared" si="16"/>
        <v>On-Time</v>
      </c>
      <c r="V138">
        <f t="shared" si="17"/>
        <v>0</v>
      </c>
    </row>
    <row r="139" spans="1:22" x14ac:dyDescent="0.45">
      <c r="A139" t="s">
        <v>543</v>
      </c>
      <c r="B139" t="s">
        <v>544</v>
      </c>
      <c r="C139" t="s">
        <v>35</v>
      </c>
      <c r="D139" t="s">
        <v>75</v>
      </c>
      <c r="E139" t="s">
        <v>15</v>
      </c>
      <c r="F139">
        <v>211</v>
      </c>
      <c r="G139">
        <v>4440</v>
      </c>
      <c r="H139">
        <v>936840</v>
      </c>
      <c r="I139" t="s">
        <v>545</v>
      </c>
      <c r="J139" t="s">
        <v>545</v>
      </c>
      <c r="K139">
        <v>211</v>
      </c>
      <c r="L139">
        <v>0</v>
      </c>
      <c r="M139" t="s">
        <v>115</v>
      </c>
      <c r="N139" t="str">
        <f t="shared" si="12"/>
        <v>PO-100138</v>
      </c>
      <c r="O139" t="str">
        <f t="shared" si="13"/>
        <v>Delivered</v>
      </c>
      <c r="P139" t="str">
        <f t="shared" si="14"/>
        <v>WH-BOM</v>
      </c>
      <c r="Q139" t="str">
        <f>VLOOKUP(C139, Lookups!$A$2:$D$10, 2, FALSE())</f>
        <v>Peripheral Source</v>
      </c>
      <c r="R139" t="str">
        <f>_xlfn.XLOOKUP(D139, Lookups!$A$12:$A$51, Lookups!$C$12:$C$51, "Unknown")</f>
        <v>Peripherals</v>
      </c>
      <c r="S139" t="str">
        <f>IF(ISBLANK(I139), B139+VLOOKUP(C139, Lookups!$A$2:$D$10, 4, FALSE()), I139)</f>
        <v>2025-12-03</v>
      </c>
      <c r="T139">
        <f t="shared" si="15"/>
        <v>10</v>
      </c>
      <c r="U139" t="str">
        <f t="shared" si="16"/>
        <v>On-Time</v>
      </c>
      <c r="V139">
        <f t="shared" si="17"/>
        <v>0</v>
      </c>
    </row>
    <row r="140" spans="1:22" x14ac:dyDescent="0.45">
      <c r="A140" t="s">
        <v>546</v>
      </c>
      <c r="B140" t="s">
        <v>547</v>
      </c>
      <c r="C140" t="s">
        <v>30</v>
      </c>
      <c r="D140" t="s">
        <v>52</v>
      </c>
      <c r="E140" t="s">
        <v>15</v>
      </c>
      <c r="F140">
        <v>146</v>
      </c>
      <c r="G140">
        <v>59592</v>
      </c>
      <c r="H140">
        <v>8700432</v>
      </c>
      <c r="I140" t="s">
        <v>548</v>
      </c>
      <c r="J140" t="s">
        <v>549</v>
      </c>
      <c r="K140">
        <v>146</v>
      </c>
      <c r="L140">
        <v>0</v>
      </c>
      <c r="M140" t="s">
        <v>115</v>
      </c>
      <c r="N140" t="str">
        <f t="shared" si="12"/>
        <v>PO-100139</v>
      </c>
      <c r="O140" t="str">
        <f t="shared" si="13"/>
        <v>Delivered</v>
      </c>
      <c r="P140" t="str">
        <f t="shared" si="14"/>
        <v>WH-BOM</v>
      </c>
      <c r="Q140" t="str">
        <f>VLOOKUP(C140, Lookups!$A$2:$D$10, 2, FALSE())</f>
        <v>TechSupply Corp</v>
      </c>
      <c r="R140" t="str">
        <f>_xlfn.XLOOKUP(D140, Lookups!$A$12:$A$51, Lookups!$C$12:$C$51, "Unknown")</f>
        <v>Electronics</v>
      </c>
      <c r="S140" t="str">
        <f>IF(ISBLANK(I140), B140+VLOOKUP(C140, Lookups!$A$2:$D$10, 4, FALSE()), I140)</f>
        <v>2026-01-08</v>
      </c>
      <c r="T140">
        <f t="shared" si="15"/>
        <v>13</v>
      </c>
      <c r="U140" t="str">
        <f t="shared" si="16"/>
        <v>On-Time</v>
      </c>
      <c r="V140">
        <f t="shared" si="17"/>
        <v>0</v>
      </c>
    </row>
    <row r="141" spans="1:22" x14ac:dyDescent="0.45">
      <c r="A141" t="s">
        <v>550</v>
      </c>
      <c r="B141" t="s">
        <v>551</v>
      </c>
      <c r="C141" t="s">
        <v>34</v>
      </c>
      <c r="D141" t="s">
        <v>80</v>
      </c>
      <c r="E141" t="s">
        <v>16</v>
      </c>
      <c r="F141">
        <v>151</v>
      </c>
      <c r="G141">
        <v>19090</v>
      </c>
      <c r="H141">
        <v>2882590</v>
      </c>
      <c r="I141" t="s">
        <v>552</v>
      </c>
      <c r="J141" t="s">
        <v>544</v>
      </c>
      <c r="K141">
        <v>151</v>
      </c>
      <c r="L141">
        <v>0</v>
      </c>
      <c r="M141" t="s">
        <v>115</v>
      </c>
      <c r="N141" t="str">
        <f t="shared" si="12"/>
        <v>PO-100140</v>
      </c>
      <c r="O141" t="str">
        <f t="shared" si="13"/>
        <v>Delivered</v>
      </c>
      <c r="P141" t="str">
        <f t="shared" si="14"/>
        <v>WH-DEL</v>
      </c>
      <c r="Q141" t="str">
        <f>VLOOKUP(C141, Lookups!$A$2:$D$10, 2, FALSE())</f>
        <v>FastElectronics</v>
      </c>
      <c r="R141" t="str">
        <f>_xlfn.XLOOKUP(D141, Lookups!$A$12:$A$51, Lookups!$C$12:$C$51, "Unknown")</f>
        <v>Networking</v>
      </c>
      <c r="S141" t="str">
        <f>IF(ISBLANK(I141), B141+VLOOKUP(C141, Lookups!$A$2:$D$10, 4, FALSE()), I141)</f>
        <v>2025-11-22</v>
      </c>
      <c r="T141">
        <f t="shared" si="15"/>
        <v>19</v>
      </c>
      <c r="U141" t="str">
        <f t="shared" si="16"/>
        <v>Late</v>
      </c>
      <c r="V141">
        <f t="shared" si="17"/>
        <v>0</v>
      </c>
    </row>
    <row r="142" spans="1:22" x14ac:dyDescent="0.45">
      <c r="A142" t="s">
        <v>553</v>
      </c>
      <c r="B142" t="s">
        <v>499</v>
      </c>
      <c r="C142" t="s">
        <v>36</v>
      </c>
      <c r="D142" t="s">
        <v>62</v>
      </c>
      <c r="E142" t="s">
        <v>16</v>
      </c>
      <c r="F142">
        <v>72</v>
      </c>
      <c r="G142">
        <v>48478</v>
      </c>
      <c r="H142">
        <v>3490416</v>
      </c>
      <c r="I142" t="s">
        <v>480</v>
      </c>
      <c r="J142" t="s">
        <v>480</v>
      </c>
      <c r="K142">
        <v>72</v>
      </c>
      <c r="L142">
        <v>0</v>
      </c>
      <c r="M142" t="s">
        <v>115</v>
      </c>
      <c r="N142" t="str">
        <f t="shared" si="12"/>
        <v>PO-100141</v>
      </c>
      <c r="O142" t="str">
        <f t="shared" si="13"/>
        <v>Delivered</v>
      </c>
      <c r="P142" t="str">
        <f t="shared" si="14"/>
        <v>WH-DEL</v>
      </c>
      <c r="Q142" t="str">
        <f>VLOOKUP(C142, Lookups!$A$2:$D$10, 2, FALSE())</f>
        <v>NextGen Hardware</v>
      </c>
      <c r="R142" t="str">
        <f>_xlfn.XLOOKUP(D142, Lookups!$A$12:$A$51, Lookups!$C$12:$C$51, "Unknown")</f>
        <v>Electronics</v>
      </c>
      <c r="S142" t="str">
        <f>IF(ISBLANK(I142), B142+VLOOKUP(C142, Lookups!$A$2:$D$10, 4, FALSE()), I142)</f>
        <v>2025-04-27</v>
      </c>
      <c r="T142">
        <f t="shared" si="15"/>
        <v>24</v>
      </c>
      <c r="U142" t="str">
        <f t="shared" si="16"/>
        <v>On-Time</v>
      </c>
      <c r="V142">
        <f t="shared" si="17"/>
        <v>0</v>
      </c>
    </row>
    <row r="143" spans="1:22" x14ac:dyDescent="0.45">
      <c r="A143" t="s">
        <v>554</v>
      </c>
      <c r="B143" t="s">
        <v>555</v>
      </c>
      <c r="C143" t="s">
        <v>30</v>
      </c>
      <c r="D143" t="s">
        <v>52</v>
      </c>
      <c r="E143" t="s">
        <v>15</v>
      </c>
      <c r="F143">
        <v>165</v>
      </c>
      <c r="G143">
        <v>59592</v>
      </c>
      <c r="H143">
        <v>9832680</v>
      </c>
      <c r="I143" t="s">
        <v>556</v>
      </c>
      <c r="J143" t="s">
        <v>521</v>
      </c>
      <c r="K143">
        <v>165</v>
      </c>
      <c r="L143">
        <v>0</v>
      </c>
      <c r="M143" t="s">
        <v>115</v>
      </c>
      <c r="N143" t="str">
        <f t="shared" si="12"/>
        <v>PO-100142</v>
      </c>
      <c r="O143" t="str">
        <f t="shared" si="13"/>
        <v>Delivered</v>
      </c>
      <c r="P143" t="str">
        <f t="shared" si="14"/>
        <v>WH-BOM</v>
      </c>
      <c r="Q143" t="str">
        <f>VLOOKUP(C143, Lookups!$A$2:$D$10, 2, FALSE())</f>
        <v>TechSupply Corp</v>
      </c>
      <c r="R143" t="str">
        <f>_xlfn.XLOOKUP(D143, Lookups!$A$12:$A$51, Lookups!$C$12:$C$51, "Unknown")</f>
        <v>Electronics</v>
      </c>
      <c r="S143" t="str">
        <f>IF(ISBLANK(I143), B143+VLOOKUP(C143, Lookups!$A$2:$D$10, 4, FALSE()), I143)</f>
        <v>2026-09-15</v>
      </c>
      <c r="T143">
        <f t="shared" si="15"/>
        <v>15</v>
      </c>
      <c r="U143" t="str">
        <f t="shared" si="16"/>
        <v>Late</v>
      </c>
      <c r="V143">
        <f t="shared" si="17"/>
        <v>0</v>
      </c>
    </row>
    <row r="144" spans="1:22" x14ac:dyDescent="0.45">
      <c r="A144" t="s">
        <v>557</v>
      </c>
      <c r="B144" t="s">
        <v>443</v>
      </c>
      <c r="C144" t="s">
        <v>34</v>
      </c>
      <c r="D144" t="s">
        <v>54</v>
      </c>
      <c r="E144" t="s">
        <v>16</v>
      </c>
      <c r="F144">
        <v>114</v>
      </c>
      <c r="G144">
        <v>22314</v>
      </c>
      <c r="H144">
        <v>2543796</v>
      </c>
      <c r="I144" t="s">
        <v>558</v>
      </c>
      <c r="J144" t="s">
        <v>559</v>
      </c>
      <c r="K144">
        <v>114</v>
      </c>
      <c r="L144">
        <v>0</v>
      </c>
      <c r="M144" t="s">
        <v>115</v>
      </c>
      <c r="N144" t="str">
        <f t="shared" si="12"/>
        <v>PO-100143</v>
      </c>
      <c r="O144" t="str">
        <f t="shared" si="13"/>
        <v>Delivered</v>
      </c>
      <c r="P144" t="str">
        <f t="shared" si="14"/>
        <v>WH-DEL</v>
      </c>
      <c r="Q144" t="str">
        <f>VLOOKUP(C144, Lookups!$A$2:$D$10, 2, FALSE())</f>
        <v>FastElectronics</v>
      </c>
      <c r="R144" t="str">
        <f>_xlfn.XLOOKUP(D144, Lookups!$A$12:$A$51, Lookups!$C$12:$C$51, "Unknown")</f>
        <v>Networking</v>
      </c>
      <c r="S144" t="str">
        <f>IF(ISBLANK(I144), B144+VLOOKUP(C144, Lookups!$A$2:$D$10, 4, FALSE()), I144)</f>
        <v>2026-04-18</v>
      </c>
      <c r="T144">
        <f t="shared" si="15"/>
        <v>19</v>
      </c>
      <c r="U144" t="str">
        <f t="shared" si="16"/>
        <v>Late</v>
      </c>
      <c r="V144">
        <f t="shared" si="17"/>
        <v>0</v>
      </c>
    </row>
    <row r="145" spans="1:22" x14ac:dyDescent="0.45">
      <c r="A145" t="s">
        <v>560</v>
      </c>
      <c r="B145" t="s">
        <v>561</v>
      </c>
      <c r="C145" t="s">
        <v>33</v>
      </c>
      <c r="D145" t="s">
        <v>89</v>
      </c>
      <c r="E145" t="s">
        <v>17</v>
      </c>
      <c r="F145">
        <v>120</v>
      </c>
      <c r="G145">
        <v>11309</v>
      </c>
      <c r="H145">
        <v>1357080</v>
      </c>
      <c r="I145" t="s">
        <v>432</v>
      </c>
      <c r="J145" t="s">
        <v>562</v>
      </c>
      <c r="K145">
        <v>120</v>
      </c>
      <c r="L145">
        <v>0</v>
      </c>
      <c r="M145" t="s">
        <v>115</v>
      </c>
      <c r="N145" t="str">
        <f t="shared" si="12"/>
        <v>PO-100144</v>
      </c>
      <c r="O145" t="str">
        <f t="shared" si="13"/>
        <v>Delivered</v>
      </c>
      <c r="P145" t="str">
        <f t="shared" si="14"/>
        <v>WH-BLR</v>
      </c>
      <c r="Q145" t="str">
        <f>VLOOKUP(C145, Lookups!$A$2:$D$10, 2, FALSE())</f>
        <v>MegaFurnish</v>
      </c>
      <c r="R145" t="str">
        <f>_xlfn.XLOOKUP(D145, Lookups!$A$12:$A$51, Lookups!$C$12:$C$51, "Unknown")</f>
        <v>Office Furniture</v>
      </c>
      <c r="S145" t="str">
        <f>IF(ISBLANK(I145), B145+VLOOKUP(C145, Lookups!$A$2:$D$10, 4, FALSE()), I145)</f>
        <v>2025-03-25</v>
      </c>
      <c r="T145">
        <f t="shared" si="15"/>
        <v>26</v>
      </c>
      <c r="U145" t="str">
        <f t="shared" si="16"/>
        <v>On-Time</v>
      </c>
      <c r="V145">
        <f t="shared" si="17"/>
        <v>0</v>
      </c>
    </row>
    <row r="146" spans="1:22" x14ac:dyDescent="0.45">
      <c r="A146" t="s">
        <v>563</v>
      </c>
      <c r="B146" t="s">
        <v>564</v>
      </c>
      <c r="C146" t="s">
        <v>30</v>
      </c>
      <c r="D146" t="s">
        <v>53</v>
      </c>
      <c r="E146" t="s">
        <v>16</v>
      </c>
      <c r="F146">
        <v>167</v>
      </c>
      <c r="G146">
        <v>81048</v>
      </c>
      <c r="H146">
        <v>13535016</v>
      </c>
      <c r="I146" t="s">
        <v>565</v>
      </c>
      <c r="J146" t="s">
        <v>566</v>
      </c>
      <c r="K146">
        <v>167</v>
      </c>
      <c r="L146">
        <v>0</v>
      </c>
      <c r="M146" t="s">
        <v>115</v>
      </c>
      <c r="N146" t="str">
        <f t="shared" si="12"/>
        <v>PO-100145</v>
      </c>
      <c r="O146" t="str">
        <f t="shared" si="13"/>
        <v>Delivered</v>
      </c>
      <c r="P146" t="str">
        <f t="shared" si="14"/>
        <v>WH-DEL</v>
      </c>
      <c r="Q146" t="str">
        <f>VLOOKUP(C146, Lookups!$A$2:$D$10, 2, FALSE())</f>
        <v>TechSupply Corp</v>
      </c>
      <c r="R146" t="str">
        <f>_xlfn.XLOOKUP(D146, Lookups!$A$12:$A$51, Lookups!$C$12:$C$51, "Unknown")</f>
        <v>Electronics</v>
      </c>
      <c r="S146" t="str">
        <f>IF(ISBLANK(I146), B146+VLOOKUP(C146, Lookups!$A$2:$D$10, 4, FALSE()), I146)</f>
        <v>2025-02-24</v>
      </c>
      <c r="T146">
        <f t="shared" si="15"/>
        <v>27</v>
      </c>
      <c r="U146" t="str">
        <f t="shared" si="16"/>
        <v>Late</v>
      </c>
      <c r="V146">
        <f t="shared" si="17"/>
        <v>0</v>
      </c>
    </row>
    <row r="147" spans="1:22" x14ac:dyDescent="0.45">
      <c r="A147" t="s">
        <v>567</v>
      </c>
      <c r="B147" t="s">
        <v>568</v>
      </c>
      <c r="C147" t="s">
        <v>35</v>
      </c>
      <c r="D147" t="s">
        <v>75</v>
      </c>
      <c r="E147" t="s">
        <v>16</v>
      </c>
      <c r="F147">
        <v>147</v>
      </c>
      <c r="G147">
        <v>4440</v>
      </c>
      <c r="H147">
        <v>652680</v>
      </c>
      <c r="I147" t="s">
        <v>569</v>
      </c>
      <c r="J147" t="s">
        <v>569</v>
      </c>
      <c r="K147">
        <v>147</v>
      </c>
      <c r="L147">
        <v>0</v>
      </c>
      <c r="M147" t="s">
        <v>115</v>
      </c>
      <c r="N147" t="str">
        <f t="shared" si="12"/>
        <v>PO-100146</v>
      </c>
      <c r="O147" t="str">
        <f t="shared" si="13"/>
        <v>Delivered</v>
      </c>
      <c r="P147" t="str">
        <f t="shared" si="14"/>
        <v>WH-DEL</v>
      </c>
      <c r="Q147" t="str">
        <f>VLOOKUP(C147, Lookups!$A$2:$D$10, 2, FALSE())</f>
        <v>Peripheral Source</v>
      </c>
      <c r="R147" t="str">
        <f>_xlfn.XLOOKUP(D147, Lookups!$A$12:$A$51, Lookups!$C$12:$C$51, "Unknown")</f>
        <v>Peripherals</v>
      </c>
      <c r="S147" t="str">
        <f>IF(ISBLANK(I147), B147+VLOOKUP(C147, Lookups!$A$2:$D$10, 4, FALSE()), I147)</f>
        <v>2025-09-19</v>
      </c>
      <c r="T147">
        <f t="shared" si="15"/>
        <v>10</v>
      </c>
      <c r="U147" t="str">
        <f t="shared" si="16"/>
        <v>On-Time</v>
      </c>
      <c r="V147">
        <f t="shared" si="17"/>
        <v>0</v>
      </c>
    </row>
    <row r="148" spans="1:22" x14ac:dyDescent="0.45">
      <c r="A148" t="s">
        <v>570</v>
      </c>
      <c r="B148" t="s">
        <v>397</v>
      </c>
      <c r="C148" t="s">
        <v>35</v>
      </c>
      <c r="D148" t="s">
        <v>57</v>
      </c>
      <c r="E148" t="s">
        <v>16</v>
      </c>
      <c r="F148">
        <v>107</v>
      </c>
      <c r="G148">
        <v>2212</v>
      </c>
      <c r="H148">
        <v>236684</v>
      </c>
      <c r="I148" t="s">
        <v>571</v>
      </c>
      <c r="J148" t="s">
        <v>571</v>
      </c>
      <c r="K148">
        <v>107</v>
      </c>
      <c r="L148">
        <v>5</v>
      </c>
      <c r="M148" t="s">
        <v>115</v>
      </c>
      <c r="N148" t="str">
        <f t="shared" si="12"/>
        <v>PO-100147</v>
      </c>
      <c r="O148" t="str">
        <f t="shared" si="13"/>
        <v>Delivered</v>
      </c>
      <c r="P148" t="str">
        <f t="shared" si="14"/>
        <v>WH-DEL</v>
      </c>
      <c r="Q148" t="str">
        <f>VLOOKUP(C148, Lookups!$A$2:$D$10, 2, FALSE())</f>
        <v>Peripheral Source</v>
      </c>
      <c r="R148" t="str">
        <f>_xlfn.XLOOKUP(D148, Lookups!$A$12:$A$51, Lookups!$C$12:$C$51, "Unknown")</f>
        <v>Peripherals</v>
      </c>
      <c r="S148" t="str">
        <f>IF(ISBLANK(I148), B148+VLOOKUP(C148, Lookups!$A$2:$D$10, 4, FALSE()), I148)</f>
        <v>2025-04-16</v>
      </c>
      <c r="T148">
        <f t="shared" si="15"/>
        <v>10</v>
      </c>
      <c r="U148" t="str">
        <f t="shared" si="16"/>
        <v>On-Time</v>
      </c>
      <c r="V148">
        <f t="shared" si="17"/>
        <v>4.6728971962616821E-2</v>
      </c>
    </row>
    <row r="149" spans="1:22" x14ac:dyDescent="0.45">
      <c r="A149" t="s">
        <v>572</v>
      </c>
      <c r="B149" t="s">
        <v>558</v>
      </c>
      <c r="C149" t="s">
        <v>37</v>
      </c>
      <c r="D149" t="s">
        <v>83</v>
      </c>
      <c r="E149" t="s">
        <v>15</v>
      </c>
      <c r="F149">
        <v>92</v>
      </c>
      <c r="G149">
        <v>19850</v>
      </c>
      <c r="H149">
        <v>1826200</v>
      </c>
      <c r="I149" t="s">
        <v>573</v>
      </c>
      <c r="J149" t="s">
        <v>574</v>
      </c>
      <c r="K149">
        <v>92</v>
      </c>
      <c r="L149">
        <v>0</v>
      </c>
      <c r="M149" t="s">
        <v>115</v>
      </c>
      <c r="N149" t="str">
        <f t="shared" si="12"/>
        <v>PO-100148</v>
      </c>
      <c r="O149" t="str">
        <f t="shared" si="13"/>
        <v>Delivered</v>
      </c>
      <c r="P149" t="str">
        <f t="shared" si="14"/>
        <v>WH-BOM</v>
      </c>
      <c r="Q149" t="str">
        <f>VLOOKUP(C149, Lookups!$A$2:$D$10, 2, FALSE())</f>
        <v>Premium Desks Ltd</v>
      </c>
      <c r="R149" t="str">
        <f>_xlfn.XLOOKUP(D149, Lookups!$A$12:$A$51, Lookups!$C$12:$C$51, "Unknown")</f>
        <v>Office Furniture</v>
      </c>
      <c r="S149" t="str">
        <f>IF(ISBLANK(I149), B149+VLOOKUP(C149, Lookups!$A$2:$D$10, 4, FALSE()), I149)</f>
        <v>2026-04-30</v>
      </c>
      <c r="T149">
        <f t="shared" si="15"/>
        <v>13</v>
      </c>
      <c r="U149" t="str">
        <f t="shared" si="16"/>
        <v>Late</v>
      </c>
      <c r="V149">
        <f t="shared" si="17"/>
        <v>0</v>
      </c>
    </row>
    <row r="150" spans="1:22" x14ac:dyDescent="0.45">
      <c r="A150" t="s">
        <v>575</v>
      </c>
      <c r="B150" t="s">
        <v>576</v>
      </c>
      <c r="C150" t="s">
        <v>36</v>
      </c>
      <c r="D150" t="s">
        <v>55</v>
      </c>
      <c r="E150" t="s">
        <v>18</v>
      </c>
      <c r="F150">
        <v>121</v>
      </c>
      <c r="G150">
        <v>58434</v>
      </c>
      <c r="H150">
        <v>7070514</v>
      </c>
      <c r="I150" t="s">
        <v>365</v>
      </c>
      <c r="J150" t="s">
        <v>577</v>
      </c>
      <c r="K150">
        <v>121</v>
      </c>
      <c r="L150">
        <v>0</v>
      </c>
      <c r="M150" t="s">
        <v>115</v>
      </c>
      <c r="N150" t="str">
        <f t="shared" si="12"/>
        <v>PO-100149</v>
      </c>
      <c r="O150" t="str">
        <f t="shared" si="13"/>
        <v>Delivered</v>
      </c>
      <c r="P150" t="str">
        <f t="shared" si="14"/>
        <v>WH-PUN</v>
      </c>
      <c r="Q150" t="str">
        <f>VLOOKUP(C150, Lookups!$A$2:$D$10, 2, FALSE())</f>
        <v>NextGen Hardware</v>
      </c>
      <c r="R150" t="str">
        <f>_xlfn.XLOOKUP(D150, Lookups!$A$12:$A$51, Lookups!$C$12:$C$51, "Unknown")</f>
        <v>Electronics</v>
      </c>
      <c r="S150" t="str">
        <f>IF(ISBLANK(I150), B150+VLOOKUP(C150, Lookups!$A$2:$D$10, 4, FALSE()), I150)</f>
        <v>2026-03-29</v>
      </c>
      <c r="T150">
        <f t="shared" si="15"/>
        <v>25</v>
      </c>
      <c r="U150" t="str">
        <f t="shared" si="16"/>
        <v>Late</v>
      </c>
      <c r="V150">
        <f t="shared" si="17"/>
        <v>0</v>
      </c>
    </row>
    <row r="151" spans="1:22" x14ac:dyDescent="0.45">
      <c r="A151" t="s">
        <v>578</v>
      </c>
      <c r="B151" t="s">
        <v>579</v>
      </c>
      <c r="C151" t="s">
        <v>30</v>
      </c>
      <c r="D151" t="s">
        <v>52</v>
      </c>
      <c r="E151" t="s">
        <v>15</v>
      </c>
      <c r="F151">
        <v>156</v>
      </c>
      <c r="G151">
        <v>59592</v>
      </c>
      <c r="H151">
        <v>9296352</v>
      </c>
      <c r="I151" t="s">
        <v>580</v>
      </c>
      <c r="J151" t="s">
        <v>341</v>
      </c>
      <c r="K151">
        <v>156</v>
      </c>
      <c r="L151">
        <v>0</v>
      </c>
      <c r="M151" t="s">
        <v>115</v>
      </c>
      <c r="N151" t="str">
        <f t="shared" si="12"/>
        <v>PO-100150</v>
      </c>
      <c r="O151" t="str">
        <f t="shared" si="13"/>
        <v>Delivered</v>
      </c>
      <c r="P151" t="str">
        <f t="shared" si="14"/>
        <v>WH-BOM</v>
      </c>
      <c r="Q151" t="str">
        <f>VLOOKUP(C151, Lookups!$A$2:$D$10, 2, FALSE())</f>
        <v>TechSupply Corp</v>
      </c>
      <c r="R151" t="str">
        <f>_xlfn.XLOOKUP(D151, Lookups!$A$12:$A$51, Lookups!$C$12:$C$51, "Unknown")</f>
        <v>Electronics</v>
      </c>
      <c r="S151" t="str">
        <f>IF(ISBLANK(I151), B151+VLOOKUP(C151, Lookups!$A$2:$D$10, 4, FALSE()), I151)</f>
        <v>2026-01-12</v>
      </c>
      <c r="T151">
        <f t="shared" si="15"/>
        <v>15</v>
      </c>
      <c r="U151" t="str">
        <f t="shared" si="16"/>
        <v>Late</v>
      </c>
      <c r="V151">
        <f t="shared" si="17"/>
        <v>0</v>
      </c>
    </row>
    <row r="152" spans="1:22" x14ac:dyDescent="0.45">
      <c r="A152" t="s">
        <v>581</v>
      </c>
      <c r="B152" t="s">
        <v>499</v>
      </c>
      <c r="C152" t="s">
        <v>34</v>
      </c>
      <c r="D152" t="s">
        <v>80</v>
      </c>
      <c r="E152" t="s">
        <v>18</v>
      </c>
      <c r="F152">
        <v>178</v>
      </c>
      <c r="G152">
        <v>19090</v>
      </c>
      <c r="H152">
        <v>3398020</v>
      </c>
      <c r="I152" t="s">
        <v>582</v>
      </c>
      <c r="J152" t="s">
        <v>583</v>
      </c>
      <c r="K152">
        <v>178</v>
      </c>
      <c r="L152">
        <v>0</v>
      </c>
      <c r="M152" t="s">
        <v>115</v>
      </c>
      <c r="N152" t="str">
        <f t="shared" si="12"/>
        <v>PO-100151</v>
      </c>
      <c r="O152" t="str">
        <f t="shared" si="13"/>
        <v>Delivered</v>
      </c>
      <c r="P152" t="str">
        <f t="shared" si="14"/>
        <v>WH-PUN</v>
      </c>
      <c r="Q152" t="str">
        <f>VLOOKUP(C152, Lookups!$A$2:$D$10, 2, FALSE())</f>
        <v>FastElectronics</v>
      </c>
      <c r="R152" t="str">
        <f>_xlfn.XLOOKUP(D152, Lookups!$A$12:$A$51, Lookups!$C$12:$C$51, "Unknown")</f>
        <v>Networking</v>
      </c>
      <c r="S152" t="str">
        <f>IF(ISBLANK(I152), B152+VLOOKUP(C152, Lookups!$A$2:$D$10, 4, FALSE()), I152)</f>
        <v>2025-04-21</v>
      </c>
      <c r="T152">
        <f t="shared" si="15"/>
        <v>23</v>
      </c>
      <c r="U152" t="str">
        <f t="shared" si="16"/>
        <v>Late</v>
      </c>
      <c r="V152">
        <f t="shared" si="17"/>
        <v>0</v>
      </c>
    </row>
    <row r="153" spans="1:22" x14ac:dyDescent="0.45">
      <c r="A153" t="s">
        <v>584</v>
      </c>
      <c r="B153" t="s">
        <v>585</v>
      </c>
      <c r="C153" t="s">
        <v>37</v>
      </c>
      <c r="D153" t="s">
        <v>78</v>
      </c>
      <c r="E153" t="s">
        <v>15</v>
      </c>
      <c r="F153">
        <v>13</v>
      </c>
      <c r="G153">
        <v>9423</v>
      </c>
      <c r="H153">
        <v>122499</v>
      </c>
      <c r="I153" t="s">
        <v>234</v>
      </c>
      <c r="J153" t="s">
        <v>192</v>
      </c>
      <c r="K153">
        <v>13</v>
      </c>
      <c r="L153">
        <v>0</v>
      </c>
      <c r="M153" t="s">
        <v>115</v>
      </c>
      <c r="N153" t="str">
        <f t="shared" si="12"/>
        <v>PO-100152</v>
      </c>
      <c r="O153" t="str">
        <f t="shared" si="13"/>
        <v>Delivered</v>
      </c>
      <c r="P153" t="str">
        <f t="shared" si="14"/>
        <v>WH-BOM</v>
      </c>
      <c r="Q153" t="str">
        <f>VLOOKUP(C153, Lookups!$A$2:$D$10, 2, FALSE())</f>
        <v>Premium Desks Ltd</v>
      </c>
      <c r="R153" t="str">
        <f>_xlfn.XLOOKUP(D153, Lookups!$A$12:$A$51, Lookups!$C$12:$C$51, "Unknown")</f>
        <v>Office Furniture</v>
      </c>
      <c r="S153" t="str">
        <f>IF(ISBLANK(I153), B153+VLOOKUP(C153, Lookups!$A$2:$D$10, 4, FALSE()), I153)</f>
        <v>2025-08-03</v>
      </c>
      <c r="T153">
        <f t="shared" si="15"/>
        <v>13</v>
      </c>
      <c r="U153" t="str">
        <f t="shared" si="16"/>
        <v>Late</v>
      </c>
      <c r="V153">
        <f t="shared" si="17"/>
        <v>0</v>
      </c>
    </row>
    <row r="154" spans="1:22" x14ac:dyDescent="0.45">
      <c r="A154" t="s">
        <v>586</v>
      </c>
      <c r="B154" t="s">
        <v>361</v>
      </c>
      <c r="C154" t="s">
        <v>36</v>
      </c>
      <c r="D154" t="s">
        <v>71</v>
      </c>
      <c r="E154" t="s">
        <v>16</v>
      </c>
      <c r="F154">
        <v>250</v>
      </c>
      <c r="G154">
        <v>65379</v>
      </c>
      <c r="H154">
        <v>16344750</v>
      </c>
      <c r="I154" t="s">
        <v>367</v>
      </c>
      <c r="J154" t="s">
        <v>587</v>
      </c>
      <c r="K154">
        <v>250</v>
      </c>
      <c r="L154">
        <v>0</v>
      </c>
      <c r="M154" t="s">
        <v>115</v>
      </c>
      <c r="N154" t="str">
        <f t="shared" si="12"/>
        <v>PO-100153</v>
      </c>
      <c r="O154" t="str">
        <f t="shared" si="13"/>
        <v>Delivered</v>
      </c>
      <c r="P154" t="str">
        <f t="shared" si="14"/>
        <v>WH-DEL</v>
      </c>
      <c r="Q154" t="str">
        <f>VLOOKUP(C154, Lookups!$A$2:$D$10, 2, FALSE())</f>
        <v>NextGen Hardware</v>
      </c>
      <c r="R154" t="str">
        <f>_xlfn.XLOOKUP(D154, Lookups!$A$12:$A$51, Lookups!$C$12:$C$51, "Unknown")</f>
        <v>Electronics</v>
      </c>
      <c r="S154" t="str">
        <f>IF(ISBLANK(I154), B154+VLOOKUP(C154, Lookups!$A$2:$D$10, 4, FALSE()), I154)</f>
        <v>2026-04-15</v>
      </c>
      <c r="T154">
        <f t="shared" si="15"/>
        <v>20</v>
      </c>
      <c r="U154" t="str">
        <f t="shared" si="16"/>
        <v>On-Time</v>
      </c>
      <c r="V154">
        <f t="shared" si="17"/>
        <v>0</v>
      </c>
    </row>
    <row r="155" spans="1:22" x14ac:dyDescent="0.45">
      <c r="A155" t="s">
        <v>588</v>
      </c>
      <c r="B155" t="s">
        <v>200</v>
      </c>
      <c r="C155" t="s">
        <v>30</v>
      </c>
      <c r="D155" t="s">
        <v>59</v>
      </c>
      <c r="E155" t="s">
        <v>16</v>
      </c>
      <c r="F155">
        <v>127</v>
      </c>
      <c r="G155">
        <v>48905</v>
      </c>
      <c r="H155">
        <v>6210935</v>
      </c>
      <c r="I155" t="s">
        <v>462</v>
      </c>
      <c r="J155" t="s">
        <v>232</v>
      </c>
      <c r="K155">
        <v>127</v>
      </c>
      <c r="L155">
        <v>0</v>
      </c>
      <c r="M155" t="s">
        <v>115</v>
      </c>
      <c r="N155" t="str">
        <f t="shared" si="12"/>
        <v>PO-100154</v>
      </c>
      <c r="O155" t="str">
        <f t="shared" si="13"/>
        <v>Delivered</v>
      </c>
      <c r="P155" t="str">
        <f t="shared" si="14"/>
        <v>WH-DEL</v>
      </c>
      <c r="Q155" t="str">
        <f>VLOOKUP(C155, Lookups!$A$2:$D$10, 2, FALSE())</f>
        <v>TechSupply Corp</v>
      </c>
      <c r="R155" t="str">
        <f>_xlfn.XLOOKUP(D155, Lookups!$A$12:$A$51, Lookups!$C$12:$C$51, "Unknown")</f>
        <v>Electronics</v>
      </c>
      <c r="S155" t="str">
        <f>IF(ISBLANK(I155), B155+VLOOKUP(C155, Lookups!$A$2:$D$10, 4, FALSE()), I155)</f>
        <v>2025-11-05</v>
      </c>
      <c r="T155">
        <f t="shared" si="15"/>
        <v>23</v>
      </c>
      <c r="U155" t="str">
        <f t="shared" si="16"/>
        <v>Late</v>
      </c>
      <c r="V155">
        <f t="shared" si="17"/>
        <v>0</v>
      </c>
    </row>
    <row r="156" spans="1:22" x14ac:dyDescent="0.45">
      <c r="A156" t="s">
        <v>589</v>
      </c>
      <c r="B156" t="s">
        <v>590</v>
      </c>
      <c r="C156" t="s">
        <v>30</v>
      </c>
      <c r="D156" t="s">
        <v>82</v>
      </c>
      <c r="E156" t="s">
        <v>18</v>
      </c>
      <c r="F156">
        <v>238</v>
      </c>
      <c r="G156">
        <v>83427</v>
      </c>
      <c r="H156">
        <v>19855626</v>
      </c>
      <c r="I156" t="s">
        <v>591</v>
      </c>
      <c r="J156" t="s">
        <v>591</v>
      </c>
      <c r="K156">
        <v>238</v>
      </c>
      <c r="L156">
        <v>0</v>
      </c>
      <c r="M156" t="s">
        <v>115</v>
      </c>
      <c r="N156" t="str">
        <f t="shared" si="12"/>
        <v>PO-100155</v>
      </c>
      <c r="O156" t="str">
        <f t="shared" si="13"/>
        <v>Delivered</v>
      </c>
      <c r="P156" t="str">
        <f t="shared" si="14"/>
        <v>WH-PUN</v>
      </c>
      <c r="Q156" t="str">
        <f>VLOOKUP(C156, Lookups!$A$2:$D$10, 2, FALSE())</f>
        <v>TechSupply Corp</v>
      </c>
      <c r="R156" t="str">
        <f>_xlfn.XLOOKUP(D156, Lookups!$A$12:$A$51, Lookups!$C$12:$C$51, "Unknown")</f>
        <v>Electronics</v>
      </c>
      <c r="S156" t="str">
        <f>IF(ISBLANK(I156), B156+VLOOKUP(C156, Lookups!$A$2:$D$10, 4, FALSE()), I156)</f>
        <v>2026-01-20</v>
      </c>
      <c r="T156">
        <f t="shared" si="15"/>
        <v>14</v>
      </c>
      <c r="U156" t="str">
        <f t="shared" si="16"/>
        <v>On-Time</v>
      </c>
      <c r="V156">
        <f t="shared" si="17"/>
        <v>0</v>
      </c>
    </row>
    <row r="157" spans="1:22" x14ac:dyDescent="0.45">
      <c r="A157" t="s">
        <v>592</v>
      </c>
      <c r="B157" t="s">
        <v>593</v>
      </c>
      <c r="C157" t="s">
        <v>36</v>
      </c>
      <c r="D157" t="s">
        <v>90</v>
      </c>
      <c r="E157" t="s">
        <v>17</v>
      </c>
      <c r="F157">
        <v>56</v>
      </c>
      <c r="G157">
        <v>81434</v>
      </c>
      <c r="H157">
        <v>4560304</v>
      </c>
      <c r="I157" t="s">
        <v>460</v>
      </c>
      <c r="J157" t="s">
        <v>460</v>
      </c>
      <c r="K157">
        <v>56</v>
      </c>
      <c r="L157">
        <v>0</v>
      </c>
      <c r="M157" t="s">
        <v>115</v>
      </c>
      <c r="N157" t="str">
        <f t="shared" si="12"/>
        <v>PO-100156</v>
      </c>
      <c r="O157" t="str">
        <f t="shared" si="13"/>
        <v>Delivered</v>
      </c>
      <c r="P157" t="str">
        <f t="shared" si="14"/>
        <v>WH-BLR</v>
      </c>
      <c r="Q157" t="str">
        <f>VLOOKUP(C157, Lookups!$A$2:$D$10, 2, FALSE())</f>
        <v>NextGen Hardware</v>
      </c>
      <c r="R157" t="str">
        <f>_xlfn.XLOOKUP(D157, Lookups!$A$12:$A$51, Lookups!$C$12:$C$51, "Unknown")</f>
        <v>Electronics</v>
      </c>
      <c r="S157" t="str">
        <f>IF(ISBLANK(I157), B157+VLOOKUP(C157, Lookups!$A$2:$D$10, 4, FALSE()), I157)</f>
        <v>2025-10-09</v>
      </c>
      <c r="T157">
        <f t="shared" si="15"/>
        <v>24</v>
      </c>
      <c r="U157" t="str">
        <f t="shared" si="16"/>
        <v>On-Time</v>
      </c>
      <c r="V157">
        <f t="shared" si="17"/>
        <v>0</v>
      </c>
    </row>
    <row r="158" spans="1:22" x14ac:dyDescent="0.45">
      <c r="A158" t="s">
        <v>594</v>
      </c>
      <c r="B158" t="s">
        <v>595</v>
      </c>
      <c r="C158" t="s">
        <v>30</v>
      </c>
      <c r="D158" t="s">
        <v>82</v>
      </c>
      <c r="E158" t="s">
        <v>17</v>
      </c>
      <c r="F158">
        <v>229</v>
      </c>
      <c r="G158">
        <v>83427</v>
      </c>
      <c r="H158">
        <v>19104783</v>
      </c>
      <c r="I158" t="s">
        <v>396</v>
      </c>
      <c r="J158" t="s">
        <v>477</v>
      </c>
      <c r="K158">
        <v>125</v>
      </c>
      <c r="L158">
        <v>0</v>
      </c>
      <c r="M158" t="s">
        <v>115</v>
      </c>
      <c r="N158" t="str">
        <f t="shared" si="12"/>
        <v>PO-100157</v>
      </c>
      <c r="O158" t="str">
        <f t="shared" si="13"/>
        <v>Delivered</v>
      </c>
      <c r="P158" t="str">
        <f t="shared" si="14"/>
        <v>WH-BLR</v>
      </c>
      <c r="Q158" t="str">
        <f>VLOOKUP(C158, Lookups!$A$2:$D$10, 2, FALSE())</f>
        <v>TechSupply Corp</v>
      </c>
      <c r="R158" t="str">
        <f>_xlfn.XLOOKUP(D158, Lookups!$A$12:$A$51, Lookups!$C$12:$C$51, "Unknown")</f>
        <v>Electronics</v>
      </c>
      <c r="S158" t="str">
        <f>IF(ISBLANK(I158), B158+VLOOKUP(C158, Lookups!$A$2:$D$10, 4, FALSE()), I158)</f>
        <v>2025-03-27</v>
      </c>
      <c r="T158">
        <f t="shared" si="15"/>
        <v>15</v>
      </c>
      <c r="U158" t="str">
        <f t="shared" si="16"/>
        <v>Late</v>
      </c>
      <c r="V158">
        <f t="shared" si="17"/>
        <v>0</v>
      </c>
    </row>
    <row r="159" spans="1:22" x14ac:dyDescent="0.45">
      <c r="A159" t="s">
        <v>596</v>
      </c>
      <c r="B159" t="s">
        <v>123</v>
      </c>
      <c r="C159" t="s">
        <v>35</v>
      </c>
      <c r="D159" t="s">
        <v>91</v>
      </c>
      <c r="E159" t="s">
        <v>16</v>
      </c>
      <c r="F159">
        <v>54</v>
      </c>
      <c r="G159">
        <v>6707</v>
      </c>
      <c r="H159">
        <v>362178</v>
      </c>
      <c r="I159" t="s">
        <v>483</v>
      </c>
      <c r="J159" t="s">
        <v>483</v>
      </c>
      <c r="K159">
        <v>32</v>
      </c>
      <c r="L159">
        <v>0</v>
      </c>
      <c r="M159" t="s">
        <v>115</v>
      </c>
      <c r="N159" t="str">
        <f t="shared" si="12"/>
        <v>PO-100158</v>
      </c>
      <c r="O159" t="str">
        <f t="shared" si="13"/>
        <v>Delivered</v>
      </c>
      <c r="P159" t="str">
        <f t="shared" si="14"/>
        <v>WH-DEL</v>
      </c>
      <c r="Q159" t="str">
        <f>VLOOKUP(C159, Lookups!$A$2:$D$10, 2, FALSE())</f>
        <v>Peripheral Source</v>
      </c>
      <c r="R159" t="str">
        <f>_xlfn.XLOOKUP(D159, Lookups!$A$12:$A$51, Lookups!$C$12:$C$51, "Unknown")</f>
        <v>Peripherals</v>
      </c>
      <c r="S159" t="str">
        <f>IF(ISBLANK(I159), B159+VLOOKUP(C159, Lookups!$A$2:$D$10, 4, FALSE()), I159)</f>
        <v>2026-06-01</v>
      </c>
      <c r="T159">
        <f t="shared" si="15"/>
        <v>10</v>
      </c>
      <c r="U159" t="str">
        <f t="shared" si="16"/>
        <v>On-Time</v>
      </c>
      <c r="V159">
        <f t="shared" si="17"/>
        <v>0</v>
      </c>
    </row>
    <row r="160" spans="1:22" x14ac:dyDescent="0.45">
      <c r="A160" t="s">
        <v>597</v>
      </c>
      <c r="B160" t="s">
        <v>272</v>
      </c>
      <c r="C160" t="s">
        <v>34</v>
      </c>
      <c r="D160" t="s">
        <v>80</v>
      </c>
      <c r="E160" t="s">
        <v>17</v>
      </c>
      <c r="F160">
        <v>78</v>
      </c>
      <c r="G160">
        <v>19090</v>
      </c>
      <c r="H160">
        <v>1489020</v>
      </c>
      <c r="I160" t="s">
        <v>598</v>
      </c>
      <c r="J160" t="s">
        <v>598</v>
      </c>
      <c r="K160">
        <v>78</v>
      </c>
      <c r="L160">
        <v>0</v>
      </c>
      <c r="M160" t="s">
        <v>115</v>
      </c>
      <c r="N160" t="str">
        <f t="shared" si="12"/>
        <v>PO-100159</v>
      </c>
      <c r="O160" t="str">
        <f t="shared" si="13"/>
        <v>Delivered</v>
      </c>
      <c r="P160" t="str">
        <f t="shared" si="14"/>
        <v>WH-BLR</v>
      </c>
      <c r="Q160" t="str">
        <f>VLOOKUP(C160, Lookups!$A$2:$D$10, 2, FALSE())</f>
        <v>FastElectronics</v>
      </c>
      <c r="R160" t="str">
        <f>_xlfn.XLOOKUP(D160, Lookups!$A$12:$A$51, Lookups!$C$12:$C$51, "Unknown")</f>
        <v>Networking</v>
      </c>
      <c r="S160" t="str">
        <f>IF(ISBLANK(I160), B160+VLOOKUP(C160, Lookups!$A$2:$D$10, 4, FALSE()), I160)</f>
        <v>2025-08-31</v>
      </c>
      <c r="T160">
        <f t="shared" si="15"/>
        <v>18</v>
      </c>
      <c r="U160" t="str">
        <f t="shared" si="16"/>
        <v>On-Time</v>
      </c>
      <c r="V160">
        <f t="shared" si="17"/>
        <v>0</v>
      </c>
    </row>
    <row r="161" spans="1:22" x14ac:dyDescent="0.45">
      <c r="A161" t="s">
        <v>599</v>
      </c>
      <c r="B161" t="s">
        <v>600</v>
      </c>
      <c r="C161" t="s">
        <v>34</v>
      </c>
      <c r="D161" t="s">
        <v>74</v>
      </c>
      <c r="E161" t="s">
        <v>18</v>
      </c>
      <c r="F161">
        <v>209</v>
      </c>
      <c r="G161">
        <v>94797</v>
      </c>
      <c r="H161">
        <v>19812573</v>
      </c>
      <c r="I161" t="s">
        <v>246</v>
      </c>
      <c r="J161" t="s">
        <v>246</v>
      </c>
      <c r="K161">
        <v>209</v>
      </c>
      <c r="L161">
        <v>0</v>
      </c>
      <c r="M161" t="s">
        <v>115</v>
      </c>
      <c r="N161" t="str">
        <f t="shared" si="12"/>
        <v>PO-100160</v>
      </c>
      <c r="O161" t="str">
        <f t="shared" si="13"/>
        <v>Delivered</v>
      </c>
      <c r="P161" t="str">
        <f t="shared" si="14"/>
        <v>WH-PUN</v>
      </c>
      <c r="Q161" t="str">
        <f>VLOOKUP(C161, Lookups!$A$2:$D$10, 2, FALSE())</f>
        <v>FastElectronics</v>
      </c>
      <c r="R161" t="str">
        <f>_xlfn.XLOOKUP(D161, Lookups!$A$12:$A$51, Lookups!$C$12:$C$51, "Unknown")</f>
        <v>Electronics</v>
      </c>
      <c r="S161" t="str">
        <f>IF(ISBLANK(I161), B161+VLOOKUP(C161, Lookups!$A$2:$D$10, 4, FALSE()), I161)</f>
        <v>2025-10-21</v>
      </c>
      <c r="T161">
        <f t="shared" si="15"/>
        <v>18</v>
      </c>
      <c r="U161" t="str">
        <f t="shared" si="16"/>
        <v>On-Time</v>
      </c>
      <c r="V161">
        <f t="shared" si="17"/>
        <v>0</v>
      </c>
    </row>
    <row r="162" spans="1:22" x14ac:dyDescent="0.45">
      <c r="A162" t="s">
        <v>601</v>
      </c>
      <c r="B162" t="s">
        <v>569</v>
      </c>
      <c r="C162" t="s">
        <v>34</v>
      </c>
      <c r="D162" t="s">
        <v>80</v>
      </c>
      <c r="E162" t="s">
        <v>15</v>
      </c>
      <c r="F162">
        <v>52</v>
      </c>
      <c r="G162">
        <v>19090</v>
      </c>
      <c r="H162">
        <v>992680</v>
      </c>
      <c r="I162" t="s">
        <v>153</v>
      </c>
      <c r="J162" t="s">
        <v>146</v>
      </c>
      <c r="K162">
        <v>52</v>
      </c>
      <c r="L162">
        <v>0</v>
      </c>
      <c r="M162" t="s">
        <v>115</v>
      </c>
      <c r="N162" t="str">
        <f t="shared" si="12"/>
        <v>PO-100161</v>
      </c>
      <c r="O162" t="str">
        <f t="shared" si="13"/>
        <v>Delivered</v>
      </c>
      <c r="P162" t="str">
        <f t="shared" si="14"/>
        <v>WH-BOM</v>
      </c>
      <c r="Q162" t="str">
        <f>VLOOKUP(C162, Lookups!$A$2:$D$10, 2, FALSE())</f>
        <v>FastElectronics</v>
      </c>
      <c r="R162" t="str">
        <f>_xlfn.XLOOKUP(D162, Lookups!$A$12:$A$51, Lookups!$C$12:$C$51, "Unknown")</f>
        <v>Networking</v>
      </c>
      <c r="S162" t="str">
        <f>IF(ISBLANK(I162), B162+VLOOKUP(C162, Lookups!$A$2:$D$10, 4, FALSE()), I162)</f>
        <v>2025-10-07</v>
      </c>
      <c r="T162">
        <f t="shared" si="15"/>
        <v>19</v>
      </c>
      <c r="U162" t="str">
        <f t="shared" si="16"/>
        <v>Late</v>
      </c>
      <c r="V162">
        <f t="shared" si="17"/>
        <v>0</v>
      </c>
    </row>
    <row r="163" spans="1:22" x14ac:dyDescent="0.45">
      <c r="A163" t="s">
        <v>602</v>
      </c>
      <c r="B163" t="s">
        <v>252</v>
      </c>
      <c r="C163" t="s">
        <v>34</v>
      </c>
      <c r="D163" t="s">
        <v>76</v>
      </c>
      <c r="E163" t="s">
        <v>16</v>
      </c>
      <c r="F163">
        <v>117</v>
      </c>
      <c r="G163">
        <v>26270</v>
      </c>
      <c r="H163">
        <v>3073590</v>
      </c>
      <c r="I163" t="s">
        <v>173</v>
      </c>
      <c r="J163" t="s">
        <v>173</v>
      </c>
      <c r="K163">
        <v>117</v>
      </c>
      <c r="L163">
        <v>0</v>
      </c>
      <c r="M163" t="s">
        <v>115</v>
      </c>
      <c r="N163" t="str">
        <f t="shared" si="12"/>
        <v>PO-100162</v>
      </c>
      <c r="O163" t="str">
        <f t="shared" si="13"/>
        <v>Delivered</v>
      </c>
      <c r="P163" t="str">
        <f t="shared" si="14"/>
        <v>WH-DEL</v>
      </c>
      <c r="Q163" t="str">
        <f>VLOOKUP(C163, Lookups!$A$2:$D$10, 2, FALSE())</f>
        <v>FastElectronics</v>
      </c>
      <c r="R163" t="str">
        <f>_xlfn.XLOOKUP(D163, Lookups!$A$12:$A$51, Lookups!$C$12:$C$51, "Unknown")</f>
        <v>Networking</v>
      </c>
      <c r="S163" t="str">
        <f>IF(ISBLANK(I163), B163+VLOOKUP(C163, Lookups!$A$2:$D$10, 4, FALSE()), I163)</f>
        <v>2025-09-06</v>
      </c>
      <c r="T163">
        <f t="shared" si="15"/>
        <v>18</v>
      </c>
      <c r="U163" t="str">
        <f t="shared" si="16"/>
        <v>On-Time</v>
      </c>
      <c r="V163">
        <f t="shared" si="17"/>
        <v>0</v>
      </c>
    </row>
    <row r="164" spans="1:22" x14ac:dyDescent="0.45">
      <c r="A164" t="s">
        <v>603</v>
      </c>
      <c r="B164" t="s">
        <v>585</v>
      </c>
      <c r="C164" t="s">
        <v>31</v>
      </c>
      <c r="D164" t="s">
        <v>85</v>
      </c>
      <c r="E164" t="s">
        <v>18</v>
      </c>
      <c r="F164">
        <v>197</v>
      </c>
      <c r="G164">
        <v>16501</v>
      </c>
      <c r="H164">
        <v>3250697</v>
      </c>
      <c r="I164" t="s">
        <v>604</v>
      </c>
      <c r="J164" t="s">
        <v>604</v>
      </c>
      <c r="K164">
        <v>197</v>
      </c>
      <c r="L164">
        <v>0</v>
      </c>
      <c r="M164" t="s">
        <v>115</v>
      </c>
      <c r="N164" t="str">
        <f t="shared" si="12"/>
        <v>PO-100163</v>
      </c>
      <c r="O164" t="str">
        <f t="shared" si="13"/>
        <v>Delivered</v>
      </c>
      <c r="P164" t="str">
        <f t="shared" si="14"/>
        <v>WH-PUN</v>
      </c>
      <c r="Q164" t="str">
        <f>VLOOKUP(C164, Lookups!$A$2:$D$10, 2, FALSE())</f>
        <v>Global Networks</v>
      </c>
      <c r="R164" t="str">
        <f>_xlfn.XLOOKUP(D164, Lookups!$A$12:$A$51, Lookups!$C$12:$C$51, "Unknown")</f>
        <v>Networking</v>
      </c>
      <c r="S164" t="str">
        <f>IF(ISBLANK(I164), B164+VLOOKUP(C164, Lookups!$A$2:$D$10, 4, FALSE()), I164)</f>
        <v>2025-08-12</v>
      </c>
      <c r="T164">
        <f t="shared" si="15"/>
        <v>21</v>
      </c>
      <c r="U164" t="str">
        <f t="shared" si="16"/>
        <v>On-Time</v>
      </c>
      <c r="V164">
        <f t="shared" si="17"/>
        <v>0</v>
      </c>
    </row>
    <row r="165" spans="1:22" x14ac:dyDescent="0.45">
      <c r="A165" t="s">
        <v>605</v>
      </c>
      <c r="B165" t="s">
        <v>606</v>
      </c>
      <c r="C165" t="s">
        <v>36</v>
      </c>
      <c r="D165" t="s">
        <v>90</v>
      </c>
      <c r="E165" t="s">
        <v>17</v>
      </c>
      <c r="F165">
        <v>68</v>
      </c>
      <c r="G165">
        <v>81434</v>
      </c>
      <c r="H165">
        <v>5537512</v>
      </c>
      <c r="I165" t="s">
        <v>489</v>
      </c>
      <c r="J165" t="s">
        <v>607</v>
      </c>
      <c r="K165">
        <v>68</v>
      </c>
      <c r="L165">
        <v>0</v>
      </c>
      <c r="M165" t="s">
        <v>115</v>
      </c>
      <c r="N165" t="str">
        <f t="shared" si="12"/>
        <v>PO-100164</v>
      </c>
      <c r="O165" t="str">
        <f t="shared" si="13"/>
        <v>Delivered</v>
      </c>
      <c r="P165" t="str">
        <f t="shared" si="14"/>
        <v>WH-BLR</v>
      </c>
      <c r="Q165" t="str">
        <f>VLOOKUP(C165, Lookups!$A$2:$D$10, 2, FALSE())</f>
        <v>NextGen Hardware</v>
      </c>
      <c r="R165" t="str">
        <f>_xlfn.XLOOKUP(D165, Lookups!$A$12:$A$51, Lookups!$C$12:$C$51, "Unknown")</f>
        <v>Electronics</v>
      </c>
      <c r="S165" t="str">
        <f>IF(ISBLANK(I165), B165+VLOOKUP(C165, Lookups!$A$2:$D$10, 4, FALSE()), I165)</f>
        <v>2025-01-28</v>
      </c>
      <c r="T165">
        <f t="shared" si="15"/>
        <v>25</v>
      </c>
      <c r="U165" t="str">
        <f t="shared" si="16"/>
        <v>Late</v>
      </c>
      <c r="V165">
        <f t="shared" si="17"/>
        <v>0</v>
      </c>
    </row>
    <row r="166" spans="1:22" x14ac:dyDescent="0.45">
      <c r="A166" t="s">
        <v>608</v>
      </c>
      <c r="B166" t="s">
        <v>609</v>
      </c>
      <c r="C166" t="s">
        <v>36</v>
      </c>
      <c r="D166" t="s">
        <v>63</v>
      </c>
      <c r="E166" t="s">
        <v>15</v>
      </c>
      <c r="F166">
        <v>110</v>
      </c>
      <c r="G166">
        <v>71062</v>
      </c>
      <c r="H166">
        <v>7816820</v>
      </c>
      <c r="I166" t="s">
        <v>610</v>
      </c>
      <c r="J166" t="s">
        <v>610</v>
      </c>
      <c r="K166">
        <v>110</v>
      </c>
      <c r="L166">
        <v>0</v>
      </c>
      <c r="M166" t="s">
        <v>115</v>
      </c>
      <c r="N166" t="str">
        <f t="shared" si="12"/>
        <v>PO-100165</v>
      </c>
      <c r="O166" t="str">
        <f t="shared" si="13"/>
        <v>Delivered</v>
      </c>
      <c r="P166" t="str">
        <f t="shared" si="14"/>
        <v>WH-BOM</v>
      </c>
      <c r="Q166" t="str">
        <f>VLOOKUP(C166, Lookups!$A$2:$D$10, 2, FALSE())</f>
        <v>NextGen Hardware</v>
      </c>
      <c r="R166" t="str">
        <f>_xlfn.XLOOKUP(D166, Lookups!$A$12:$A$51, Lookups!$C$12:$C$51, "Unknown")</f>
        <v>Electronics</v>
      </c>
      <c r="S166" t="str">
        <f>IF(ISBLANK(I166), B166+VLOOKUP(C166, Lookups!$A$2:$D$10, 4, FALSE()), I166)</f>
        <v>2025-10-26</v>
      </c>
      <c r="T166">
        <f t="shared" si="15"/>
        <v>24</v>
      </c>
      <c r="U166" t="str">
        <f t="shared" si="16"/>
        <v>On-Time</v>
      </c>
      <c r="V166">
        <f t="shared" si="17"/>
        <v>0</v>
      </c>
    </row>
    <row r="167" spans="1:22" x14ac:dyDescent="0.45">
      <c r="A167" t="s">
        <v>611</v>
      </c>
      <c r="B167" t="s">
        <v>121</v>
      </c>
      <c r="C167" t="s">
        <v>34</v>
      </c>
      <c r="D167" t="s">
        <v>54</v>
      </c>
      <c r="E167" t="s">
        <v>16</v>
      </c>
      <c r="F167">
        <v>132</v>
      </c>
      <c r="G167">
        <v>22314</v>
      </c>
      <c r="H167">
        <v>2945448</v>
      </c>
      <c r="I167" t="s">
        <v>612</v>
      </c>
      <c r="J167" t="s">
        <v>613</v>
      </c>
      <c r="K167">
        <v>132</v>
      </c>
      <c r="L167">
        <v>16</v>
      </c>
      <c r="M167" t="s">
        <v>115</v>
      </c>
      <c r="N167" t="str">
        <f t="shared" si="12"/>
        <v>PO-100166</v>
      </c>
      <c r="O167" t="str">
        <f t="shared" si="13"/>
        <v>Delivered</v>
      </c>
      <c r="P167" t="str">
        <f t="shared" si="14"/>
        <v>WH-DEL</v>
      </c>
      <c r="Q167" t="str">
        <f>VLOOKUP(C167, Lookups!$A$2:$D$10, 2, FALSE())</f>
        <v>FastElectronics</v>
      </c>
      <c r="R167" t="str">
        <f>_xlfn.XLOOKUP(D167, Lookups!$A$12:$A$51, Lookups!$C$12:$C$51, "Unknown")</f>
        <v>Networking</v>
      </c>
      <c r="S167" t="str">
        <f>IF(ISBLANK(I167), B167+VLOOKUP(C167, Lookups!$A$2:$D$10, 4, FALSE()), I167)</f>
        <v>2025-02-04</v>
      </c>
      <c r="T167">
        <f t="shared" si="15"/>
        <v>19</v>
      </c>
      <c r="U167" t="str">
        <f t="shared" si="16"/>
        <v>Late</v>
      </c>
      <c r="V167">
        <f t="shared" si="17"/>
        <v>0.12121212121212122</v>
      </c>
    </row>
    <row r="168" spans="1:22" x14ac:dyDescent="0.45">
      <c r="A168" t="s">
        <v>614</v>
      </c>
      <c r="B168" t="s">
        <v>281</v>
      </c>
      <c r="C168" t="s">
        <v>37</v>
      </c>
      <c r="D168" t="s">
        <v>78</v>
      </c>
      <c r="E168" t="s">
        <v>15</v>
      </c>
      <c r="F168">
        <v>85</v>
      </c>
      <c r="G168">
        <v>9423</v>
      </c>
      <c r="H168">
        <v>800955</v>
      </c>
      <c r="I168" t="s">
        <v>615</v>
      </c>
      <c r="J168" t="s">
        <v>158</v>
      </c>
      <c r="K168">
        <v>85</v>
      </c>
      <c r="L168">
        <v>0</v>
      </c>
      <c r="M168" t="s">
        <v>115</v>
      </c>
      <c r="N168" t="str">
        <f t="shared" si="12"/>
        <v>PO-100167</v>
      </c>
      <c r="O168" t="str">
        <f t="shared" si="13"/>
        <v>Delivered</v>
      </c>
      <c r="P168" t="str">
        <f t="shared" si="14"/>
        <v>WH-BOM</v>
      </c>
      <c r="Q168" t="str">
        <f>VLOOKUP(C168, Lookups!$A$2:$D$10, 2, FALSE())</f>
        <v>Premium Desks Ltd</v>
      </c>
      <c r="R168" t="str">
        <f>_xlfn.XLOOKUP(D168, Lookups!$A$12:$A$51, Lookups!$C$12:$C$51, "Unknown")</f>
        <v>Office Furniture</v>
      </c>
      <c r="S168" t="str">
        <f>IF(ISBLANK(I168), B168+VLOOKUP(C168, Lookups!$A$2:$D$10, 4, FALSE()), I168)</f>
        <v>2026-11-07</v>
      </c>
      <c r="T168">
        <f t="shared" si="15"/>
        <v>10</v>
      </c>
      <c r="U168" t="str">
        <f t="shared" si="16"/>
        <v>On-Time</v>
      </c>
      <c r="V168">
        <f t="shared" si="17"/>
        <v>0</v>
      </c>
    </row>
    <row r="169" spans="1:22" x14ac:dyDescent="0.45">
      <c r="A169" t="s">
        <v>616</v>
      </c>
      <c r="B169" t="s">
        <v>617</v>
      </c>
      <c r="C169" t="s">
        <v>34</v>
      </c>
      <c r="D169" t="s">
        <v>76</v>
      </c>
      <c r="E169" t="s">
        <v>15</v>
      </c>
      <c r="F169">
        <v>148</v>
      </c>
      <c r="G169">
        <v>26270</v>
      </c>
      <c r="H169">
        <v>3887960</v>
      </c>
      <c r="I169" t="s">
        <v>221</v>
      </c>
      <c r="J169" t="s">
        <v>222</v>
      </c>
      <c r="K169">
        <v>148</v>
      </c>
      <c r="L169">
        <v>0</v>
      </c>
      <c r="M169" t="s">
        <v>115</v>
      </c>
      <c r="N169" t="str">
        <f t="shared" si="12"/>
        <v>PO-100168</v>
      </c>
      <c r="O169" t="str">
        <f t="shared" si="13"/>
        <v>Delivered</v>
      </c>
      <c r="P169" t="str">
        <f t="shared" si="14"/>
        <v>WH-BOM</v>
      </c>
      <c r="Q169" t="str">
        <f>VLOOKUP(C169, Lookups!$A$2:$D$10, 2, FALSE())</f>
        <v>FastElectronics</v>
      </c>
      <c r="R169" t="str">
        <f>_xlfn.XLOOKUP(D169, Lookups!$A$12:$A$51, Lookups!$C$12:$C$51, "Unknown")</f>
        <v>Networking</v>
      </c>
      <c r="S169" t="str">
        <f>IF(ISBLANK(I169), B169+VLOOKUP(C169, Lookups!$A$2:$D$10, 4, FALSE()), I169)</f>
        <v>2026-02-28</v>
      </c>
      <c r="T169">
        <f t="shared" si="15"/>
        <v>19</v>
      </c>
      <c r="U169" t="str">
        <f t="shared" si="16"/>
        <v>Late</v>
      </c>
      <c r="V169">
        <f t="shared" si="17"/>
        <v>0</v>
      </c>
    </row>
    <row r="170" spans="1:22" x14ac:dyDescent="0.45">
      <c r="A170" t="s">
        <v>618</v>
      </c>
      <c r="B170" t="s">
        <v>222</v>
      </c>
      <c r="C170" t="s">
        <v>34</v>
      </c>
      <c r="D170" t="s">
        <v>81</v>
      </c>
      <c r="E170" t="s">
        <v>16</v>
      </c>
      <c r="F170">
        <v>183</v>
      </c>
      <c r="G170">
        <v>55328</v>
      </c>
      <c r="H170">
        <v>10125024</v>
      </c>
      <c r="I170" t="s">
        <v>619</v>
      </c>
      <c r="J170" t="s">
        <v>619</v>
      </c>
      <c r="K170">
        <v>183</v>
      </c>
      <c r="L170">
        <v>0</v>
      </c>
      <c r="M170" t="s">
        <v>115</v>
      </c>
      <c r="N170" t="str">
        <f t="shared" si="12"/>
        <v>PO-100169</v>
      </c>
      <c r="O170" t="str">
        <f t="shared" si="13"/>
        <v>Delivered</v>
      </c>
      <c r="P170" t="str">
        <f t="shared" si="14"/>
        <v>WH-DEL</v>
      </c>
      <c r="Q170" t="str">
        <f>VLOOKUP(C170, Lookups!$A$2:$D$10, 2, FALSE())</f>
        <v>FastElectronics</v>
      </c>
      <c r="R170" t="str">
        <f>_xlfn.XLOOKUP(D170, Lookups!$A$12:$A$51, Lookups!$C$12:$C$51, "Unknown")</f>
        <v>Electronics</v>
      </c>
      <c r="S170" t="str">
        <f>IF(ISBLANK(I170), B170+VLOOKUP(C170, Lookups!$A$2:$D$10, 4, FALSE()), I170)</f>
        <v>2026-03-19</v>
      </c>
      <c r="T170">
        <f t="shared" si="15"/>
        <v>18</v>
      </c>
      <c r="U170" t="str">
        <f t="shared" si="16"/>
        <v>On-Time</v>
      </c>
      <c r="V170">
        <f t="shared" si="17"/>
        <v>0</v>
      </c>
    </row>
    <row r="171" spans="1:22" x14ac:dyDescent="0.45">
      <c r="A171" t="s">
        <v>620</v>
      </c>
      <c r="B171" t="s">
        <v>476</v>
      </c>
      <c r="C171" t="s">
        <v>35</v>
      </c>
      <c r="D171" t="s">
        <v>75</v>
      </c>
      <c r="E171" t="s">
        <v>17</v>
      </c>
      <c r="F171">
        <v>235</v>
      </c>
      <c r="G171">
        <v>4440</v>
      </c>
      <c r="H171">
        <v>1043400</v>
      </c>
      <c r="I171" t="s">
        <v>300</v>
      </c>
      <c r="J171" t="s">
        <v>562</v>
      </c>
      <c r="K171">
        <v>235</v>
      </c>
      <c r="L171">
        <v>0</v>
      </c>
      <c r="M171" t="s">
        <v>115</v>
      </c>
      <c r="N171" t="str">
        <f t="shared" si="12"/>
        <v>PO-100170</v>
      </c>
      <c r="O171" t="str">
        <f t="shared" si="13"/>
        <v>Delivered</v>
      </c>
      <c r="P171" t="str">
        <f t="shared" si="14"/>
        <v>WH-BLR</v>
      </c>
      <c r="Q171" t="str">
        <f>VLOOKUP(C171, Lookups!$A$2:$D$10, 2, FALSE())</f>
        <v>Peripheral Source</v>
      </c>
      <c r="R171" t="str">
        <f>_xlfn.XLOOKUP(D171, Lookups!$A$12:$A$51, Lookups!$C$12:$C$51, "Unknown")</f>
        <v>Peripherals</v>
      </c>
      <c r="S171" t="str">
        <f>IF(ISBLANK(I171), B171+VLOOKUP(C171, Lookups!$A$2:$D$10, 4, FALSE()), I171)</f>
        <v>2025-03-20</v>
      </c>
      <c r="T171">
        <f t="shared" si="15"/>
        <v>11</v>
      </c>
      <c r="U171" t="str">
        <f t="shared" si="16"/>
        <v>Late</v>
      </c>
      <c r="V171">
        <f t="shared" si="17"/>
        <v>0</v>
      </c>
    </row>
    <row r="172" spans="1:22" x14ac:dyDescent="0.45">
      <c r="A172" t="s">
        <v>621</v>
      </c>
      <c r="B172" t="s">
        <v>177</v>
      </c>
      <c r="C172" t="s">
        <v>34</v>
      </c>
      <c r="D172" t="s">
        <v>54</v>
      </c>
      <c r="E172" t="s">
        <v>15</v>
      </c>
      <c r="F172">
        <v>48</v>
      </c>
      <c r="G172">
        <v>22314</v>
      </c>
      <c r="H172">
        <v>1071072</v>
      </c>
      <c r="I172" t="s">
        <v>307</v>
      </c>
      <c r="J172" t="s">
        <v>307</v>
      </c>
      <c r="K172">
        <v>48</v>
      </c>
      <c r="L172">
        <v>0</v>
      </c>
      <c r="M172" t="s">
        <v>115</v>
      </c>
      <c r="N172" t="str">
        <f t="shared" si="12"/>
        <v>PO-100171</v>
      </c>
      <c r="O172" t="str">
        <f t="shared" si="13"/>
        <v>Delivered</v>
      </c>
      <c r="P172" t="str">
        <f t="shared" si="14"/>
        <v>WH-BOM</v>
      </c>
      <c r="Q172" t="str">
        <f>VLOOKUP(C172, Lookups!$A$2:$D$10, 2, FALSE())</f>
        <v>FastElectronics</v>
      </c>
      <c r="R172" t="str">
        <f>_xlfn.XLOOKUP(D172, Lookups!$A$12:$A$51, Lookups!$C$12:$C$51, "Unknown")</f>
        <v>Networking</v>
      </c>
      <c r="S172" t="str">
        <f>IF(ISBLANK(I172), B172+VLOOKUP(C172, Lookups!$A$2:$D$10, 4, FALSE()), I172)</f>
        <v>2026-08-26</v>
      </c>
      <c r="T172">
        <f t="shared" si="15"/>
        <v>18</v>
      </c>
      <c r="U172" t="str">
        <f t="shared" si="16"/>
        <v>On-Time</v>
      </c>
      <c r="V172">
        <f t="shared" si="17"/>
        <v>0</v>
      </c>
    </row>
    <row r="173" spans="1:22" x14ac:dyDescent="0.45">
      <c r="A173" t="s">
        <v>622</v>
      </c>
      <c r="B173" t="s">
        <v>391</v>
      </c>
      <c r="C173" t="s">
        <v>36</v>
      </c>
      <c r="D173" t="s">
        <v>71</v>
      </c>
      <c r="E173" t="s">
        <v>17</v>
      </c>
      <c r="F173">
        <v>20</v>
      </c>
      <c r="G173">
        <v>65379</v>
      </c>
      <c r="H173">
        <v>1307580</v>
      </c>
      <c r="I173" t="s">
        <v>623</v>
      </c>
      <c r="J173" t="s">
        <v>289</v>
      </c>
      <c r="K173">
        <v>13</v>
      </c>
      <c r="L173">
        <v>0</v>
      </c>
      <c r="M173" t="s">
        <v>115</v>
      </c>
      <c r="N173" t="str">
        <f t="shared" si="12"/>
        <v>PO-100172</v>
      </c>
      <c r="O173" t="str">
        <f t="shared" si="13"/>
        <v>Delivered</v>
      </c>
      <c r="P173" t="str">
        <f t="shared" si="14"/>
        <v>WH-BLR</v>
      </c>
      <c r="Q173" t="str">
        <f>VLOOKUP(C173, Lookups!$A$2:$D$10, 2, FALSE())</f>
        <v>NextGen Hardware</v>
      </c>
      <c r="R173" t="str">
        <f>_xlfn.XLOOKUP(D173, Lookups!$A$12:$A$51, Lookups!$C$12:$C$51, "Unknown")</f>
        <v>Electronics</v>
      </c>
      <c r="S173" t="str">
        <f>IF(ISBLANK(I173), B173+VLOOKUP(C173, Lookups!$A$2:$D$10, 4, FALSE()), I173)</f>
        <v>2026-07-08</v>
      </c>
      <c r="T173">
        <f t="shared" si="15"/>
        <v>25</v>
      </c>
      <c r="U173" t="str">
        <f t="shared" si="16"/>
        <v>Late</v>
      </c>
      <c r="V173">
        <f t="shared" si="17"/>
        <v>0</v>
      </c>
    </row>
    <row r="174" spans="1:22" x14ac:dyDescent="0.45">
      <c r="A174" t="s">
        <v>624</v>
      </c>
      <c r="B174" t="s">
        <v>625</v>
      </c>
      <c r="C174" t="s">
        <v>34</v>
      </c>
      <c r="D174" t="s">
        <v>54</v>
      </c>
      <c r="E174" t="s">
        <v>17</v>
      </c>
      <c r="F174">
        <v>240</v>
      </c>
      <c r="G174">
        <v>22314</v>
      </c>
      <c r="H174">
        <v>5355360</v>
      </c>
      <c r="I174" t="s">
        <v>363</v>
      </c>
      <c r="J174" t="s">
        <v>367</v>
      </c>
      <c r="K174">
        <v>240</v>
      </c>
      <c r="L174">
        <v>0</v>
      </c>
      <c r="M174" t="s">
        <v>115</v>
      </c>
      <c r="N174" t="str">
        <f t="shared" si="12"/>
        <v>PO-100173</v>
      </c>
      <c r="O174" t="str">
        <f t="shared" si="13"/>
        <v>Delivered</v>
      </c>
      <c r="P174" t="str">
        <f t="shared" si="14"/>
        <v>WH-BLR</v>
      </c>
      <c r="Q174" t="str">
        <f>VLOOKUP(C174, Lookups!$A$2:$D$10, 2, FALSE())</f>
        <v>FastElectronics</v>
      </c>
      <c r="R174" t="str">
        <f>_xlfn.XLOOKUP(D174, Lookups!$A$12:$A$51, Lookups!$C$12:$C$51, "Unknown")</f>
        <v>Networking</v>
      </c>
      <c r="S174" t="str">
        <f>IF(ISBLANK(I174), B174+VLOOKUP(C174, Lookups!$A$2:$D$10, 4, FALSE()), I174)</f>
        <v>2026-04-02</v>
      </c>
      <c r="T174">
        <f t="shared" si="15"/>
        <v>31</v>
      </c>
      <c r="U174" t="str">
        <f t="shared" si="16"/>
        <v>Late</v>
      </c>
      <c r="V174">
        <f t="shared" si="17"/>
        <v>0</v>
      </c>
    </row>
    <row r="175" spans="1:22" x14ac:dyDescent="0.45">
      <c r="A175" t="s">
        <v>626</v>
      </c>
      <c r="B175" t="s">
        <v>337</v>
      </c>
      <c r="C175" t="s">
        <v>33</v>
      </c>
      <c r="D175" t="s">
        <v>89</v>
      </c>
      <c r="E175" t="s">
        <v>16</v>
      </c>
      <c r="F175">
        <v>64</v>
      </c>
      <c r="G175">
        <v>11309</v>
      </c>
      <c r="H175">
        <v>723776</v>
      </c>
      <c r="I175" t="s">
        <v>587</v>
      </c>
      <c r="J175" t="s">
        <v>339</v>
      </c>
      <c r="K175">
        <v>64</v>
      </c>
      <c r="L175">
        <v>0</v>
      </c>
      <c r="M175" t="s">
        <v>115</v>
      </c>
      <c r="N175" t="str">
        <f t="shared" si="12"/>
        <v>PO-100174</v>
      </c>
      <c r="O175" t="str">
        <f t="shared" si="13"/>
        <v>Delivered</v>
      </c>
      <c r="P175" t="str">
        <f t="shared" si="14"/>
        <v>WH-DEL</v>
      </c>
      <c r="Q175" t="str">
        <f>VLOOKUP(C175, Lookups!$A$2:$D$10, 2, FALSE())</f>
        <v>MegaFurnish</v>
      </c>
      <c r="R175" t="str">
        <f>_xlfn.XLOOKUP(D175, Lookups!$A$12:$A$51, Lookups!$C$12:$C$51, "Unknown")</f>
        <v>Office Furniture</v>
      </c>
      <c r="S175" t="str">
        <f>IF(ISBLANK(I175), B175+VLOOKUP(C175, Lookups!$A$2:$D$10, 4, FALSE()), I175)</f>
        <v>2026-04-11</v>
      </c>
      <c r="T175">
        <f t="shared" si="15"/>
        <v>39</v>
      </c>
      <c r="U175" t="str">
        <f t="shared" si="16"/>
        <v>Late</v>
      </c>
      <c r="V175">
        <f t="shared" si="17"/>
        <v>0</v>
      </c>
    </row>
    <row r="176" spans="1:22" x14ac:dyDescent="0.45">
      <c r="A176" t="s">
        <v>627</v>
      </c>
      <c r="B176" t="s">
        <v>466</v>
      </c>
      <c r="C176" t="s">
        <v>31</v>
      </c>
      <c r="D176" t="s">
        <v>77</v>
      </c>
      <c r="E176" t="s">
        <v>18</v>
      </c>
      <c r="F176">
        <v>189</v>
      </c>
      <c r="G176">
        <v>23667</v>
      </c>
      <c r="H176">
        <v>4473063</v>
      </c>
      <c r="I176" t="s">
        <v>438</v>
      </c>
      <c r="J176" t="s">
        <v>438</v>
      </c>
      <c r="K176">
        <v>189</v>
      </c>
      <c r="L176">
        <v>0</v>
      </c>
      <c r="M176" t="s">
        <v>115</v>
      </c>
      <c r="N176" t="str">
        <f t="shared" si="12"/>
        <v>PO-100175</v>
      </c>
      <c r="O176" t="str">
        <f t="shared" si="13"/>
        <v>Delivered</v>
      </c>
      <c r="P176" t="str">
        <f t="shared" si="14"/>
        <v>WH-PUN</v>
      </c>
      <c r="Q176" t="str">
        <f>VLOOKUP(C176, Lookups!$A$2:$D$10, 2, FALSE())</f>
        <v>Global Networks</v>
      </c>
      <c r="R176" t="str">
        <f>_xlfn.XLOOKUP(D176, Lookups!$A$12:$A$51, Lookups!$C$12:$C$51, "Unknown")</f>
        <v>Networking</v>
      </c>
      <c r="S176" t="str">
        <f>IF(ISBLANK(I176), B176+VLOOKUP(C176, Lookups!$A$2:$D$10, 4, FALSE()), I176)</f>
        <v>2025-02-13</v>
      </c>
      <c r="T176">
        <f t="shared" si="15"/>
        <v>21</v>
      </c>
      <c r="U176" t="str">
        <f t="shared" si="16"/>
        <v>On-Time</v>
      </c>
      <c r="V176">
        <f t="shared" si="17"/>
        <v>0</v>
      </c>
    </row>
    <row r="177" spans="1:22" x14ac:dyDescent="0.45">
      <c r="A177" t="s">
        <v>628</v>
      </c>
      <c r="B177" t="s">
        <v>629</v>
      </c>
      <c r="C177" t="s">
        <v>37</v>
      </c>
      <c r="D177" t="s">
        <v>78</v>
      </c>
      <c r="E177" t="s">
        <v>18</v>
      </c>
      <c r="F177">
        <v>237</v>
      </c>
      <c r="G177">
        <v>9423</v>
      </c>
      <c r="H177">
        <v>2233251</v>
      </c>
      <c r="I177" t="s">
        <v>468</v>
      </c>
      <c r="J177" t="s">
        <v>249</v>
      </c>
      <c r="K177">
        <v>237</v>
      </c>
      <c r="L177">
        <v>0</v>
      </c>
      <c r="M177" t="s">
        <v>115</v>
      </c>
      <c r="N177" t="str">
        <f t="shared" si="12"/>
        <v>PO-100176</v>
      </c>
      <c r="O177" t="str">
        <f t="shared" si="13"/>
        <v>Delivered</v>
      </c>
      <c r="P177" t="str">
        <f t="shared" si="14"/>
        <v>WH-PUN</v>
      </c>
      <c r="Q177" t="str">
        <f>VLOOKUP(C177, Lookups!$A$2:$D$10, 2, FALSE())</f>
        <v>Premium Desks Ltd</v>
      </c>
      <c r="R177" t="str">
        <f>_xlfn.XLOOKUP(D177, Lookups!$A$12:$A$51, Lookups!$C$12:$C$51, "Unknown")</f>
        <v>Office Furniture</v>
      </c>
      <c r="S177" t="str">
        <f>IF(ISBLANK(I177), B177+VLOOKUP(C177, Lookups!$A$2:$D$10, 4, FALSE()), I177)</f>
        <v>2025-07-19</v>
      </c>
      <c r="T177">
        <f t="shared" si="15"/>
        <v>13</v>
      </c>
      <c r="U177" t="str">
        <f t="shared" si="16"/>
        <v>Late</v>
      </c>
      <c r="V177">
        <f t="shared" si="17"/>
        <v>0</v>
      </c>
    </row>
    <row r="178" spans="1:22" x14ac:dyDescent="0.45">
      <c r="A178" t="s">
        <v>630</v>
      </c>
      <c r="B178" t="s">
        <v>303</v>
      </c>
      <c r="C178" t="s">
        <v>34</v>
      </c>
      <c r="D178" t="s">
        <v>80</v>
      </c>
      <c r="E178" t="s">
        <v>18</v>
      </c>
      <c r="F178">
        <v>94</v>
      </c>
      <c r="G178">
        <v>19090</v>
      </c>
      <c r="H178">
        <v>1794460</v>
      </c>
      <c r="I178" t="s">
        <v>631</v>
      </c>
      <c r="J178" t="s">
        <v>484</v>
      </c>
      <c r="K178">
        <v>94</v>
      </c>
      <c r="L178">
        <v>0</v>
      </c>
      <c r="M178" t="s">
        <v>115</v>
      </c>
      <c r="N178" t="str">
        <f t="shared" si="12"/>
        <v>PO-100177</v>
      </c>
      <c r="O178" t="str">
        <f t="shared" si="13"/>
        <v>Delivered</v>
      </c>
      <c r="P178" t="str">
        <f t="shared" si="14"/>
        <v>WH-PUN</v>
      </c>
      <c r="Q178" t="str">
        <f>VLOOKUP(C178, Lookups!$A$2:$D$10, 2, FALSE())</f>
        <v>FastElectronics</v>
      </c>
      <c r="R178" t="str">
        <f>_xlfn.XLOOKUP(D178, Lookups!$A$12:$A$51, Lookups!$C$12:$C$51, "Unknown")</f>
        <v>Networking</v>
      </c>
      <c r="S178" t="str">
        <f>IF(ISBLANK(I178), B178+VLOOKUP(C178, Lookups!$A$2:$D$10, 4, FALSE()), I178)</f>
        <v>2026-06-27</v>
      </c>
      <c r="T178">
        <f t="shared" si="15"/>
        <v>16</v>
      </c>
      <c r="U178" t="str">
        <f t="shared" si="16"/>
        <v>On-Time</v>
      </c>
      <c r="V178">
        <f t="shared" si="17"/>
        <v>0</v>
      </c>
    </row>
    <row r="179" spans="1:22" x14ac:dyDescent="0.45">
      <c r="A179" t="s">
        <v>632</v>
      </c>
      <c r="B179" t="s">
        <v>633</v>
      </c>
      <c r="C179" t="s">
        <v>34</v>
      </c>
      <c r="D179" t="s">
        <v>76</v>
      </c>
      <c r="E179" t="s">
        <v>18</v>
      </c>
      <c r="F179">
        <v>202</v>
      </c>
      <c r="G179">
        <v>26270</v>
      </c>
      <c r="H179">
        <v>5306540</v>
      </c>
      <c r="I179" t="s">
        <v>189</v>
      </c>
      <c r="J179" t="s">
        <v>380</v>
      </c>
      <c r="K179">
        <v>202</v>
      </c>
      <c r="L179">
        <v>0</v>
      </c>
      <c r="M179" t="s">
        <v>115</v>
      </c>
      <c r="N179" t="str">
        <f t="shared" si="12"/>
        <v>PO-100178</v>
      </c>
      <c r="O179" t="str">
        <f t="shared" si="13"/>
        <v>Delivered</v>
      </c>
      <c r="P179" t="str">
        <f t="shared" si="14"/>
        <v>WH-PUN</v>
      </c>
      <c r="Q179" t="str">
        <f>VLOOKUP(C179, Lookups!$A$2:$D$10, 2, FALSE())</f>
        <v>FastElectronics</v>
      </c>
      <c r="R179" t="str">
        <f>_xlfn.XLOOKUP(D179, Lookups!$A$12:$A$51, Lookups!$C$12:$C$51, "Unknown")</f>
        <v>Networking</v>
      </c>
      <c r="S179" t="str">
        <f>IF(ISBLANK(I179), B179+VLOOKUP(C179, Lookups!$A$2:$D$10, 4, FALSE()), I179)</f>
        <v>2025-03-07</v>
      </c>
      <c r="T179">
        <f t="shared" si="15"/>
        <v>17</v>
      </c>
      <c r="U179" t="str">
        <f t="shared" si="16"/>
        <v>On-Time</v>
      </c>
      <c r="V179">
        <f t="shared" si="17"/>
        <v>0</v>
      </c>
    </row>
    <row r="180" spans="1:22" x14ac:dyDescent="0.45">
      <c r="A180" t="s">
        <v>634</v>
      </c>
      <c r="B180" t="s">
        <v>635</v>
      </c>
      <c r="C180" t="s">
        <v>32</v>
      </c>
      <c r="D180" t="s">
        <v>84</v>
      </c>
      <c r="E180" t="s">
        <v>18</v>
      </c>
      <c r="F180">
        <v>112</v>
      </c>
      <c r="G180">
        <v>7271</v>
      </c>
      <c r="H180">
        <v>814352</v>
      </c>
      <c r="I180" t="s">
        <v>636</v>
      </c>
      <c r="J180" t="s">
        <v>469</v>
      </c>
      <c r="K180">
        <v>112</v>
      </c>
      <c r="L180">
        <v>0</v>
      </c>
      <c r="M180" t="s">
        <v>115</v>
      </c>
      <c r="N180" t="str">
        <f t="shared" si="12"/>
        <v>PO-100179</v>
      </c>
      <c r="O180" t="str">
        <f t="shared" si="13"/>
        <v>Delivered</v>
      </c>
      <c r="P180" t="str">
        <f t="shared" si="14"/>
        <v>WH-PUN</v>
      </c>
      <c r="Q180" t="str">
        <f>VLOOKUP(C180, Lookups!$A$2:$D$10, 2, FALSE())</f>
        <v>OfficeDepot Pro</v>
      </c>
      <c r="R180" t="str">
        <f>_xlfn.XLOOKUP(D180, Lookups!$A$12:$A$51, Lookups!$C$12:$C$51, "Unknown")</f>
        <v>Peripherals</v>
      </c>
      <c r="S180" t="str">
        <f>IF(ISBLANK(I180), B180+VLOOKUP(C180, Lookups!$A$2:$D$10, 4, FALSE()), I180)</f>
        <v>2025-06-30</v>
      </c>
      <c r="T180">
        <f t="shared" si="15"/>
        <v>22</v>
      </c>
      <c r="U180" t="str">
        <f t="shared" si="16"/>
        <v>Late</v>
      </c>
      <c r="V180">
        <f t="shared" si="17"/>
        <v>0</v>
      </c>
    </row>
    <row r="181" spans="1:22" x14ac:dyDescent="0.45">
      <c r="A181" t="s">
        <v>637</v>
      </c>
      <c r="B181" t="s">
        <v>638</v>
      </c>
      <c r="C181" t="s">
        <v>30</v>
      </c>
      <c r="D181" t="s">
        <v>53</v>
      </c>
      <c r="E181" t="s">
        <v>17</v>
      </c>
      <c r="F181">
        <v>156</v>
      </c>
      <c r="G181">
        <v>81048</v>
      </c>
      <c r="H181">
        <v>12643488</v>
      </c>
      <c r="I181" t="s">
        <v>639</v>
      </c>
      <c r="J181" t="s">
        <v>640</v>
      </c>
      <c r="K181">
        <v>156</v>
      </c>
      <c r="L181">
        <v>0</v>
      </c>
      <c r="M181" t="s">
        <v>301</v>
      </c>
      <c r="N181" t="str">
        <f t="shared" si="12"/>
        <v>PO-100180</v>
      </c>
      <c r="O181" t="str">
        <f t="shared" si="13"/>
        <v>Delivered</v>
      </c>
      <c r="P181" t="str">
        <f t="shared" si="14"/>
        <v>WH-BLR</v>
      </c>
      <c r="Q181" t="str">
        <f>VLOOKUP(C181, Lookups!$A$2:$D$10, 2, FALSE())</f>
        <v>TechSupply Corp</v>
      </c>
      <c r="R181" t="str">
        <f>_xlfn.XLOOKUP(D181, Lookups!$A$12:$A$51, Lookups!$C$12:$C$51, "Unknown")</f>
        <v>Electronics</v>
      </c>
      <c r="S181" t="str">
        <f>IF(ISBLANK(I181), B181+VLOOKUP(C181, Lookups!$A$2:$D$10, 4, FALSE()), I181)</f>
        <v>2025-12-11</v>
      </c>
      <c r="T181">
        <f t="shared" si="15"/>
        <v>29</v>
      </c>
      <c r="U181" t="str">
        <f t="shared" si="16"/>
        <v>Late</v>
      </c>
      <c r="V181">
        <f t="shared" si="17"/>
        <v>0</v>
      </c>
    </row>
    <row r="182" spans="1:22" x14ac:dyDescent="0.45">
      <c r="A182" t="s">
        <v>641</v>
      </c>
      <c r="B182" t="s">
        <v>138</v>
      </c>
      <c r="C182" t="s">
        <v>36</v>
      </c>
      <c r="D182" t="s">
        <v>87</v>
      </c>
      <c r="E182" t="s">
        <v>18</v>
      </c>
      <c r="F182">
        <v>205</v>
      </c>
      <c r="G182">
        <v>82930</v>
      </c>
      <c r="H182">
        <v>17000650</v>
      </c>
      <c r="I182" t="s">
        <v>642</v>
      </c>
      <c r="J182" t="s">
        <v>642</v>
      </c>
      <c r="K182">
        <v>205</v>
      </c>
      <c r="L182">
        <v>0</v>
      </c>
      <c r="M182" t="s">
        <v>115</v>
      </c>
      <c r="N182" t="str">
        <f t="shared" si="12"/>
        <v>PO-100181</v>
      </c>
      <c r="O182" t="str">
        <f t="shared" si="13"/>
        <v>Delivered</v>
      </c>
      <c r="P182" t="str">
        <f t="shared" si="14"/>
        <v>WH-PUN</v>
      </c>
      <c r="Q182" t="str">
        <f>VLOOKUP(C182, Lookups!$A$2:$D$10, 2, FALSE())</f>
        <v>NextGen Hardware</v>
      </c>
      <c r="R182" t="str">
        <f>_xlfn.XLOOKUP(D182, Lookups!$A$12:$A$51, Lookups!$C$12:$C$51, "Unknown")</f>
        <v>Electronics</v>
      </c>
      <c r="S182" t="str">
        <f>IF(ISBLANK(I182), B182+VLOOKUP(C182, Lookups!$A$2:$D$10, 4, FALSE()), I182)</f>
        <v>2025-10-20</v>
      </c>
      <c r="T182">
        <f t="shared" si="15"/>
        <v>24</v>
      </c>
      <c r="U182" t="str">
        <f t="shared" si="16"/>
        <v>On-Time</v>
      </c>
      <c r="V182">
        <f t="shared" si="17"/>
        <v>0</v>
      </c>
    </row>
    <row r="183" spans="1:22" x14ac:dyDescent="0.45">
      <c r="A183" t="s">
        <v>643</v>
      </c>
      <c r="B183" t="s">
        <v>577</v>
      </c>
      <c r="C183" t="s">
        <v>30</v>
      </c>
      <c r="D183" t="s">
        <v>53</v>
      </c>
      <c r="E183" t="s">
        <v>18</v>
      </c>
      <c r="F183">
        <v>110</v>
      </c>
      <c r="G183">
        <v>81048</v>
      </c>
      <c r="H183">
        <v>8915280</v>
      </c>
      <c r="I183" t="s">
        <v>150</v>
      </c>
      <c r="J183" t="s">
        <v>204</v>
      </c>
      <c r="K183">
        <v>110</v>
      </c>
      <c r="L183">
        <v>0</v>
      </c>
      <c r="M183" t="s">
        <v>115</v>
      </c>
      <c r="N183" t="str">
        <f t="shared" si="12"/>
        <v>PO-100182</v>
      </c>
      <c r="O183" t="str">
        <f t="shared" si="13"/>
        <v>Delivered</v>
      </c>
      <c r="P183" t="str">
        <f t="shared" si="14"/>
        <v>WH-PUN</v>
      </c>
      <c r="Q183" t="str">
        <f>VLOOKUP(C183, Lookups!$A$2:$D$10, 2, FALSE())</f>
        <v>TechSupply Corp</v>
      </c>
      <c r="R183" t="str">
        <f>_xlfn.XLOOKUP(D183, Lookups!$A$12:$A$51, Lookups!$C$12:$C$51, "Unknown")</f>
        <v>Electronics</v>
      </c>
      <c r="S183" t="str">
        <f>IF(ISBLANK(I183), B183+VLOOKUP(C183, Lookups!$A$2:$D$10, 4, FALSE()), I183)</f>
        <v>2026-04-13</v>
      </c>
      <c r="T183">
        <f t="shared" si="15"/>
        <v>10</v>
      </c>
      <c r="U183" t="str">
        <f t="shared" si="16"/>
        <v>On-Time</v>
      </c>
      <c r="V183">
        <f t="shared" si="17"/>
        <v>0</v>
      </c>
    </row>
    <row r="184" spans="1:22" x14ac:dyDescent="0.45">
      <c r="A184" t="s">
        <v>644</v>
      </c>
      <c r="B184" t="s">
        <v>486</v>
      </c>
      <c r="C184" t="s">
        <v>30</v>
      </c>
      <c r="D184" t="s">
        <v>88</v>
      </c>
      <c r="E184" t="s">
        <v>15</v>
      </c>
      <c r="F184">
        <v>131</v>
      </c>
      <c r="G184">
        <v>75512</v>
      </c>
      <c r="H184">
        <v>9892072</v>
      </c>
      <c r="I184" t="s">
        <v>636</v>
      </c>
      <c r="J184" t="s">
        <v>214</v>
      </c>
      <c r="K184">
        <v>131</v>
      </c>
      <c r="L184">
        <v>0</v>
      </c>
      <c r="M184" t="s">
        <v>115</v>
      </c>
      <c r="N184" t="str">
        <f t="shared" si="12"/>
        <v>PO-100183</v>
      </c>
      <c r="O184" t="str">
        <f t="shared" si="13"/>
        <v>Delivered</v>
      </c>
      <c r="P184" t="str">
        <f t="shared" si="14"/>
        <v>WH-BOM</v>
      </c>
      <c r="Q184" t="str">
        <f>VLOOKUP(C184, Lookups!$A$2:$D$10, 2, FALSE())</f>
        <v>TechSupply Corp</v>
      </c>
      <c r="R184" t="str">
        <f>_xlfn.XLOOKUP(D184, Lookups!$A$12:$A$51, Lookups!$C$12:$C$51, "Unknown")</f>
        <v>Electronics</v>
      </c>
      <c r="S184" t="str">
        <f>IF(ISBLANK(I184), B184+VLOOKUP(C184, Lookups!$A$2:$D$10, 4, FALSE()), I184)</f>
        <v>2025-06-30</v>
      </c>
      <c r="T184">
        <f t="shared" si="15"/>
        <v>11</v>
      </c>
      <c r="U184" t="str">
        <f t="shared" si="16"/>
        <v>On-Time</v>
      </c>
      <c r="V184">
        <f t="shared" si="17"/>
        <v>0</v>
      </c>
    </row>
    <row r="185" spans="1:22" x14ac:dyDescent="0.45">
      <c r="A185" t="s">
        <v>645</v>
      </c>
      <c r="B185" t="s">
        <v>495</v>
      </c>
      <c r="C185" t="s">
        <v>35</v>
      </c>
      <c r="D185" t="s">
        <v>57</v>
      </c>
      <c r="E185" t="s">
        <v>16</v>
      </c>
      <c r="F185">
        <v>135</v>
      </c>
      <c r="G185">
        <v>2212</v>
      </c>
      <c r="H185">
        <v>298620</v>
      </c>
      <c r="I185" t="s">
        <v>118</v>
      </c>
      <c r="J185" t="s">
        <v>646</v>
      </c>
      <c r="K185">
        <v>135</v>
      </c>
      <c r="L185">
        <v>0</v>
      </c>
      <c r="M185" t="s">
        <v>115</v>
      </c>
      <c r="N185" t="str">
        <f t="shared" si="12"/>
        <v>PO-100184</v>
      </c>
      <c r="O185" t="str">
        <f t="shared" si="13"/>
        <v>Delivered</v>
      </c>
      <c r="P185" t="str">
        <f t="shared" si="14"/>
        <v>WH-DEL</v>
      </c>
      <c r="Q185" t="str">
        <f>VLOOKUP(C185, Lookups!$A$2:$D$10, 2, FALSE())</f>
        <v>Peripheral Source</v>
      </c>
      <c r="R185" t="str">
        <f>_xlfn.XLOOKUP(D185, Lookups!$A$12:$A$51, Lookups!$C$12:$C$51, "Unknown")</f>
        <v>Peripherals</v>
      </c>
      <c r="S185" t="str">
        <f>IF(ISBLANK(I185), B185+VLOOKUP(C185, Lookups!$A$2:$D$10, 4, FALSE()), I185)</f>
        <v>2026-10-03</v>
      </c>
      <c r="T185">
        <f t="shared" si="15"/>
        <v>14</v>
      </c>
      <c r="U185" t="str">
        <f t="shared" si="16"/>
        <v>Late</v>
      </c>
      <c r="V185">
        <f t="shared" si="17"/>
        <v>0</v>
      </c>
    </row>
    <row r="186" spans="1:22" x14ac:dyDescent="0.45">
      <c r="A186" t="s">
        <v>647</v>
      </c>
      <c r="B186" t="s">
        <v>648</v>
      </c>
      <c r="C186" t="s">
        <v>31</v>
      </c>
      <c r="D186" t="s">
        <v>66</v>
      </c>
      <c r="E186" t="s">
        <v>18</v>
      </c>
      <c r="F186">
        <v>33</v>
      </c>
      <c r="G186">
        <v>29719</v>
      </c>
      <c r="H186">
        <v>980727</v>
      </c>
      <c r="I186" t="s">
        <v>649</v>
      </c>
      <c r="J186" t="s">
        <v>649</v>
      </c>
      <c r="K186">
        <v>33</v>
      </c>
      <c r="L186">
        <v>0</v>
      </c>
      <c r="M186" t="s">
        <v>301</v>
      </c>
      <c r="N186" t="str">
        <f t="shared" si="12"/>
        <v>PO-100185</v>
      </c>
      <c r="O186" t="str">
        <f t="shared" si="13"/>
        <v>Delivered</v>
      </c>
      <c r="P186" t="str">
        <f t="shared" si="14"/>
        <v>WH-PUN</v>
      </c>
      <c r="Q186" t="str">
        <f>VLOOKUP(C186, Lookups!$A$2:$D$10, 2, FALSE())</f>
        <v>Global Networks</v>
      </c>
      <c r="R186" t="str">
        <f>_xlfn.XLOOKUP(D186, Lookups!$A$12:$A$51, Lookups!$C$12:$C$51, "Unknown")</f>
        <v>Networking</v>
      </c>
      <c r="S186" t="str">
        <f>IF(ISBLANK(I186), B186+VLOOKUP(C186, Lookups!$A$2:$D$10, 4, FALSE()), I186)</f>
        <v>2025-08-18</v>
      </c>
      <c r="T186">
        <f t="shared" si="15"/>
        <v>21</v>
      </c>
      <c r="U186" t="str">
        <f t="shared" si="16"/>
        <v>On-Time</v>
      </c>
      <c r="V186">
        <f t="shared" si="17"/>
        <v>0</v>
      </c>
    </row>
    <row r="187" spans="1:22" x14ac:dyDescent="0.45">
      <c r="A187" t="s">
        <v>650</v>
      </c>
      <c r="B187" t="s">
        <v>651</v>
      </c>
      <c r="C187" t="s">
        <v>35</v>
      </c>
      <c r="D187" t="s">
        <v>91</v>
      </c>
      <c r="E187" t="s">
        <v>17</v>
      </c>
      <c r="F187">
        <v>53</v>
      </c>
      <c r="G187">
        <v>6707</v>
      </c>
      <c r="H187">
        <v>355471</v>
      </c>
      <c r="I187" t="s">
        <v>552</v>
      </c>
      <c r="J187" t="s">
        <v>544</v>
      </c>
      <c r="K187">
        <v>53</v>
      </c>
      <c r="L187">
        <v>0</v>
      </c>
      <c r="M187" t="s">
        <v>115</v>
      </c>
      <c r="N187" t="str">
        <f t="shared" si="12"/>
        <v>PO-100186</v>
      </c>
      <c r="O187" t="str">
        <f t="shared" si="13"/>
        <v>Delivered</v>
      </c>
      <c r="P187" t="str">
        <f t="shared" si="14"/>
        <v>WH-BLR</v>
      </c>
      <c r="Q187" t="str">
        <f>VLOOKUP(C187, Lookups!$A$2:$D$10, 2, FALSE())</f>
        <v>Peripheral Source</v>
      </c>
      <c r="R187" t="str">
        <f>_xlfn.XLOOKUP(D187, Lookups!$A$12:$A$51, Lookups!$C$12:$C$51, "Unknown")</f>
        <v>Peripherals</v>
      </c>
      <c r="S187" t="str">
        <f>IF(ISBLANK(I187), B187+VLOOKUP(C187, Lookups!$A$2:$D$10, 4, FALSE()), I187)</f>
        <v>2025-11-22</v>
      </c>
      <c r="T187">
        <f t="shared" si="15"/>
        <v>11</v>
      </c>
      <c r="U187" t="str">
        <f t="shared" si="16"/>
        <v>Late</v>
      </c>
      <c r="V187">
        <f t="shared" si="17"/>
        <v>0</v>
      </c>
    </row>
    <row r="188" spans="1:22" x14ac:dyDescent="0.45">
      <c r="A188" t="s">
        <v>652</v>
      </c>
      <c r="B188" t="s">
        <v>653</v>
      </c>
      <c r="C188" t="s">
        <v>33</v>
      </c>
      <c r="D188" t="s">
        <v>89</v>
      </c>
      <c r="E188" t="s">
        <v>16</v>
      </c>
      <c r="F188">
        <v>236</v>
      </c>
      <c r="G188">
        <v>11309</v>
      </c>
      <c r="H188">
        <v>2668924</v>
      </c>
      <c r="I188" t="s">
        <v>654</v>
      </c>
      <c r="K188">
        <v>0</v>
      </c>
      <c r="L188">
        <v>0</v>
      </c>
      <c r="M188" t="s">
        <v>297</v>
      </c>
      <c r="N188" t="str">
        <f t="shared" si="12"/>
        <v>PO-100187</v>
      </c>
      <c r="O188" t="str">
        <f t="shared" si="13"/>
        <v>Open</v>
      </c>
      <c r="P188" t="str">
        <f t="shared" si="14"/>
        <v>WH-DEL</v>
      </c>
      <c r="Q188" t="str">
        <f>VLOOKUP(C188, Lookups!$A$2:$D$10, 2, FALSE())</f>
        <v>MegaFurnish</v>
      </c>
      <c r="R188" t="str">
        <f>_xlfn.XLOOKUP(D188, Lookups!$A$12:$A$51, Lookups!$C$12:$C$51, "Unknown")</f>
        <v>Office Furniture</v>
      </c>
      <c r="S188" t="str">
        <f>IF(ISBLANK(I188), B188+VLOOKUP(C188, Lookups!$A$2:$D$10, 4, FALSE()), I188)</f>
        <v>2027-01-13</v>
      </c>
      <c r="T188" t="str">
        <f t="shared" si="15"/>
        <v/>
      </c>
      <c r="U188" t="str">
        <f t="shared" si="16"/>
        <v>Open</v>
      </c>
      <c r="V188">
        <f t="shared" si="17"/>
        <v>0</v>
      </c>
    </row>
    <row r="189" spans="1:22" x14ac:dyDescent="0.45">
      <c r="A189" t="s">
        <v>655</v>
      </c>
      <c r="B189" t="s">
        <v>372</v>
      </c>
      <c r="C189" t="s">
        <v>36</v>
      </c>
      <c r="D189" t="s">
        <v>71</v>
      </c>
      <c r="E189" t="s">
        <v>15</v>
      </c>
      <c r="F189">
        <v>38</v>
      </c>
      <c r="G189">
        <v>65379</v>
      </c>
      <c r="H189">
        <v>2484402</v>
      </c>
      <c r="I189" t="s">
        <v>547</v>
      </c>
      <c r="J189" t="s">
        <v>640</v>
      </c>
      <c r="K189">
        <v>38</v>
      </c>
      <c r="L189">
        <v>0</v>
      </c>
      <c r="M189" t="s">
        <v>115</v>
      </c>
      <c r="N189" t="str">
        <f t="shared" si="12"/>
        <v>PO-100188</v>
      </c>
      <c r="O189" t="str">
        <f t="shared" si="13"/>
        <v>Delivered</v>
      </c>
      <c r="P189" t="str">
        <f t="shared" si="14"/>
        <v>WH-BOM</v>
      </c>
      <c r="Q189" t="str">
        <f>VLOOKUP(C189, Lookups!$A$2:$D$10, 2, FALSE())</f>
        <v>NextGen Hardware</v>
      </c>
      <c r="R189" t="str">
        <f>_xlfn.XLOOKUP(D189, Lookups!$A$12:$A$51, Lookups!$C$12:$C$51, "Unknown")</f>
        <v>Electronics</v>
      </c>
      <c r="S189" t="str">
        <f>IF(ISBLANK(I189), B189+VLOOKUP(C189, Lookups!$A$2:$D$10, 4, FALSE()), I189)</f>
        <v>2025-12-25</v>
      </c>
      <c r="T189">
        <f t="shared" si="15"/>
        <v>25</v>
      </c>
      <c r="U189" t="str">
        <f t="shared" si="16"/>
        <v>Late</v>
      </c>
      <c r="V189">
        <f t="shared" si="17"/>
        <v>0</v>
      </c>
    </row>
    <row r="190" spans="1:22" x14ac:dyDescent="0.45">
      <c r="A190" t="s">
        <v>656</v>
      </c>
      <c r="B190" t="s">
        <v>657</v>
      </c>
      <c r="C190" t="s">
        <v>36</v>
      </c>
      <c r="D190" t="s">
        <v>63</v>
      </c>
      <c r="E190" t="s">
        <v>15</v>
      </c>
      <c r="F190">
        <v>167</v>
      </c>
      <c r="G190">
        <v>71062</v>
      </c>
      <c r="H190">
        <v>11867354</v>
      </c>
      <c r="I190" t="s">
        <v>658</v>
      </c>
      <c r="J190" t="s">
        <v>659</v>
      </c>
      <c r="K190">
        <v>167</v>
      </c>
      <c r="L190">
        <v>0</v>
      </c>
      <c r="M190" t="s">
        <v>115</v>
      </c>
      <c r="N190" t="str">
        <f t="shared" si="12"/>
        <v>PO-100189</v>
      </c>
      <c r="O190" t="str">
        <f t="shared" si="13"/>
        <v>Delivered</v>
      </c>
      <c r="P190" t="str">
        <f t="shared" si="14"/>
        <v>WH-BOM</v>
      </c>
      <c r="Q190" t="str">
        <f>VLOOKUP(C190, Lookups!$A$2:$D$10, 2, FALSE())</f>
        <v>NextGen Hardware</v>
      </c>
      <c r="R190" t="str">
        <f>_xlfn.XLOOKUP(D190, Lookups!$A$12:$A$51, Lookups!$C$12:$C$51, "Unknown")</f>
        <v>Electronics</v>
      </c>
      <c r="S190" t="str">
        <f>IF(ISBLANK(I190), B190+VLOOKUP(C190, Lookups!$A$2:$D$10, 4, FALSE()), I190)</f>
        <v>2026-09-30</v>
      </c>
      <c r="T190">
        <f t="shared" si="15"/>
        <v>25</v>
      </c>
      <c r="U190" t="str">
        <f t="shared" si="16"/>
        <v>Late</v>
      </c>
      <c r="V190">
        <f t="shared" si="17"/>
        <v>0</v>
      </c>
    </row>
    <row r="191" spans="1:22" x14ac:dyDescent="0.45">
      <c r="A191" t="s">
        <v>660</v>
      </c>
      <c r="B191" t="s">
        <v>661</v>
      </c>
      <c r="C191" t="s">
        <v>31</v>
      </c>
      <c r="D191" t="s">
        <v>85</v>
      </c>
      <c r="E191" t="s">
        <v>16</v>
      </c>
      <c r="F191">
        <v>79</v>
      </c>
      <c r="G191">
        <v>16501</v>
      </c>
      <c r="H191">
        <v>1303579</v>
      </c>
      <c r="I191" t="s">
        <v>662</v>
      </c>
      <c r="J191" t="s">
        <v>663</v>
      </c>
      <c r="K191">
        <v>79</v>
      </c>
      <c r="L191">
        <v>0</v>
      </c>
      <c r="M191" t="s">
        <v>115</v>
      </c>
      <c r="N191" t="str">
        <f t="shared" si="12"/>
        <v>PO-100190</v>
      </c>
      <c r="O191" t="str">
        <f t="shared" si="13"/>
        <v>Delivered</v>
      </c>
      <c r="P191" t="str">
        <f t="shared" si="14"/>
        <v>WH-DEL</v>
      </c>
      <c r="Q191" t="str">
        <f>VLOOKUP(C191, Lookups!$A$2:$D$10, 2, FALSE())</f>
        <v>Global Networks</v>
      </c>
      <c r="R191" t="str">
        <f>_xlfn.XLOOKUP(D191, Lookups!$A$12:$A$51, Lookups!$C$12:$C$51, "Unknown")</f>
        <v>Networking</v>
      </c>
      <c r="S191" t="str">
        <f>IF(ISBLANK(I191), B191+VLOOKUP(C191, Lookups!$A$2:$D$10, 4, FALSE()), I191)</f>
        <v>2026-10-05</v>
      </c>
      <c r="T191">
        <f t="shared" si="15"/>
        <v>22</v>
      </c>
      <c r="U191" t="str">
        <f t="shared" si="16"/>
        <v>Late</v>
      </c>
      <c r="V191">
        <f t="shared" si="17"/>
        <v>0</v>
      </c>
    </row>
    <row r="192" spans="1:22" x14ac:dyDescent="0.45">
      <c r="A192" t="s">
        <v>664</v>
      </c>
      <c r="B192" t="s">
        <v>188</v>
      </c>
      <c r="C192" t="s">
        <v>30</v>
      </c>
      <c r="D192" t="s">
        <v>61</v>
      </c>
      <c r="E192" t="s">
        <v>15</v>
      </c>
      <c r="F192">
        <v>129</v>
      </c>
      <c r="G192">
        <v>111237</v>
      </c>
      <c r="H192">
        <v>14349573</v>
      </c>
      <c r="I192" t="s">
        <v>665</v>
      </c>
      <c r="J192" t="s">
        <v>665</v>
      </c>
      <c r="K192">
        <v>129</v>
      </c>
      <c r="L192">
        <v>0</v>
      </c>
      <c r="M192" t="s">
        <v>115</v>
      </c>
      <c r="N192" t="str">
        <f t="shared" si="12"/>
        <v>PO-100191</v>
      </c>
      <c r="O192" t="str">
        <f t="shared" si="13"/>
        <v>Delivered</v>
      </c>
      <c r="P192" t="str">
        <f t="shared" si="14"/>
        <v>WH-BOM</v>
      </c>
      <c r="Q192" t="str">
        <f>VLOOKUP(C192, Lookups!$A$2:$D$10, 2, FALSE())</f>
        <v>TechSupply Corp</v>
      </c>
      <c r="R192" t="str">
        <f>_xlfn.XLOOKUP(D192, Lookups!$A$12:$A$51, Lookups!$C$12:$C$51, "Unknown")</f>
        <v>Electronics</v>
      </c>
      <c r="S192" t="str">
        <f>IF(ISBLANK(I192), B192+VLOOKUP(C192, Lookups!$A$2:$D$10, 4, FALSE()), I192)</f>
        <v>2025-03-11</v>
      </c>
      <c r="T192">
        <f t="shared" si="15"/>
        <v>14</v>
      </c>
      <c r="U192" t="str">
        <f t="shared" si="16"/>
        <v>On-Time</v>
      </c>
      <c r="V192">
        <f t="shared" si="17"/>
        <v>0</v>
      </c>
    </row>
    <row r="193" spans="1:22" x14ac:dyDescent="0.45">
      <c r="A193" t="s">
        <v>666</v>
      </c>
      <c r="B193" t="s">
        <v>667</v>
      </c>
      <c r="C193" t="s">
        <v>34</v>
      </c>
      <c r="D193" t="s">
        <v>76</v>
      </c>
      <c r="E193" t="s">
        <v>18</v>
      </c>
      <c r="F193">
        <v>174</v>
      </c>
      <c r="G193">
        <v>26270</v>
      </c>
      <c r="H193">
        <v>4570980</v>
      </c>
      <c r="I193" t="s">
        <v>668</v>
      </c>
      <c r="J193" t="s">
        <v>668</v>
      </c>
      <c r="K193">
        <v>174</v>
      </c>
      <c r="L193">
        <v>0</v>
      </c>
      <c r="M193" t="s">
        <v>115</v>
      </c>
      <c r="N193" t="str">
        <f t="shared" si="12"/>
        <v>PO-100192</v>
      </c>
      <c r="O193" t="str">
        <f t="shared" si="13"/>
        <v>Delivered</v>
      </c>
      <c r="P193" t="str">
        <f t="shared" si="14"/>
        <v>WH-PUN</v>
      </c>
      <c r="Q193" t="str">
        <f>VLOOKUP(C193, Lookups!$A$2:$D$10, 2, FALSE())</f>
        <v>FastElectronics</v>
      </c>
      <c r="R193" t="str">
        <f>_xlfn.XLOOKUP(D193, Lookups!$A$12:$A$51, Lookups!$C$12:$C$51, "Unknown")</f>
        <v>Networking</v>
      </c>
      <c r="S193" t="str">
        <f>IF(ISBLANK(I193), B193+VLOOKUP(C193, Lookups!$A$2:$D$10, 4, FALSE()), I193)</f>
        <v>2025-01-24</v>
      </c>
      <c r="T193">
        <f t="shared" si="15"/>
        <v>18</v>
      </c>
      <c r="U193" t="str">
        <f t="shared" si="16"/>
        <v>On-Time</v>
      </c>
      <c r="V193">
        <f t="shared" si="17"/>
        <v>0</v>
      </c>
    </row>
    <row r="194" spans="1:22" x14ac:dyDescent="0.45">
      <c r="A194" t="s">
        <v>669</v>
      </c>
      <c r="B194" t="s">
        <v>670</v>
      </c>
      <c r="C194" t="s">
        <v>31</v>
      </c>
      <c r="D194" t="s">
        <v>85</v>
      </c>
      <c r="E194" t="s">
        <v>15</v>
      </c>
      <c r="F194">
        <v>36</v>
      </c>
      <c r="G194">
        <v>16501</v>
      </c>
      <c r="H194">
        <v>594036</v>
      </c>
      <c r="I194" t="s">
        <v>671</v>
      </c>
      <c r="J194" t="s">
        <v>672</v>
      </c>
      <c r="K194">
        <v>36</v>
      </c>
      <c r="L194">
        <v>0</v>
      </c>
      <c r="M194" t="s">
        <v>115</v>
      </c>
      <c r="N194" t="str">
        <f t="shared" ref="N194:N257" si="18">TRIM(A194)</f>
        <v>PO-100193</v>
      </c>
      <c r="O194" t="str">
        <f t="shared" ref="O194:O257" si="19">PROPER(TRIM(M194))</f>
        <v>Delivered</v>
      </c>
      <c r="P194" t="str">
        <f t="shared" ref="P194:P257" si="20">TRIM(E194)</f>
        <v>WH-BOM</v>
      </c>
      <c r="Q194" t="str">
        <f>VLOOKUP(C194, Lookups!$A$2:$D$10, 2, FALSE())</f>
        <v>Global Networks</v>
      </c>
      <c r="R194" t="str">
        <f>_xlfn.XLOOKUP(D194, Lookups!$A$12:$A$51, Lookups!$C$12:$C$51, "Unknown")</f>
        <v>Networking</v>
      </c>
      <c r="S194" t="str">
        <f>IF(ISBLANK(I194), B194+VLOOKUP(C194, Lookups!$A$2:$D$10, 4, FALSE()), I194)</f>
        <v>2026-11-13</v>
      </c>
      <c r="T194">
        <f t="shared" ref="T194:T257" si="21">IF(ISBLANK(J194), "", J194-B194)</f>
        <v>22</v>
      </c>
      <c r="U194" t="str">
        <f t="shared" ref="U194:U257" si="22">IF(O194="Open", "Open", IF(J194&gt;S194, "Late", "On-Time"))</f>
        <v>Late</v>
      </c>
      <c r="V194">
        <f t="shared" ref="V194:V257" si="23">IF(K194&gt;0, L194/K194, 0)</f>
        <v>0</v>
      </c>
    </row>
    <row r="195" spans="1:22" x14ac:dyDescent="0.45">
      <c r="A195" t="s">
        <v>673</v>
      </c>
      <c r="B195" t="s">
        <v>158</v>
      </c>
      <c r="C195" t="s">
        <v>30</v>
      </c>
      <c r="D195" t="s">
        <v>61</v>
      </c>
      <c r="E195" t="s">
        <v>15</v>
      </c>
      <c r="F195">
        <v>94</v>
      </c>
      <c r="G195">
        <v>111237</v>
      </c>
      <c r="H195">
        <v>10456278</v>
      </c>
      <c r="I195" t="s">
        <v>674</v>
      </c>
      <c r="J195" t="s">
        <v>675</v>
      </c>
      <c r="K195">
        <v>94</v>
      </c>
      <c r="L195">
        <v>0</v>
      </c>
      <c r="M195" t="s">
        <v>115</v>
      </c>
      <c r="N195" t="str">
        <f t="shared" si="18"/>
        <v>PO-100194</v>
      </c>
      <c r="O195" t="str">
        <f t="shared" si="19"/>
        <v>Delivered</v>
      </c>
      <c r="P195" t="str">
        <f t="shared" si="20"/>
        <v>WH-BOM</v>
      </c>
      <c r="Q195" t="str">
        <f>VLOOKUP(C195, Lookups!$A$2:$D$10, 2, FALSE())</f>
        <v>TechSupply Corp</v>
      </c>
      <c r="R195" t="str">
        <f>_xlfn.XLOOKUP(D195, Lookups!$A$12:$A$51, Lookups!$C$12:$C$51, "Unknown")</f>
        <v>Electronics</v>
      </c>
      <c r="S195" t="str">
        <f>IF(ISBLANK(I195), B195+VLOOKUP(C195, Lookups!$A$2:$D$10, 4, FALSE()), I195)</f>
        <v>2026-11-19</v>
      </c>
      <c r="T195">
        <f t="shared" si="21"/>
        <v>23</v>
      </c>
      <c r="U195" t="str">
        <f t="shared" si="22"/>
        <v>Late</v>
      </c>
      <c r="V195">
        <f t="shared" si="23"/>
        <v>0</v>
      </c>
    </row>
    <row r="196" spans="1:22" x14ac:dyDescent="0.45">
      <c r="A196" t="s">
        <v>676</v>
      </c>
      <c r="B196" t="s">
        <v>188</v>
      </c>
      <c r="C196" t="s">
        <v>36</v>
      </c>
      <c r="D196" t="s">
        <v>90</v>
      </c>
      <c r="E196" t="s">
        <v>16</v>
      </c>
      <c r="F196">
        <v>115</v>
      </c>
      <c r="G196">
        <v>81434</v>
      </c>
      <c r="H196">
        <v>9364910</v>
      </c>
      <c r="I196" t="s">
        <v>562</v>
      </c>
      <c r="J196" t="s">
        <v>562</v>
      </c>
      <c r="K196">
        <v>115</v>
      </c>
      <c r="L196">
        <v>1</v>
      </c>
      <c r="M196" t="s">
        <v>115</v>
      </c>
      <c r="N196" t="str">
        <f t="shared" si="18"/>
        <v>PO-100195</v>
      </c>
      <c r="O196" t="str">
        <f t="shared" si="19"/>
        <v>Delivered</v>
      </c>
      <c r="P196" t="str">
        <f t="shared" si="20"/>
        <v>WH-DEL</v>
      </c>
      <c r="Q196" t="str">
        <f>VLOOKUP(C196, Lookups!$A$2:$D$10, 2, FALSE())</f>
        <v>NextGen Hardware</v>
      </c>
      <c r="R196" t="str">
        <f>_xlfn.XLOOKUP(D196, Lookups!$A$12:$A$51, Lookups!$C$12:$C$51, "Unknown")</f>
        <v>Electronics</v>
      </c>
      <c r="S196" t="str">
        <f>IF(ISBLANK(I196), B196+VLOOKUP(C196, Lookups!$A$2:$D$10, 4, FALSE()), I196)</f>
        <v>2025-03-21</v>
      </c>
      <c r="T196">
        <f t="shared" si="21"/>
        <v>24</v>
      </c>
      <c r="U196" t="str">
        <f t="shared" si="22"/>
        <v>On-Time</v>
      </c>
      <c r="V196">
        <f t="shared" si="23"/>
        <v>8.6956521739130436E-3</v>
      </c>
    </row>
    <row r="197" spans="1:22" x14ac:dyDescent="0.45">
      <c r="A197" t="s">
        <v>677</v>
      </c>
      <c r="B197" t="s">
        <v>375</v>
      </c>
      <c r="C197" t="s">
        <v>30</v>
      </c>
      <c r="D197" t="s">
        <v>86</v>
      </c>
      <c r="E197" t="s">
        <v>15</v>
      </c>
      <c r="F197">
        <v>142</v>
      </c>
      <c r="G197">
        <v>74871</v>
      </c>
      <c r="H197">
        <v>10631682</v>
      </c>
      <c r="I197" t="s">
        <v>406</v>
      </c>
      <c r="J197" t="s">
        <v>406</v>
      </c>
      <c r="K197">
        <v>142</v>
      </c>
      <c r="L197">
        <v>0</v>
      </c>
      <c r="M197" t="s">
        <v>115</v>
      </c>
      <c r="N197" t="str">
        <f t="shared" si="18"/>
        <v>PO-100196</v>
      </c>
      <c r="O197" t="str">
        <f t="shared" si="19"/>
        <v>Delivered</v>
      </c>
      <c r="P197" t="str">
        <f t="shared" si="20"/>
        <v>WH-BOM</v>
      </c>
      <c r="Q197" t="str">
        <f>VLOOKUP(C197, Lookups!$A$2:$D$10, 2, FALSE())</f>
        <v>TechSupply Corp</v>
      </c>
      <c r="R197" t="str">
        <f>_xlfn.XLOOKUP(D197, Lookups!$A$12:$A$51, Lookups!$C$12:$C$51, "Unknown")</f>
        <v>Electronics</v>
      </c>
      <c r="S197" t="str">
        <f>IF(ISBLANK(I197), B197+VLOOKUP(C197, Lookups!$A$2:$D$10, 4, FALSE()), I197)</f>
        <v>2026-06-24</v>
      </c>
      <c r="T197">
        <f t="shared" si="21"/>
        <v>14</v>
      </c>
      <c r="U197" t="str">
        <f t="shared" si="22"/>
        <v>On-Time</v>
      </c>
      <c r="V197">
        <f t="shared" si="23"/>
        <v>0</v>
      </c>
    </row>
    <row r="198" spans="1:22" x14ac:dyDescent="0.45">
      <c r="A198" t="s">
        <v>678</v>
      </c>
      <c r="B198" t="s">
        <v>510</v>
      </c>
      <c r="C198" t="s">
        <v>36</v>
      </c>
      <c r="D198" t="s">
        <v>62</v>
      </c>
      <c r="E198" t="s">
        <v>18</v>
      </c>
      <c r="F198">
        <v>150</v>
      </c>
      <c r="G198">
        <v>48478</v>
      </c>
      <c r="H198">
        <v>7271700</v>
      </c>
      <c r="I198" t="s">
        <v>679</v>
      </c>
      <c r="J198" t="s">
        <v>680</v>
      </c>
      <c r="K198">
        <v>150</v>
      </c>
      <c r="L198">
        <v>0</v>
      </c>
      <c r="M198" t="s">
        <v>115</v>
      </c>
      <c r="N198" t="str">
        <f t="shared" si="18"/>
        <v>PO-100197</v>
      </c>
      <c r="O198" t="str">
        <f t="shared" si="19"/>
        <v>Delivered</v>
      </c>
      <c r="P198" t="str">
        <f t="shared" si="20"/>
        <v>WH-PUN</v>
      </c>
      <c r="Q198" t="str">
        <f>VLOOKUP(C198, Lookups!$A$2:$D$10, 2, FALSE())</f>
        <v>NextGen Hardware</v>
      </c>
      <c r="R198" t="str">
        <f>_xlfn.XLOOKUP(D198, Lookups!$A$12:$A$51, Lookups!$C$12:$C$51, "Unknown")</f>
        <v>Electronics</v>
      </c>
      <c r="S198" t="str">
        <f>IF(ISBLANK(I198), B198+VLOOKUP(C198, Lookups!$A$2:$D$10, 4, FALSE()), I198)</f>
        <v>2026-07-20</v>
      </c>
      <c r="T198">
        <f t="shared" si="21"/>
        <v>39</v>
      </c>
      <c r="U198" t="str">
        <f t="shared" si="22"/>
        <v>Late</v>
      </c>
      <c r="V198">
        <f t="shared" si="23"/>
        <v>0</v>
      </c>
    </row>
    <row r="199" spans="1:22" x14ac:dyDescent="0.45">
      <c r="A199" t="s">
        <v>681</v>
      </c>
      <c r="B199" t="s">
        <v>406</v>
      </c>
      <c r="C199" t="s">
        <v>35</v>
      </c>
      <c r="D199" t="s">
        <v>72</v>
      </c>
      <c r="E199" t="s">
        <v>15</v>
      </c>
      <c r="F199">
        <v>179</v>
      </c>
      <c r="G199">
        <v>7754</v>
      </c>
      <c r="H199">
        <v>1387966</v>
      </c>
      <c r="I199" t="s">
        <v>113</v>
      </c>
      <c r="J199" t="s">
        <v>114</v>
      </c>
      <c r="K199">
        <v>179</v>
      </c>
      <c r="L199">
        <v>0</v>
      </c>
      <c r="M199" t="s">
        <v>115</v>
      </c>
      <c r="N199" t="str">
        <f t="shared" si="18"/>
        <v>PO-100198</v>
      </c>
      <c r="O199" t="str">
        <f t="shared" si="19"/>
        <v>Delivered</v>
      </c>
      <c r="P199" t="str">
        <f t="shared" si="20"/>
        <v>WH-BOM</v>
      </c>
      <c r="Q199" t="str">
        <f>VLOOKUP(C199, Lookups!$A$2:$D$10, 2, FALSE())</f>
        <v>Peripheral Source</v>
      </c>
      <c r="R199" t="str">
        <f>_xlfn.XLOOKUP(D199, Lookups!$A$12:$A$51, Lookups!$C$12:$C$51, "Unknown")</f>
        <v>Peripherals</v>
      </c>
      <c r="S199" t="str">
        <f>IF(ISBLANK(I199), B199+VLOOKUP(C199, Lookups!$A$2:$D$10, 4, FALSE()), I199)</f>
        <v>2026-07-04</v>
      </c>
      <c r="T199">
        <f t="shared" si="21"/>
        <v>11</v>
      </c>
      <c r="U199" t="str">
        <f t="shared" si="22"/>
        <v>Late</v>
      </c>
      <c r="V199">
        <f t="shared" si="23"/>
        <v>0</v>
      </c>
    </row>
    <row r="200" spans="1:22" x14ac:dyDescent="0.45">
      <c r="A200" t="s">
        <v>682</v>
      </c>
      <c r="B200" t="s">
        <v>683</v>
      </c>
      <c r="C200" t="s">
        <v>34</v>
      </c>
      <c r="D200" t="s">
        <v>73</v>
      </c>
      <c r="E200" t="s">
        <v>16</v>
      </c>
      <c r="F200">
        <v>174</v>
      </c>
      <c r="G200">
        <v>58396</v>
      </c>
      <c r="H200">
        <v>10160904</v>
      </c>
      <c r="I200" t="s">
        <v>349</v>
      </c>
      <c r="J200" t="s">
        <v>350</v>
      </c>
      <c r="K200">
        <v>140</v>
      </c>
      <c r="L200">
        <v>0</v>
      </c>
      <c r="M200" t="s">
        <v>115</v>
      </c>
      <c r="N200" t="str">
        <f t="shared" si="18"/>
        <v>PO-100199</v>
      </c>
      <c r="O200" t="str">
        <f t="shared" si="19"/>
        <v>Delivered</v>
      </c>
      <c r="P200" t="str">
        <f t="shared" si="20"/>
        <v>WH-DEL</v>
      </c>
      <c r="Q200" t="str">
        <f>VLOOKUP(C200, Lookups!$A$2:$D$10, 2, FALSE())</f>
        <v>FastElectronics</v>
      </c>
      <c r="R200" t="str">
        <f>_xlfn.XLOOKUP(D200, Lookups!$A$12:$A$51, Lookups!$C$12:$C$51, "Unknown")</f>
        <v>Electronics</v>
      </c>
      <c r="S200" t="str">
        <f>IF(ISBLANK(I200), B200+VLOOKUP(C200, Lookups!$A$2:$D$10, 4, FALSE()), I200)</f>
        <v>2026-09-04</v>
      </c>
      <c r="T200">
        <f t="shared" si="21"/>
        <v>19</v>
      </c>
      <c r="U200" t="str">
        <f t="shared" si="22"/>
        <v>Late</v>
      </c>
      <c r="V200">
        <f t="shared" si="23"/>
        <v>0</v>
      </c>
    </row>
    <row r="201" spans="1:22" x14ac:dyDescent="0.45">
      <c r="A201" t="s">
        <v>684</v>
      </c>
      <c r="B201" t="s">
        <v>685</v>
      </c>
      <c r="C201" t="s">
        <v>33</v>
      </c>
      <c r="D201" t="s">
        <v>89</v>
      </c>
      <c r="E201" t="s">
        <v>15</v>
      </c>
      <c r="F201">
        <v>194</v>
      </c>
      <c r="G201">
        <v>11309</v>
      </c>
      <c r="H201">
        <v>2193946</v>
      </c>
      <c r="I201" t="s">
        <v>204</v>
      </c>
      <c r="J201" t="s">
        <v>686</v>
      </c>
      <c r="K201">
        <v>194</v>
      </c>
      <c r="L201">
        <v>0</v>
      </c>
      <c r="M201" t="s">
        <v>115</v>
      </c>
      <c r="N201" t="str">
        <f t="shared" si="18"/>
        <v>PO-100200</v>
      </c>
      <c r="O201" t="str">
        <f t="shared" si="19"/>
        <v>Delivered</v>
      </c>
      <c r="P201" t="str">
        <f t="shared" si="20"/>
        <v>WH-BOM</v>
      </c>
      <c r="Q201" t="str">
        <f>VLOOKUP(C201, Lookups!$A$2:$D$10, 2, FALSE())</f>
        <v>MegaFurnish</v>
      </c>
      <c r="R201" t="str">
        <f>_xlfn.XLOOKUP(D201, Lookups!$A$12:$A$51, Lookups!$C$12:$C$51, "Unknown")</f>
        <v>Office Furniture</v>
      </c>
      <c r="S201" t="str">
        <f>IF(ISBLANK(I201), B201+VLOOKUP(C201, Lookups!$A$2:$D$10, 4, FALSE()), I201)</f>
        <v>2026-04-09</v>
      </c>
      <c r="T201">
        <f t="shared" si="21"/>
        <v>31</v>
      </c>
      <c r="U201" t="str">
        <f t="shared" si="22"/>
        <v>Late</v>
      </c>
      <c r="V201">
        <f t="shared" si="23"/>
        <v>0</v>
      </c>
    </row>
    <row r="202" spans="1:22" x14ac:dyDescent="0.45">
      <c r="A202" t="s">
        <v>687</v>
      </c>
      <c r="B202" t="s">
        <v>688</v>
      </c>
      <c r="C202" t="s">
        <v>31</v>
      </c>
      <c r="D202" t="s">
        <v>77</v>
      </c>
      <c r="E202" t="s">
        <v>18</v>
      </c>
      <c r="F202">
        <v>43</v>
      </c>
      <c r="G202">
        <v>23667</v>
      </c>
      <c r="H202">
        <v>1017681</v>
      </c>
      <c r="I202" t="s">
        <v>529</v>
      </c>
      <c r="J202" t="s">
        <v>123</v>
      </c>
      <c r="K202">
        <v>43</v>
      </c>
      <c r="L202">
        <v>0</v>
      </c>
      <c r="M202" t="s">
        <v>115</v>
      </c>
      <c r="N202" t="str">
        <f t="shared" si="18"/>
        <v>PO-100201</v>
      </c>
      <c r="O202" t="str">
        <f t="shared" si="19"/>
        <v>Delivered</v>
      </c>
      <c r="P202" t="str">
        <f t="shared" si="20"/>
        <v>WH-PUN</v>
      </c>
      <c r="Q202" t="str">
        <f>VLOOKUP(C202, Lookups!$A$2:$D$10, 2, FALSE())</f>
        <v>Global Networks</v>
      </c>
      <c r="R202" t="str">
        <f>_xlfn.XLOOKUP(D202, Lookups!$A$12:$A$51, Lookups!$C$12:$C$51, "Unknown")</f>
        <v>Networking</v>
      </c>
      <c r="S202" t="str">
        <f>IF(ISBLANK(I202), B202+VLOOKUP(C202, Lookups!$A$2:$D$10, 4, FALSE()), I202)</f>
        <v>2026-05-20</v>
      </c>
      <c r="T202">
        <f t="shared" si="21"/>
        <v>23</v>
      </c>
      <c r="U202" t="str">
        <f t="shared" si="22"/>
        <v>Late</v>
      </c>
      <c r="V202">
        <f t="shared" si="23"/>
        <v>0</v>
      </c>
    </row>
    <row r="203" spans="1:22" x14ac:dyDescent="0.45">
      <c r="A203" t="s">
        <v>689</v>
      </c>
      <c r="B203" t="s">
        <v>172</v>
      </c>
      <c r="C203" t="s">
        <v>35</v>
      </c>
      <c r="D203" t="s">
        <v>91</v>
      </c>
      <c r="E203" t="s">
        <v>15</v>
      </c>
      <c r="F203">
        <v>126</v>
      </c>
      <c r="G203">
        <v>6707</v>
      </c>
      <c r="H203">
        <v>845082</v>
      </c>
      <c r="I203" t="s">
        <v>294</v>
      </c>
      <c r="J203" t="s">
        <v>356</v>
      </c>
      <c r="K203">
        <v>126</v>
      </c>
      <c r="L203">
        <v>0</v>
      </c>
      <c r="M203" t="s">
        <v>115</v>
      </c>
      <c r="N203" t="str">
        <f t="shared" si="18"/>
        <v>PO-100202</v>
      </c>
      <c r="O203" t="str">
        <f t="shared" si="19"/>
        <v>Delivered</v>
      </c>
      <c r="P203" t="str">
        <f t="shared" si="20"/>
        <v>WH-BOM</v>
      </c>
      <c r="Q203" t="str">
        <f>VLOOKUP(C203, Lookups!$A$2:$D$10, 2, FALSE())</f>
        <v>Peripheral Source</v>
      </c>
      <c r="R203" t="str">
        <f>_xlfn.XLOOKUP(D203, Lookups!$A$12:$A$51, Lookups!$C$12:$C$51, "Unknown")</f>
        <v>Peripherals</v>
      </c>
      <c r="S203" t="str">
        <f>IF(ISBLANK(I203), B203+VLOOKUP(C203, Lookups!$A$2:$D$10, 4, FALSE()), I203)</f>
        <v>2025-09-13</v>
      </c>
      <c r="T203">
        <f t="shared" si="21"/>
        <v>24</v>
      </c>
      <c r="U203" t="str">
        <f t="shared" si="22"/>
        <v>Late</v>
      </c>
      <c r="V203">
        <f t="shared" si="23"/>
        <v>0</v>
      </c>
    </row>
    <row r="204" spans="1:22" x14ac:dyDescent="0.45">
      <c r="A204" t="s">
        <v>690</v>
      </c>
      <c r="B204" t="s">
        <v>316</v>
      </c>
      <c r="C204" t="s">
        <v>31</v>
      </c>
      <c r="D204" t="s">
        <v>64</v>
      </c>
      <c r="E204" t="s">
        <v>17</v>
      </c>
      <c r="F204">
        <v>81</v>
      </c>
      <c r="G204">
        <v>36295</v>
      </c>
      <c r="H204">
        <v>2939895</v>
      </c>
      <c r="I204" t="s">
        <v>365</v>
      </c>
      <c r="J204" t="s">
        <v>577</v>
      </c>
      <c r="K204">
        <v>81</v>
      </c>
      <c r="L204">
        <v>0</v>
      </c>
      <c r="M204" t="s">
        <v>115</v>
      </c>
      <c r="N204" t="str">
        <f t="shared" si="18"/>
        <v>PO-100203</v>
      </c>
      <c r="O204" t="str">
        <f t="shared" si="19"/>
        <v>Delivered</v>
      </c>
      <c r="P204" t="str">
        <f t="shared" si="20"/>
        <v>WH-BLR</v>
      </c>
      <c r="Q204" t="str">
        <f>VLOOKUP(C204, Lookups!$A$2:$D$10, 2, FALSE())</f>
        <v>Global Networks</v>
      </c>
      <c r="R204" t="str">
        <f>_xlfn.XLOOKUP(D204, Lookups!$A$12:$A$51, Lookups!$C$12:$C$51, "Unknown")</f>
        <v>Networking</v>
      </c>
      <c r="S204" t="str">
        <f>IF(ISBLANK(I204), B204+VLOOKUP(C204, Lookups!$A$2:$D$10, 4, FALSE()), I204)</f>
        <v>2026-03-29</v>
      </c>
      <c r="T204">
        <f t="shared" si="21"/>
        <v>22</v>
      </c>
      <c r="U204" t="str">
        <f t="shared" si="22"/>
        <v>Late</v>
      </c>
      <c r="V204">
        <f t="shared" si="23"/>
        <v>0</v>
      </c>
    </row>
    <row r="205" spans="1:22" x14ac:dyDescent="0.45">
      <c r="A205" t="s">
        <v>691</v>
      </c>
      <c r="B205" t="s">
        <v>692</v>
      </c>
      <c r="C205" t="s">
        <v>36</v>
      </c>
      <c r="D205" t="s">
        <v>63</v>
      </c>
      <c r="E205" t="s">
        <v>17</v>
      </c>
      <c r="F205">
        <v>95</v>
      </c>
      <c r="G205">
        <v>71062</v>
      </c>
      <c r="H205">
        <v>6750890</v>
      </c>
      <c r="I205" t="s">
        <v>693</v>
      </c>
      <c r="J205" t="s">
        <v>694</v>
      </c>
      <c r="K205">
        <v>95</v>
      </c>
      <c r="L205">
        <v>0</v>
      </c>
      <c r="M205" t="s">
        <v>115</v>
      </c>
      <c r="N205" t="str">
        <f t="shared" si="18"/>
        <v>PO-100204</v>
      </c>
      <c r="O205" t="str">
        <f t="shared" si="19"/>
        <v>Delivered</v>
      </c>
      <c r="P205" t="str">
        <f t="shared" si="20"/>
        <v>WH-BLR</v>
      </c>
      <c r="Q205" t="str">
        <f>VLOOKUP(C205, Lookups!$A$2:$D$10, 2, FALSE())</f>
        <v>NextGen Hardware</v>
      </c>
      <c r="R205" t="str">
        <f>_xlfn.XLOOKUP(D205, Lookups!$A$12:$A$51, Lookups!$C$12:$C$51, "Unknown")</f>
        <v>Electronics</v>
      </c>
      <c r="S205" t="str">
        <f>IF(ISBLANK(I205), B205+VLOOKUP(C205, Lookups!$A$2:$D$10, 4, FALSE()), I205)</f>
        <v>2026-11-22</v>
      </c>
      <c r="T205">
        <f t="shared" si="21"/>
        <v>25</v>
      </c>
      <c r="U205" t="str">
        <f t="shared" si="22"/>
        <v>Late</v>
      </c>
      <c r="V205">
        <f t="shared" si="23"/>
        <v>0</v>
      </c>
    </row>
    <row r="206" spans="1:22" x14ac:dyDescent="0.45">
      <c r="A206" t="s">
        <v>695</v>
      </c>
      <c r="B206" t="s">
        <v>696</v>
      </c>
      <c r="C206" t="s">
        <v>35</v>
      </c>
      <c r="D206" t="s">
        <v>70</v>
      </c>
      <c r="E206" t="s">
        <v>16</v>
      </c>
      <c r="F206">
        <v>86</v>
      </c>
      <c r="G206">
        <v>4287</v>
      </c>
      <c r="H206">
        <v>368682</v>
      </c>
      <c r="I206" t="s">
        <v>697</v>
      </c>
      <c r="J206" t="s">
        <v>607</v>
      </c>
      <c r="K206">
        <v>86</v>
      </c>
      <c r="L206">
        <v>0</v>
      </c>
      <c r="M206" t="s">
        <v>115</v>
      </c>
      <c r="N206" t="str">
        <f t="shared" si="18"/>
        <v>PO-100205</v>
      </c>
      <c r="O206" t="str">
        <f t="shared" si="19"/>
        <v>Delivered</v>
      </c>
      <c r="P206" t="str">
        <f t="shared" si="20"/>
        <v>WH-DEL</v>
      </c>
      <c r="Q206" t="str">
        <f>VLOOKUP(C206, Lookups!$A$2:$D$10, 2, FALSE())</f>
        <v>Peripheral Source</v>
      </c>
      <c r="R206" t="str">
        <f>_xlfn.XLOOKUP(D206, Lookups!$A$12:$A$51, Lookups!$C$12:$C$51, "Unknown")</f>
        <v>Peripherals</v>
      </c>
      <c r="S206" t="str">
        <f>IF(ISBLANK(I206), B206+VLOOKUP(C206, Lookups!$A$2:$D$10, 4, FALSE()), I206)</f>
        <v>2025-01-22</v>
      </c>
      <c r="T206">
        <f t="shared" si="21"/>
        <v>17</v>
      </c>
      <c r="U206" t="str">
        <f t="shared" si="22"/>
        <v>Late</v>
      </c>
      <c r="V206">
        <f t="shared" si="23"/>
        <v>0</v>
      </c>
    </row>
    <row r="207" spans="1:22" x14ac:dyDescent="0.45">
      <c r="A207" t="s">
        <v>698</v>
      </c>
      <c r="B207" t="s">
        <v>348</v>
      </c>
      <c r="C207" t="s">
        <v>35</v>
      </c>
      <c r="D207" t="s">
        <v>57</v>
      </c>
      <c r="E207" t="s">
        <v>16</v>
      </c>
      <c r="F207">
        <v>67</v>
      </c>
      <c r="G207">
        <v>2212</v>
      </c>
      <c r="H207">
        <v>148204</v>
      </c>
      <c r="I207" t="s">
        <v>135</v>
      </c>
      <c r="J207" t="s">
        <v>135</v>
      </c>
      <c r="K207">
        <v>50</v>
      </c>
      <c r="L207">
        <v>0</v>
      </c>
      <c r="M207" t="s">
        <v>115</v>
      </c>
      <c r="N207" t="str">
        <f t="shared" si="18"/>
        <v>PO-100206</v>
      </c>
      <c r="O207" t="str">
        <f t="shared" si="19"/>
        <v>Delivered</v>
      </c>
      <c r="P207" t="str">
        <f t="shared" si="20"/>
        <v>WH-DEL</v>
      </c>
      <c r="Q207" t="str">
        <f>VLOOKUP(C207, Lookups!$A$2:$D$10, 2, FALSE())</f>
        <v>Peripheral Source</v>
      </c>
      <c r="R207" t="str">
        <f>_xlfn.XLOOKUP(D207, Lookups!$A$12:$A$51, Lookups!$C$12:$C$51, "Unknown")</f>
        <v>Peripherals</v>
      </c>
      <c r="S207" t="str">
        <f>IF(ISBLANK(I207), B207+VLOOKUP(C207, Lookups!$A$2:$D$10, 4, FALSE()), I207)</f>
        <v>2026-09-02</v>
      </c>
      <c r="T207">
        <f t="shared" si="21"/>
        <v>10</v>
      </c>
      <c r="U207" t="str">
        <f t="shared" si="22"/>
        <v>On-Time</v>
      </c>
      <c r="V207">
        <f t="shared" si="23"/>
        <v>0</v>
      </c>
    </row>
    <row r="208" spans="1:22" x14ac:dyDescent="0.45">
      <c r="A208" t="s">
        <v>699</v>
      </c>
      <c r="B208" t="s">
        <v>165</v>
      </c>
      <c r="C208" t="s">
        <v>36</v>
      </c>
      <c r="D208" t="s">
        <v>55</v>
      </c>
      <c r="E208" t="s">
        <v>16</v>
      </c>
      <c r="F208">
        <v>166</v>
      </c>
      <c r="G208">
        <v>58434</v>
      </c>
      <c r="H208">
        <v>9700044</v>
      </c>
      <c r="I208" t="s">
        <v>625</v>
      </c>
      <c r="J208" t="s">
        <v>700</v>
      </c>
      <c r="K208">
        <v>120</v>
      </c>
      <c r="L208">
        <v>0</v>
      </c>
      <c r="M208" t="s">
        <v>115</v>
      </c>
      <c r="N208" t="str">
        <f t="shared" si="18"/>
        <v>PO-100207</v>
      </c>
      <c r="O208" t="str">
        <f t="shared" si="19"/>
        <v>Delivered</v>
      </c>
      <c r="P208" t="str">
        <f t="shared" si="20"/>
        <v>WH-DEL</v>
      </c>
      <c r="Q208" t="str">
        <f>VLOOKUP(C208, Lookups!$A$2:$D$10, 2, FALSE())</f>
        <v>NextGen Hardware</v>
      </c>
      <c r="R208" t="str">
        <f>_xlfn.XLOOKUP(D208, Lookups!$A$12:$A$51, Lookups!$C$12:$C$51, "Unknown")</f>
        <v>Electronics</v>
      </c>
      <c r="S208" t="str">
        <f>IF(ISBLANK(I208), B208+VLOOKUP(C208, Lookups!$A$2:$D$10, 4, FALSE()), I208)</f>
        <v>2026-03-15</v>
      </c>
      <c r="T208">
        <f t="shared" si="21"/>
        <v>25</v>
      </c>
      <c r="U208" t="str">
        <f t="shared" si="22"/>
        <v>Late</v>
      </c>
      <c r="V208">
        <f t="shared" si="23"/>
        <v>0</v>
      </c>
    </row>
    <row r="209" spans="1:22" x14ac:dyDescent="0.45">
      <c r="A209" t="s">
        <v>701</v>
      </c>
      <c r="B209" t="s">
        <v>552</v>
      </c>
      <c r="C209" t="s">
        <v>35</v>
      </c>
      <c r="D209" t="s">
        <v>60</v>
      </c>
      <c r="E209" t="s">
        <v>17</v>
      </c>
      <c r="F209">
        <v>20</v>
      </c>
      <c r="G209">
        <v>3291</v>
      </c>
      <c r="H209">
        <v>65820</v>
      </c>
      <c r="I209" t="s">
        <v>371</v>
      </c>
      <c r="J209" t="s">
        <v>371</v>
      </c>
      <c r="K209">
        <v>20</v>
      </c>
      <c r="L209">
        <v>0</v>
      </c>
      <c r="M209" t="s">
        <v>115</v>
      </c>
      <c r="N209" t="str">
        <f t="shared" si="18"/>
        <v>PO-100208</v>
      </c>
      <c r="O209" t="str">
        <f t="shared" si="19"/>
        <v>Delivered</v>
      </c>
      <c r="P209" t="str">
        <f t="shared" si="20"/>
        <v>WH-BLR</v>
      </c>
      <c r="Q209" t="str">
        <f>VLOOKUP(C209, Lookups!$A$2:$D$10, 2, FALSE())</f>
        <v>Peripheral Source</v>
      </c>
      <c r="R209" t="str">
        <f>_xlfn.XLOOKUP(D209, Lookups!$A$12:$A$51, Lookups!$C$12:$C$51, "Unknown")</f>
        <v>Peripherals</v>
      </c>
      <c r="S209" t="str">
        <f>IF(ISBLANK(I209), B209+VLOOKUP(C209, Lookups!$A$2:$D$10, 4, FALSE()), I209)</f>
        <v>2025-12-02</v>
      </c>
      <c r="T209">
        <f t="shared" si="21"/>
        <v>10</v>
      </c>
      <c r="U209" t="str">
        <f t="shared" si="22"/>
        <v>On-Time</v>
      </c>
      <c r="V209">
        <f t="shared" si="23"/>
        <v>0</v>
      </c>
    </row>
    <row r="210" spans="1:22" x14ac:dyDescent="0.45">
      <c r="A210" t="s">
        <v>702</v>
      </c>
      <c r="B210" t="s">
        <v>416</v>
      </c>
      <c r="C210" t="s">
        <v>35</v>
      </c>
      <c r="D210" t="s">
        <v>57</v>
      </c>
      <c r="E210" t="s">
        <v>18</v>
      </c>
      <c r="F210">
        <v>212</v>
      </c>
      <c r="G210">
        <v>2212</v>
      </c>
      <c r="H210">
        <v>468944</v>
      </c>
      <c r="I210" t="s">
        <v>703</v>
      </c>
      <c r="J210" t="s">
        <v>303</v>
      </c>
      <c r="K210">
        <v>212</v>
      </c>
      <c r="L210">
        <v>0</v>
      </c>
      <c r="M210" t="s">
        <v>115</v>
      </c>
      <c r="N210" t="str">
        <f t="shared" si="18"/>
        <v>PO-100209</v>
      </c>
      <c r="O210" t="str">
        <f t="shared" si="19"/>
        <v>Delivered</v>
      </c>
      <c r="P210" t="str">
        <f t="shared" si="20"/>
        <v>WH-PUN</v>
      </c>
      <c r="Q210" t="str">
        <f>VLOOKUP(C210, Lookups!$A$2:$D$10, 2, FALSE())</f>
        <v>Peripheral Source</v>
      </c>
      <c r="R210" t="str">
        <f>_xlfn.XLOOKUP(D210, Lookups!$A$12:$A$51, Lookups!$C$12:$C$51, "Unknown")</f>
        <v>Peripherals</v>
      </c>
      <c r="S210" t="str">
        <f>IF(ISBLANK(I210), B210+VLOOKUP(C210, Lookups!$A$2:$D$10, 4, FALSE()), I210)</f>
        <v>2026-06-08</v>
      </c>
      <c r="T210">
        <f t="shared" si="21"/>
        <v>11</v>
      </c>
      <c r="U210" t="str">
        <f t="shared" si="22"/>
        <v>Late</v>
      </c>
      <c r="V210">
        <f t="shared" si="23"/>
        <v>0</v>
      </c>
    </row>
    <row r="211" spans="1:22" x14ac:dyDescent="0.45">
      <c r="A211" t="s">
        <v>704</v>
      </c>
      <c r="B211" t="s">
        <v>220</v>
      </c>
      <c r="C211" t="s">
        <v>37</v>
      </c>
      <c r="D211" t="s">
        <v>69</v>
      </c>
      <c r="E211" t="s">
        <v>16</v>
      </c>
      <c r="F211">
        <v>40</v>
      </c>
      <c r="G211">
        <v>13231</v>
      </c>
      <c r="H211">
        <v>529240</v>
      </c>
      <c r="I211" t="s">
        <v>705</v>
      </c>
      <c r="J211" t="s">
        <v>503</v>
      </c>
      <c r="K211">
        <v>40</v>
      </c>
      <c r="L211">
        <v>0</v>
      </c>
      <c r="M211" t="s">
        <v>115</v>
      </c>
      <c r="N211" t="str">
        <f t="shared" si="18"/>
        <v>PO-100210</v>
      </c>
      <c r="O211" t="str">
        <f t="shared" si="19"/>
        <v>Delivered</v>
      </c>
      <c r="P211" t="str">
        <f t="shared" si="20"/>
        <v>WH-DEL</v>
      </c>
      <c r="Q211" t="str">
        <f>VLOOKUP(C211, Lookups!$A$2:$D$10, 2, FALSE())</f>
        <v>Premium Desks Ltd</v>
      </c>
      <c r="R211" t="str">
        <f>_xlfn.XLOOKUP(D211, Lookups!$A$12:$A$51, Lookups!$C$12:$C$51, "Unknown")</f>
        <v>Office Furniture</v>
      </c>
      <c r="S211" t="str">
        <f>IF(ISBLANK(I211), B211+VLOOKUP(C211, Lookups!$A$2:$D$10, 4, FALSE()), I211)</f>
        <v>2026-02-26</v>
      </c>
      <c r="T211">
        <f t="shared" si="21"/>
        <v>13</v>
      </c>
      <c r="U211" t="str">
        <f t="shared" si="22"/>
        <v>Late</v>
      </c>
      <c r="V211">
        <f t="shared" si="23"/>
        <v>0</v>
      </c>
    </row>
    <row r="212" spans="1:22" x14ac:dyDescent="0.45">
      <c r="A212" t="s">
        <v>706</v>
      </c>
      <c r="B212" t="s">
        <v>707</v>
      </c>
      <c r="C212" t="s">
        <v>37</v>
      </c>
      <c r="D212" t="s">
        <v>69</v>
      </c>
      <c r="E212" t="s">
        <v>18</v>
      </c>
      <c r="F212">
        <v>115</v>
      </c>
      <c r="G212">
        <v>13231</v>
      </c>
      <c r="H212">
        <v>1521565</v>
      </c>
      <c r="I212" t="s">
        <v>708</v>
      </c>
      <c r="J212" t="s">
        <v>709</v>
      </c>
      <c r="K212">
        <v>115</v>
      </c>
      <c r="L212">
        <v>0</v>
      </c>
      <c r="M212" t="s">
        <v>115</v>
      </c>
      <c r="N212" t="str">
        <f t="shared" si="18"/>
        <v>PO-100211</v>
      </c>
      <c r="O212" t="str">
        <f t="shared" si="19"/>
        <v>Delivered</v>
      </c>
      <c r="P212" t="str">
        <f t="shared" si="20"/>
        <v>WH-PUN</v>
      </c>
      <c r="Q212" t="str">
        <f>VLOOKUP(C212, Lookups!$A$2:$D$10, 2, FALSE())</f>
        <v>Premium Desks Ltd</v>
      </c>
      <c r="R212" t="str">
        <f>_xlfn.XLOOKUP(D212, Lookups!$A$12:$A$51, Lookups!$C$12:$C$51, "Unknown")</f>
        <v>Office Furniture</v>
      </c>
      <c r="S212" t="str">
        <f>IF(ISBLANK(I212), B212+VLOOKUP(C212, Lookups!$A$2:$D$10, 4, FALSE()), I212)</f>
        <v>2026-01-26</v>
      </c>
      <c r="T212">
        <f t="shared" si="21"/>
        <v>17</v>
      </c>
      <c r="U212" t="str">
        <f t="shared" si="22"/>
        <v>Late</v>
      </c>
      <c r="V212">
        <f t="shared" si="23"/>
        <v>0</v>
      </c>
    </row>
    <row r="213" spans="1:22" x14ac:dyDescent="0.45">
      <c r="A213" t="s">
        <v>710</v>
      </c>
      <c r="B213" t="s">
        <v>711</v>
      </c>
      <c r="C213" t="s">
        <v>34</v>
      </c>
      <c r="D213" t="s">
        <v>76</v>
      </c>
      <c r="E213" t="s">
        <v>18</v>
      </c>
      <c r="F213">
        <v>216</v>
      </c>
      <c r="G213">
        <v>26270</v>
      </c>
      <c r="H213">
        <v>5674320</v>
      </c>
      <c r="I213" t="s">
        <v>299</v>
      </c>
      <c r="J213" t="s">
        <v>186</v>
      </c>
      <c r="K213">
        <v>216</v>
      </c>
      <c r="L213">
        <v>24</v>
      </c>
      <c r="M213" t="s">
        <v>115</v>
      </c>
      <c r="N213" t="str">
        <f t="shared" si="18"/>
        <v>PO-100212</v>
      </c>
      <c r="O213" t="str">
        <f t="shared" si="19"/>
        <v>Delivered</v>
      </c>
      <c r="P213" t="str">
        <f t="shared" si="20"/>
        <v>WH-PUN</v>
      </c>
      <c r="Q213" t="str">
        <f>VLOOKUP(C213, Lookups!$A$2:$D$10, 2, FALSE())</f>
        <v>FastElectronics</v>
      </c>
      <c r="R213" t="str">
        <f>_xlfn.XLOOKUP(D213, Lookups!$A$12:$A$51, Lookups!$C$12:$C$51, "Unknown")</f>
        <v>Networking</v>
      </c>
      <c r="S213" t="str">
        <f>IF(ISBLANK(I213), B213+VLOOKUP(C213, Lookups!$A$2:$D$10, 4, FALSE()), I213)</f>
        <v>2025-02-27</v>
      </c>
      <c r="T213">
        <f t="shared" si="21"/>
        <v>19</v>
      </c>
      <c r="U213" t="str">
        <f t="shared" si="22"/>
        <v>Late</v>
      </c>
      <c r="V213">
        <f t="shared" si="23"/>
        <v>0.1111111111111111</v>
      </c>
    </row>
    <row r="214" spans="1:22" x14ac:dyDescent="0.45">
      <c r="A214" t="s">
        <v>712</v>
      </c>
      <c r="B214" t="s">
        <v>713</v>
      </c>
      <c r="C214" t="s">
        <v>36</v>
      </c>
      <c r="D214" t="s">
        <v>71</v>
      </c>
      <c r="E214" t="s">
        <v>18</v>
      </c>
      <c r="F214">
        <v>243</v>
      </c>
      <c r="G214">
        <v>65379</v>
      </c>
      <c r="H214">
        <v>15887097</v>
      </c>
      <c r="I214" t="s">
        <v>450</v>
      </c>
      <c r="J214" t="s">
        <v>450</v>
      </c>
      <c r="K214">
        <v>243</v>
      </c>
      <c r="L214">
        <v>17</v>
      </c>
      <c r="M214" t="s">
        <v>115</v>
      </c>
      <c r="N214" t="str">
        <f t="shared" si="18"/>
        <v>PO-100213</v>
      </c>
      <c r="O214" t="str">
        <f t="shared" si="19"/>
        <v>Delivered</v>
      </c>
      <c r="P214" t="str">
        <f t="shared" si="20"/>
        <v>WH-PUN</v>
      </c>
      <c r="Q214" t="str">
        <f>VLOOKUP(C214, Lookups!$A$2:$D$10, 2, FALSE())</f>
        <v>NextGen Hardware</v>
      </c>
      <c r="R214" t="str">
        <f>_xlfn.XLOOKUP(D214, Lookups!$A$12:$A$51, Lookups!$C$12:$C$51, "Unknown")</f>
        <v>Electronics</v>
      </c>
      <c r="S214" t="str">
        <f>IF(ISBLANK(I214), B214+VLOOKUP(C214, Lookups!$A$2:$D$10, 4, FALSE()), I214)</f>
        <v>2026-09-12</v>
      </c>
      <c r="T214">
        <f t="shared" si="21"/>
        <v>24</v>
      </c>
      <c r="U214" t="str">
        <f t="shared" si="22"/>
        <v>On-Time</v>
      </c>
      <c r="V214">
        <f t="shared" si="23"/>
        <v>6.9958847736625515E-2</v>
      </c>
    </row>
    <row r="215" spans="1:22" x14ac:dyDescent="0.45">
      <c r="A215" t="s">
        <v>714</v>
      </c>
      <c r="B215" t="s">
        <v>715</v>
      </c>
      <c r="C215" t="s">
        <v>36</v>
      </c>
      <c r="D215" t="s">
        <v>90</v>
      </c>
      <c r="E215" t="s">
        <v>18</v>
      </c>
      <c r="F215">
        <v>57</v>
      </c>
      <c r="G215">
        <v>81434</v>
      </c>
      <c r="H215">
        <v>4641738</v>
      </c>
      <c r="I215" t="s">
        <v>234</v>
      </c>
      <c r="J215" t="s">
        <v>716</v>
      </c>
      <c r="K215">
        <v>57</v>
      </c>
      <c r="L215">
        <v>0</v>
      </c>
      <c r="M215" t="s">
        <v>115</v>
      </c>
      <c r="N215" t="str">
        <f t="shared" si="18"/>
        <v>PO-100214</v>
      </c>
      <c r="O215" t="str">
        <f t="shared" si="19"/>
        <v>Delivered</v>
      </c>
      <c r="P215" t="str">
        <f t="shared" si="20"/>
        <v>WH-PUN</v>
      </c>
      <c r="Q215" t="str">
        <f>VLOOKUP(C215, Lookups!$A$2:$D$10, 2, FALSE())</f>
        <v>NextGen Hardware</v>
      </c>
      <c r="R215" t="str">
        <f>_xlfn.XLOOKUP(D215, Lookups!$A$12:$A$51, Lookups!$C$12:$C$51, "Unknown")</f>
        <v>Electronics</v>
      </c>
      <c r="S215" t="str">
        <f>IF(ISBLANK(I215), B215+VLOOKUP(C215, Lookups!$A$2:$D$10, 4, FALSE()), I215)</f>
        <v>2025-08-03</v>
      </c>
      <c r="T215">
        <f t="shared" si="21"/>
        <v>32</v>
      </c>
      <c r="U215" t="str">
        <f t="shared" si="22"/>
        <v>Late</v>
      </c>
      <c r="V215">
        <f t="shared" si="23"/>
        <v>0</v>
      </c>
    </row>
    <row r="216" spans="1:22" x14ac:dyDescent="0.45">
      <c r="A216" t="s">
        <v>717</v>
      </c>
      <c r="B216" t="s">
        <v>501</v>
      </c>
      <c r="C216" t="s">
        <v>37</v>
      </c>
      <c r="D216" t="s">
        <v>78</v>
      </c>
      <c r="E216" t="s">
        <v>18</v>
      </c>
      <c r="F216">
        <v>28</v>
      </c>
      <c r="G216">
        <v>9423</v>
      </c>
      <c r="H216">
        <v>263844</v>
      </c>
      <c r="I216" t="s">
        <v>617</v>
      </c>
      <c r="J216" t="s">
        <v>718</v>
      </c>
      <c r="K216">
        <v>28</v>
      </c>
      <c r="L216">
        <v>0</v>
      </c>
      <c r="M216" t="s">
        <v>115</v>
      </c>
      <c r="N216" t="str">
        <f t="shared" si="18"/>
        <v>PO-100215</v>
      </c>
      <c r="O216" t="str">
        <f t="shared" si="19"/>
        <v>Delivered</v>
      </c>
      <c r="P216" t="str">
        <f t="shared" si="20"/>
        <v>WH-PUN</v>
      </c>
      <c r="Q216" t="str">
        <f>VLOOKUP(C216, Lookups!$A$2:$D$10, 2, FALSE())</f>
        <v>Premium Desks Ltd</v>
      </c>
      <c r="R216" t="str">
        <f>_xlfn.XLOOKUP(D216, Lookups!$A$12:$A$51, Lookups!$C$12:$C$51, "Unknown")</f>
        <v>Office Furniture</v>
      </c>
      <c r="S216" t="str">
        <f>IF(ISBLANK(I216), B216+VLOOKUP(C216, Lookups!$A$2:$D$10, 4, FALSE()), I216)</f>
        <v>2026-02-10</v>
      </c>
      <c r="T216">
        <f t="shared" si="21"/>
        <v>13</v>
      </c>
      <c r="U216" t="str">
        <f t="shared" si="22"/>
        <v>Late</v>
      </c>
      <c r="V216">
        <f t="shared" si="23"/>
        <v>0</v>
      </c>
    </row>
    <row r="217" spans="1:22" x14ac:dyDescent="0.45">
      <c r="A217" t="s">
        <v>719</v>
      </c>
      <c r="B217" t="s">
        <v>720</v>
      </c>
      <c r="C217" t="s">
        <v>35</v>
      </c>
      <c r="D217" t="s">
        <v>91</v>
      </c>
      <c r="E217" t="s">
        <v>16</v>
      </c>
      <c r="F217">
        <v>160</v>
      </c>
      <c r="G217">
        <v>6707</v>
      </c>
      <c r="H217">
        <v>1073120</v>
      </c>
      <c r="I217" t="s">
        <v>721</v>
      </c>
      <c r="J217" t="s">
        <v>721</v>
      </c>
      <c r="K217">
        <v>160</v>
      </c>
      <c r="L217">
        <v>0</v>
      </c>
      <c r="M217" t="s">
        <v>115</v>
      </c>
      <c r="N217" t="str">
        <f t="shared" si="18"/>
        <v>PO-100216</v>
      </c>
      <c r="O217" t="str">
        <f t="shared" si="19"/>
        <v>Delivered</v>
      </c>
      <c r="P217" t="str">
        <f t="shared" si="20"/>
        <v>WH-DEL</v>
      </c>
      <c r="Q217" t="str">
        <f>VLOOKUP(C217, Lookups!$A$2:$D$10, 2, FALSE())</f>
        <v>Peripheral Source</v>
      </c>
      <c r="R217" t="str">
        <f>_xlfn.XLOOKUP(D217, Lookups!$A$12:$A$51, Lookups!$C$12:$C$51, "Unknown")</f>
        <v>Peripherals</v>
      </c>
      <c r="S217" t="str">
        <f>IF(ISBLANK(I217), B217+VLOOKUP(C217, Lookups!$A$2:$D$10, 4, FALSE()), I217)</f>
        <v>2026-02-01</v>
      </c>
      <c r="T217">
        <f t="shared" si="21"/>
        <v>10</v>
      </c>
      <c r="U217" t="str">
        <f t="shared" si="22"/>
        <v>On-Time</v>
      </c>
      <c r="V217">
        <f t="shared" si="23"/>
        <v>0</v>
      </c>
    </row>
    <row r="218" spans="1:22" x14ac:dyDescent="0.45">
      <c r="A218" t="s">
        <v>722</v>
      </c>
      <c r="B218" t="s">
        <v>723</v>
      </c>
      <c r="C218" t="s">
        <v>31</v>
      </c>
      <c r="D218" t="s">
        <v>77</v>
      </c>
      <c r="E218" t="s">
        <v>18</v>
      </c>
      <c r="F218">
        <v>191</v>
      </c>
      <c r="G218">
        <v>23667</v>
      </c>
      <c r="H218">
        <v>4520397</v>
      </c>
      <c r="I218" t="s">
        <v>724</v>
      </c>
      <c r="J218" t="s">
        <v>724</v>
      </c>
      <c r="K218">
        <v>191</v>
      </c>
      <c r="L218">
        <v>0</v>
      </c>
      <c r="M218" t="s">
        <v>115</v>
      </c>
      <c r="N218" t="str">
        <f t="shared" si="18"/>
        <v>PO-100217</v>
      </c>
      <c r="O218" t="str">
        <f t="shared" si="19"/>
        <v>Delivered</v>
      </c>
      <c r="P218" t="str">
        <f t="shared" si="20"/>
        <v>WH-PUN</v>
      </c>
      <c r="Q218" t="str">
        <f>VLOOKUP(C218, Lookups!$A$2:$D$10, 2, FALSE())</f>
        <v>Global Networks</v>
      </c>
      <c r="R218" t="str">
        <f>_xlfn.XLOOKUP(D218, Lookups!$A$12:$A$51, Lookups!$C$12:$C$51, "Unknown")</f>
        <v>Networking</v>
      </c>
      <c r="S218" t="str">
        <f>IF(ISBLANK(I218), B218+VLOOKUP(C218, Lookups!$A$2:$D$10, 4, FALSE()), I218)</f>
        <v>2026-05-25</v>
      </c>
      <c r="T218">
        <f t="shared" si="21"/>
        <v>21</v>
      </c>
      <c r="U218" t="str">
        <f t="shared" si="22"/>
        <v>On-Time</v>
      </c>
      <c r="V218">
        <f t="shared" si="23"/>
        <v>0</v>
      </c>
    </row>
    <row r="219" spans="1:22" x14ac:dyDescent="0.45">
      <c r="A219" t="s">
        <v>725</v>
      </c>
      <c r="B219" t="s">
        <v>726</v>
      </c>
      <c r="C219" t="s">
        <v>36</v>
      </c>
      <c r="D219" t="s">
        <v>71</v>
      </c>
      <c r="E219" t="s">
        <v>15</v>
      </c>
      <c r="F219">
        <v>73</v>
      </c>
      <c r="G219">
        <v>65379</v>
      </c>
      <c r="H219">
        <v>4772667</v>
      </c>
      <c r="I219" t="s">
        <v>258</v>
      </c>
      <c r="J219" t="s">
        <v>258</v>
      </c>
      <c r="K219">
        <v>52</v>
      </c>
      <c r="L219">
        <v>0</v>
      </c>
      <c r="M219" t="s">
        <v>115</v>
      </c>
      <c r="N219" t="str">
        <f t="shared" si="18"/>
        <v>PO-100218</v>
      </c>
      <c r="O219" t="str">
        <f t="shared" si="19"/>
        <v>Delivered</v>
      </c>
      <c r="P219" t="str">
        <f t="shared" si="20"/>
        <v>WH-BOM</v>
      </c>
      <c r="Q219" t="str">
        <f>VLOOKUP(C219, Lookups!$A$2:$D$10, 2, FALSE())</f>
        <v>NextGen Hardware</v>
      </c>
      <c r="R219" t="str">
        <f>_xlfn.XLOOKUP(D219, Lookups!$A$12:$A$51, Lookups!$C$12:$C$51, "Unknown")</f>
        <v>Electronics</v>
      </c>
      <c r="S219" t="str">
        <f>IF(ISBLANK(I219), B219+VLOOKUP(C219, Lookups!$A$2:$D$10, 4, FALSE()), I219)</f>
        <v>2025-02-06</v>
      </c>
      <c r="T219">
        <f t="shared" si="21"/>
        <v>24</v>
      </c>
      <c r="U219" t="str">
        <f t="shared" si="22"/>
        <v>On-Time</v>
      </c>
      <c r="V219">
        <f t="shared" si="23"/>
        <v>0</v>
      </c>
    </row>
    <row r="220" spans="1:22" x14ac:dyDescent="0.45">
      <c r="A220" t="s">
        <v>727</v>
      </c>
      <c r="B220" t="s">
        <v>728</v>
      </c>
      <c r="C220" t="s">
        <v>34</v>
      </c>
      <c r="D220" t="s">
        <v>58</v>
      </c>
      <c r="E220" t="s">
        <v>17</v>
      </c>
      <c r="F220">
        <v>61</v>
      </c>
      <c r="G220">
        <v>100302</v>
      </c>
      <c r="H220">
        <v>6118422</v>
      </c>
      <c r="I220" t="s">
        <v>729</v>
      </c>
      <c r="J220" t="s">
        <v>729</v>
      </c>
      <c r="K220">
        <v>61</v>
      </c>
      <c r="L220">
        <v>0</v>
      </c>
      <c r="M220" t="s">
        <v>115</v>
      </c>
      <c r="N220" t="str">
        <f t="shared" si="18"/>
        <v>PO-100219</v>
      </c>
      <c r="O220" t="str">
        <f t="shared" si="19"/>
        <v>Delivered</v>
      </c>
      <c r="P220" t="str">
        <f t="shared" si="20"/>
        <v>WH-BLR</v>
      </c>
      <c r="Q220" t="str">
        <f>VLOOKUP(C220, Lookups!$A$2:$D$10, 2, FALSE())</f>
        <v>FastElectronics</v>
      </c>
      <c r="R220" t="str">
        <f>_xlfn.XLOOKUP(D220, Lookups!$A$12:$A$51, Lookups!$C$12:$C$51, "Unknown")</f>
        <v>Electronics</v>
      </c>
      <c r="S220" t="str">
        <f>IF(ISBLANK(I220), B220+VLOOKUP(C220, Lookups!$A$2:$D$10, 4, FALSE()), I220)</f>
        <v>2025-09-28</v>
      </c>
      <c r="T220">
        <f t="shared" si="21"/>
        <v>18</v>
      </c>
      <c r="U220" t="str">
        <f t="shared" si="22"/>
        <v>On-Time</v>
      </c>
      <c r="V220">
        <f t="shared" si="23"/>
        <v>0</v>
      </c>
    </row>
    <row r="221" spans="1:22" x14ac:dyDescent="0.45">
      <c r="A221" t="s">
        <v>730</v>
      </c>
      <c r="B221" t="s">
        <v>731</v>
      </c>
      <c r="C221" t="s">
        <v>35</v>
      </c>
      <c r="D221" t="s">
        <v>60</v>
      </c>
      <c r="E221" t="s">
        <v>18</v>
      </c>
      <c r="F221">
        <v>12</v>
      </c>
      <c r="G221">
        <v>3291</v>
      </c>
      <c r="H221">
        <v>39492</v>
      </c>
      <c r="I221" t="s">
        <v>732</v>
      </c>
      <c r="J221" t="s">
        <v>211</v>
      </c>
      <c r="K221">
        <v>12</v>
      </c>
      <c r="L221">
        <v>0</v>
      </c>
      <c r="M221" t="s">
        <v>115</v>
      </c>
      <c r="N221" t="str">
        <f t="shared" si="18"/>
        <v>PO-100220</v>
      </c>
      <c r="O221" t="str">
        <f t="shared" si="19"/>
        <v>Delivered</v>
      </c>
      <c r="P221" t="str">
        <f t="shared" si="20"/>
        <v>WH-PUN</v>
      </c>
      <c r="Q221" t="str">
        <f>VLOOKUP(C221, Lookups!$A$2:$D$10, 2, FALSE())</f>
        <v>Peripheral Source</v>
      </c>
      <c r="R221" t="str">
        <f>_xlfn.XLOOKUP(D221, Lookups!$A$12:$A$51, Lookups!$C$12:$C$51, "Unknown")</f>
        <v>Peripherals</v>
      </c>
      <c r="S221" t="str">
        <f>IF(ISBLANK(I221), B221+VLOOKUP(C221, Lookups!$A$2:$D$10, 4, FALSE()), I221)</f>
        <v>2025-06-18</v>
      </c>
      <c r="T221">
        <f t="shared" si="21"/>
        <v>13</v>
      </c>
      <c r="U221" t="str">
        <f t="shared" si="22"/>
        <v>Late</v>
      </c>
      <c r="V221">
        <f t="shared" si="23"/>
        <v>0</v>
      </c>
    </row>
    <row r="222" spans="1:22" x14ac:dyDescent="0.45">
      <c r="A222" t="s">
        <v>733</v>
      </c>
      <c r="B222" t="s">
        <v>734</v>
      </c>
      <c r="C222" t="s">
        <v>34</v>
      </c>
      <c r="D222" t="s">
        <v>81</v>
      </c>
      <c r="E222" t="s">
        <v>18</v>
      </c>
      <c r="F222">
        <v>47</v>
      </c>
      <c r="G222">
        <v>55328</v>
      </c>
      <c r="H222">
        <v>2600416</v>
      </c>
      <c r="I222" t="s">
        <v>296</v>
      </c>
      <c r="J222" t="s">
        <v>296</v>
      </c>
      <c r="K222">
        <v>47</v>
      </c>
      <c r="L222">
        <v>0</v>
      </c>
      <c r="M222" t="s">
        <v>115</v>
      </c>
      <c r="N222" t="str">
        <f t="shared" si="18"/>
        <v>PO-100221</v>
      </c>
      <c r="O222" t="str">
        <f t="shared" si="19"/>
        <v>Delivered</v>
      </c>
      <c r="P222" t="str">
        <f t="shared" si="20"/>
        <v>WH-PUN</v>
      </c>
      <c r="Q222" t="str">
        <f>VLOOKUP(C222, Lookups!$A$2:$D$10, 2, FALSE())</f>
        <v>FastElectronics</v>
      </c>
      <c r="R222" t="str">
        <f>_xlfn.XLOOKUP(D222, Lookups!$A$12:$A$51, Lookups!$C$12:$C$51, "Unknown")</f>
        <v>Electronics</v>
      </c>
      <c r="S222" t="str">
        <f>IF(ISBLANK(I222), B222+VLOOKUP(C222, Lookups!$A$2:$D$10, 4, FALSE()), I222)</f>
        <v>2026-11-24</v>
      </c>
      <c r="T222">
        <f t="shared" si="21"/>
        <v>18</v>
      </c>
      <c r="U222" t="str">
        <f t="shared" si="22"/>
        <v>On-Time</v>
      </c>
      <c r="V222">
        <f t="shared" si="23"/>
        <v>0</v>
      </c>
    </row>
    <row r="223" spans="1:22" x14ac:dyDescent="0.45">
      <c r="A223" t="s">
        <v>735</v>
      </c>
      <c r="B223" t="s">
        <v>736</v>
      </c>
      <c r="C223" t="s">
        <v>31</v>
      </c>
      <c r="D223" t="s">
        <v>66</v>
      </c>
      <c r="E223" t="s">
        <v>15</v>
      </c>
      <c r="F223">
        <v>232</v>
      </c>
      <c r="G223">
        <v>29719</v>
      </c>
      <c r="H223">
        <v>6894808</v>
      </c>
      <c r="I223" t="s">
        <v>737</v>
      </c>
      <c r="J223" t="s">
        <v>737</v>
      </c>
      <c r="K223">
        <v>232</v>
      </c>
      <c r="L223">
        <v>0</v>
      </c>
      <c r="M223" t="s">
        <v>115</v>
      </c>
      <c r="N223" t="str">
        <f t="shared" si="18"/>
        <v>PO-100222</v>
      </c>
      <c r="O223" t="str">
        <f t="shared" si="19"/>
        <v>Delivered</v>
      </c>
      <c r="P223" t="str">
        <f t="shared" si="20"/>
        <v>WH-BOM</v>
      </c>
      <c r="Q223" t="str">
        <f>VLOOKUP(C223, Lookups!$A$2:$D$10, 2, FALSE())</f>
        <v>Global Networks</v>
      </c>
      <c r="R223" t="str">
        <f>_xlfn.XLOOKUP(D223, Lookups!$A$12:$A$51, Lookups!$C$12:$C$51, "Unknown")</f>
        <v>Networking</v>
      </c>
      <c r="S223" t="str">
        <f>IF(ISBLANK(I223), B223+VLOOKUP(C223, Lookups!$A$2:$D$10, 4, FALSE()), I223)</f>
        <v>2026-11-20</v>
      </c>
      <c r="T223">
        <f t="shared" si="21"/>
        <v>21</v>
      </c>
      <c r="U223" t="str">
        <f t="shared" si="22"/>
        <v>On-Time</v>
      </c>
      <c r="V223">
        <f t="shared" si="23"/>
        <v>0</v>
      </c>
    </row>
    <row r="224" spans="1:22" x14ac:dyDescent="0.45">
      <c r="A224" t="s">
        <v>738</v>
      </c>
      <c r="B224" t="s">
        <v>739</v>
      </c>
      <c r="C224" t="s">
        <v>31</v>
      </c>
      <c r="D224" t="s">
        <v>85</v>
      </c>
      <c r="E224" t="s">
        <v>18</v>
      </c>
      <c r="F224">
        <v>92</v>
      </c>
      <c r="G224">
        <v>16501</v>
      </c>
      <c r="H224">
        <v>1518092</v>
      </c>
      <c r="I224" t="s">
        <v>252</v>
      </c>
      <c r="J224" t="s">
        <v>598</v>
      </c>
      <c r="K224">
        <v>92</v>
      </c>
      <c r="L224">
        <v>0</v>
      </c>
      <c r="M224" t="s">
        <v>115</v>
      </c>
      <c r="N224" t="str">
        <f t="shared" si="18"/>
        <v>PO-100223</v>
      </c>
      <c r="O224" t="str">
        <f t="shared" si="19"/>
        <v>Delivered</v>
      </c>
      <c r="P224" t="str">
        <f t="shared" si="20"/>
        <v>WH-PUN</v>
      </c>
      <c r="Q224" t="str">
        <f>VLOOKUP(C224, Lookups!$A$2:$D$10, 2, FALSE())</f>
        <v>Global Networks</v>
      </c>
      <c r="R224" t="str">
        <f>_xlfn.XLOOKUP(D224, Lookups!$A$12:$A$51, Lookups!$C$12:$C$51, "Unknown")</f>
        <v>Networking</v>
      </c>
      <c r="S224" t="str">
        <f>IF(ISBLANK(I224), B224+VLOOKUP(C224, Lookups!$A$2:$D$10, 4, FALSE()), I224)</f>
        <v>2025-08-19</v>
      </c>
      <c r="T224">
        <f t="shared" si="21"/>
        <v>33</v>
      </c>
      <c r="U224" t="str">
        <f t="shared" si="22"/>
        <v>Late</v>
      </c>
      <c r="V224">
        <f t="shared" si="23"/>
        <v>0</v>
      </c>
    </row>
    <row r="225" spans="1:22" x14ac:dyDescent="0.45">
      <c r="A225" t="s">
        <v>740</v>
      </c>
      <c r="B225" t="s">
        <v>437</v>
      </c>
      <c r="C225" t="s">
        <v>33</v>
      </c>
      <c r="D225" t="s">
        <v>89</v>
      </c>
      <c r="E225" t="s">
        <v>18</v>
      </c>
      <c r="F225">
        <v>174</v>
      </c>
      <c r="G225">
        <v>11309</v>
      </c>
      <c r="H225">
        <v>1967766</v>
      </c>
      <c r="I225" t="s">
        <v>741</v>
      </c>
      <c r="J225" t="s">
        <v>380</v>
      </c>
      <c r="K225">
        <v>174</v>
      </c>
      <c r="L225">
        <v>0</v>
      </c>
      <c r="M225" t="s">
        <v>115</v>
      </c>
      <c r="N225" t="str">
        <f t="shared" si="18"/>
        <v>PO-100224</v>
      </c>
      <c r="O225" t="str">
        <f t="shared" si="19"/>
        <v>Delivered</v>
      </c>
      <c r="P225" t="str">
        <f t="shared" si="20"/>
        <v>WH-PUN</v>
      </c>
      <c r="Q225" t="str">
        <f>VLOOKUP(C225, Lookups!$A$2:$D$10, 2, FALSE())</f>
        <v>MegaFurnish</v>
      </c>
      <c r="R225" t="str">
        <f>_xlfn.XLOOKUP(D225, Lookups!$A$12:$A$51, Lookups!$C$12:$C$51, "Unknown")</f>
        <v>Office Furniture</v>
      </c>
      <c r="S225" t="str">
        <f>IF(ISBLANK(I225), B225+VLOOKUP(C225, Lookups!$A$2:$D$10, 4, FALSE()), I225)</f>
        <v>2025-03-05</v>
      </c>
      <c r="T225">
        <f t="shared" si="21"/>
        <v>31</v>
      </c>
      <c r="U225" t="str">
        <f t="shared" si="22"/>
        <v>Late</v>
      </c>
      <c r="V225">
        <f t="shared" si="23"/>
        <v>0</v>
      </c>
    </row>
    <row r="226" spans="1:22" x14ac:dyDescent="0.45">
      <c r="A226" t="s">
        <v>742</v>
      </c>
      <c r="B226" t="s">
        <v>743</v>
      </c>
      <c r="C226" t="s">
        <v>35</v>
      </c>
      <c r="D226" t="s">
        <v>60</v>
      </c>
      <c r="E226" t="s">
        <v>17</v>
      </c>
      <c r="F226">
        <v>242</v>
      </c>
      <c r="G226">
        <v>3291</v>
      </c>
      <c r="H226">
        <v>796422</v>
      </c>
      <c r="I226" t="s">
        <v>744</v>
      </c>
      <c r="J226" t="s">
        <v>745</v>
      </c>
      <c r="K226">
        <v>242</v>
      </c>
      <c r="L226">
        <v>0</v>
      </c>
      <c r="M226" t="s">
        <v>115</v>
      </c>
      <c r="N226" t="str">
        <f t="shared" si="18"/>
        <v>PO-100225</v>
      </c>
      <c r="O226" t="str">
        <f t="shared" si="19"/>
        <v>Delivered</v>
      </c>
      <c r="P226" t="str">
        <f t="shared" si="20"/>
        <v>WH-BLR</v>
      </c>
      <c r="Q226" t="str">
        <f>VLOOKUP(C226, Lookups!$A$2:$D$10, 2, FALSE())</f>
        <v>Peripheral Source</v>
      </c>
      <c r="R226" t="str">
        <f>_xlfn.XLOOKUP(D226, Lookups!$A$12:$A$51, Lookups!$C$12:$C$51, "Unknown")</f>
        <v>Peripherals</v>
      </c>
      <c r="S226" t="str">
        <f>IF(ISBLANK(I226), B226+VLOOKUP(C226, Lookups!$A$2:$D$10, 4, FALSE()), I226)</f>
        <v>2026-11-25</v>
      </c>
      <c r="T226">
        <f t="shared" si="21"/>
        <v>21</v>
      </c>
      <c r="U226" t="str">
        <f t="shared" si="22"/>
        <v>Late</v>
      </c>
      <c r="V226">
        <f t="shared" si="23"/>
        <v>0</v>
      </c>
    </row>
    <row r="227" spans="1:22" x14ac:dyDescent="0.45">
      <c r="A227" t="s">
        <v>746</v>
      </c>
      <c r="B227" t="s">
        <v>185</v>
      </c>
      <c r="C227" t="s">
        <v>31</v>
      </c>
      <c r="D227" t="s">
        <v>85</v>
      </c>
      <c r="E227" t="s">
        <v>16</v>
      </c>
      <c r="F227">
        <v>69</v>
      </c>
      <c r="G227">
        <v>16501</v>
      </c>
      <c r="H227">
        <v>1138569</v>
      </c>
      <c r="I227" t="s">
        <v>497</v>
      </c>
      <c r="J227" t="s">
        <v>497</v>
      </c>
      <c r="K227">
        <v>65</v>
      </c>
      <c r="L227">
        <v>0</v>
      </c>
      <c r="M227" t="s">
        <v>115</v>
      </c>
      <c r="N227" t="str">
        <f t="shared" si="18"/>
        <v>PO-100226</v>
      </c>
      <c r="O227" t="str">
        <f t="shared" si="19"/>
        <v>Delivered</v>
      </c>
      <c r="P227" t="str">
        <f t="shared" si="20"/>
        <v>WH-DEL</v>
      </c>
      <c r="Q227" t="str">
        <f>VLOOKUP(C227, Lookups!$A$2:$D$10, 2, FALSE())</f>
        <v>Global Networks</v>
      </c>
      <c r="R227" t="str">
        <f>_xlfn.XLOOKUP(D227, Lookups!$A$12:$A$51, Lookups!$C$12:$C$51, "Unknown")</f>
        <v>Networking</v>
      </c>
      <c r="S227" t="str">
        <f>IF(ISBLANK(I227), B227+VLOOKUP(C227, Lookups!$A$2:$D$10, 4, FALSE()), I227)</f>
        <v>2025-03-19</v>
      </c>
      <c r="T227">
        <f t="shared" si="21"/>
        <v>21</v>
      </c>
      <c r="U227" t="str">
        <f t="shared" si="22"/>
        <v>On-Time</v>
      </c>
      <c r="V227">
        <f t="shared" si="23"/>
        <v>0</v>
      </c>
    </row>
    <row r="228" spans="1:22" x14ac:dyDescent="0.45">
      <c r="A228" t="s">
        <v>747</v>
      </c>
      <c r="B228" t="s">
        <v>625</v>
      </c>
      <c r="C228" t="s">
        <v>36</v>
      </c>
      <c r="D228" t="s">
        <v>90</v>
      </c>
      <c r="E228" t="s">
        <v>15</v>
      </c>
      <c r="F228">
        <v>169</v>
      </c>
      <c r="G228">
        <v>81434</v>
      </c>
      <c r="H228">
        <v>13762346</v>
      </c>
      <c r="I228" t="s">
        <v>203</v>
      </c>
      <c r="J228" t="s">
        <v>204</v>
      </c>
      <c r="K228">
        <v>169</v>
      </c>
      <c r="L228">
        <v>0</v>
      </c>
      <c r="M228" t="s">
        <v>115</v>
      </c>
      <c r="N228" t="str">
        <f t="shared" si="18"/>
        <v>PO-100227</v>
      </c>
      <c r="O228" t="str">
        <f t="shared" si="19"/>
        <v>Delivered</v>
      </c>
      <c r="P228" t="str">
        <f t="shared" si="20"/>
        <v>WH-BOM</v>
      </c>
      <c r="Q228" t="str">
        <f>VLOOKUP(C228, Lookups!$A$2:$D$10, 2, FALSE())</f>
        <v>NextGen Hardware</v>
      </c>
      <c r="R228" t="str">
        <f>_xlfn.XLOOKUP(D228, Lookups!$A$12:$A$51, Lookups!$C$12:$C$51, "Unknown")</f>
        <v>Electronics</v>
      </c>
      <c r="S228" t="str">
        <f>IF(ISBLANK(I228), B228+VLOOKUP(C228, Lookups!$A$2:$D$10, 4, FALSE()), I228)</f>
        <v>2026-04-08</v>
      </c>
      <c r="T228">
        <f t="shared" si="21"/>
        <v>25</v>
      </c>
      <c r="U228" t="str">
        <f t="shared" si="22"/>
        <v>Late</v>
      </c>
      <c r="V228">
        <f t="shared" si="23"/>
        <v>0</v>
      </c>
    </row>
    <row r="229" spans="1:22" x14ac:dyDescent="0.45">
      <c r="A229" t="s">
        <v>748</v>
      </c>
      <c r="B229" t="s">
        <v>224</v>
      </c>
      <c r="C229" t="s">
        <v>34</v>
      </c>
      <c r="D229" t="s">
        <v>54</v>
      </c>
      <c r="E229" t="s">
        <v>17</v>
      </c>
      <c r="F229">
        <v>112</v>
      </c>
      <c r="G229">
        <v>22314</v>
      </c>
      <c r="H229">
        <v>2499168</v>
      </c>
      <c r="I229" t="s">
        <v>225</v>
      </c>
      <c r="J229" t="s">
        <v>225</v>
      </c>
      <c r="K229">
        <v>98</v>
      </c>
      <c r="L229">
        <v>0</v>
      </c>
      <c r="M229" t="s">
        <v>115</v>
      </c>
      <c r="N229" t="str">
        <f t="shared" si="18"/>
        <v>PO-100228</v>
      </c>
      <c r="O229" t="str">
        <f t="shared" si="19"/>
        <v>Delivered</v>
      </c>
      <c r="P229" t="str">
        <f t="shared" si="20"/>
        <v>WH-BLR</v>
      </c>
      <c r="Q229" t="str">
        <f>VLOOKUP(C229, Lookups!$A$2:$D$10, 2, FALSE())</f>
        <v>FastElectronics</v>
      </c>
      <c r="R229" t="str">
        <f>_xlfn.XLOOKUP(D229, Lookups!$A$12:$A$51, Lookups!$C$12:$C$51, "Unknown")</f>
        <v>Networking</v>
      </c>
      <c r="S229" t="str">
        <f>IF(ISBLANK(I229), B229+VLOOKUP(C229, Lookups!$A$2:$D$10, 4, FALSE()), I229)</f>
        <v>2026-07-31</v>
      </c>
      <c r="T229">
        <f t="shared" si="21"/>
        <v>18</v>
      </c>
      <c r="U229" t="str">
        <f t="shared" si="22"/>
        <v>On-Time</v>
      </c>
      <c r="V229">
        <f t="shared" si="23"/>
        <v>0</v>
      </c>
    </row>
    <row r="230" spans="1:22" x14ac:dyDescent="0.45">
      <c r="A230" t="s">
        <v>749</v>
      </c>
      <c r="B230" t="s">
        <v>663</v>
      </c>
      <c r="C230" t="s">
        <v>30</v>
      </c>
      <c r="D230" t="s">
        <v>52</v>
      </c>
      <c r="E230" t="s">
        <v>18</v>
      </c>
      <c r="F230">
        <v>167</v>
      </c>
      <c r="G230">
        <v>59592</v>
      </c>
      <c r="H230">
        <v>9951864</v>
      </c>
      <c r="I230" t="s">
        <v>750</v>
      </c>
      <c r="J230" t="s">
        <v>750</v>
      </c>
      <c r="K230">
        <v>167</v>
      </c>
      <c r="L230">
        <v>0</v>
      </c>
      <c r="M230" t="s">
        <v>115</v>
      </c>
      <c r="N230" t="str">
        <f t="shared" si="18"/>
        <v>PO-100229</v>
      </c>
      <c r="O230" t="str">
        <f t="shared" si="19"/>
        <v>Delivered</v>
      </c>
      <c r="P230" t="str">
        <f t="shared" si="20"/>
        <v>WH-PUN</v>
      </c>
      <c r="Q230" t="str">
        <f>VLOOKUP(C230, Lookups!$A$2:$D$10, 2, FALSE())</f>
        <v>TechSupply Corp</v>
      </c>
      <c r="R230" t="str">
        <f>_xlfn.XLOOKUP(D230, Lookups!$A$12:$A$51, Lookups!$C$12:$C$51, "Unknown")</f>
        <v>Electronics</v>
      </c>
      <c r="S230" t="str">
        <f>IF(ISBLANK(I230), B230+VLOOKUP(C230, Lookups!$A$2:$D$10, 4, FALSE()), I230)</f>
        <v>2026-10-20</v>
      </c>
      <c r="T230">
        <f t="shared" si="21"/>
        <v>14</v>
      </c>
      <c r="U230" t="str">
        <f t="shared" si="22"/>
        <v>On-Time</v>
      </c>
      <c r="V230">
        <f t="shared" si="23"/>
        <v>0</v>
      </c>
    </row>
    <row r="231" spans="1:22" x14ac:dyDescent="0.45">
      <c r="A231" t="s">
        <v>751</v>
      </c>
      <c r="B231" t="s">
        <v>400</v>
      </c>
      <c r="C231" t="s">
        <v>30</v>
      </c>
      <c r="D231" t="s">
        <v>82</v>
      </c>
      <c r="E231" t="s">
        <v>16</v>
      </c>
      <c r="F231">
        <v>203</v>
      </c>
      <c r="G231">
        <v>83427</v>
      </c>
      <c r="H231">
        <v>16935681</v>
      </c>
      <c r="I231" t="s">
        <v>752</v>
      </c>
      <c r="J231" t="s">
        <v>753</v>
      </c>
      <c r="K231">
        <v>203</v>
      </c>
      <c r="L231">
        <v>8</v>
      </c>
      <c r="M231" t="s">
        <v>301</v>
      </c>
      <c r="N231" t="str">
        <f t="shared" si="18"/>
        <v>PO-100230</v>
      </c>
      <c r="O231" t="str">
        <f t="shared" si="19"/>
        <v>Delivered</v>
      </c>
      <c r="P231" t="str">
        <f t="shared" si="20"/>
        <v>WH-DEL</v>
      </c>
      <c r="Q231" t="str">
        <f>VLOOKUP(C231, Lookups!$A$2:$D$10, 2, FALSE())</f>
        <v>TechSupply Corp</v>
      </c>
      <c r="R231" t="str">
        <f>_xlfn.XLOOKUP(D231, Lookups!$A$12:$A$51, Lookups!$C$12:$C$51, "Unknown")</f>
        <v>Electronics</v>
      </c>
      <c r="S231" t="str">
        <f>IF(ISBLANK(I231), B231+VLOOKUP(C231, Lookups!$A$2:$D$10, 4, FALSE()), I231)</f>
        <v>2025-12-22</v>
      </c>
      <c r="T231">
        <f t="shared" si="21"/>
        <v>15</v>
      </c>
      <c r="U231" t="str">
        <f t="shared" si="22"/>
        <v>Late</v>
      </c>
      <c r="V231">
        <f t="shared" si="23"/>
        <v>3.9408866995073892E-2</v>
      </c>
    </row>
    <row r="232" spans="1:22" x14ac:dyDescent="0.45">
      <c r="A232" t="s">
        <v>754</v>
      </c>
      <c r="B232" t="s">
        <v>370</v>
      </c>
      <c r="C232" t="s">
        <v>37</v>
      </c>
      <c r="D232" t="s">
        <v>83</v>
      </c>
      <c r="E232" t="s">
        <v>17</v>
      </c>
      <c r="F232">
        <v>40</v>
      </c>
      <c r="G232">
        <v>19850</v>
      </c>
      <c r="H232">
        <v>794000</v>
      </c>
      <c r="I232" t="s">
        <v>544</v>
      </c>
      <c r="J232" t="s">
        <v>755</v>
      </c>
      <c r="K232">
        <v>40</v>
      </c>
      <c r="L232">
        <v>2</v>
      </c>
      <c r="M232" t="s">
        <v>115</v>
      </c>
      <c r="N232" t="str">
        <f t="shared" si="18"/>
        <v>PO-100231</v>
      </c>
      <c r="O232" t="str">
        <f t="shared" si="19"/>
        <v>Delivered</v>
      </c>
      <c r="P232" t="str">
        <f t="shared" si="20"/>
        <v>WH-BLR</v>
      </c>
      <c r="Q232" t="str">
        <f>VLOOKUP(C232, Lookups!$A$2:$D$10, 2, FALSE())</f>
        <v>Premium Desks Ltd</v>
      </c>
      <c r="R232" t="str">
        <f>_xlfn.XLOOKUP(D232, Lookups!$A$12:$A$51, Lookups!$C$12:$C$51, "Unknown")</f>
        <v>Office Furniture</v>
      </c>
      <c r="S232" t="str">
        <f>IF(ISBLANK(I232), B232+VLOOKUP(C232, Lookups!$A$2:$D$10, 4, FALSE()), I232)</f>
        <v>2025-11-23</v>
      </c>
      <c r="T232">
        <f t="shared" si="21"/>
        <v>13</v>
      </c>
      <c r="U232" t="str">
        <f t="shared" si="22"/>
        <v>Late</v>
      </c>
      <c r="V232">
        <f t="shared" si="23"/>
        <v>0.05</v>
      </c>
    </row>
    <row r="233" spans="1:22" x14ac:dyDescent="0.45">
      <c r="A233" t="s">
        <v>756</v>
      </c>
      <c r="B233" t="s">
        <v>411</v>
      </c>
      <c r="C233" t="s">
        <v>35</v>
      </c>
      <c r="D233" t="s">
        <v>91</v>
      </c>
      <c r="E233" t="s">
        <v>17</v>
      </c>
      <c r="F233">
        <v>227</v>
      </c>
      <c r="G233">
        <v>6707</v>
      </c>
      <c r="H233">
        <v>1522489</v>
      </c>
      <c r="I233" t="s">
        <v>542</v>
      </c>
      <c r="J233" t="s">
        <v>542</v>
      </c>
      <c r="K233">
        <v>175</v>
      </c>
      <c r="L233">
        <v>0</v>
      </c>
      <c r="M233" t="s">
        <v>115</v>
      </c>
      <c r="N233" t="str">
        <f t="shared" si="18"/>
        <v>PO-100232</v>
      </c>
      <c r="O233" t="str">
        <f t="shared" si="19"/>
        <v>Delivered</v>
      </c>
      <c r="P233" t="str">
        <f t="shared" si="20"/>
        <v>WH-BLR</v>
      </c>
      <c r="Q233" t="str">
        <f>VLOOKUP(C233, Lookups!$A$2:$D$10, 2, FALSE())</f>
        <v>Peripheral Source</v>
      </c>
      <c r="R233" t="str">
        <f>_xlfn.XLOOKUP(D233, Lookups!$A$12:$A$51, Lookups!$C$12:$C$51, "Unknown")</f>
        <v>Peripherals</v>
      </c>
      <c r="S233" t="str">
        <f>IF(ISBLANK(I233), B233+VLOOKUP(C233, Lookups!$A$2:$D$10, 4, FALSE()), I233)</f>
        <v>2026-05-19</v>
      </c>
      <c r="T233">
        <f t="shared" si="21"/>
        <v>10</v>
      </c>
      <c r="U233" t="str">
        <f t="shared" si="22"/>
        <v>On-Time</v>
      </c>
      <c r="V233">
        <f t="shared" si="23"/>
        <v>0</v>
      </c>
    </row>
    <row r="234" spans="1:22" x14ac:dyDescent="0.45">
      <c r="A234" t="s">
        <v>757</v>
      </c>
      <c r="B234" t="s">
        <v>750</v>
      </c>
      <c r="C234" t="s">
        <v>36</v>
      </c>
      <c r="D234" t="s">
        <v>62</v>
      </c>
      <c r="E234" t="s">
        <v>15</v>
      </c>
      <c r="F234">
        <v>137</v>
      </c>
      <c r="G234">
        <v>48478</v>
      </c>
      <c r="H234">
        <v>6641486</v>
      </c>
      <c r="I234" t="s">
        <v>671</v>
      </c>
      <c r="J234" t="s">
        <v>672</v>
      </c>
      <c r="K234">
        <v>121</v>
      </c>
      <c r="L234">
        <v>0</v>
      </c>
      <c r="M234" t="s">
        <v>115</v>
      </c>
      <c r="N234" t="str">
        <f t="shared" si="18"/>
        <v>PO-100233</v>
      </c>
      <c r="O234" t="str">
        <f t="shared" si="19"/>
        <v>Delivered</v>
      </c>
      <c r="P234" t="str">
        <f t="shared" si="20"/>
        <v>WH-BOM</v>
      </c>
      <c r="Q234" t="str">
        <f>VLOOKUP(C234, Lookups!$A$2:$D$10, 2, FALSE())</f>
        <v>NextGen Hardware</v>
      </c>
      <c r="R234" t="str">
        <f>_xlfn.XLOOKUP(D234, Lookups!$A$12:$A$51, Lookups!$C$12:$C$51, "Unknown")</f>
        <v>Electronics</v>
      </c>
      <c r="S234" t="str">
        <f>IF(ISBLANK(I234), B234+VLOOKUP(C234, Lookups!$A$2:$D$10, 4, FALSE()), I234)</f>
        <v>2026-11-13</v>
      </c>
      <c r="T234">
        <f t="shared" si="21"/>
        <v>25</v>
      </c>
      <c r="U234" t="str">
        <f t="shared" si="22"/>
        <v>Late</v>
      </c>
      <c r="V234">
        <f t="shared" si="23"/>
        <v>0</v>
      </c>
    </row>
    <row r="235" spans="1:22" x14ac:dyDescent="0.45">
      <c r="A235" t="s">
        <v>758</v>
      </c>
      <c r="B235" t="s">
        <v>455</v>
      </c>
      <c r="C235" t="s">
        <v>36</v>
      </c>
      <c r="D235" t="s">
        <v>63</v>
      </c>
      <c r="E235" t="s">
        <v>15</v>
      </c>
      <c r="F235">
        <v>47</v>
      </c>
      <c r="G235">
        <v>71062</v>
      </c>
      <c r="H235">
        <v>3339914</v>
      </c>
      <c r="I235" t="s">
        <v>657</v>
      </c>
      <c r="J235" t="s">
        <v>657</v>
      </c>
      <c r="K235">
        <v>47</v>
      </c>
      <c r="L235">
        <v>0</v>
      </c>
      <c r="M235" t="s">
        <v>115</v>
      </c>
      <c r="N235" t="str">
        <f t="shared" si="18"/>
        <v>PO-100234</v>
      </c>
      <c r="O235" t="str">
        <f t="shared" si="19"/>
        <v>Delivered</v>
      </c>
      <c r="P235" t="str">
        <f t="shared" si="20"/>
        <v>WH-BOM</v>
      </c>
      <c r="Q235" t="str">
        <f>VLOOKUP(C235, Lookups!$A$2:$D$10, 2, FALSE())</f>
        <v>NextGen Hardware</v>
      </c>
      <c r="R235" t="str">
        <f>_xlfn.XLOOKUP(D235, Lookups!$A$12:$A$51, Lookups!$C$12:$C$51, "Unknown")</f>
        <v>Electronics</v>
      </c>
      <c r="S235" t="str">
        <f>IF(ISBLANK(I235), B235+VLOOKUP(C235, Lookups!$A$2:$D$10, 4, FALSE()), I235)</f>
        <v>2026-09-06</v>
      </c>
      <c r="T235">
        <f t="shared" si="21"/>
        <v>24</v>
      </c>
      <c r="U235" t="str">
        <f t="shared" si="22"/>
        <v>On-Time</v>
      </c>
      <c r="V235">
        <f t="shared" si="23"/>
        <v>0</v>
      </c>
    </row>
    <row r="236" spans="1:22" x14ac:dyDescent="0.45">
      <c r="A236" t="s">
        <v>759</v>
      </c>
      <c r="B236" t="s">
        <v>760</v>
      </c>
      <c r="C236" t="s">
        <v>35</v>
      </c>
      <c r="D236" t="s">
        <v>65</v>
      </c>
      <c r="E236" t="s">
        <v>532</v>
      </c>
      <c r="F236">
        <v>20</v>
      </c>
      <c r="G236">
        <v>4936</v>
      </c>
      <c r="H236">
        <v>98720</v>
      </c>
      <c r="I236" t="s">
        <v>648</v>
      </c>
      <c r="J236" t="s">
        <v>191</v>
      </c>
      <c r="K236">
        <v>20</v>
      </c>
      <c r="L236">
        <v>0</v>
      </c>
      <c r="M236" t="s">
        <v>115</v>
      </c>
      <c r="N236" t="str">
        <f t="shared" si="18"/>
        <v>PO-100235</v>
      </c>
      <c r="O236" t="str">
        <f t="shared" si="19"/>
        <v>Delivered</v>
      </c>
      <c r="P236" t="str">
        <f t="shared" si="20"/>
        <v>WH-PUN</v>
      </c>
      <c r="Q236" t="str">
        <f>VLOOKUP(C236, Lookups!$A$2:$D$10, 2, FALSE())</f>
        <v>Peripheral Source</v>
      </c>
      <c r="R236" t="str">
        <f>_xlfn.XLOOKUP(D236, Lookups!$A$12:$A$51, Lookups!$C$12:$C$51, "Unknown")</f>
        <v>Peripherals</v>
      </c>
      <c r="S236" t="str">
        <f>IF(ISBLANK(I236), B236+VLOOKUP(C236, Lookups!$A$2:$D$10, 4, FALSE()), I236)</f>
        <v>2025-07-28</v>
      </c>
      <c r="T236">
        <f t="shared" si="21"/>
        <v>7</v>
      </c>
      <c r="U236" t="str">
        <f t="shared" si="22"/>
        <v>On-Time</v>
      </c>
      <c r="V236">
        <f t="shared" si="23"/>
        <v>0</v>
      </c>
    </row>
    <row r="237" spans="1:22" x14ac:dyDescent="0.45">
      <c r="A237" t="s">
        <v>761</v>
      </c>
      <c r="B237" t="s">
        <v>232</v>
      </c>
      <c r="C237" t="s">
        <v>37</v>
      </c>
      <c r="D237" t="s">
        <v>69</v>
      </c>
      <c r="E237" t="s">
        <v>18</v>
      </c>
      <c r="F237">
        <v>83</v>
      </c>
      <c r="G237">
        <v>13231</v>
      </c>
      <c r="H237">
        <v>1098173</v>
      </c>
      <c r="I237" t="s">
        <v>399</v>
      </c>
      <c r="J237" t="s">
        <v>399</v>
      </c>
      <c r="K237">
        <v>83</v>
      </c>
      <c r="L237">
        <v>0</v>
      </c>
      <c r="M237" t="s">
        <v>115</v>
      </c>
      <c r="N237" t="str">
        <f t="shared" si="18"/>
        <v>PO-100236</v>
      </c>
      <c r="O237" t="str">
        <f t="shared" si="19"/>
        <v>Delivered</v>
      </c>
      <c r="P237" t="str">
        <f t="shared" si="20"/>
        <v>WH-PUN</v>
      </c>
      <c r="Q237" t="str">
        <f>VLOOKUP(C237, Lookups!$A$2:$D$10, 2, FALSE())</f>
        <v>Premium Desks Ltd</v>
      </c>
      <c r="R237" t="str">
        <f>_xlfn.XLOOKUP(D237, Lookups!$A$12:$A$51, Lookups!$C$12:$C$51, "Unknown")</f>
        <v>Office Furniture</v>
      </c>
      <c r="S237" t="str">
        <f>IF(ISBLANK(I237), B237+VLOOKUP(C237, Lookups!$A$2:$D$10, 4, FALSE()), I237)</f>
        <v>2025-11-26</v>
      </c>
      <c r="T237">
        <f t="shared" si="21"/>
        <v>12</v>
      </c>
      <c r="U237" t="str">
        <f t="shared" si="22"/>
        <v>On-Time</v>
      </c>
      <c r="V237">
        <f t="shared" si="23"/>
        <v>0</v>
      </c>
    </row>
    <row r="238" spans="1:22" x14ac:dyDescent="0.45">
      <c r="A238" t="s">
        <v>762</v>
      </c>
      <c r="B238" t="s">
        <v>763</v>
      </c>
      <c r="C238" t="s">
        <v>34</v>
      </c>
      <c r="D238" t="s">
        <v>80</v>
      </c>
      <c r="E238" t="s">
        <v>18</v>
      </c>
      <c r="F238">
        <v>231</v>
      </c>
      <c r="G238">
        <v>19090</v>
      </c>
      <c r="H238">
        <v>4409790</v>
      </c>
      <c r="I238" t="s">
        <v>265</v>
      </c>
      <c r="J238" t="s">
        <v>764</v>
      </c>
      <c r="K238">
        <v>231</v>
      </c>
      <c r="L238">
        <v>1</v>
      </c>
      <c r="M238" t="s">
        <v>115</v>
      </c>
      <c r="N238" t="str">
        <f t="shared" si="18"/>
        <v>PO-100237</v>
      </c>
      <c r="O238" t="str">
        <f t="shared" si="19"/>
        <v>Delivered</v>
      </c>
      <c r="P238" t="str">
        <f t="shared" si="20"/>
        <v>WH-PUN</v>
      </c>
      <c r="Q238" t="str">
        <f>VLOOKUP(C238, Lookups!$A$2:$D$10, 2, FALSE())</f>
        <v>FastElectronics</v>
      </c>
      <c r="R238" t="str">
        <f>_xlfn.XLOOKUP(D238, Lookups!$A$12:$A$51, Lookups!$C$12:$C$51, "Unknown")</f>
        <v>Networking</v>
      </c>
      <c r="S238" t="str">
        <f>IF(ISBLANK(I238), B238+VLOOKUP(C238, Lookups!$A$2:$D$10, 4, FALSE()), I238)</f>
        <v>2025-02-14</v>
      </c>
      <c r="T238">
        <f t="shared" si="21"/>
        <v>23</v>
      </c>
      <c r="U238" t="str">
        <f t="shared" si="22"/>
        <v>Late</v>
      </c>
      <c r="V238">
        <f t="shared" si="23"/>
        <v>4.329004329004329E-3</v>
      </c>
    </row>
    <row r="239" spans="1:22" x14ac:dyDescent="0.45">
      <c r="A239" t="s">
        <v>765</v>
      </c>
      <c r="B239" t="s">
        <v>766</v>
      </c>
      <c r="C239" t="s">
        <v>30</v>
      </c>
      <c r="D239" t="s">
        <v>82</v>
      </c>
      <c r="E239" t="s">
        <v>18</v>
      </c>
      <c r="F239">
        <v>92</v>
      </c>
      <c r="G239">
        <v>83427</v>
      </c>
      <c r="H239">
        <v>7675284</v>
      </c>
      <c r="I239" t="s">
        <v>767</v>
      </c>
      <c r="J239" t="s">
        <v>768</v>
      </c>
      <c r="K239">
        <v>92</v>
      </c>
      <c r="L239">
        <v>0</v>
      </c>
      <c r="M239" t="s">
        <v>115</v>
      </c>
      <c r="N239" t="str">
        <f t="shared" si="18"/>
        <v>PO-100238</v>
      </c>
      <c r="O239" t="str">
        <f t="shared" si="19"/>
        <v>Delivered</v>
      </c>
      <c r="P239" t="str">
        <f t="shared" si="20"/>
        <v>WH-PUN</v>
      </c>
      <c r="Q239" t="str">
        <f>VLOOKUP(C239, Lookups!$A$2:$D$10, 2, FALSE())</f>
        <v>TechSupply Corp</v>
      </c>
      <c r="R239" t="str">
        <f>_xlfn.XLOOKUP(D239, Lookups!$A$12:$A$51, Lookups!$C$12:$C$51, "Unknown")</f>
        <v>Electronics</v>
      </c>
      <c r="S239" t="str">
        <f>IF(ISBLANK(I239), B239+VLOOKUP(C239, Lookups!$A$2:$D$10, 4, FALSE()), I239)</f>
        <v>2026-12-24</v>
      </c>
      <c r="T239">
        <f t="shared" si="21"/>
        <v>28</v>
      </c>
      <c r="U239" t="str">
        <f t="shared" si="22"/>
        <v>Late</v>
      </c>
      <c r="V239">
        <f t="shared" si="23"/>
        <v>0</v>
      </c>
    </row>
    <row r="240" spans="1:22" x14ac:dyDescent="0.45">
      <c r="A240" t="s">
        <v>769</v>
      </c>
      <c r="B240" t="s">
        <v>745</v>
      </c>
      <c r="C240" t="s">
        <v>36</v>
      </c>
      <c r="D240" t="s">
        <v>87</v>
      </c>
      <c r="E240" t="s">
        <v>17</v>
      </c>
      <c r="F240">
        <v>32</v>
      </c>
      <c r="G240">
        <v>82930</v>
      </c>
      <c r="H240">
        <v>2653760</v>
      </c>
      <c r="I240" t="s">
        <v>770</v>
      </c>
      <c r="J240" t="s">
        <v>770</v>
      </c>
      <c r="K240">
        <v>32</v>
      </c>
      <c r="L240">
        <v>0</v>
      </c>
      <c r="M240" t="s">
        <v>115</v>
      </c>
      <c r="N240" t="str">
        <f t="shared" si="18"/>
        <v>PO-100239</v>
      </c>
      <c r="O240" t="str">
        <f t="shared" si="19"/>
        <v>Delivered</v>
      </c>
      <c r="P240" t="str">
        <f t="shared" si="20"/>
        <v>WH-BLR</v>
      </c>
      <c r="Q240" t="str">
        <f>VLOOKUP(C240, Lookups!$A$2:$D$10, 2, FALSE())</f>
        <v>NextGen Hardware</v>
      </c>
      <c r="R240" t="str">
        <f>_xlfn.XLOOKUP(D240, Lookups!$A$12:$A$51, Lookups!$C$12:$C$51, "Unknown")</f>
        <v>Electronics</v>
      </c>
      <c r="S240" t="str">
        <f>IF(ISBLANK(I240), B240+VLOOKUP(C240, Lookups!$A$2:$D$10, 4, FALSE()), I240)</f>
        <v>2026-12-30</v>
      </c>
      <c r="T240">
        <f t="shared" si="21"/>
        <v>24</v>
      </c>
      <c r="U240" t="str">
        <f t="shared" si="22"/>
        <v>On-Time</v>
      </c>
      <c r="V240">
        <f t="shared" si="23"/>
        <v>0</v>
      </c>
    </row>
    <row r="241" spans="1:22" x14ac:dyDescent="0.45">
      <c r="A241" t="s">
        <v>771</v>
      </c>
      <c r="B241" t="s">
        <v>752</v>
      </c>
      <c r="C241" t="s">
        <v>35</v>
      </c>
      <c r="D241" t="s">
        <v>57</v>
      </c>
      <c r="E241" t="s">
        <v>17</v>
      </c>
      <c r="F241">
        <v>100</v>
      </c>
      <c r="G241">
        <v>2212</v>
      </c>
      <c r="H241">
        <v>221200</v>
      </c>
      <c r="I241" t="s">
        <v>772</v>
      </c>
      <c r="J241" t="s">
        <v>773</v>
      </c>
      <c r="K241">
        <v>54</v>
      </c>
      <c r="L241">
        <v>0</v>
      </c>
      <c r="M241" t="s">
        <v>115</v>
      </c>
      <c r="N241" t="str">
        <f t="shared" si="18"/>
        <v>PO-100240</v>
      </c>
      <c r="O241" t="str">
        <f t="shared" si="19"/>
        <v>Delivered</v>
      </c>
      <c r="P241" t="str">
        <f t="shared" si="20"/>
        <v>WH-BLR</v>
      </c>
      <c r="Q241" t="str">
        <f>VLOOKUP(C241, Lookups!$A$2:$D$10, 2, FALSE())</f>
        <v>Peripheral Source</v>
      </c>
      <c r="R241" t="str">
        <f>_xlfn.XLOOKUP(D241, Lookups!$A$12:$A$51, Lookups!$C$12:$C$51, "Unknown")</f>
        <v>Peripherals</v>
      </c>
      <c r="S241" t="str">
        <f>IF(ISBLANK(I241), B241+VLOOKUP(C241, Lookups!$A$2:$D$10, 4, FALSE()), I241)</f>
        <v>2026-01-01</v>
      </c>
      <c r="T241">
        <f t="shared" si="21"/>
        <v>11</v>
      </c>
      <c r="U241" t="str">
        <f t="shared" si="22"/>
        <v>Late</v>
      </c>
      <c r="V241">
        <f t="shared" si="23"/>
        <v>0</v>
      </c>
    </row>
    <row r="242" spans="1:22" x14ac:dyDescent="0.45">
      <c r="A242" t="s">
        <v>774</v>
      </c>
      <c r="B242" t="s">
        <v>579</v>
      </c>
      <c r="C242" t="s">
        <v>32</v>
      </c>
      <c r="D242" t="s">
        <v>84</v>
      </c>
      <c r="E242" t="s">
        <v>15</v>
      </c>
      <c r="F242">
        <v>98</v>
      </c>
      <c r="G242">
        <v>7271</v>
      </c>
      <c r="H242">
        <v>712558</v>
      </c>
      <c r="I242" t="s">
        <v>775</v>
      </c>
      <c r="J242" t="s">
        <v>775</v>
      </c>
      <c r="K242">
        <v>98</v>
      </c>
      <c r="L242">
        <v>0</v>
      </c>
      <c r="M242" t="s">
        <v>115</v>
      </c>
      <c r="N242" t="str">
        <f t="shared" si="18"/>
        <v>PO-100241</v>
      </c>
      <c r="O242" t="str">
        <f t="shared" si="19"/>
        <v>Delivered</v>
      </c>
      <c r="P242" t="str">
        <f t="shared" si="20"/>
        <v>WH-BOM</v>
      </c>
      <c r="Q242" t="str">
        <f>VLOOKUP(C242, Lookups!$A$2:$D$10, 2, FALSE())</f>
        <v>OfficeDepot Pro</v>
      </c>
      <c r="R242" t="str">
        <f>_xlfn.XLOOKUP(D242, Lookups!$A$12:$A$51, Lookups!$C$12:$C$51, "Unknown")</f>
        <v>Peripherals</v>
      </c>
      <c r="S242" t="str">
        <f>IF(ISBLANK(I242), B242+VLOOKUP(C242, Lookups!$A$2:$D$10, 4, FALSE()), I242)</f>
        <v>2026-01-05</v>
      </c>
      <c r="T242">
        <f t="shared" si="21"/>
        <v>7</v>
      </c>
      <c r="U242" t="str">
        <f t="shared" si="22"/>
        <v>On-Time</v>
      </c>
      <c r="V242">
        <f t="shared" si="23"/>
        <v>0</v>
      </c>
    </row>
    <row r="243" spans="1:22" x14ac:dyDescent="0.45">
      <c r="A243" t="s">
        <v>776</v>
      </c>
      <c r="B243" t="s">
        <v>777</v>
      </c>
      <c r="C243" t="s">
        <v>34</v>
      </c>
      <c r="D243" t="s">
        <v>80</v>
      </c>
      <c r="E243" t="s">
        <v>17</v>
      </c>
      <c r="F243">
        <v>79</v>
      </c>
      <c r="G243">
        <v>19090</v>
      </c>
      <c r="H243">
        <v>1508110</v>
      </c>
      <c r="I243" t="s">
        <v>778</v>
      </c>
      <c r="J243" t="s">
        <v>207</v>
      </c>
      <c r="K243">
        <v>79</v>
      </c>
      <c r="L243">
        <v>0</v>
      </c>
      <c r="M243" t="s">
        <v>115</v>
      </c>
      <c r="N243" t="str">
        <f t="shared" si="18"/>
        <v>PO-100242</v>
      </c>
      <c r="O243" t="str">
        <f t="shared" si="19"/>
        <v>Delivered</v>
      </c>
      <c r="P243" t="str">
        <f t="shared" si="20"/>
        <v>WH-BLR</v>
      </c>
      <c r="Q243" t="str">
        <f>VLOOKUP(C243, Lookups!$A$2:$D$10, 2, FALSE())</f>
        <v>FastElectronics</v>
      </c>
      <c r="R243" t="str">
        <f>_xlfn.XLOOKUP(D243, Lookups!$A$12:$A$51, Lookups!$C$12:$C$51, "Unknown")</f>
        <v>Networking</v>
      </c>
      <c r="S243" t="str">
        <f>IF(ISBLANK(I243), B243+VLOOKUP(C243, Lookups!$A$2:$D$10, 4, FALSE()), I243)</f>
        <v>2025-12-13</v>
      </c>
      <c r="T243">
        <f t="shared" si="21"/>
        <v>19</v>
      </c>
      <c r="U243" t="str">
        <f t="shared" si="22"/>
        <v>Late</v>
      </c>
      <c r="V243">
        <f t="shared" si="23"/>
        <v>0</v>
      </c>
    </row>
    <row r="244" spans="1:22" x14ac:dyDescent="0.45">
      <c r="A244" t="s">
        <v>779</v>
      </c>
      <c r="B244" t="s">
        <v>672</v>
      </c>
      <c r="C244" t="s">
        <v>30</v>
      </c>
      <c r="D244" t="s">
        <v>59</v>
      </c>
      <c r="E244" t="s">
        <v>18</v>
      </c>
      <c r="F244">
        <v>22</v>
      </c>
      <c r="G244">
        <v>48905</v>
      </c>
      <c r="H244">
        <v>1075910</v>
      </c>
      <c r="I244" t="s">
        <v>675</v>
      </c>
      <c r="J244" t="s">
        <v>780</v>
      </c>
      <c r="K244">
        <v>15</v>
      </c>
      <c r="L244">
        <v>1</v>
      </c>
      <c r="M244" t="s">
        <v>115</v>
      </c>
      <c r="N244" t="str">
        <f t="shared" si="18"/>
        <v>PO-100243</v>
      </c>
      <c r="O244" t="str">
        <f t="shared" si="19"/>
        <v>Delivered</v>
      </c>
      <c r="P244" t="str">
        <f t="shared" si="20"/>
        <v>WH-PUN</v>
      </c>
      <c r="Q244" t="str">
        <f>VLOOKUP(C244, Lookups!$A$2:$D$10, 2, FALSE())</f>
        <v>TechSupply Corp</v>
      </c>
      <c r="R244" t="str">
        <f>_xlfn.XLOOKUP(D244, Lookups!$A$12:$A$51, Lookups!$C$12:$C$51, "Unknown")</f>
        <v>Electronics</v>
      </c>
      <c r="S244" t="str">
        <f>IF(ISBLANK(I244), B244+VLOOKUP(C244, Lookups!$A$2:$D$10, 4, FALSE()), I244)</f>
        <v>2026-11-28</v>
      </c>
      <c r="T244">
        <f t="shared" si="21"/>
        <v>15</v>
      </c>
      <c r="U244" t="str">
        <f t="shared" si="22"/>
        <v>Late</v>
      </c>
      <c r="V244">
        <f t="shared" si="23"/>
        <v>6.6666666666666666E-2</v>
      </c>
    </row>
    <row r="245" spans="1:22" x14ac:dyDescent="0.45">
      <c r="A245" t="s">
        <v>781</v>
      </c>
      <c r="B245" t="s">
        <v>726</v>
      </c>
      <c r="C245" t="s">
        <v>36</v>
      </c>
      <c r="D245" t="s">
        <v>71</v>
      </c>
      <c r="E245" t="s">
        <v>17</v>
      </c>
      <c r="F245">
        <v>238</v>
      </c>
      <c r="G245">
        <v>65379</v>
      </c>
      <c r="H245">
        <v>15560202</v>
      </c>
      <c r="I245" t="s">
        <v>258</v>
      </c>
      <c r="J245" t="s">
        <v>782</v>
      </c>
      <c r="K245">
        <v>238</v>
      </c>
      <c r="L245">
        <v>0</v>
      </c>
      <c r="M245" t="s">
        <v>115</v>
      </c>
      <c r="N245" t="str">
        <f t="shared" si="18"/>
        <v>PO-100244</v>
      </c>
      <c r="O245" t="str">
        <f t="shared" si="19"/>
        <v>Delivered</v>
      </c>
      <c r="P245" t="str">
        <f t="shared" si="20"/>
        <v>WH-BLR</v>
      </c>
      <c r="Q245" t="str">
        <f>VLOOKUP(C245, Lookups!$A$2:$D$10, 2, FALSE())</f>
        <v>NextGen Hardware</v>
      </c>
      <c r="R245" t="str">
        <f>_xlfn.XLOOKUP(D245, Lookups!$A$12:$A$51, Lookups!$C$12:$C$51, "Unknown")</f>
        <v>Electronics</v>
      </c>
      <c r="S245" t="str">
        <f>IF(ISBLANK(I245), B245+VLOOKUP(C245, Lookups!$A$2:$D$10, 4, FALSE()), I245)</f>
        <v>2025-02-06</v>
      </c>
      <c r="T245">
        <f t="shared" si="21"/>
        <v>25</v>
      </c>
      <c r="U245" t="str">
        <f t="shared" si="22"/>
        <v>Late</v>
      </c>
      <c r="V245">
        <f t="shared" si="23"/>
        <v>0</v>
      </c>
    </row>
    <row r="246" spans="1:22" x14ac:dyDescent="0.45">
      <c r="A246" t="s">
        <v>783</v>
      </c>
      <c r="B246" t="s">
        <v>784</v>
      </c>
      <c r="C246" t="s">
        <v>36</v>
      </c>
      <c r="D246" t="s">
        <v>90</v>
      </c>
      <c r="E246" t="s">
        <v>16</v>
      </c>
      <c r="F246">
        <v>55</v>
      </c>
      <c r="G246">
        <v>81434</v>
      </c>
      <c r="H246">
        <v>4478870</v>
      </c>
      <c r="I246" t="s">
        <v>785</v>
      </c>
      <c r="J246" t="s">
        <v>199</v>
      </c>
      <c r="K246">
        <v>33</v>
      </c>
      <c r="L246">
        <v>0</v>
      </c>
      <c r="M246" t="s">
        <v>115</v>
      </c>
      <c r="N246" t="str">
        <f t="shared" si="18"/>
        <v>PO-100245</v>
      </c>
      <c r="O246" t="str">
        <f t="shared" si="19"/>
        <v>Delivered</v>
      </c>
      <c r="P246" t="str">
        <f t="shared" si="20"/>
        <v>WH-DEL</v>
      </c>
      <c r="Q246" t="str">
        <f>VLOOKUP(C246, Lookups!$A$2:$D$10, 2, FALSE())</f>
        <v>NextGen Hardware</v>
      </c>
      <c r="R246" t="str">
        <f>_xlfn.XLOOKUP(D246, Lookups!$A$12:$A$51, Lookups!$C$12:$C$51, "Unknown")</f>
        <v>Electronics</v>
      </c>
      <c r="S246" t="str">
        <f>IF(ISBLANK(I246), B246+VLOOKUP(C246, Lookups!$A$2:$D$10, 4, FALSE()), I246)</f>
        <v>2025-10-06</v>
      </c>
      <c r="T246">
        <f t="shared" si="21"/>
        <v>34</v>
      </c>
      <c r="U246" t="str">
        <f t="shared" si="22"/>
        <v>Late</v>
      </c>
      <c r="V246">
        <f t="shared" si="23"/>
        <v>0</v>
      </c>
    </row>
    <row r="247" spans="1:22" x14ac:dyDescent="0.45">
      <c r="A247" t="s">
        <v>786</v>
      </c>
      <c r="B247" t="s">
        <v>262</v>
      </c>
      <c r="C247" t="s">
        <v>36</v>
      </c>
      <c r="D247" t="s">
        <v>62</v>
      </c>
      <c r="E247" t="s">
        <v>15</v>
      </c>
      <c r="F247">
        <v>71</v>
      </c>
      <c r="G247">
        <v>48478</v>
      </c>
      <c r="H247">
        <v>3441938</v>
      </c>
      <c r="I247" t="s">
        <v>787</v>
      </c>
      <c r="J247" t="s">
        <v>576</v>
      </c>
      <c r="K247">
        <v>71</v>
      </c>
      <c r="L247">
        <v>0</v>
      </c>
      <c r="M247" t="s">
        <v>115</v>
      </c>
      <c r="N247" t="str">
        <f t="shared" si="18"/>
        <v>PO-100246</v>
      </c>
      <c r="O247" t="str">
        <f t="shared" si="19"/>
        <v>Delivered</v>
      </c>
      <c r="P247" t="str">
        <f t="shared" si="20"/>
        <v>WH-BOM</v>
      </c>
      <c r="Q247" t="str">
        <f>VLOOKUP(C247, Lookups!$A$2:$D$10, 2, FALSE())</f>
        <v>NextGen Hardware</v>
      </c>
      <c r="R247" t="str">
        <f>_xlfn.XLOOKUP(D247, Lookups!$A$12:$A$51, Lookups!$C$12:$C$51, "Unknown")</f>
        <v>Electronics</v>
      </c>
      <c r="S247" t="str">
        <f>IF(ISBLANK(I247), B247+VLOOKUP(C247, Lookups!$A$2:$D$10, 4, FALSE()), I247)</f>
        <v>2026-03-04</v>
      </c>
      <c r="T247">
        <f t="shared" si="21"/>
        <v>25</v>
      </c>
      <c r="U247" t="str">
        <f t="shared" si="22"/>
        <v>Late</v>
      </c>
      <c r="V247">
        <f t="shared" si="23"/>
        <v>0</v>
      </c>
    </row>
    <row r="248" spans="1:22" x14ac:dyDescent="0.45">
      <c r="A248" t="s">
        <v>788</v>
      </c>
      <c r="B248" t="s">
        <v>789</v>
      </c>
      <c r="C248" t="s">
        <v>30</v>
      </c>
      <c r="D248" t="s">
        <v>53</v>
      </c>
      <c r="E248" t="s">
        <v>18</v>
      </c>
      <c r="F248">
        <v>146</v>
      </c>
      <c r="G248">
        <v>81048</v>
      </c>
      <c r="H248">
        <v>11833008</v>
      </c>
      <c r="K248">
        <v>0</v>
      </c>
      <c r="L248">
        <v>0</v>
      </c>
      <c r="M248" t="s">
        <v>297</v>
      </c>
      <c r="N248" t="str">
        <f t="shared" si="18"/>
        <v>PO-100247</v>
      </c>
      <c r="O248" t="str">
        <f t="shared" si="19"/>
        <v>Open</v>
      </c>
      <c r="P248" t="str">
        <f t="shared" si="20"/>
        <v>WH-PUN</v>
      </c>
      <c r="Q248" t="str">
        <f>VLOOKUP(C248, Lookups!$A$2:$D$10, 2, FALSE())</f>
        <v>TechSupply Corp</v>
      </c>
      <c r="R248" t="str">
        <f>_xlfn.XLOOKUP(D248, Lookups!$A$12:$A$51, Lookups!$C$12:$C$51, "Unknown")</f>
        <v>Electronics</v>
      </c>
      <c r="S248">
        <f>IF(ISBLANK(I248), B248+VLOOKUP(C248, Lookups!$A$2:$D$10, 4, FALSE()), I248)</f>
        <v>46382</v>
      </c>
      <c r="T248" t="str">
        <f t="shared" si="21"/>
        <v/>
      </c>
      <c r="U248" t="str">
        <f t="shared" si="22"/>
        <v>Open</v>
      </c>
      <c r="V248">
        <f t="shared" si="23"/>
        <v>0</v>
      </c>
    </row>
    <row r="249" spans="1:22" x14ac:dyDescent="0.45">
      <c r="A249" t="s">
        <v>790</v>
      </c>
      <c r="B249" t="s">
        <v>791</v>
      </c>
      <c r="C249" t="s">
        <v>36</v>
      </c>
      <c r="D249" t="s">
        <v>90</v>
      </c>
      <c r="E249" t="s">
        <v>17</v>
      </c>
      <c r="F249">
        <v>33</v>
      </c>
      <c r="G249">
        <v>81434</v>
      </c>
      <c r="H249">
        <v>2687322</v>
      </c>
      <c r="I249" t="s">
        <v>242</v>
      </c>
      <c r="J249" t="s">
        <v>792</v>
      </c>
      <c r="K249">
        <v>33</v>
      </c>
      <c r="L249">
        <v>0</v>
      </c>
      <c r="M249" t="s">
        <v>115</v>
      </c>
      <c r="N249" t="str">
        <f t="shared" si="18"/>
        <v>PO-100248</v>
      </c>
      <c r="O249" t="str">
        <f t="shared" si="19"/>
        <v>Delivered</v>
      </c>
      <c r="P249" t="str">
        <f t="shared" si="20"/>
        <v>WH-BLR</v>
      </c>
      <c r="Q249" t="str">
        <f>VLOOKUP(C249, Lookups!$A$2:$D$10, 2, FALSE())</f>
        <v>NextGen Hardware</v>
      </c>
      <c r="R249" t="str">
        <f>_xlfn.XLOOKUP(D249, Lookups!$A$12:$A$51, Lookups!$C$12:$C$51, "Unknown")</f>
        <v>Electronics</v>
      </c>
      <c r="S249" t="str">
        <f>IF(ISBLANK(I249), B249+VLOOKUP(C249, Lookups!$A$2:$D$10, 4, FALSE()), I249)</f>
        <v>2025-07-05</v>
      </c>
      <c r="T249">
        <f t="shared" si="21"/>
        <v>25</v>
      </c>
      <c r="U249" t="str">
        <f t="shared" si="22"/>
        <v>Late</v>
      </c>
      <c r="V249">
        <f t="shared" si="23"/>
        <v>0</v>
      </c>
    </row>
    <row r="250" spans="1:22" x14ac:dyDescent="0.45">
      <c r="A250" t="s">
        <v>793</v>
      </c>
      <c r="B250" t="s">
        <v>794</v>
      </c>
      <c r="C250" t="s">
        <v>35</v>
      </c>
      <c r="D250" t="s">
        <v>65</v>
      </c>
      <c r="E250" t="s">
        <v>16</v>
      </c>
      <c r="F250">
        <v>194</v>
      </c>
      <c r="G250">
        <v>4936</v>
      </c>
      <c r="H250">
        <v>957584</v>
      </c>
      <c r="I250" t="s">
        <v>795</v>
      </c>
      <c r="J250" t="s">
        <v>494</v>
      </c>
      <c r="K250">
        <v>194</v>
      </c>
      <c r="L250">
        <v>7</v>
      </c>
      <c r="M250" t="s">
        <v>115</v>
      </c>
      <c r="N250" t="str">
        <f t="shared" si="18"/>
        <v>PO-100249</v>
      </c>
      <c r="O250" t="str">
        <f t="shared" si="19"/>
        <v>Delivered</v>
      </c>
      <c r="P250" t="str">
        <f t="shared" si="20"/>
        <v>WH-DEL</v>
      </c>
      <c r="Q250" t="str">
        <f>VLOOKUP(C250, Lookups!$A$2:$D$10, 2, FALSE())</f>
        <v>Peripheral Source</v>
      </c>
      <c r="R250" t="str">
        <f>_xlfn.XLOOKUP(D250, Lookups!$A$12:$A$51, Lookups!$C$12:$C$51, "Unknown")</f>
        <v>Peripherals</v>
      </c>
      <c r="S250" t="str">
        <f>IF(ISBLANK(I250), B250+VLOOKUP(C250, Lookups!$A$2:$D$10, 4, FALSE()), I250)</f>
        <v>2026-09-17</v>
      </c>
      <c r="T250">
        <f t="shared" si="21"/>
        <v>11</v>
      </c>
      <c r="U250" t="str">
        <f t="shared" si="22"/>
        <v>Late</v>
      </c>
      <c r="V250">
        <f t="shared" si="23"/>
        <v>3.608247422680412E-2</v>
      </c>
    </row>
    <row r="251" spans="1:22" x14ac:dyDescent="0.45">
      <c r="A251" t="s">
        <v>796</v>
      </c>
      <c r="B251" t="s">
        <v>450</v>
      </c>
      <c r="C251" t="s">
        <v>34</v>
      </c>
      <c r="D251" t="s">
        <v>81</v>
      </c>
      <c r="E251" t="s">
        <v>17</v>
      </c>
      <c r="F251">
        <v>77</v>
      </c>
      <c r="G251">
        <v>55328</v>
      </c>
      <c r="H251">
        <v>4260256</v>
      </c>
      <c r="I251" t="s">
        <v>658</v>
      </c>
      <c r="J251" t="s">
        <v>658</v>
      </c>
      <c r="K251">
        <v>77</v>
      </c>
      <c r="L251">
        <v>0</v>
      </c>
      <c r="M251" t="s">
        <v>115</v>
      </c>
      <c r="N251" t="str">
        <f t="shared" si="18"/>
        <v>PO-100250</v>
      </c>
      <c r="O251" t="str">
        <f t="shared" si="19"/>
        <v>Delivered</v>
      </c>
      <c r="P251" t="str">
        <f t="shared" si="20"/>
        <v>WH-BLR</v>
      </c>
      <c r="Q251" t="str">
        <f>VLOOKUP(C251, Lookups!$A$2:$D$10, 2, FALSE())</f>
        <v>FastElectronics</v>
      </c>
      <c r="R251" t="str">
        <f>_xlfn.XLOOKUP(D251, Lookups!$A$12:$A$51, Lookups!$C$12:$C$51, "Unknown")</f>
        <v>Electronics</v>
      </c>
      <c r="S251" t="str">
        <f>IF(ISBLANK(I251), B251+VLOOKUP(C251, Lookups!$A$2:$D$10, 4, FALSE()), I251)</f>
        <v>2026-09-30</v>
      </c>
      <c r="T251">
        <f t="shared" si="21"/>
        <v>18</v>
      </c>
      <c r="U251" t="str">
        <f t="shared" si="22"/>
        <v>On-Time</v>
      </c>
      <c r="V251">
        <f t="shared" si="23"/>
        <v>0</v>
      </c>
    </row>
    <row r="252" spans="1:22" x14ac:dyDescent="0.45">
      <c r="A252" t="s">
        <v>797</v>
      </c>
      <c r="B252" t="s">
        <v>798</v>
      </c>
      <c r="C252" t="s">
        <v>34</v>
      </c>
      <c r="D252" t="s">
        <v>54</v>
      </c>
      <c r="E252" t="s">
        <v>18</v>
      </c>
      <c r="F252">
        <v>20</v>
      </c>
      <c r="G252">
        <v>22314</v>
      </c>
      <c r="H252">
        <v>446280</v>
      </c>
      <c r="I252" t="s">
        <v>417</v>
      </c>
      <c r="J252" t="s">
        <v>417</v>
      </c>
      <c r="K252">
        <v>20</v>
      </c>
      <c r="L252">
        <v>0</v>
      </c>
      <c r="M252" t="s">
        <v>115</v>
      </c>
      <c r="N252" t="str">
        <f t="shared" si="18"/>
        <v>PO-100251</v>
      </c>
      <c r="O252" t="str">
        <f t="shared" si="19"/>
        <v>Delivered</v>
      </c>
      <c r="P252" t="str">
        <f t="shared" si="20"/>
        <v>WH-PUN</v>
      </c>
      <c r="Q252" t="str">
        <f>VLOOKUP(C252, Lookups!$A$2:$D$10, 2, FALSE())</f>
        <v>FastElectronics</v>
      </c>
      <c r="R252" t="str">
        <f>_xlfn.XLOOKUP(D252, Lookups!$A$12:$A$51, Lookups!$C$12:$C$51, "Unknown")</f>
        <v>Networking</v>
      </c>
      <c r="S252" t="str">
        <f>IF(ISBLANK(I252), B252+VLOOKUP(C252, Lookups!$A$2:$D$10, 4, FALSE()), I252)</f>
        <v>2026-06-02</v>
      </c>
      <c r="T252">
        <f t="shared" si="21"/>
        <v>18</v>
      </c>
      <c r="U252" t="str">
        <f t="shared" si="22"/>
        <v>On-Time</v>
      </c>
      <c r="V252">
        <f t="shared" si="23"/>
        <v>0</v>
      </c>
    </row>
    <row r="253" spans="1:22" x14ac:dyDescent="0.45">
      <c r="A253" t="s">
        <v>799</v>
      </c>
      <c r="B253" t="s">
        <v>657</v>
      </c>
      <c r="C253" t="s">
        <v>35</v>
      </c>
      <c r="D253" t="s">
        <v>91</v>
      </c>
      <c r="E253" t="s">
        <v>245</v>
      </c>
      <c r="F253">
        <v>148</v>
      </c>
      <c r="G253">
        <v>6707</v>
      </c>
      <c r="H253">
        <v>992636</v>
      </c>
      <c r="I253" t="s">
        <v>521</v>
      </c>
      <c r="J253" t="s">
        <v>795</v>
      </c>
      <c r="K253">
        <v>148</v>
      </c>
      <c r="L253">
        <v>7</v>
      </c>
      <c r="M253" t="s">
        <v>115</v>
      </c>
      <c r="N253" t="str">
        <f t="shared" si="18"/>
        <v>PO-100252</v>
      </c>
      <c r="O253" t="str">
        <f t="shared" si="19"/>
        <v>Delivered</v>
      </c>
      <c r="P253" t="str">
        <f t="shared" si="20"/>
        <v>WH-BOM</v>
      </c>
      <c r="Q253" t="str">
        <f>VLOOKUP(C253, Lookups!$A$2:$D$10, 2, FALSE())</f>
        <v>Peripheral Source</v>
      </c>
      <c r="R253" t="str">
        <f>_xlfn.XLOOKUP(D253, Lookups!$A$12:$A$51, Lookups!$C$12:$C$51, "Unknown")</f>
        <v>Peripherals</v>
      </c>
      <c r="S253" t="str">
        <f>IF(ISBLANK(I253), B253+VLOOKUP(C253, Lookups!$A$2:$D$10, 4, FALSE()), I253)</f>
        <v>2026-09-16</v>
      </c>
      <c r="T253">
        <f t="shared" si="21"/>
        <v>11</v>
      </c>
      <c r="U253" t="str">
        <f t="shared" si="22"/>
        <v>Late</v>
      </c>
      <c r="V253">
        <f t="shared" si="23"/>
        <v>4.72972972972973E-2</v>
      </c>
    </row>
    <row r="254" spans="1:22" x14ac:dyDescent="0.45">
      <c r="A254" t="s">
        <v>800</v>
      </c>
      <c r="B254" t="s">
        <v>780</v>
      </c>
      <c r="C254" t="s">
        <v>30</v>
      </c>
      <c r="D254" t="s">
        <v>61</v>
      </c>
      <c r="E254" t="s">
        <v>18</v>
      </c>
      <c r="F254">
        <v>106</v>
      </c>
      <c r="G254">
        <v>111237</v>
      </c>
      <c r="H254">
        <v>11791122</v>
      </c>
      <c r="I254" t="s">
        <v>801</v>
      </c>
      <c r="K254">
        <v>0</v>
      </c>
      <c r="L254">
        <v>0</v>
      </c>
      <c r="M254" t="s">
        <v>297</v>
      </c>
      <c r="N254" t="str">
        <f t="shared" si="18"/>
        <v>PO-100253</v>
      </c>
      <c r="O254" t="str">
        <f t="shared" si="19"/>
        <v>Open</v>
      </c>
      <c r="P254" t="str">
        <f t="shared" si="20"/>
        <v>WH-PUN</v>
      </c>
      <c r="Q254" t="str">
        <f>VLOOKUP(C254, Lookups!$A$2:$D$10, 2, FALSE())</f>
        <v>TechSupply Corp</v>
      </c>
      <c r="R254" t="str">
        <f>_xlfn.XLOOKUP(D254, Lookups!$A$12:$A$51, Lookups!$C$12:$C$51, "Unknown")</f>
        <v>Electronics</v>
      </c>
      <c r="S254" t="str">
        <f>IF(ISBLANK(I254), B254+VLOOKUP(C254, Lookups!$A$2:$D$10, 4, FALSE()), I254)</f>
        <v>2026-12-13</v>
      </c>
      <c r="T254" t="str">
        <f t="shared" si="21"/>
        <v/>
      </c>
      <c r="U254" t="str">
        <f t="shared" si="22"/>
        <v>Open</v>
      </c>
      <c r="V254">
        <f t="shared" si="23"/>
        <v>0</v>
      </c>
    </row>
    <row r="255" spans="1:22" x14ac:dyDescent="0.45">
      <c r="A255" t="s">
        <v>802</v>
      </c>
      <c r="B255" t="s">
        <v>419</v>
      </c>
      <c r="C255" t="s">
        <v>34</v>
      </c>
      <c r="D255" t="s">
        <v>73</v>
      </c>
      <c r="E255" t="s">
        <v>15</v>
      </c>
      <c r="F255">
        <v>97</v>
      </c>
      <c r="G255">
        <v>58396</v>
      </c>
      <c r="H255">
        <v>5664412</v>
      </c>
      <c r="I255" t="s">
        <v>177</v>
      </c>
      <c r="J255" t="s">
        <v>803</v>
      </c>
      <c r="K255">
        <v>97</v>
      </c>
      <c r="L255">
        <v>0</v>
      </c>
      <c r="M255" t="s">
        <v>115</v>
      </c>
      <c r="N255" t="str">
        <f t="shared" si="18"/>
        <v>PO-100254</v>
      </c>
      <c r="O255" t="str">
        <f t="shared" si="19"/>
        <v>Delivered</v>
      </c>
      <c r="P255" t="str">
        <f t="shared" si="20"/>
        <v>WH-BOM</v>
      </c>
      <c r="Q255" t="str">
        <f>VLOOKUP(C255, Lookups!$A$2:$D$10, 2, FALSE())</f>
        <v>FastElectronics</v>
      </c>
      <c r="R255" t="str">
        <f>_xlfn.XLOOKUP(D255, Lookups!$A$12:$A$51, Lookups!$C$12:$C$51, "Unknown")</f>
        <v>Electronics</v>
      </c>
      <c r="S255" t="str">
        <f>IF(ISBLANK(I255), B255+VLOOKUP(C255, Lookups!$A$2:$D$10, 4, FALSE()), I255)</f>
        <v>2026-08-08</v>
      </c>
      <c r="T255">
        <f t="shared" si="21"/>
        <v>26</v>
      </c>
      <c r="U255" t="str">
        <f t="shared" si="22"/>
        <v>Late</v>
      </c>
      <c r="V255">
        <f t="shared" si="23"/>
        <v>0</v>
      </c>
    </row>
    <row r="256" spans="1:22" x14ac:dyDescent="0.45">
      <c r="A256" t="s">
        <v>804</v>
      </c>
      <c r="B256" t="s">
        <v>805</v>
      </c>
      <c r="C256" t="s">
        <v>36</v>
      </c>
      <c r="D256" t="s">
        <v>90</v>
      </c>
      <c r="E256" t="s">
        <v>18</v>
      </c>
      <c r="F256">
        <v>18</v>
      </c>
      <c r="G256">
        <v>81434</v>
      </c>
      <c r="H256">
        <v>1465812</v>
      </c>
      <c r="I256" t="s">
        <v>806</v>
      </c>
      <c r="J256" t="s">
        <v>168</v>
      </c>
      <c r="K256">
        <v>18</v>
      </c>
      <c r="L256">
        <v>0</v>
      </c>
      <c r="M256" t="s">
        <v>115</v>
      </c>
      <c r="N256" t="str">
        <f t="shared" si="18"/>
        <v>PO-100255</v>
      </c>
      <c r="O256" t="str">
        <f t="shared" si="19"/>
        <v>Delivered</v>
      </c>
      <c r="P256" t="str">
        <f t="shared" si="20"/>
        <v>WH-PUN</v>
      </c>
      <c r="Q256" t="str">
        <f>VLOOKUP(C256, Lookups!$A$2:$D$10, 2, FALSE())</f>
        <v>NextGen Hardware</v>
      </c>
      <c r="R256" t="str">
        <f>_xlfn.XLOOKUP(D256, Lookups!$A$12:$A$51, Lookups!$C$12:$C$51, "Unknown")</f>
        <v>Electronics</v>
      </c>
      <c r="S256" t="str">
        <f>IF(ISBLANK(I256), B256+VLOOKUP(C256, Lookups!$A$2:$D$10, 4, FALSE()), I256)</f>
        <v>2025-05-19</v>
      </c>
      <c r="T256">
        <f t="shared" si="21"/>
        <v>25</v>
      </c>
      <c r="U256" t="str">
        <f t="shared" si="22"/>
        <v>Late</v>
      </c>
      <c r="V256">
        <f t="shared" si="23"/>
        <v>0</v>
      </c>
    </row>
    <row r="257" spans="1:22" x14ac:dyDescent="0.45">
      <c r="A257" t="s">
        <v>807</v>
      </c>
      <c r="B257" t="s">
        <v>161</v>
      </c>
      <c r="C257" t="s">
        <v>30</v>
      </c>
      <c r="D257" t="s">
        <v>61</v>
      </c>
      <c r="E257" t="s">
        <v>15</v>
      </c>
      <c r="F257">
        <v>90</v>
      </c>
      <c r="G257">
        <v>111237</v>
      </c>
      <c r="H257">
        <v>10011330</v>
      </c>
      <c r="I257" t="s">
        <v>487</v>
      </c>
      <c r="J257" t="s">
        <v>457</v>
      </c>
      <c r="K257">
        <v>90</v>
      </c>
      <c r="L257">
        <v>0</v>
      </c>
      <c r="M257" t="s">
        <v>115</v>
      </c>
      <c r="N257" t="str">
        <f t="shared" si="18"/>
        <v>PO-100256</v>
      </c>
      <c r="O257" t="str">
        <f t="shared" si="19"/>
        <v>Delivered</v>
      </c>
      <c r="P257" t="str">
        <f t="shared" si="20"/>
        <v>WH-BOM</v>
      </c>
      <c r="Q257" t="str">
        <f>VLOOKUP(C257, Lookups!$A$2:$D$10, 2, FALSE())</f>
        <v>TechSupply Corp</v>
      </c>
      <c r="R257" t="str">
        <f>_xlfn.XLOOKUP(D257, Lookups!$A$12:$A$51, Lookups!$C$12:$C$51, "Unknown")</f>
        <v>Electronics</v>
      </c>
      <c r="S257" t="str">
        <f>IF(ISBLANK(I257), B257+VLOOKUP(C257, Lookups!$A$2:$D$10, 4, FALSE()), I257)</f>
        <v>2025-06-26</v>
      </c>
      <c r="T257">
        <f t="shared" si="21"/>
        <v>13</v>
      </c>
      <c r="U257" t="str">
        <f t="shared" si="22"/>
        <v>On-Time</v>
      </c>
      <c r="V257">
        <f t="shared" si="23"/>
        <v>0</v>
      </c>
    </row>
    <row r="258" spans="1:22" x14ac:dyDescent="0.45">
      <c r="A258" t="s">
        <v>808</v>
      </c>
      <c r="B258" t="s">
        <v>153</v>
      </c>
      <c r="C258" t="s">
        <v>35</v>
      </c>
      <c r="D258" t="s">
        <v>75</v>
      </c>
      <c r="E258" t="s">
        <v>17</v>
      </c>
      <c r="F258">
        <v>85</v>
      </c>
      <c r="G258">
        <v>4440</v>
      </c>
      <c r="H258">
        <v>377400</v>
      </c>
      <c r="I258" t="s">
        <v>809</v>
      </c>
      <c r="J258" t="s">
        <v>809</v>
      </c>
      <c r="K258">
        <v>85</v>
      </c>
      <c r="L258">
        <v>0</v>
      </c>
      <c r="M258" t="s">
        <v>115</v>
      </c>
      <c r="N258" t="str">
        <f t="shared" ref="N258:N321" si="24">TRIM(A258)</f>
        <v>PO-100257</v>
      </c>
      <c r="O258" t="str">
        <f t="shared" ref="O258:O321" si="25">PROPER(TRIM(M258))</f>
        <v>Delivered</v>
      </c>
      <c r="P258" t="str">
        <f t="shared" ref="P258:P321" si="26">TRIM(E258)</f>
        <v>WH-BLR</v>
      </c>
      <c r="Q258" t="str">
        <f>VLOOKUP(C258, Lookups!$A$2:$D$10, 2, FALSE())</f>
        <v>Peripheral Source</v>
      </c>
      <c r="R258" t="str">
        <f>_xlfn.XLOOKUP(D258, Lookups!$A$12:$A$51, Lookups!$C$12:$C$51, "Unknown")</f>
        <v>Peripherals</v>
      </c>
      <c r="S258" t="str">
        <f>IF(ISBLANK(I258), B258+VLOOKUP(C258, Lookups!$A$2:$D$10, 4, FALSE()), I258)</f>
        <v>2025-10-17</v>
      </c>
      <c r="T258">
        <f t="shared" ref="T258:T321" si="27">IF(ISBLANK(J258), "", J258-B258)</f>
        <v>10</v>
      </c>
      <c r="U258" t="str">
        <f t="shared" ref="U258:U321" si="28">IF(O258="Open", "Open", IF(J258&gt;S258, "Late", "On-Time"))</f>
        <v>On-Time</v>
      </c>
      <c r="V258">
        <f t="shared" ref="V258:V321" si="29">IF(K258&gt;0, L258/K258, 0)</f>
        <v>0</v>
      </c>
    </row>
    <row r="259" spans="1:22" x14ac:dyDescent="0.45">
      <c r="A259" t="s">
        <v>810</v>
      </c>
      <c r="B259" t="s">
        <v>811</v>
      </c>
      <c r="C259" t="s">
        <v>35</v>
      </c>
      <c r="D259" t="s">
        <v>60</v>
      </c>
      <c r="E259" t="s">
        <v>16</v>
      </c>
      <c r="F259">
        <v>30</v>
      </c>
      <c r="G259">
        <v>3291</v>
      </c>
      <c r="H259">
        <v>98730</v>
      </c>
      <c r="K259">
        <v>0</v>
      </c>
      <c r="L259">
        <v>0</v>
      </c>
      <c r="M259" t="s">
        <v>297</v>
      </c>
      <c r="N259" t="str">
        <f t="shared" si="24"/>
        <v>PO-100258</v>
      </c>
      <c r="O259" t="str">
        <f t="shared" si="25"/>
        <v>Open</v>
      </c>
      <c r="P259" t="str">
        <f t="shared" si="26"/>
        <v>WH-DEL</v>
      </c>
      <c r="Q259" t="str">
        <f>VLOOKUP(C259, Lookups!$A$2:$D$10, 2, FALSE())</f>
        <v>Peripheral Source</v>
      </c>
      <c r="R259" t="str">
        <f>_xlfn.XLOOKUP(D259, Lookups!$A$12:$A$51, Lookups!$C$12:$C$51, "Unknown")</f>
        <v>Peripherals</v>
      </c>
      <c r="S259">
        <f>IF(ISBLANK(I259), B259+VLOOKUP(C259, Lookups!$A$2:$D$10, 4, FALSE()), I259)</f>
        <v>46363</v>
      </c>
      <c r="T259" t="str">
        <f t="shared" si="27"/>
        <v/>
      </c>
      <c r="U259" t="str">
        <f t="shared" si="28"/>
        <v>Open</v>
      </c>
      <c r="V259">
        <f t="shared" si="29"/>
        <v>0</v>
      </c>
    </row>
    <row r="260" spans="1:22" x14ac:dyDescent="0.45">
      <c r="A260" t="s">
        <v>812</v>
      </c>
      <c r="B260" t="s">
        <v>813</v>
      </c>
      <c r="C260" t="s">
        <v>35</v>
      </c>
      <c r="D260" t="s">
        <v>91</v>
      </c>
      <c r="E260" t="s">
        <v>17</v>
      </c>
      <c r="F260">
        <v>196</v>
      </c>
      <c r="G260">
        <v>6707</v>
      </c>
      <c r="H260">
        <v>1314572</v>
      </c>
      <c r="I260" t="s">
        <v>396</v>
      </c>
      <c r="J260" t="s">
        <v>477</v>
      </c>
      <c r="K260">
        <v>196</v>
      </c>
      <c r="L260">
        <v>0</v>
      </c>
      <c r="M260" t="s">
        <v>115</v>
      </c>
      <c r="N260" t="str">
        <f t="shared" si="24"/>
        <v>PO-100259</v>
      </c>
      <c r="O260" t="str">
        <f t="shared" si="25"/>
        <v>Delivered</v>
      </c>
      <c r="P260" t="str">
        <f t="shared" si="26"/>
        <v>WH-BLR</v>
      </c>
      <c r="Q260" t="str">
        <f>VLOOKUP(C260, Lookups!$A$2:$D$10, 2, FALSE())</f>
        <v>Peripheral Source</v>
      </c>
      <c r="R260" t="str">
        <f>_xlfn.XLOOKUP(D260, Lookups!$A$12:$A$51, Lookups!$C$12:$C$51, "Unknown")</f>
        <v>Peripherals</v>
      </c>
      <c r="S260" t="str">
        <f>IF(ISBLANK(I260), B260+VLOOKUP(C260, Lookups!$A$2:$D$10, 4, FALSE()), I260)</f>
        <v>2025-03-27</v>
      </c>
      <c r="T260">
        <f t="shared" si="27"/>
        <v>11</v>
      </c>
      <c r="U260" t="str">
        <f t="shared" si="28"/>
        <v>Late</v>
      </c>
      <c r="V260">
        <f t="shared" si="29"/>
        <v>0</v>
      </c>
    </row>
    <row r="261" spans="1:22" x14ac:dyDescent="0.45">
      <c r="A261" t="s">
        <v>814</v>
      </c>
      <c r="B261" t="s">
        <v>721</v>
      </c>
      <c r="C261" t="s">
        <v>37</v>
      </c>
      <c r="D261" t="s">
        <v>78</v>
      </c>
      <c r="E261" t="s">
        <v>16</v>
      </c>
      <c r="F261">
        <v>233</v>
      </c>
      <c r="G261">
        <v>9423</v>
      </c>
      <c r="H261">
        <v>2195559</v>
      </c>
      <c r="I261" t="s">
        <v>815</v>
      </c>
      <c r="J261" t="s">
        <v>815</v>
      </c>
      <c r="K261">
        <v>233</v>
      </c>
      <c r="L261">
        <v>0</v>
      </c>
      <c r="M261" t="s">
        <v>115</v>
      </c>
      <c r="N261" t="str">
        <f t="shared" si="24"/>
        <v>PO-100260</v>
      </c>
      <c r="O261" t="str">
        <f t="shared" si="25"/>
        <v>Delivered</v>
      </c>
      <c r="P261" t="str">
        <f t="shared" si="26"/>
        <v>WH-DEL</v>
      </c>
      <c r="Q261" t="str">
        <f>VLOOKUP(C261, Lookups!$A$2:$D$10, 2, FALSE())</f>
        <v>Premium Desks Ltd</v>
      </c>
      <c r="R261" t="str">
        <f>_xlfn.XLOOKUP(D261, Lookups!$A$12:$A$51, Lookups!$C$12:$C$51, "Unknown")</f>
        <v>Office Furniture</v>
      </c>
      <c r="S261" t="str">
        <f>IF(ISBLANK(I261), B261+VLOOKUP(C261, Lookups!$A$2:$D$10, 4, FALSE()), I261)</f>
        <v>2026-02-13</v>
      </c>
      <c r="T261">
        <f t="shared" si="27"/>
        <v>12</v>
      </c>
      <c r="U261" t="str">
        <f t="shared" si="28"/>
        <v>On-Time</v>
      </c>
      <c r="V261">
        <f t="shared" si="29"/>
        <v>0</v>
      </c>
    </row>
    <row r="262" spans="1:22" x14ac:dyDescent="0.45">
      <c r="A262" t="s">
        <v>816</v>
      </c>
      <c r="B262" t="s">
        <v>591</v>
      </c>
      <c r="C262" t="s">
        <v>30</v>
      </c>
      <c r="D262" t="s">
        <v>52</v>
      </c>
      <c r="E262" t="s">
        <v>17</v>
      </c>
      <c r="F262">
        <v>69</v>
      </c>
      <c r="G262">
        <v>59592</v>
      </c>
      <c r="H262">
        <v>4111848</v>
      </c>
      <c r="I262" t="s">
        <v>342</v>
      </c>
      <c r="J262" t="s">
        <v>342</v>
      </c>
      <c r="K262">
        <v>69</v>
      </c>
      <c r="L262">
        <v>9</v>
      </c>
      <c r="M262" t="s">
        <v>115</v>
      </c>
      <c r="N262" t="str">
        <f t="shared" si="24"/>
        <v>PO-100261</v>
      </c>
      <c r="O262" t="str">
        <f t="shared" si="25"/>
        <v>Delivered</v>
      </c>
      <c r="P262" t="str">
        <f t="shared" si="26"/>
        <v>WH-BLR</v>
      </c>
      <c r="Q262" t="str">
        <f>VLOOKUP(C262, Lookups!$A$2:$D$10, 2, FALSE())</f>
        <v>TechSupply Corp</v>
      </c>
      <c r="R262" t="str">
        <f>_xlfn.XLOOKUP(D262, Lookups!$A$12:$A$51, Lookups!$C$12:$C$51, "Unknown")</f>
        <v>Electronics</v>
      </c>
      <c r="S262" t="str">
        <f>IF(ISBLANK(I262), B262+VLOOKUP(C262, Lookups!$A$2:$D$10, 4, FALSE()), I262)</f>
        <v>2026-02-03</v>
      </c>
      <c r="T262">
        <f t="shared" si="27"/>
        <v>14</v>
      </c>
      <c r="U262" t="str">
        <f t="shared" si="28"/>
        <v>On-Time</v>
      </c>
      <c r="V262">
        <f t="shared" si="29"/>
        <v>0.13043478260869565</v>
      </c>
    </row>
    <row r="263" spans="1:22" x14ac:dyDescent="0.45">
      <c r="A263" t="s">
        <v>817</v>
      </c>
      <c r="B263" t="s">
        <v>462</v>
      </c>
      <c r="C263" t="s">
        <v>30</v>
      </c>
      <c r="D263" t="s">
        <v>53</v>
      </c>
      <c r="E263" t="s">
        <v>16</v>
      </c>
      <c r="F263">
        <v>105</v>
      </c>
      <c r="G263">
        <v>81048</v>
      </c>
      <c r="H263">
        <v>8510040</v>
      </c>
      <c r="I263" t="s">
        <v>463</v>
      </c>
      <c r="J263" t="s">
        <v>464</v>
      </c>
      <c r="K263">
        <v>76</v>
      </c>
      <c r="L263">
        <v>0</v>
      </c>
      <c r="M263" t="s">
        <v>115</v>
      </c>
      <c r="N263" t="str">
        <f t="shared" si="24"/>
        <v>PO-100262</v>
      </c>
      <c r="O263" t="str">
        <f t="shared" si="25"/>
        <v>Delivered</v>
      </c>
      <c r="P263" t="str">
        <f t="shared" si="26"/>
        <v>WH-DEL</v>
      </c>
      <c r="Q263" t="str">
        <f>VLOOKUP(C263, Lookups!$A$2:$D$10, 2, FALSE())</f>
        <v>TechSupply Corp</v>
      </c>
      <c r="R263" t="str">
        <f>_xlfn.XLOOKUP(D263, Lookups!$A$12:$A$51, Lookups!$C$12:$C$51, "Unknown")</f>
        <v>Electronics</v>
      </c>
      <c r="S263" t="str">
        <f>IF(ISBLANK(I263), B263+VLOOKUP(C263, Lookups!$A$2:$D$10, 4, FALSE()), I263)</f>
        <v>2025-11-19</v>
      </c>
      <c r="T263">
        <f t="shared" si="27"/>
        <v>15</v>
      </c>
      <c r="U263" t="str">
        <f t="shared" si="28"/>
        <v>Late</v>
      </c>
      <c r="V263">
        <f t="shared" si="29"/>
        <v>0</v>
      </c>
    </row>
    <row r="264" spans="1:22" x14ac:dyDescent="0.45">
      <c r="A264" t="s">
        <v>818</v>
      </c>
      <c r="B264" t="s">
        <v>764</v>
      </c>
      <c r="C264" t="s">
        <v>34</v>
      </c>
      <c r="D264" t="s">
        <v>73</v>
      </c>
      <c r="E264" t="s">
        <v>15</v>
      </c>
      <c r="F264">
        <v>110</v>
      </c>
      <c r="G264">
        <v>58396</v>
      </c>
      <c r="H264">
        <v>6423560</v>
      </c>
      <c r="I264" t="s">
        <v>566</v>
      </c>
      <c r="J264" t="s">
        <v>476</v>
      </c>
      <c r="K264">
        <v>110</v>
      </c>
      <c r="L264">
        <v>0</v>
      </c>
      <c r="M264" t="s">
        <v>115</v>
      </c>
      <c r="N264" t="str">
        <f t="shared" si="24"/>
        <v>PO-100263</v>
      </c>
      <c r="O264" t="str">
        <f t="shared" si="25"/>
        <v>Delivered</v>
      </c>
      <c r="P264" t="str">
        <f t="shared" si="26"/>
        <v>WH-BOM</v>
      </c>
      <c r="Q264" t="str">
        <f>VLOOKUP(C264, Lookups!$A$2:$D$10, 2, FALSE())</f>
        <v>FastElectronics</v>
      </c>
      <c r="R264" t="str">
        <f>_xlfn.XLOOKUP(D264, Lookups!$A$12:$A$51, Lookups!$C$12:$C$51, "Unknown")</f>
        <v>Electronics</v>
      </c>
      <c r="S264" t="str">
        <f>IF(ISBLANK(I264), B264+VLOOKUP(C264, Lookups!$A$2:$D$10, 4, FALSE()), I264)</f>
        <v>2025-03-09</v>
      </c>
      <c r="T264">
        <f t="shared" si="27"/>
        <v>19</v>
      </c>
      <c r="U264" t="str">
        <f t="shared" si="28"/>
        <v>Late</v>
      </c>
      <c r="V264">
        <f t="shared" si="29"/>
        <v>0</v>
      </c>
    </row>
    <row r="265" spans="1:22" x14ac:dyDescent="0.45">
      <c r="A265" t="s">
        <v>819</v>
      </c>
      <c r="B265" t="s">
        <v>820</v>
      </c>
      <c r="C265" t="s">
        <v>35</v>
      </c>
      <c r="D265" t="s">
        <v>75</v>
      </c>
      <c r="E265" t="s">
        <v>15</v>
      </c>
      <c r="F265">
        <v>43</v>
      </c>
      <c r="G265">
        <v>4440</v>
      </c>
      <c r="H265">
        <v>190920</v>
      </c>
      <c r="I265" t="s">
        <v>257</v>
      </c>
      <c r="J265" t="s">
        <v>257</v>
      </c>
      <c r="K265">
        <v>43</v>
      </c>
      <c r="L265">
        <v>0</v>
      </c>
      <c r="M265" t="s">
        <v>301</v>
      </c>
      <c r="N265" t="str">
        <f t="shared" si="24"/>
        <v>PO-100264</v>
      </c>
      <c r="O265" t="str">
        <f t="shared" si="25"/>
        <v>Delivered</v>
      </c>
      <c r="P265" t="str">
        <f t="shared" si="26"/>
        <v>WH-BOM</v>
      </c>
      <c r="Q265" t="str">
        <f>VLOOKUP(C265, Lookups!$A$2:$D$10, 2, FALSE())</f>
        <v>Peripheral Source</v>
      </c>
      <c r="R265" t="str">
        <f>_xlfn.XLOOKUP(D265, Lookups!$A$12:$A$51, Lookups!$C$12:$C$51, "Unknown")</f>
        <v>Peripherals</v>
      </c>
      <c r="S265" t="str">
        <f>IF(ISBLANK(I265), B265+VLOOKUP(C265, Lookups!$A$2:$D$10, 4, FALSE()), I265)</f>
        <v>2025-01-19</v>
      </c>
      <c r="T265">
        <f t="shared" si="27"/>
        <v>10</v>
      </c>
      <c r="U265" t="str">
        <f t="shared" si="28"/>
        <v>On-Time</v>
      </c>
      <c r="V265">
        <f t="shared" si="29"/>
        <v>0</v>
      </c>
    </row>
    <row r="266" spans="1:22" x14ac:dyDescent="0.45">
      <c r="A266" t="s">
        <v>821</v>
      </c>
      <c r="B266" t="s">
        <v>820</v>
      </c>
      <c r="C266" t="s">
        <v>35</v>
      </c>
      <c r="D266" t="s">
        <v>91</v>
      </c>
      <c r="E266" t="s">
        <v>15</v>
      </c>
      <c r="F266">
        <v>12</v>
      </c>
      <c r="G266">
        <v>6707</v>
      </c>
      <c r="H266">
        <v>80484</v>
      </c>
      <c r="I266" t="s">
        <v>257</v>
      </c>
      <c r="J266" t="s">
        <v>257</v>
      </c>
      <c r="K266">
        <v>12</v>
      </c>
      <c r="L266">
        <v>0</v>
      </c>
      <c r="M266" t="s">
        <v>115</v>
      </c>
      <c r="N266" t="str">
        <f t="shared" si="24"/>
        <v>PO-100265</v>
      </c>
      <c r="O266" t="str">
        <f t="shared" si="25"/>
        <v>Delivered</v>
      </c>
      <c r="P266" t="str">
        <f t="shared" si="26"/>
        <v>WH-BOM</v>
      </c>
      <c r="Q266" t="str">
        <f>VLOOKUP(C266, Lookups!$A$2:$D$10, 2, FALSE())</f>
        <v>Peripheral Source</v>
      </c>
      <c r="R266" t="str">
        <f>_xlfn.XLOOKUP(D266, Lookups!$A$12:$A$51, Lookups!$C$12:$C$51, "Unknown")</f>
        <v>Peripherals</v>
      </c>
      <c r="S266" t="str">
        <f>IF(ISBLANK(I266), B266+VLOOKUP(C266, Lookups!$A$2:$D$10, 4, FALSE()), I266)</f>
        <v>2025-01-19</v>
      </c>
      <c r="T266">
        <f t="shared" si="27"/>
        <v>10</v>
      </c>
      <c r="U266" t="str">
        <f t="shared" si="28"/>
        <v>On-Time</v>
      </c>
      <c r="V266">
        <f t="shared" si="29"/>
        <v>0</v>
      </c>
    </row>
    <row r="267" spans="1:22" x14ac:dyDescent="0.45">
      <c r="A267" t="s">
        <v>822</v>
      </c>
      <c r="B267" t="s">
        <v>286</v>
      </c>
      <c r="C267" t="s">
        <v>32</v>
      </c>
      <c r="D267" t="s">
        <v>67</v>
      </c>
      <c r="E267" t="s">
        <v>15</v>
      </c>
      <c r="F267">
        <v>46</v>
      </c>
      <c r="G267">
        <v>1553</v>
      </c>
      <c r="H267">
        <v>71438</v>
      </c>
      <c r="I267" t="s">
        <v>566</v>
      </c>
      <c r="J267" t="s">
        <v>566</v>
      </c>
      <c r="K267">
        <v>46</v>
      </c>
      <c r="L267">
        <v>0</v>
      </c>
      <c r="M267" t="s">
        <v>115</v>
      </c>
      <c r="N267" t="str">
        <f t="shared" si="24"/>
        <v>PO-100266</v>
      </c>
      <c r="O267" t="str">
        <f t="shared" si="25"/>
        <v>Delivered</v>
      </c>
      <c r="P267" t="str">
        <f t="shared" si="26"/>
        <v>WH-BOM</v>
      </c>
      <c r="Q267" t="str">
        <f>VLOOKUP(C267, Lookups!$A$2:$D$10, 2, FALSE())</f>
        <v>OfficeDepot Pro</v>
      </c>
      <c r="R267" t="str">
        <f>_xlfn.XLOOKUP(D267, Lookups!$A$12:$A$51, Lookups!$C$12:$C$51, "Unknown")</f>
        <v>Peripherals</v>
      </c>
      <c r="S267" t="str">
        <f>IF(ISBLANK(I267), B267+VLOOKUP(C267, Lookups!$A$2:$D$10, 4, FALSE()), I267)</f>
        <v>2025-03-09</v>
      </c>
      <c r="T267">
        <f t="shared" si="27"/>
        <v>7</v>
      </c>
      <c r="U267" t="str">
        <f t="shared" si="28"/>
        <v>On-Time</v>
      </c>
      <c r="V267">
        <f t="shared" si="29"/>
        <v>0</v>
      </c>
    </row>
    <row r="268" spans="1:22" x14ac:dyDescent="0.45">
      <c r="A268" t="s">
        <v>823</v>
      </c>
      <c r="B268" t="s">
        <v>824</v>
      </c>
      <c r="C268" t="s">
        <v>31</v>
      </c>
      <c r="D268" t="s">
        <v>64</v>
      </c>
      <c r="E268" t="s">
        <v>18</v>
      </c>
      <c r="F268">
        <v>203</v>
      </c>
      <c r="G268">
        <v>36295</v>
      </c>
      <c r="H268">
        <v>7367885</v>
      </c>
      <c r="I268" t="s">
        <v>825</v>
      </c>
      <c r="J268" t="s">
        <v>826</v>
      </c>
      <c r="K268">
        <v>203</v>
      </c>
      <c r="L268">
        <v>0</v>
      </c>
      <c r="M268" t="s">
        <v>115</v>
      </c>
      <c r="N268" t="str">
        <f t="shared" si="24"/>
        <v>PO-100267</v>
      </c>
      <c r="O268" t="str">
        <f t="shared" si="25"/>
        <v>Delivered</v>
      </c>
      <c r="P268" t="str">
        <f t="shared" si="26"/>
        <v>WH-PUN</v>
      </c>
      <c r="Q268" t="str">
        <f>VLOOKUP(C268, Lookups!$A$2:$D$10, 2, FALSE())</f>
        <v>Global Networks</v>
      </c>
      <c r="R268" t="str">
        <f>_xlfn.XLOOKUP(D268, Lookups!$A$12:$A$51, Lookups!$C$12:$C$51, "Unknown")</f>
        <v>Networking</v>
      </c>
      <c r="S268" t="str">
        <f>IF(ISBLANK(I268), B268+VLOOKUP(C268, Lookups!$A$2:$D$10, 4, FALSE()), I268)</f>
        <v>2026-12-28</v>
      </c>
      <c r="T268">
        <f t="shared" si="27"/>
        <v>22</v>
      </c>
      <c r="U268" t="str">
        <f t="shared" si="28"/>
        <v>Late</v>
      </c>
      <c r="V268">
        <f t="shared" si="29"/>
        <v>0</v>
      </c>
    </row>
    <row r="269" spans="1:22" x14ac:dyDescent="0.45">
      <c r="A269" t="s">
        <v>827</v>
      </c>
      <c r="B269" t="s">
        <v>454</v>
      </c>
      <c r="C269" t="s">
        <v>36</v>
      </c>
      <c r="D269" t="s">
        <v>63</v>
      </c>
      <c r="E269" t="s">
        <v>18</v>
      </c>
      <c r="F269">
        <v>20</v>
      </c>
      <c r="G269">
        <v>71062</v>
      </c>
      <c r="H269">
        <v>1421240</v>
      </c>
      <c r="I269" t="s">
        <v>350</v>
      </c>
      <c r="J269" t="s">
        <v>494</v>
      </c>
      <c r="K269">
        <v>20</v>
      </c>
      <c r="L269">
        <v>2</v>
      </c>
      <c r="M269" t="s">
        <v>115</v>
      </c>
      <c r="N269" t="str">
        <f t="shared" si="24"/>
        <v>PO-100268</v>
      </c>
      <c r="O269" t="str">
        <f t="shared" si="25"/>
        <v>Delivered</v>
      </c>
      <c r="P269" t="str">
        <f t="shared" si="26"/>
        <v>WH-PUN</v>
      </c>
      <c r="Q269" t="str">
        <f>VLOOKUP(C269, Lookups!$A$2:$D$10, 2, FALSE())</f>
        <v>NextGen Hardware</v>
      </c>
      <c r="R269" t="str">
        <f>_xlfn.XLOOKUP(D269, Lookups!$A$12:$A$51, Lookups!$C$12:$C$51, "Unknown")</f>
        <v>Electronics</v>
      </c>
      <c r="S269" t="str">
        <f>IF(ISBLANK(I269), B269+VLOOKUP(C269, Lookups!$A$2:$D$10, 4, FALSE()), I269)</f>
        <v>2026-09-05</v>
      </c>
      <c r="T269">
        <f t="shared" si="27"/>
        <v>37</v>
      </c>
      <c r="U269" t="str">
        <f t="shared" si="28"/>
        <v>Late</v>
      </c>
      <c r="V269">
        <f t="shared" si="29"/>
        <v>0.1</v>
      </c>
    </row>
    <row r="270" spans="1:22" x14ac:dyDescent="0.45">
      <c r="A270" t="s">
        <v>828</v>
      </c>
      <c r="B270" t="s">
        <v>829</v>
      </c>
      <c r="C270" t="s">
        <v>37</v>
      </c>
      <c r="D270" t="s">
        <v>83</v>
      </c>
      <c r="E270" t="s">
        <v>17</v>
      </c>
      <c r="F270">
        <v>179</v>
      </c>
      <c r="G270">
        <v>19850</v>
      </c>
      <c r="H270">
        <v>3553150</v>
      </c>
      <c r="I270" t="s">
        <v>775</v>
      </c>
      <c r="J270" t="s">
        <v>590</v>
      </c>
      <c r="K270">
        <v>179</v>
      </c>
      <c r="L270">
        <v>0</v>
      </c>
      <c r="M270" t="s">
        <v>115</v>
      </c>
      <c r="N270" t="str">
        <f t="shared" si="24"/>
        <v>PO-100269</v>
      </c>
      <c r="O270" t="str">
        <f t="shared" si="25"/>
        <v>Delivered</v>
      </c>
      <c r="P270" t="str">
        <f t="shared" si="26"/>
        <v>WH-BLR</v>
      </c>
      <c r="Q270" t="str">
        <f>VLOOKUP(C270, Lookups!$A$2:$D$10, 2, FALSE())</f>
        <v>Premium Desks Ltd</v>
      </c>
      <c r="R270" t="str">
        <f>_xlfn.XLOOKUP(D270, Lookups!$A$12:$A$51, Lookups!$C$12:$C$51, "Unknown")</f>
        <v>Office Furniture</v>
      </c>
      <c r="S270" t="str">
        <f>IF(ISBLANK(I270), B270+VLOOKUP(C270, Lookups!$A$2:$D$10, 4, FALSE()), I270)</f>
        <v>2026-01-05</v>
      </c>
      <c r="T270">
        <f t="shared" si="27"/>
        <v>13</v>
      </c>
      <c r="U270" t="str">
        <f t="shared" si="28"/>
        <v>Late</v>
      </c>
      <c r="V270">
        <f t="shared" si="29"/>
        <v>0</v>
      </c>
    </row>
    <row r="271" spans="1:22" x14ac:dyDescent="0.45">
      <c r="A271" t="s">
        <v>830</v>
      </c>
      <c r="B271" t="s">
        <v>831</v>
      </c>
      <c r="C271" t="s">
        <v>34</v>
      </c>
      <c r="D271" t="s">
        <v>54</v>
      </c>
      <c r="E271" t="s">
        <v>17</v>
      </c>
      <c r="F271">
        <v>83</v>
      </c>
      <c r="G271">
        <v>22314</v>
      </c>
      <c r="H271">
        <v>1852062</v>
      </c>
      <c r="I271" t="s">
        <v>731</v>
      </c>
      <c r="J271" t="s">
        <v>832</v>
      </c>
      <c r="K271">
        <v>83</v>
      </c>
      <c r="L271">
        <v>0</v>
      </c>
      <c r="M271" t="s">
        <v>115</v>
      </c>
      <c r="N271" t="str">
        <f t="shared" si="24"/>
        <v>PO-100270</v>
      </c>
      <c r="O271" t="str">
        <f t="shared" si="25"/>
        <v>Delivered</v>
      </c>
      <c r="P271" t="str">
        <f t="shared" si="26"/>
        <v>WH-BLR</v>
      </c>
      <c r="Q271" t="str">
        <f>VLOOKUP(C271, Lookups!$A$2:$D$10, 2, FALSE())</f>
        <v>FastElectronics</v>
      </c>
      <c r="R271" t="str">
        <f>_xlfn.XLOOKUP(D271, Lookups!$A$12:$A$51, Lookups!$C$12:$C$51, "Unknown")</f>
        <v>Networking</v>
      </c>
      <c r="S271" t="str">
        <f>IF(ISBLANK(I271), B271+VLOOKUP(C271, Lookups!$A$2:$D$10, 4, FALSE()), I271)</f>
        <v>2025-06-08</v>
      </c>
      <c r="T271">
        <f t="shared" si="27"/>
        <v>19</v>
      </c>
      <c r="U271" t="str">
        <f t="shared" si="28"/>
        <v>Late</v>
      </c>
      <c r="V271">
        <f t="shared" si="29"/>
        <v>0</v>
      </c>
    </row>
    <row r="272" spans="1:22" x14ac:dyDescent="0.45">
      <c r="A272" t="s">
        <v>833</v>
      </c>
      <c r="B272" t="s">
        <v>252</v>
      </c>
      <c r="C272" t="s">
        <v>32</v>
      </c>
      <c r="D272" t="s">
        <v>84</v>
      </c>
      <c r="E272" t="s">
        <v>15</v>
      </c>
      <c r="F272">
        <v>41</v>
      </c>
      <c r="G272">
        <v>7271</v>
      </c>
      <c r="H272">
        <v>298111</v>
      </c>
      <c r="I272" t="s">
        <v>834</v>
      </c>
      <c r="J272" t="s">
        <v>834</v>
      </c>
      <c r="K272">
        <v>41</v>
      </c>
      <c r="L272">
        <v>0</v>
      </c>
      <c r="M272" t="s">
        <v>115</v>
      </c>
      <c r="N272" t="str">
        <f t="shared" si="24"/>
        <v>PO-100271</v>
      </c>
      <c r="O272" t="str">
        <f t="shared" si="25"/>
        <v>Delivered</v>
      </c>
      <c r="P272" t="str">
        <f t="shared" si="26"/>
        <v>WH-BOM</v>
      </c>
      <c r="Q272" t="str">
        <f>VLOOKUP(C272, Lookups!$A$2:$D$10, 2, FALSE())</f>
        <v>OfficeDepot Pro</v>
      </c>
      <c r="R272" t="str">
        <f>_xlfn.XLOOKUP(D272, Lookups!$A$12:$A$51, Lookups!$C$12:$C$51, "Unknown")</f>
        <v>Peripherals</v>
      </c>
      <c r="S272" t="str">
        <f>IF(ISBLANK(I272), B272+VLOOKUP(C272, Lookups!$A$2:$D$10, 4, FALSE()), I272)</f>
        <v>2025-08-26</v>
      </c>
      <c r="T272">
        <f t="shared" si="27"/>
        <v>7</v>
      </c>
      <c r="U272" t="str">
        <f t="shared" si="28"/>
        <v>On-Time</v>
      </c>
      <c r="V272">
        <f t="shared" si="29"/>
        <v>0</v>
      </c>
    </row>
    <row r="273" spans="1:22" x14ac:dyDescent="0.45">
      <c r="A273" t="s">
        <v>835</v>
      </c>
      <c r="B273" t="s">
        <v>753</v>
      </c>
      <c r="C273" t="s">
        <v>34</v>
      </c>
      <c r="D273" t="s">
        <v>74</v>
      </c>
      <c r="E273" t="s">
        <v>16</v>
      </c>
      <c r="F273">
        <v>82</v>
      </c>
      <c r="G273">
        <v>94797</v>
      </c>
      <c r="H273">
        <v>7773354</v>
      </c>
      <c r="I273" t="s">
        <v>836</v>
      </c>
      <c r="J273" t="s">
        <v>837</v>
      </c>
      <c r="K273">
        <v>82</v>
      </c>
      <c r="L273">
        <v>0</v>
      </c>
      <c r="M273" t="s">
        <v>115</v>
      </c>
      <c r="N273" t="str">
        <f t="shared" si="24"/>
        <v>PO-100272</v>
      </c>
      <c r="O273" t="str">
        <f t="shared" si="25"/>
        <v>Delivered</v>
      </c>
      <c r="P273" t="str">
        <f t="shared" si="26"/>
        <v>WH-DEL</v>
      </c>
      <c r="Q273" t="str">
        <f>VLOOKUP(C273, Lookups!$A$2:$D$10, 2, FALSE())</f>
        <v>FastElectronics</v>
      </c>
      <c r="R273" t="str">
        <f>_xlfn.XLOOKUP(D273, Lookups!$A$12:$A$51, Lookups!$C$12:$C$51, "Unknown")</f>
        <v>Electronics</v>
      </c>
      <c r="S273" t="str">
        <f>IF(ISBLANK(I273), B273+VLOOKUP(C273, Lookups!$A$2:$D$10, 4, FALSE()), I273)</f>
        <v>2026-01-10</v>
      </c>
      <c r="T273">
        <f t="shared" si="27"/>
        <v>19</v>
      </c>
      <c r="U273" t="str">
        <f t="shared" si="28"/>
        <v>Late</v>
      </c>
      <c r="V273">
        <f t="shared" si="29"/>
        <v>0</v>
      </c>
    </row>
    <row r="274" spans="1:22" x14ac:dyDescent="0.45">
      <c r="A274" t="s">
        <v>838</v>
      </c>
      <c r="B274" t="s">
        <v>839</v>
      </c>
      <c r="C274" t="s">
        <v>36</v>
      </c>
      <c r="D274" t="s">
        <v>62</v>
      </c>
      <c r="E274" t="s">
        <v>16</v>
      </c>
      <c r="F274">
        <v>162</v>
      </c>
      <c r="G274">
        <v>48478</v>
      </c>
      <c r="H274">
        <v>7853436</v>
      </c>
      <c r="I274" t="s">
        <v>700</v>
      </c>
      <c r="J274" t="s">
        <v>840</v>
      </c>
      <c r="K274">
        <v>162</v>
      </c>
      <c r="L274">
        <v>0</v>
      </c>
      <c r="M274" t="s">
        <v>115</v>
      </c>
      <c r="N274" t="str">
        <f t="shared" si="24"/>
        <v>PO-100273</v>
      </c>
      <c r="O274" t="str">
        <f t="shared" si="25"/>
        <v>Delivered</v>
      </c>
      <c r="P274" t="str">
        <f t="shared" si="26"/>
        <v>WH-DEL</v>
      </c>
      <c r="Q274" t="str">
        <f>VLOOKUP(C274, Lookups!$A$2:$D$10, 2, FALSE())</f>
        <v>NextGen Hardware</v>
      </c>
      <c r="R274" t="str">
        <f>_xlfn.XLOOKUP(D274, Lookups!$A$12:$A$51, Lookups!$C$12:$C$51, "Unknown")</f>
        <v>Electronics</v>
      </c>
      <c r="S274" t="str">
        <f>IF(ISBLANK(I274), B274+VLOOKUP(C274, Lookups!$A$2:$D$10, 4, FALSE()), I274)</f>
        <v>2026-03-16</v>
      </c>
      <c r="T274">
        <f t="shared" si="27"/>
        <v>25</v>
      </c>
      <c r="U274" t="str">
        <f t="shared" si="28"/>
        <v>Late</v>
      </c>
      <c r="V274">
        <f t="shared" si="29"/>
        <v>0</v>
      </c>
    </row>
    <row r="275" spans="1:22" x14ac:dyDescent="0.45">
      <c r="A275" t="s">
        <v>841</v>
      </c>
      <c r="B275" t="s">
        <v>123</v>
      </c>
      <c r="C275" t="s">
        <v>36</v>
      </c>
      <c r="D275" t="s">
        <v>55</v>
      </c>
      <c r="E275" t="s">
        <v>17</v>
      </c>
      <c r="F275">
        <v>189</v>
      </c>
      <c r="G275">
        <v>58434</v>
      </c>
      <c r="H275">
        <v>11044026</v>
      </c>
      <c r="I275" t="s">
        <v>842</v>
      </c>
      <c r="J275" t="s">
        <v>842</v>
      </c>
      <c r="K275">
        <v>189</v>
      </c>
      <c r="L275">
        <v>0</v>
      </c>
      <c r="M275" t="s">
        <v>115</v>
      </c>
      <c r="N275" t="str">
        <f t="shared" si="24"/>
        <v>PO-100274</v>
      </c>
      <c r="O275" t="str">
        <f t="shared" si="25"/>
        <v>Delivered</v>
      </c>
      <c r="P275" t="str">
        <f t="shared" si="26"/>
        <v>WH-BLR</v>
      </c>
      <c r="Q275" t="str">
        <f>VLOOKUP(C275, Lookups!$A$2:$D$10, 2, FALSE())</f>
        <v>NextGen Hardware</v>
      </c>
      <c r="R275" t="str">
        <f>_xlfn.XLOOKUP(D275, Lookups!$A$12:$A$51, Lookups!$C$12:$C$51, "Unknown")</f>
        <v>Electronics</v>
      </c>
      <c r="S275" t="str">
        <f>IF(ISBLANK(I275), B275+VLOOKUP(C275, Lookups!$A$2:$D$10, 4, FALSE()), I275)</f>
        <v>2026-06-15</v>
      </c>
      <c r="T275">
        <f t="shared" si="27"/>
        <v>24</v>
      </c>
      <c r="U275" t="str">
        <f t="shared" si="28"/>
        <v>On-Time</v>
      </c>
      <c r="V275">
        <f t="shared" si="29"/>
        <v>0</v>
      </c>
    </row>
    <row r="276" spans="1:22" x14ac:dyDescent="0.45">
      <c r="A276" t="s">
        <v>843</v>
      </c>
      <c r="B276" t="s">
        <v>571</v>
      </c>
      <c r="C276" t="s">
        <v>37</v>
      </c>
      <c r="D276" t="s">
        <v>78</v>
      </c>
      <c r="E276" t="s">
        <v>16</v>
      </c>
      <c r="F276">
        <v>89</v>
      </c>
      <c r="G276">
        <v>9423</v>
      </c>
      <c r="H276">
        <v>838647</v>
      </c>
      <c r="I276" t="s">
        <v>844</v>
      </c>
      <c r="J276" t="s">
        <v>844</v>
      </c>
      <c r="K276">
        <v>89</v>
      </c>
      <c r="L276">
        <v>0</v>
      </c>
      <c r="M276" t="s">
        <v>115</v>
      </c>
      <c r="N276" t="str">
        <f t="shared" si="24"/>
        <v>PO-100275</v>
      </c>
      <c r="O276" t="str">
        <f t="shared" si="25"/>
        <v>Delivered</v>
      </c>
      <c r="P276" t="str">
        <f t="shared" si="26"/>
        <v>WH-DEL</v>
      </c>
      <c r="Q276" t="str">
        <f>VLOOKUP(C276, Lookups!$A$2:$D$10, 2, FALSE())</f>
        <v>Premium Desks Ltd</v>
      </c>
      <c r="R276" t="str">
        <f>_xlfn.XLOOKUP(D276, Lookups!$A$12:$A$51, Lookups!$C$12:$C$51, "Unknown")</f>
        <v>Office Furniture</v>
      </c>
      <c r="S276" t="str">
        <f>IF(ISBLANK(I276), B276+VLOOKUP(C276, Lookups!$A$2:$D$10, 4, FALSE()), I276)</f>
        <v>2025-04-28</v>
      </c>
      <c r="T276">
        <f t="shared" si="27"/>
        <v>12</v>
      </c>
      <c r="U276" t="str">
        <f t="shared" si="28"/>
        <v>On-Time</v>
      </c>
      <c r="V276">
        <f t="shared" si="29"/>
        <v>0</v>
      </c>
    </row>
    <row r="277" spans="1:22" x14ac:dyDescent="0.45">
      <c r="A277" t="s">
        <v>845</v>
      </c>
      <c r="B277" t="s">
        <v>846</v>
      </c>
      <c r="C277" t="s">
        <v>30</v>
      </c>
      <c r="D277" t="s">
        <v>61</v>
      </c>
      <c r="E277" t="s">
        <v>18</v>
      </c>
      <c r="F277">
        <v>240</v>
      </c>
      <c r="G277">
        <v>111237</v>
      </c>
      <c r="H277">
        <v>26696880</v>
      </c>
      <c r="I277" t="s">
        <v>847</v>
      </c>
      <c r="J277" t="s">
        <v>847</v>
      </c>
      <c r="K277">
        <v>240</v>
      </c>
      <c r="L277">
        <v>0</v>
      </c>
      <c r="M277" t="s">
        <v>115</v>
      </c>
      <c r="N277" t="str">
        <f t="shared" si="24"/>
        <v>PO-100276</v>
      </c>
      <c r="O277" t="str">
        <f t="shared" si="25"/>
        <v>Delivered</v>
      </c>
      <c r="P277" t="str">
        <f t="shared" si="26"/>
        <v>WH-PUN</v>
      </c>
      <c r="Q277" t="str">
        <f>VLOOKUP(C277, Lookups!$A$2:$D$10, 2, FALSE())</f>
        <v>TechSupply Corp</v>
      </c>
      <c r="R277" t="str">
        <f>_xlfn.XLOOKUP(D277, Lookups!$A$12:$A$51, Lookups!$C$12:$C$51, "Unknown")</f>
        <v>Electronics</v>
      </c>
      <c r="S277" t="str">
        <f>IF(ISBLANK(I277), B277+VLOOKUP(C277, Lookups!$A$2:$D$10, 4, FALSE()), I277)</f>
        <v>2026-11-01</v>
      </c>
      <c r="T277">
        <f t="shared" si="27"/>
        <v>14</v>
      </c>
      <c r="U277" t="str">
        <f t="shared" si="28"/>
        <v>On-Time</v>
      </c>
      <c r="V277">
        <f t="shared" si="29"/>
        <v>0</v>
      </c>
    </row>
    <row r="278" spans="1:22" x14ac:dyDescent="0.45">
      <c r="A278" t="s">
        <v>848</v>
      </c>
      <c r="B278" t="s">
        <v>380</v>
      </c>
      <c r="C278" t="s">
        <v>35</v>
      </c>
      <c r="D278" t="s">
        <v>75</v>
      </c>
      <c r="E278" t="s">
        <v>17</v>
      </c>
      <c r="F278">
        <v>16</v>
      </c>
      <c r="G278">
        <v>4440</v>
      </c>
      <c r="H278">
        <v>71040</v>
      </c>
      <c r="I278" t="s">
        <v>431</v>
      </c>
      <c r="J278" t="s">
        <v>562</v>
      </c>
      <c r="K278">
        <v>16</v>
      </c>
      <c r="L278">
        <v>1</v>
      </c>
      <c r="M278" t="s">
        <v>115</v>
      </c>
      <c r="N278" t="str">
        <f t="shared" si="24"/>
        <v>PO-100277</v>
      </c>
      <c r="O278" t="str">
        <f t="shared" si="25"/>
        <v>Delivered</v>
      </c>
      <c r="P278" t="str">
        <f t="shared" si="26"/>
        <v>WH-BLR</v>
      </c>
      <c r="Q278" t="str">
        <f>VLOOKUP(C278, Lookups!$A$2:$D$10, 2, FALSE())</f>
        <v>Peripheral Source</v>
      </c>
      <c r="R278" t="str">
        <f>_xlfn.XLOOKUP(D278, Lookups!$A$12:$A$51, Lookups!$C$12:$C$51, "Unknown")</f>
        <v>Peripherals</v>
      </c>
      <c r="S278" t="str">
        <f>IF(ISBLANK(I278), B278+VLOOKUP(C278, Lookups!$A$2:$D$10, 4, FALSE()), I278)</f>
        <v>2025-03-16</v>
      </c>
      <c r="T278">
        <f t="shared" si="27"/>
        <v>15</v>
      </c>
      <c r="U278" t="str">
        <f t="shared" si="28"/>
        <v>Late</v>
      </c>
      <c r="V278">
        <f t="shared" si="29"/>
        <v>6.25E-2</v>
      </c>
    </row>
    <row r="279" spans="1:22" x14ac:dyDescent="0.45">
      <c r="A279" t="s">
        <v>849</v>
      </c>
      <c r="B279" t="s">
        <v>811</v>
      </c>
      <c r="C279" t="s">
        <v>35</v>
      </c>
      <c r="D279" t="s">
        <v>57</v>
      </c>
      <c r="E279" t="s">
        <v>18</v>
      </c>
      <c r="F279">
        <v>137</v>
      </c>
      <c r="G279">
        <v>2212</v>
      </c>
      <c r="H279">
        <v>303044</v>
      </c>
      <c r="K279">
        <v>0</v>
      </c>
      <c r="L279">
        <v>0</v>
      </c>
      <c r="M279" t="s">
        <v>297</v>
      </c>
      <c r="N279" t="str">
        <f t="shared" si="24"/>
        <v>PO-100278</v>
      </c>
      <c r="O279" t="str">
        <f t="shared" si="25"/>
        <v>Open</v>
      </c>
      <c r="P279" t="str">
        <f t="shared" si="26"/>
        <v>WH-PUN</v>
      </c>
      <c r="Q279" t="str">
        <f>VLOOKUP(C279, Lookups!$A$2:$D$10, 2, FALSE())</f>
        <v>Peripheral Source</v>
      </c>
      <c r="R279" t="str">
        <f>_xlfn.XLOOKUP(D279, Lookups!$A$12:$A$51, Lookups!$C$12:$C$51, "Unknown")</f>
        <v>Peripherals</v>
      </c>
      <c r="S279">
        <f>IF(ISBLANK(I279), B279+VLOOKUP(C279, Lookups!$A$2:$D$10, 4, FALSE()), I279)</f>
        <v>46363</v>
      </c>
      <c r="T279" t="str">
        <f t="shared" si="27"/>
        <v/>
      </c>
      <c r="U279" t="str">
        <f t="shared" si="28"/>
        <v>Open</v>
      </c>
      <c r="V279">
        <f t="shared" si="29"/>
        <v>0</v>
      </c>
    </row>
    <row r="280" spans="1:22" x14ac:dyDescent="0.45">
      <c r="A280" t="s">
        <v>850</v>
      </c>
      <c r="B280" t="s">
        <v>752</v>
      </c>
      <c r="C280" t="s">
        <v>31</v>
      </c>
      <c r="D280" t="s">
        <v>85</v>
      </c>
      <c r="E280" t="s">
        <v>18</v>
      </c>
      <c r="F280">
        <v>156</v>
      </c>
      <c r="G280">
        <v>16501</v>
      </c>
      <c r="H280">
        <v>2574156</v>
      </c>
      <c r="I280" t="s">
        <v>580</v>
      </c>
      <c r="J280" t="s">
        <v>851</v>
      </c>
      <c r="K280">
        <v>156</v>
      </c>
      <c r="L280">
        <v>0</v>
      </c>
      <c r="M280" t="s">
        <v>115</v>
      </c>
      <c r="N280" t="str">
        <f t="shared" si="24"/>
        <v>PO-100279</v>
      </c>
      <c r="O280" t="str">
        <f t="shared" si="25"/>
        <v>Delivered</v>
      </c>
      <c r="P280" t="str">
        <f t="shared" si="26"/>
        <v>WH-PUN</v>
      </c>
      <c r="Q280" t="str">
        <f>VLOOKUP(C280, Lookups!$A$2:$D$10, 2, FALSE())</f>
        <v>Global Networks</v>
      </c>
      <c r="R280" t="str">
        <f>_xlfn.XLOOKUP(D280, Lookups!$A$12:$A$51, Lookups!$C$12:$C$51, "Unknown")</f>
        <v>Networking</v>
      </c>
      <c r="S280" t="str">
        <f>IF(ISBLANK(I280), B280+VLOOKUP(C280, Lookups!$A$2:$D$10, 4, FALSE()), I280)</f>
        <v>2026-01-12</v>
      </c>
      <c r="T280">
        <f t="shared" si="27"/>
        <v>25</v>
      </c>
      <c r="U280" t="str">
        <f t="shared" si="28"/>
        <v>Late</v>
      </c>
      <c r="V280">
        <f t="shared" si="29"/>
        <v>0</v>
      </c>
    </row>
    <row r="281" spans="1:22" x14ac:dyDescent="0.45">
      <c r="A281" t="s">
        <v>852</v>
      </c>
      <c r="B281" t="s">
        <v>234</v>
      </c>
      <c r="C281" t="s">
        <v>32</v>
      </c>
      <c r="D281" t="s">
        <v>67</v>
      </c>
      <c r="E281" t="s">
        <v>17</v>
      </c>
      <c r="F281">
        <v>88</v>
      </c>
      <c r="G281">
        <v>1553</v>
      </c>
      <c r="H281">
        <v>136664</v>
      </c>
      <c r="I281" t="s">
        <v>434</v>
      </c>
      <c r="J281" t="s">
        <v>716</v>
      </c>
      <c r="K281">
        <v>68</v>
      </c>
      <c r="L281">
        <v>0</v>
      </c>
      <c r="M281" t="s">
        <v>115</v>
      </c>
      <c r="N281" t="str">
        <f t="shared" si="24"/>
        <v>PO-100280</v>
      </c>
      <c r="O281" t="str">
        <f t="shared" si="25"/>
        <v>Delivered</v>
      </c>
      <c r="P281" t="str">
        <f t="shared" si="26"/>
        <v>WH-BLR</v>
      </c>
      <c r="Q281" t="str">
        <f>VLOOKUP(C281, Lookups!$A$2:$D$10, 2, FALSE())</f>
        <v>OfficeDepot Pro</v>
      </c>
      <c r="R281" t="str">
        <f>_xlfn.XLOOKUP(D281, Lookups!$A$12:$A$51, Lookups!$C$12:$C$51, "Unknown")</f>
        <v>Peripherals</v>
      </c>
      <c r="S281" t="str">
        <f>IF(ISBLANK(I281), B281+VLOOKUP(C281, Lookups!$A$2:$D$10, 4, FALSE()), I281)</f>
        <v>2025-08-10</v>
      </c>
      <c r="T281">
        <f t="shared" si="27"/>
        <v>8</v>
      </c>
      <c r="U281" t="str">
        <f t="shared" si="28"/>
        <v>Late</v>
      </c>
      <c r="V281">
        <f t="shared" si="29"/>
        <v>0</v>
      </c>
    </row>
    <row r="282" spans="1:22" x14ac:dyDescent="0.45">
      <c r="A282" t="s">
        <v>853</v>
      </c>
      <c r="B282" t="s">
        <v>836</v>
      </c>
      <c r="C282" t="s">
        <v>35</v>
      </c>
      <c r="D282" t="s">
        <v>65</v>
      </c>
      <c r="E282" t="s">
        <v>15</v>
      </c>
      <c r="F282">
        <v>184</v>
      </c>
      <c r="G282">
        <v>4936</v>
      </c>
      <c r="H282">
        <v>908224</v>
      </c>
      <c r="I282" t="s">
        <v>591</v>
      </c>
      <c r="J282" t="s">
        <v>358</v>
      </c>
      <c r="K282">
        <v>184</v>
      </c>
      <c r="L282">
        <v>0</v>
      </c>
      <c r="M282" t="s">
        <v>115</v>
      </c>
      <c r="N282" t="str">
        <f t="shared" si="24"/>
        <v>PO-100281</v>
      </c>
      <c r="O282" t="str">
        <f t="shared" si="25"/>
        <v>Delivered</v>
      </c>
      <c r="P282" t="str">
        <f t="shared" si="26"/>
        <v>WH-BOM</v>
      </c>
      <c r="Q282" t="str">
        <f>VLOOKUP(C282, Lookups!$A$2:$D$10, 2, FALSE())</f>
        <v>Peripheral Source</v>
      </c>
      <c r="R282" t="str">
        <f>_xlfn.XLOOKUP(D282, Lookups!$A$12:$A$51, Lookups!$C$12:$C$51, "Unknown")</f>
        <v>Peripherals</v>
      </c>
      <c r="S282" t="str">
        <f>IF(ISBLANK(I282), B282+VLOOKUP(C282, Lookups!$A$2:$D$10, 4, FALSE()), I282)</f>
        <v>2026-01-20</v>
      </c>
      <c r="T282">
        <f t="shared" si="27"/>
        <v>11</v>
      </c>
      <c r="U282" t="str">
        <f t="shared" si="28"/>
        <v>Late</v>
      </c>
      <c r="V282">
        <f t="shared" si="29"/>
        <v>0</v>
      </c>
    </row>
    <row r="283" spans="1:22" x14ac:dyDescent="0.45">
      <c r="A283" t="s">
        <v>854</v>
      </c>
      <c r="B283" t="s">
        <v>855</v>
      </c>
      <c r="C283" t="s">
        <v>30</v>
      </c>
      <c r="D283" t="s">
        <v>59</v>
      </c>
      <c r="E283" t="s">
        <v>15</v>
      </c>
      <c r="F283">
        <v>204</v>
      </c>
      <c r="G283">
        <v>48905</v>
      </c>
      <c r="H283">
        <v>9976620</v>
      </c>
      <c r="I283" t="s">
        <v>574</v>
      </c>
      <c r="J283" t="s">
        <v>856</v>
      </c>
      <c r="K283">
        <v>204</v>
      </c>
      <c r="L283">
        <v>0</v>
      </c>
      <c r="M283" t="s">
        <v>115</v>
      </c>
      <c r="N283" t="str">
        <f t="shared" si="24"/>
        <v>PO-100282</v>
      </c>
      <c r="O283" t="str">
        <f t="shared" si="25"/>
        <v>Delivered</v>
      </c>
      <c r="P283" t="str">
        <f t="shared" si="26"/>
        <v>WH-BOM</v>
      </c>
      <c r="Q283" t="str">
        <f>VLOOKUP(C283, Lookups!$A$2:$D$10, 2, FALSE())</f>
        <v>TechSupply Corp</v>
      </c>
      <c r="R283" t="str">
        <f>_xlfn.XLOOKUP(D283, Lookups!$A$12:$A$51, Lookups!$C$12:$C$51, "Unknown")</f>
        <v>Electronics</v>
      </c>
      <c r="S283" t="str">
        <f>IF(ISBLANK(I283), B283+VLOOKUP(C283, Lookups!$A$2:$D$10, 4, FALSE()), I283)</f>
        <v>2026-05-01</v>
      </c>
      <c r="T283">
        <f t="shared" si="27"/>
        <v>15</v>
      </c>
      <c r="U283" t="str">
        <f t="shared" si="28"/>
        <v>Late</v>
      </c>
      <c r="V283">
        <f t="shared" si="29"/>
        <v>0</v>
      </c>
    </row>
    <row r="284" spans="1:22" x14ac:dyDescent="0.45">
      <c r="A284" t="s">
        <v>857</v>
      </c>
      <c r="B284" t="s">
        <v>551</v>
      </c>
      <c r="C284" t="s">
        <v>31</v>
      </c>
      <c r="D284" t="s">
        <v>77</v>
      </c>
      <c r="E284" t="s">
        <v>16</v>
      </c>
      <c r="F284">
        <v>119</v>
      </c>
      <c r="G284">
        <v>23667</v>
      </c>
      <c r="H284">
        <v>2816373</v>
      </c>
      <c r="I284" t="s">
        <v>777</v>
      </c>
      <c r="J284" t="s">
        <v>777</v>
      </c>
      <c r="K284">
        <v>119</v>
      </c>
      <c r="L284">
        <v>0</v>
      </c>
      <c r="M284" t="s">
        <v>115</v>
      </c>
      <c r="N284" t="str">
        <f t="shared" si="24"/>
        <v>PO-100283</v>
      </c>
      <c r="O284" t="str">
        <f t="shared" si="25"/>
        <v>Delivered</v>
      </c>
      <c r="P284" t="str">
        <f t="shared" si="26"/>
        <v>WH-DEL</v>
      </c>
      <c r="Q284" t="str">
        <f>VLOOKUP(C284, Lookups!$A$2:$D$10, 2, FALSE())</f>
        <v>Global Networks</v>
      </c>
      <c r="R284" t="str">
        <f>_xlfn.XLOOKUP(D284, Lookups!$A$12:$A$51, Lookups!$C$12:$C$51, "Unknown")</f>
        <v>Networking</v>
      </c>
      <c r="S284" t="str">
        <f>IF(ISBLANK(I284), B284+VLOOKUP(C284, Lookups!$A$2:$D$10, 4, FALSE()), I284)</f>
        <v>2025-11-25</v>
      </c>
      <c r="T284">
        <f t="shared" si="27"/>
        <v>21</v>
      </c>
      <c r="U284" t="str">
        <f t="shared" si="28"/>
        <v>On-Time</v>
      </c>
      <c r="V284">
        <f t="shared" si="29"/>
        <v>0</v>
      </c>
    </row>
    <row r="285" spans="1:22" x14ac:dyDescent="0.45">
      <c r="A285" t="s">
        <v>858</v>
      </c>
      <c r="B285" t="s">
        <v>638</v>
      </c>
      <c r="C285" t="s">
        <v>36</v>
      </c>
      <c r="D285" t="s">
        <v>90</v>
      </c>
      <c r="E285" t="s">
        <v>18</v>
      </c>
      <c r="F285">
        <v>77</v>
      </c>
      <c r="G285">
        <v>81434</v>
      </c>
      <c r="H285">
        <v>6270418</v>
      </c>
      <c r="I285" t="s">
        <v>859</v>
      </c>
      <c r="J285" t="s">
        <v>752</v>
      </c>
      <c r="K285">
        <v>77</v>
      </c>
      <c r="L285">
        <v>0</v>
      </c>
      <c r="M285" t="s">
        <v>115</v>
      </c>
      <c r="N285" t="str">
        <f t="shared" si="24"/>
        <v>PO-100284</v>
      </c>
      <c r="O285" t="str">
        <f t="shared" si="25"/>
        <v>Delivered</v>
      </c>
      <c r="P285" t="str">
        <f t="shared" si="26"/>
        <v>WH-PUN</v>
      </c>
      <c r="Q285" t="str">
        <f>VLOOKUP(C285, Lookups!$A$2:$D$10, 2, FALSE())</f>
        <v>NextGen Hardware</v>
      </c>
      <c r="R285" t="str">
        <f>_xlfn.XLOOKUP(D285, Lookups!$A$12:$A$51, Lookups!$C$12:$C$51, "Unknown")</f>
        <v>Electronics</v>
      </c>
      <c r="S285" t="str">
        <f>IF(ISBLANK(I285), B285+VLOOKUP(C285, Lookups!$A$2:$D$10, 4, FALSE()), I285)</f>
        <v>2025-12-21</v>
      </c>
      <c r="T285">
        <f t="shared" si="27"/>
        <v>25</v>
      </c>
      <c r="U285" t="str">
        <f t="shared" si="28"/>
        <v>Late</v>
      </c>
      <c r="V285">
        <f t="shared" si="29"/>
        <v>0</v>
      </c>
    </row>
    <row r="286" spans="1:22" x14ac:dyDescent="0.45">
      <c r="A286" t="s">
        <v>860</v>
      </c>
      <c r="B286" t="s">
        <v>422</v>
      </c>
      <c r="C286" t="s">
        <v>34</v>
      </c>
      <c r="D286" t="s">
        <v>81</v>
      </c>
      <c r="E286" t="s">
        <v>15</v>
      </c>
      <c r="F286">
        <v>207</v>
      </c>
      <c r="G286">
        <v>55328</v>
      </c>
      <c r="H286">
        <v>11452896</v>
      </c>
      <c r="I286" t="s">
        <v>861</v>
      </c>
      <c r="J286" t="s">
        <v>342</v>
      </c>
      <c r="K286">
        <v>207</v>
      </c>
      <c r="L286">
        <v>0</v>
      </c>
      <c r="M286" t="s">
        <v>115</v>
      </c>
      <c r="N286" t="str">
        <f t="shared" si="24"/>
        <v>PO-100285</v>
      </c>
      <c r="O286" t="str">
        <f t="shared" si="25"/>
        <v>Delivered</v>
      </c>
      <c r="P286" t="str">
        <f t="shared" si="26"/>
        <v>WH-BOM</v>
      </c>
      <c r="Q286" t="str">
        <f>VLOOKUP(C286, Lookups!$A$2:$D$10, 2, FALSE())</f>
        <v>FastElectronics</v>
      </c>
      <c r="R286" t="str">
        <f>_xlfn.XLOOKUP(D286, Lookups!$A$12:$A$51, Lookups!$C$12:$C$51, "Unknown")</f>
        <v>Electronics</v>
      </c>
      <c r="S286" t="str">
        <f>IF(ISBLANK(I286), B286+VLOOKUP(C286, Lookups!$A$2:$D$10, 4, FALSE()), I286)</f>
        <v>2026-02-06</v>
      </c>
      <c r="T286">
        <f t="shared" si="27"/>
        <v>15</v>
      </c>
      <c r="U286" t="str">
        <f t="shared" si="28"/>
        <v>On-Time</v>
      </c>
      <c r="V286">
        <f t="shared" si="29"/>
        <v>0</v>
      </c>
    </row>
    <row r="287" spans="1:22" x14ac:dyDescent="0.45">
      <c r="A287" t="s">
        <v>862</v>
      </c>
      <c r="B287" t="s">
        <v>574</v>
      </c>
      <c r="C287" t="s">
        <v>35</v>
      </c>
      <c r="D287" t="s">
        <v>57</v>
      </c>
      <c r="E287" t="s">
        <v>17</v>
      </c>
      <c r="F287">
        <v>72</v>
      </c>
      <c r="G287">
        <v>2212</v>
      </c>
      <c r="H287">
        <v>159264</v>
      </c>
      <c r="I287" t="s">
        <v>863</v>
      </c>
      <c r="J287" t="s">
        <v>863</v>
      </c>
      <c r="K287">
        <v>72</v>
      </c>
      <c r="L287">
        <v>0</v>
      </c>
      <c r="M287" t="s">
        <v>115</v>
      </c>
      <c r="N287" t="str">
        <f t="shared" si="24"/>
        <v>PO-100286</v>
      </c>
      <c r="O287" t="str">
        <f t="shared" si="25"/>
        <v>Delivered</v>
      </c>
      <c r="P287" t="str">
        <f t="shared" si="26"/>
        <v>WH-BLR</v>
      </c>
      <c r="Q287" t="str">
        <f>VLOOKUP(C287, Lookups!$A$2:$D$10, 2, FALSE())</f>
        <v>Peripheral Source</v>
      </c>
      <c r="R287" t="str">
        <f>_xlfn.XLOOKUP(D287, Lookups!$A$12:$A$51, Lookups!$C$12:$C$51, "Unknown")</f>
        <v>Peripherals</v>
      </c>
      <c r="S287" t="str">
        <f>IF(ISBLANK(I287), B287+VLOOKUP(C287, Lookups!$A$2:$D$10, 4, FALSE()), I287)</f>
        <v>2026-05-11</v>
      </c>
      <c r="T287">
        <f t="shared" si="27"/>
        <v>10</v>
      </c>
      <c r="U287" t="str">
        <f t="shared" si="28"/>
        <v>On-Time</v>
      </c>
      <c r="V287">
        <f t="shared" si="29"/>
        <v>0</v>
      </c>
    </row>
    <row r="288" spans="1:22" x14ac:dyDescent="0.45">
      <c r="A288" t="s">
        <v>864</v>
      </c>
      <c r="B288" t="s">
        <v>865</v>
      </c>
      <c r="C288" t="s">
        <v>35</v>
      </c>
      <c r="D288" t="s">
        <v>75</v>
      </c>
      <c r="E288" t="s">
        <v>18</v>
      </c>
      <c r="F288">
        <v>135</v>
      </c>
      <c r="G288">
        <v>4440</v>
      </c>
      <c r="H288">
        <v>599400</v>
      </c>
      <c r="I288" t="s">
        <v>866</v>
      </c>
      <c r="J288" t="s">
        <v>866</v>
      </c>
      <c r="K288">
        <v>135</v>
      </c>
      <c r="L288">
        <v>0</v>
      </c>
      <c r="M288" t="s">
        <v>115</v>
      </c>
      <c r="N288" t="str">
        <f t="shared" si="24"/>
        <v>PO-100287</v>
      </c>
      <c r="O288" t="str">
        <f t="shared" si="25"/>
        <v>Delivered</v>
      </c>
      <c r="P288" t="str">
        <f t="shared" si="26"/>
        <v>WH-PUN</v>
      </c>
      <c r="Q288" t="str">
        <f>VLOOKUP(C288, Lookups!$A$2:$D$10, 2, FALSE())</f>
        <v>Peripheral Source</v>
      </c>
      <c r="R288" t="str">
        <f>_xlfn.XLOOKUP(D288, Lookups!$A$12:$A$51, Lookups!$C$12:$C$51, "Unknown")</f>
        <v>Peripherals</v>
      </c>
      <c r="S288" t="str">
        <f>IF(ISBLANK(I288), B288+VLOOKUP(C288, Lookups!$A$2:$D$10, 4, FALSE()), I288)</f>
        <v>2026-09-20</v>
      </c>
      <c r="T288">
        <f t="shared" si="27"/>
        <v>10</v>
      </c>
      <c r="U288" t="str">
        <f t="shared" si="28"/>
        <v>On-Time</v>
      </c>
      <c r="V288">
        <f t="shared" si="29"/>
        <v>0</v>
      </c>
    </row>
    <row r="289" spans="1:22" x14ac:dyDescent="0.45">
      <c r="A289" t="s">
        <v>867</v>
      </c>
      <c r="B289" t="s">
        <v>868</v>
      </c>
      <c r="C289" t="s">
        <v>30</v>
      </c>
      <c r="D289" t="s">
        <v>82</v>
      </c>
      <c r="E289" t="s">
        <v>16</v>
      </c>
      <c r="F289">
        <v>211</v>
      </c>
      <c r="G289">
        <v>83427</v>
      </c>
      <c r="H289">
        <v>17603097</v>
      </c>
      <c r="I289" t="s">
        <v>869</v>
      </c>
      <c r="J289" t="s">
        <v>869</v>
      </c>
      <c r="K289">
        <v>211</v>
      </c>
      <c r="L289">
        <v>0</v>
      </c>
      <c r="M289" t="s">
        <v>115</v>
      </c>
      <c r="N289" t="str">
        <f t="shared" si="24"/>
        <v>PO-100288</v>
      </c>
      <c r="O289" t="str">
        <f t="shared" si="25"/>
        <v>Delivered</v>
      </c>
      <c r="P289" t="str">
        <f t="shared" si="26"/>
        <v>WH-DEL</v>
      </c>
      <c r="Q289" t="str">
        <f>VLOOKUP(C289, Lookups!$A$2:$D$10, 2, FALSE())</f>
        <v>TechSupply Corp</v>
      </c>
      <c r="R289" t="str">
        <f>_xlfn.XLOOKUP(D289, Lookups!$A$12:$A$51, Lookups!$C$12:$C$51, "Unknown")</f>
        <v>Electronics</v>
      </c>
      <c r="S289" t="str">
        <f>IF(ISBLANK(I289), B289+VLOOKUP(C289, Lookups!$A$2:$D$10, 4, FALSE()), I289)</f>
        <v>2026-09-25</v>
      </c>
      <c r="T289">
        <f t="shared" si="27"/>
        <v>14</v>
      </c>
      <c r="U289" t="str">
        <f t="shared" si="28"/>
        <v>On-Time</v>
      </c>
      <c r="V289">
        <f t="shared" si="29"/>
        <v>0</v>
      </c>
    </row>
    <row r="290" spans="1:22" x14ac:dyDescent="0.45">
      <c r="A290" t="s">
        <v>870</v>
      </c>
      <c r="B290" t="s">
        <v>871</v>
      </c>
      <c r="C290" t="s">
        <v>34</v>
      </c>
      <c r="D290" t="s">
        <v>68</v>
      </c>
      <c r="E290" t="s">
        <v>15</v>
      </c>
      <c r="F290">
        <v>57</v>
      </c>
      <c r="G290">
        <v>41405</v>
      </c>
      <c r="H290">
        <v>2360085</v>
      </c>
      <c r="I290" t="s">
        <v>370</v>
      </c>
      <c r="J290" t="s">
        <v>370</v>
      </c>
      <c r="K290">
        <v>57</v>
      </c>
      <c r="L290">
        <v>0</v>
      </c>
      <c r="M290" t="s">
        <v>115</v>
      </c>
      <c r="N290" t="str">
        <f t="shared" si="24"/>
        <v>PO-100289</v>
      </c>
      <c r="O290" t="str">
        <f t="shared" si="25"/>
        <v>Delivered</v>
      </c>
      <c r="P290" t="str">
        <f t="shared" si="26"/>
        <v>WH-BOM</v>
      </c>
      <c r="Q290" t="str">
        <f>VLOOKUP(C290, Lookups!$A$2:$D$10, 2, FALSE())</f>
        <v>FastElectronics</v>
      </c>
      <c r="R290" t="str">
        <f>_xlfn.XLOOKUP(D290, Lookups!$A$12:$A$51, Lookups!$C$12:$C$51, "Unknown")</f>
        <v>Networking</v>
      </c>
      <c r="S290" t="str">
        <f>IF(ISBLANK(I290), B290+VLOOKUP(C290, Lookups!$A$2:$D$10, 4, FALSE()), I290)</f>
        <v>2025-11-11</v>
      </c>
      <c r="T290">
        <f t="shared" si="27"/>
        <v>18</v>
      </c>
      <c r="U290" t="str">
        <f t="shared" si="28"/>
        <v>On-Time</v>
      </c>
      <c r="V290">
        <f t="shared" si="29"/>
        <v>0</v>
      </c>
    </row>
    <row r="291" spans="1:22" x14ac:dyDescent="0.45">
      <c r="A291" t="s">
        <v>872</v>
      </c>
      <c r="B291" t="s">
        <v>873</v>
      </c>
      <c r="C291" t="s">
        <v>34</v>
      </c>
      <c r="D291" t="s">
        <v>81</v>
      </c>
      <c r="E291" t="s">
        <v>18</v>
      </c>
      <c r="F291">
        <v>168</v>
      </c>
      <c r="G291">
        <v>55328</v>
      </c>
      <c r="H291">
        <v>9295104</v>
      </c>
      <c r="I291" t="s">
        <v>503</v>
      </c>
      <c r="J291" t="s">
        <v>503</v>
      </c>
      <c r="K291">
        <v>168</v>
      </c>
      <c r="L291">
        <v>0</v>
      </c>
      <c r="M291" t="s">
        <v>115</v>
      </c>
      <c r="N291" t="str">
        <f t="shared" si="24"/>
        <v>PO-100290</v>
      </c>
      <c r="O291" t="str">
        <f t="shared" si="25"/>
        <v>Delivered</v>
      </c>
      <c r="P291" t="str">
        <f t="shared" si="26"/>
        <v>WH-PUN</v>
      </c>
      <c r="Q291" t="str">
        <f>VLOOKUP(C291, Lookups!$A$2:$D$10, 2, FALSE())</f>
        <v>FastElectronics</v>
      </c>
      <c r="R291" t="str">
        <f>_xlfn.XLOOKUP(D291, Lookups!$A$12:$A$51, Lookups!$C$12:$C$51, "Unknown")</f>
        <v>Electronics</v>
      </c>
      <c r="S291" t="str">
        <f>IF(ISBLANK(I291), B291+VLOOKUP(C291, Lookups!$A$2:$D$10, 4, FALSE()), I291)</f>
        <v>2026-02-27</v>
      </c>
      <c r="T291">
        <f t="shared" si="27"/>
        <v>18</v>
      </c>
      <c r="U291" t="str">
        <f t="shared" si="28"/>
        <v>On-Time</v>
      </c>
      <c r="V291">
        <f t="shared" si="29"/>
        <v>0</v>
      </c>
    </row>
    <row r="292" spans="1:22" x14ac:dyDescent="0.45">
      <c r="A292" t="s">
        <v>874</v>
      </c>
      <c r="B292" t="s">
        <v>598</v>
      </c>
      <c r="C292" t="s">
        <v>35</v>
      </c>
      <c r="D292" t="s">
        <v>91</v>
      </c>
      <c r="E292" t="s">
        <v>16</v>
      </c>
      <c r="F292">
        <v>67</v>
      </c>
      <c r="G292">
        <v>6707</v>
      </c>
      <c r="H292">
        <v>449369</v>
      </c>
      <c r="I292" t="s">
        <v>728</v>
      </c>
      <c r="J292" t="s">
        <v>875</v>
      </c>
      <c r="K292">
        <v>67</v>
      </c>
      <c r="L292">
        <v>4</v>
      </c>
      <c r="M292" t="s">
        <v>115</v>
      </c>
      <c r="N292" t="str">
        <f t="shared" si="24"/>
        <v>PO-100291</v>
      </c>
      <c r="O292" t="str">
        <f t="shared" si="25"/>
        <v>Delivered</v>
      </c>
      <c r="P292" t="str">
        <f t="shared" si="26"/>
        <v>WH-DEL</v>
      </c>
      <c r="Q292" t="str">
        <f>VLOOKUP(C292, Lookups!$A$2:$D$10, 2, FALSE())</f>
        <v>Peripheral Source</v>
      </c>
      <c r="R292" t="str">
        <f>_xlfn.XLOOKUP(D292, Lookups!$A$12:$A$51, Lookups!$C$12:$C$51, "Unknown")</f>
        <v>Peripherals</v>
      </c>
      <c r="S292" t="str">
        <f>IF(ISBLANK(I292), B292+VLOOKUP(C292, Lookups!$A$2:$D$10, 4, FALSE()), I292)</f>
        <v>2025-09-10</v>
      </c>
      <c r="T292">
        <f t="shared" si="27"/>
        <v>11</v>
      </c>
      <c r="U292" t="str">
        <f t="shared" si="28"/>
        <v>Late</v>
      </c>
      <c r="V292">
        <f t="shared" si="29"/>
        <v>5.9701492537313432E-2</v>
      </c>
    </row>
    <row r="293" spans="1:22" x14ac:dyDescent="0.45">
      <c r="A293" t="s">
        <v>876</v>
      </c>
      <c r="B293" t="s">
        <v>877</v>
      </c>
      <c r="C293" t="s">
        <v>36</v>
      </c>
      <c r="D293" t="s">
        <v>63</v>
      </c>
      <c r="E293" t="s">
        <v>15</v>
      </c>
      <c r="F293">
        <v>157</v>
      </c>
      <c r="G293">
        <v>71062</v>
      </c>
      <c r="H293">
        <v>11156734</v>
      </c>
      <c r="I293" t="s">
        <v>825</v>
      </c>
      <c r="J293" t="s">
        <v>878</v>
      </c>
      <c r="K293">
        <v>156</v>
      </c>
      <c r="L293">
        <v>0</v>
      </c>
      <c r="M293" t="s">
        <v>115</v>
      </c>
      <c r="N293" t="str">
        <f t="shared" si="24"/>
        <v>PO-100292</v>
      </c>
      <c r="O293" t="str">
        <f t="shared" si="25"/>
        <v>Delivered</v>
      </c>
      <c r="P293" t="str">
        <f t="shared" si="26"/>
        <v>WH-BOM</v>
      </c>
      <c r="Q293" t="str">
        <f>VLOOKUP(C293, Lookups!$A$2:$D$10, 2, FALSE())</f>
        <v>NextGen Hardware</v>
      </c>
      <c r="R293" t="str">
        <f>_xlfn.XLOOKUP(D293, Lookups!$A$12:$A$51, Lookups!$C$12:$C$51, "Unknown")</f>
        <v>Electronics</v>
      </c>
      <c r="S293" t="str">
        <f>IF(ISBLANK(I293), B293+VLOOKUP(C293, Lookups!$A$2:$D$10, 4, FALSE()), I293)</f>
        <v>2026-12-28</v>
      </c>
      <c r="T293">
        <f t="shared" si="27"/>
        <v>37</v>
      </c>
      <c r="U293" t="str">
        <f t="shared" si="28"/>
        <v>Late</v>
      </c>
      <c r="V293">
        <f t="shared" si="29"/>
        <v>0</v>
      </c>
    </row>
    <row r="294" spans="1:22" x14ac:dyDescent="0.45">
      <c r="A294" t="s">
        <v>879</v>
      </c>
      <c r="B294" t="s">
        <v>880</v>
      </c>
      <c r="C294" t="s">
        <v>31</v>
      </c>
      <c r="D294" t="s">
        <v>85</v>
      </c>
      <c r="E294" t="s">
        <v>17</v>
      </c>
      <c r="F294">
        <v>85</v>
      </c>
      <c r="G294">
        <v>16501</v>
      </c>
      <c r="H294">
        <v>1402585</v>
      </c>
      <c r="I294" t="s">
        <v>249</v>
      </c>
      <c r="J294" t="s">
        <v>271</v>
      </c>
      <c r="K294">
        <v>85</v>
      </c>
      <c r="L294">
        <v>10</v>
      </c>
      <c r="M294" t="s">
        <v>115</v>
      </c>
      <c r="N294" t="str">
        <f t="shared" si="24"/>
        <v>PO-100293</v>
      </c>
      <c r="O294" t="str">
        <f t="shared" si="25"/>
        <v>Delivered</v>
      </c>
      <c r="P294" t="str">
        <f t="shared" si="26"/>
        <v>WH-BLR</v>
      </c>
      <c r="Q294" t="str">
        <f>VLOOKUP(C294, Lookups!$A$2:$D$10, 2, FALSE())</f>
        <v>Global Networks</v>
      </c>
      <c r="R294" t="str">
        <f>_xlfn.XLOOKUP(D294, Lookups!$A$12:$A$51, Lookups!$C$12:$C$51, "Unknown")</f>
        <v>Networking</v>
      </c>
      <c r="S294" t="str">
        <f>IF(ISBLANK(I294), B294+VLOOKUP(C294, Lookups!$A$2:$D$10, 4, FALSE()), I294)</f>
        <v>2025-07-20</v>
      </c>
      <c r="T294">
        <f t="shared" si="27"/>
        <v>27</v>
      </c>
      <c r="U294" t="str">
        <f t="shared" si="28"/>
        <v>Late</v>
      </c>
      <c r="V294">
        <f t="shared" si="29"/>
        <v>0.11764705882352941</v>
      </c>
    </row>
    <row r="295" spans="1:22" x14ac:dyDescent="0.45">
      <c r="A295" t="s">
        <v>881</v>
      </c>
      <c r="B295" t="s">
        <v>882</v>
      </c>
      <c r="C295" t="s">
        <v>30</v>
      </c>
      <c r="D295" t="s">
        <v>61</v>
      </c>
      <c r="E295" t="s">
        <v>15</v>
      </c>
      <c r="F295">
        <v>214</v>
      </c>
      <c r="G295">
        <v>111237</v>
      </c>
      <c r="H295">
        <v>23804718</v>
      </c>
      <c r="I295" t="s">
        <v>883</v>
      </c>
      <c r="J295" t="s">
        <v>527</v>
      </c>
      <c r="K295">
        <v>214</v>
      </c>
      <c r="L295">
        <v>0</v>
      </c>
      <c r="M295" t="s">
        <v>115</v>
      </c>
      <c r="N295" t="str">
        <f t="shared" si="24"/>
        <v>PO-100294</v>
      </c>
      <c r="O295" t="str">
        <f t="shared" si="25"/>
        <v>Delivered</v>
      </c>
      <c r="P295" t="str">
        <f t="shared" si="26"/>
        <v>WH-BOM</v>
      </c>
      <c r="Q295" t="str">
        <f>VLOOKUP(C295, Lookups!$A$2:$D$10, 2, FALSE())</f>
        <v>TechSupply Corp</v>
      </c>
      <c r="R295" t="str">
        <f>_xlfn.XLOOKUP(D295, Lookups!$A$12:$A$51, Lookups!$C$12:$C$51, "Unknown")</f>
        <v>Electronics</v>
      </c>
      <c r="S295" t="str">
        <f>IF(ISBLANK(I295), B295+VLOOKUP(C295, Lookups!$A$2:$D$10, 4, FALSE()), I295)</f>
        <v>2026-07-06</v>
      </c>
      <c r="T295">
        <f t="shared" si="27"/>
        <v>15</v>
      </c>
      <c r="U295" t="str">
        <f t="shared" si="28"/>
        <v>Late</v>
      </c>
      <c r="V295">
        <f t="shared" si="29"/>
        <v>0</v>
      </c>
    </row>
    <row r="296" spans="1:22" x14ac:dyDescent="0.45">
      <c r="A296" t="s">
        <v>884</v>
      </c>
      <c r="B296" t="s">
        <v>545</v>
      </c>
      <c r="C296" t="s">
        <v>37</v>
      </c>
      <c r="D296" t="s">
        <v>69</v>
      </c>
      <c r="E296" t="s">
        <v>17</v>
      </c>
      <c r="F296">
        <v>42</v>
      </c>
      <c r="G296">
        <v>13231</v>
      </c>
      <c r="H296">
        <v>555702</v>
      </c>
      <c r="I296" t="s">
        <v>885</v>
      </c>
      <c r="J296" t="s">
        <v>885</v>
      </c>
      <c r="K296">
        <v>42</v>
      </c>
      <c r="L296">
        <v>0</v>
      </c>
      <c r="M296" t="s">
        <v>115</v>
      </c>
      <c r="N296" t="str">
        <f t="shared" si="24"/>
        <v>PO-100295</v>
      </c>
      <c r="O296" t="str">
        <f t="shared" si="25"/>
        <v>Delivered</v>
      </c>
      <c r="P296" t="str">
        <f t="shared" si="26"/>
        <v>WH-BLR</v>
      </c>
      <c r="Q296" t="str">
        <f>VLOOKUP(C296, Lookups!$A$2:$D$10, 2, FALSE())</f>
        <v>Premium Desks Ltd</v>
      </c>
      <c r="R296" t="str">
        <f>_xlfn.XLOOKUP(D296, Lookups!$A$12:$A$51, Lookups!$C$12:$C$51, "Unknown")</f>
        <v>Office Furniture</v>
      </c>
      <c r="S296" t="str">
        <f>IF(ISBLANK(I296), B296+VLOOKUP(C296, Lookups!$A$2:$D$10, 4, FALSE()), I296)</f>
        <v>2025-12-15</v>
      </c>
      <c r="T296">
        <f t="shared" si="27"/>
        <v>12</v>
      </c>
      <c r="U296" t="str">
        <f t="shared" si="28"/>
        <v>On-Time</v>
      </c>
      <c r="V296">
        <f t="shared" si="29"/>
        <v>0</v>
      </c>
    </row>
    <row r="297" spans="1:22" x14ac:dyDescent="0.45">
      <c r="A297" t="s">
        <v>886</v>
      </c>
      <c r="B297" t="s">
        <v>887</v>
      </c>
      <c r="C297" t="s">
        <v>30</v>
      </c>
      <c r="D297" t="s">
        <v>88</v>
      </c>
      <c r="E297" t="s">
        <v>15</v>
      </c>
      <c r="F297">
        <v>61</v>
      </c>
      <c r="G297">
        <v>75512</v>
      </c>
      <c r="H297">
        <v>4606232</v>
      </c>
      <c r="I297" t="s">
        <v>389</v>
      </c>
      <c r="J297" t="s">
        <v>389</v>
      </c>
      <c r="K297">
        <v>61</v>
      </c>
      <c r="L297">
        <v>7</v>
      </c>
      <c r="M297" t="s">
        <v>115</v>
      </c>
      <c r="N297" t="str">
        <f t="shared" si="24"/>
        <v>PO-100296</v>
      </c>
      <c r="O297" t="str">
        <f t="shared" si="25"/>
        <v>Delivered</v>
      </c>
      <c r="P297" t="str">
        <f t="shared" si="26"/>
        <v>WH-BOM</v>
      </c>
      <c r="Q297" t="str">
        <f>VLOOKUP(C297, Lookups!$A$2:$D$10, 2, FALSE())</f>
        <v>TechSupply Corp</v>
      </c>
      <c r="R297" t="str">
        <f>_xlfn.XLOOKUP(D297, Lookups!$A$12:$A$51, Lookups!$C$12:$C$51, "Unknown")</f>
        <v>Electronics</v>
      </c>
      <c r="S297" t="str">
        <f>IF(ISBLANK(I297), B297+VLOOKUP(C297, Lookups!$A$2:$D$10, 4, FALSE()), I297)</f>
        <v>2026-04-06</v>
      </c>
      <c r="T297">
        <f t="shared" si="27"/>
        <v>14</v>
      </c>
      <c r="U297" t="str">
        <f t="shared" si="28"/>
        <v>On-Time</v>
      </c>
      <c r="V297">
        <f t="shared" si="29"/>
        <v>0.11475409836065574</v>
      </c>
    </row>
    <row r="298" spans="1:22" x14ac:dyDescent="0.45">
      <c r="A298" t="s">
        <v>888</v>
      </c>
      <c r="B298" t="s">
        <v>889</v>
      </c>
      <c r="C298" t="s">
        <v>32</v>
      </c>
      <c r="D298" t="s">
        <v>67</v>
      </c>
      <c r="E298" t="s">
        <v>16</v>
      </c>
      <c r="F298">
        <v>182</v>
      </c>
      <c r="G298">
        <v>1553</v>
      </c>
      <c r="H298">
        <v>282646</v>
      </c>
      <c r="I298" t="s">
        <v>610</v>
      </c>
      <c r="J298" t="s">
        <v>890</v>
      </c>
      <c r="K298">
        <v>182</v>
      </c>
      <c r="L298">
        <v>0</v>
      </c>
      <c r="M298" t="s">
        <v>115</v>
      </c>
      <c r="N298" t="str">
        <f t="shared" si="24"/>
        <v>PO-100297</v>
      </c>
      <c r="O298" t="str">
        <f t="shared" si="25"/>
        <v>Delivered</v>
      </c>
      <c r="P298" t="str">
        <f t="shared" si="26"/>
        <v>WH-DEL</v>
      </c>
      <c r="Q298" t="str">
        <f>VLOOKUP(C298, Lookups!$A$2:$D$10, 2, FALSE())</f>
        <v>OfficeDepot Pro</v>
      </c>
      <c r="R298" t="str">
        <f>_xlfn.XLOOKUP(D298, Lookups!$A$12:$A$51, Lookups!$C$12:$C$51, "Unknown")</f>
        <v>Peripherals</v>
      </c>
      <c r="S298" t="str">
        <f>IF(ISBLANK(I298), B298+VLOOKUP(C298, Lookups!$A$2:$D$10, 4, FALSE()), I298)</f>
        <v>2025-10-26</v>
      </c>
      <c r="T298">
        <f t="shared" si="27"/>
        <v>21</v>
      </c>
      <c r="U298" t="str">
        <f t="shared" si="28"/>
        <v>Late</v>
      </c>
      <c r="V298">
        <f t="shared" si="29"/>
        <v>0</v>
      </c>
    </row>
    <row r="299" spans="1:22" x14ac:dyDescent="0.45">
      <c r="A299" t="s">
        <v>891</v>
      </c>
      <c r="B299" t="s">
        <v>238</v>
      </c>
      <c r="C299" t="s">
        <v>35</v>
      </c>
      <c r="D299" t="s">
        <v>60</v>
      </c>
      <c r="E299" t="s">
        <v>18</v>
      </c>
      <c r="F299">
        <v>125</v>
      </c>
      <c r="G299">
        <v>3291</v>
      </c>
      <c r="H299">
        <v>411375</v>
      </c>
      <c r="I299" t="s">
        <v>239</v>
      </c>
      <c r="J299" t="s">
        <v>239</v>
      </c>
      <c r="K299">
        <v>125</v>
      </c>
      <c r="L299">
        <v>17</v>
      </c>
      <c r="M299" t="s">
        <v>115</v>
      </c>
      <c r="N299" t="str">
        <f t="shared" si="24"/>
        <v>PO-100298</v>
      </c>
      <c r="O299" t="str">
        <f t="shared" si="25"/>
        <v>Delivered</v>
      </c>
      <c r="P299" t="str">
        <f t="shared" si="26"/>
        <v>WH-PUN</v>
      </c>
      <c r="Q299" t="str">
        <f>VLOOKUP(C299, Lookups!$A$2:$D$10, 2, FALSE())</f>
        <v>Peripheral Source</v>
      </c>
      <c r="R299" t="str">
        <f>_xlfn.XLOOKUP(D299, Lookups!$A$12:$A$51, Lookups!$C$12:$C$51, "Unknown")</f>
        <v>Peripherals</v>
      </c>
      <c r="S299" t="str">
        <f>IF(ISBLANK(I299), B299+VLOOKUP(C299, Lookups!$A$2:$D$10, 4, FALSE()), I299)</f>
        <v>2025-06-14</v>
      </c>
      <c r="T299">
        <f t="shared" si="27"/>
        <v>10</v>
      </c>
      <c r="U299" t="str">
        <f t="shared" si="28"/>
        <v>On-Time</v>
      </c>
      <c r="V299">
        <f t="shared" si="29"/>
        <v>0.13600000000000001</v>
      </c>
    </row>
    <row r="300" spans="1:22" x14ac:dyDescent="0.45">
      <c r="A300" t="s">
        <v>892</v>
      </c>
      <c r="B300" t="s">
        <v>612</v>
      </c>
      <c r="C300" t="s">
        <v>31</v>
      </c>
      <c r="D300" t="s">
        <v>77</v>
      </c>
      <c r="E300" t="s">
        <v>18</v>
      </c>
      <c r="F300">
        <v>247</v>
      </c>
      <c r="G300">
        <v>23667</v>
      </c>
      <c r="H300">
        <v>5845749</v>
      </c>
      <c r="I300" t="s">
        <v>188</v>
      </c>
      <c r="J300" t="s">
        <v>185</v>
      </c>
      <c r="K300">
        <v>225</v>
      </c>
      <c r="L300">
        <v>0</v>
      </c>
      <c r="M300" t="s">
        <v>301</v>
      </c>
      <c r="N300" t="str">
        <f t="shared" si="24"/>
        <v>PO-100299</v>
      </c>
      <c r="O300" t="str">
        <f t="shared" si="25"/>
        <v>Delivered</v>
      </c>
      <c r="P300" t="str">
        <f t="shared" si="26"/>
        <v>WH-PUN</v>
      </c>
      <c r="Q300" t="str">
        <f>VLOOKUP(C300, Lookups!$A$2:$D$10, 2, FALSE())</f>
        <v>Global Networks</v>
      </c>
      <c r="R300" t="str">
        <f>_xlfn.XLOOKUP(D300, Lookups!$A$12:$A$51, Lookups!$C$12:$C$51, "Unknown")</f>
        <v>Networking</v>
      </c>
      <c r="S300" t="str">
        <f>IF(ISBLANK(I300), B300+VLOOKUP(C300, Lookups!$A$2:$D$10, 4, FALSE()), I300)</f>
        <v>2025-02-25</v>
      </c>
      <c r="T300">
        <f t="shared" si="27"/>
        <v>22</v>
      </c>
      <c r="U300" t="str">
        <f t="shared" si="28"/>
        <v>Late</v>
      </c>
      <c r="V300">
        <f t="shared" si="29"/>
        <v>0</v>
      </c>
    </row>
    <row r="301" spans="1:22" x14ac:dyDescent="0.45">
      <c r="A301" t="s">
        <v>893</v>
      </c>
      <c r="B301" t="s">
        <v>894</v>
      </c>
      <c r="C301" t="s">
        <v>36</v>
      </c>
      <c r="D301" t="s">
        <v>87</v>
      </c>
      <c r="E301" t="s">
        <v>17</v>
      </c>
      <c r="F301">
        <v>23</v>
      </c>
      <c r="G301">
        <v>82930</v>
      </c>
      <c r="H301">
        <v>1907390</v>
      </c>
      <c r="I301" t="s">
        <v>895</v>
      </c>
      <c r="J301" t="s">
        <v>895</v>
      </c>
      <c r="K301">
        <v>23</v>
      </c>
      <c r="L301">
        <v>0</v>
      </c>
      <c r="M301" t="s">
        <v>115</v>
      </c>
      <c r="N301" t="str">
        <f t="shared" si="24"/>
        <v>PO-100300</v>
      </c>
      <c r="O301" t="str">
        <f t="shared" si="25"/>
        <v>Delivered</v>
      </c>
      <c r="P301" t="str">
        <f t="shared" si="26"/>
        <v>WH-BLR</v>
      </c>
      <c r="Q301" t="str">
        <f>VLOOKUP(C301, Lookups!$A$2:$D$10, 2, FALSE())</f>
        <v>NextGen Hardware</v>
      </c>
      <c r="R301" t="str">
        <f>_xlfn.XLOOKUP(D301, Lookups!$A$12:$A$51, Lookups!$C$12:$C$51, "Unknown")</f>
        <v>Electronics</v>
      </c>
      <c r="S301" t="str">
        <f>IF(ISBLANK(I301), B301+VLOOKUP(C301, Lookups!$A$2:$D$10, 4, FALSE()), I301)</f>
        <v>2025-08-25</v>
      </c>
      <c r="T301">
        <f t="shared" si="27"/>
        <v>24</v>
      </c>
      <c r="U301" t="str">
        <f t="shared" si="28"/>
        <v>On-Time</v>
      </c>
      <c r="V301">
        <f t="shared" si="29"/>
        <v>0</v>
      </c>
    </row>
    <row r="302" spans="1:22" x14ac:dyDescent="0.45">
      <c r="A302" t="s">
        <v>896</v>
      </c>
      <c r="B302" t="s">
        <v>659</v>
      </c>
      <c r="C302" t="s">
        <v>32</v>
      </c>
      <c r="D302" t="s">
        <v>84</v>
      </c>
      <c r="E302" t="s">
        <v>17</v>
      </c>
      <c r="F302">
        <v>44</v>
      </c>
      <c r="G302">
        <v>7271</v>
      </c>
      <c r="H302">
        <v>319924</v>
      </c>
      <c r="I302" t="s">
        <v>280</v>
      </c>
      <c r="J302" t="s">
        <v>280</v>
      </c>
      <c r="K302">
        <v>44</v>
      </c>
      <c r="L302">
        <v>4</v>
      </c>
      <c r="M302" t="s">
        <v>115</v>
      </c>
      <c r="N302" t="str">
        <f t="shared" si="24"/>
        <v>PO-100301</v>
      </c>
      <c r="O302" t="str">
        <f t="shared" si="25"/>
        <v>Delivered</v>
      </c>
      <c r="P302" t="str">
        <f t="shared" si="26"/>
        <v>WH-BLR</v>
      </c>
      <c r="Q302" t="str">
        <f>VLOOKUP(C302, Lookups!$A$2:$D$10, 2, FALSE())</f>
        <v>OfficeDepot Pro</v>
      </c>
      <c r="R302" t="str">
        <f>_xlfn.XLOOKUP(D302, Lookups!$A$12:$A$51, Lookups!$C$12:$C$51, "Unknown")</f>
        <v>Peripherals</v>
      </c>
      <c r="S302" t="str">
        <f>IF(ISBLANK(I302), B302+VLOOKUP(C302, Lookups!$A$2:$D$10, 4, FALSE()), I302)</f>
        <v>2026-10-08</v>
      </c>
      <c r="T302">
        <f t="shared" si="27"/>
        <v>7</v>
      </c>
      <c r="U302" t="str">
        <f t="shared" si="28"/>
        <v>On-Time</v>
      </c>
      <c r="V302">
        <f t="shared" si="29"/>
        <v>9.0909090909090912E-2</v>
      </c>
    </row>
    <row r="303" spans="1:22" x14ac:dyDescent="0.45">
      <c r="A303" t="s">
        <v>897</v>
      </c>
      <c r="B303" t="s">
        <v>898</v>
      </c>
      <c r="C303" t="s">
        <v>36</v>
      </c>
      <c r="D303" t="s">
        <v>55</v>
      </c>
      <c r="E303" t="s">
        <v>16</v>
      </c>
      <c r="F303">
        <v>239</v>
      </c>
      <c r="G303">
        <v>58434</v>
      </c>
      <c r="H303">
        <v>13965726</v>
      </c>
      <c r="I303" t="s">
        <v>777</v>
      </c>
      <c r="J303" t="s">
        <v>777</v>
      </c>
      <c r="K303">
        <v>239</v>
      </c>
      <c r="L303">
        <v>0</v>
      </c>
      <c r="M303" t="s">
        <v>115</v>
      </c>
      <c r="N303" t="str">
        <f t="shared" si="24"/>
        <v>PO-100302</v>
      </c>
      <c r="O303" t="str">
        <f t="shared" si="25"/>
        <v>Delivered</v>
      </c>
      <c r="P303" t="str">
        <f t="shared" si="26"/>
        <v>WH-DEL</v>
      </c>
      <c r="Q303" t="str">
        <f>VLOOKUP(C303, Lookups!$A$2:$D$10, 2, FALSE())</f>
        <v>NextGen Hardware</v>
      </c>
      <c r="R303" t="str">
        <f>_xlfn.XLOOKUP(D303, Lookups!$A$12:$A$51, Lookups!$C$12:$C$51, "Unknown")</f>
        <v>Electronics</v>
      </c>
      <c r="S303" t="str">
        <f>IF(ISBLANK(I303), B303+VLOOKUP(C303, Lookups!$A$2:$D$10, 4, FALSE()), I303)</f>
        <v>2025-11-25</v>
      </c>
      <c r="T303">
        <f t="shared" si="27"/>
        <v>24</v>
      </c>
      <c r="U303" t="str">
        <f t="shared" si="28"/>
        <v>On-Time</v>
      </c>
      <c r="V303">
        <f t="shared" si="29"/>
        <v>0</v>
      </c>
    </row>
    <row r="304" spans="1:22" x14ac:dyDescent="0.45">
      <c r="A304" t="s">
        <v>899</v>
      </c>
      <c r="B304" t="s">
        <v>573</v>
      </c>
      <c r="C304" t="s">
        <v>35</v>
      </c>
      <c r="D304" t="s">
        <v>75</v>
      </c>
      <c r="E304" t="s">
        <v>16</v>
      </c>
      <c r="F304">
        <v>119</v>
      </c>
      <c r="G304">
        <v>4440</v>
      </c>
      <c r="H304">
        <v>528360</v>
      </c>
      <c r="I304" t="s">
        <v>900</v>
      </c>
      <c r="J304" t="s">
        <v>900</v>
      </c>
      <c r="K304">
        <v>119</v>
      </c>
      <c r="L304">
        <v>0</v>
      </c>
      <c r="M304" t="s">
        <v>115</v>
      </c>
      <c r="N304" t="str">
        <f t="shared" si="24"/>
        <v>PO-100303</v>
      </c>
      <c r="O304" t="str">
        <f t="shared" si="25"/>
        <v>Delivered</v>
      </c>
      <c r="P304" t="str">
        <f t="shared" si="26"/>
        <v>WH-DEL</v>
      </c>
      <c r="Q304" t="str">
        <f>VLOOKUP(C304, Lookups!$A$2:$D$10, 2, FALSE())</f>
        <v>Peripheral Source</v>
      </c>
      <c r="R304" t="str">
        <f>_xlfn.XLOOKUP(D304, Lookups!$A$12:$A$51, Lookups!$C$12:$C$51, "Unknown")</f>
        <v>Peripherals</v>
      </c>
      <c r="S304" t="str">
        <f>IF(ISBLANK(I304), B304+VLOOKUP(C304, Lookups!$A$2:$D$10, 4, FALSE()), I304)</f>
        <v>2026-05-10</v>
      </c>
      <c r="T304">
        <f t="shared" si="27"/>
        <v>10</v>
      </c>
      <c r="U304" t="str">
        <f t="shared" si="28"/>
        <v>On-Time</v>
      </c>
      <c r="V304">
        <f t="shared" si="29"/>
        <v>0</v>
      </c>
    </row>
    <row r="305" spans="1:22" x14ac:dyDescent="0.45">
      <c r="A305" t="s">
        <v>901</v>
      </c>
      <c r="B305" t="s">
        <v>840</v>
      </c>
      <c r="C305" t="s">
        <v>36</v>
      </c>
      <c r="D305" t="s">
        <v>62</v>
      </c>
      <c r="E305" t="s">
        <v>15</v>
      </c>
      <c r="F305">
        <v>225</v>
      </c>
      <c r="G305">
        <v>48478</v>
      </c>
      <c r="H305">
        <v>10907550</v>
      </c>
      <c r="I305" t="s">
        <v>686</v>
      </c>
      <c r="J305" t="s">
        <v>217</v>
      </c>
      <c r="K305">
        <v>225</v>
      </c>
      <c r="L305">
        <v>0</v>
      </c>
      <c r="M305" t="s">
        <v>115</v>
      </c>
      <c r="N305" t="str">
        <f t="shared" si="24"/>
        <v>PO-100304</v>
      </c>
      <c r="O305" t="str">
        <f t="shared" si="25"/>
        <v>Delivered</v>
      </c>
      <c r="P305" t="str">
        <f t="shared" si="26"/>
        <v>WH-BOM</v>
      </c>
      <c r="Q305" t="str">
        <f>VLOOKUP(C305, Lookups!$A$2:$D$10, 2, FALSE())</f>
        <v>NextGen Hardware</v>
      </c>
      <c r="R305" t="str">
        <f>_xlfn.XLOOKUP(D305, Lookups!$A$12:$A$51, Lookups!$C$12:$C$51, "Unknown")</f>
        <v>Electronics</v>
      </c>
      <c r="S305" t="str">
        <f>IF(ISBLANK(I305), B305+VLOOKUP(C305, Lookups!$A$2:$D$10, 4, FALSE()), I305)</f>
        <v>2026-04-10</v>
      </c>
      <c r="T305">
        <f t="shared" si="27"/>
        <v>37</v>
      </c>
      <c r="U305" t="str">
        <f t="shared" si="28"/>
        <v>Late</v>
      </c>
      <c r="V305">
        <f t="shared" si="29"/>
        <v>0</v>
      </c>
    </row>
    <row r="306" spans="1:22" x14ac:dyDescent="0.45">
      <c r="A306" t="s">
        <v>902</v>
      </c>
      <c r="B306" t="s">
        <v>903</v>
      </c>
      <c r="C306" t="s">
        <v>34</v>
      </c>
      <c r="D306" t="s">
        <v>74</v>
      </c>
      <c r="E306" t="s">
        <v>18</v>
      </c>
      <c r="F306">
        <v>236</v>
      </c>
      <c r="G306">
        <v>94797</v>
      </c>
      <c r="H306">
        <v>22372092</v>
      </c>
      <c r="I306" t="s">
        <v>675</v>
      </c>
      <c r="J306" t="s">
        <v>780</v>
      </c>
      <c r="K306">
        <v>236</v>
      </c>
      <c r="L306">
        <v>0</v>
      </c>
      <c r="M306" t="s">
        <v>115</v>
      </c>
      <c r="N306" t="str">
        <f t="shared" si="24"/>
        <v>PO-100305</v>
      </c>
      <c r="O306" t="str">
        <f t="shared" si="25"/>
        <v>Delivered</v>
      </c>
      <c r="P306" t="str">
        <f t="shared" si="26"/>
        <v>WH-PUN</v>
      </c>
      <c r="Q306" t="str">
        <f>VLOOKUP(C306, Lookups!$A$2:$D$10, 2, FALSE())</f>
        <v>FastElectronics</v>
      </c>
      <c r="R306" t="str">
        <f>_xlfn.XLOOKUP(D306, Lookups!$A$12:$A$51, Lookups!$C$12:$C$51, "Unknown")</f>
        <v>Electronics</v>
      </c>
      <c r="S306" t="str">
        <f>IF(ISBLANK(I306), B306+VLOOKUP(C306, Lookups!$A$2:$D$10, 4, FALSE()), I306)</f>
        <v>2026-11-28</v>
      </c>
      <c r="T306">
        <f t="shared" si="27"/>
        <v>19</v>
      </c>
      <c r="U306" t="str">
        <f t="shared" si="28"/>
        <v>Late</v>
      </c>
      <c r="V306">
        <f t="shared" si="29"/>
        <v>0</v>
      </c>
    </row>
    <row r="307" spans="1:22" x14ac:dyDescent="0.45">
      <c r="A307" t="s">
        <v>904</v>
      </c>
      <c r="B307" t="s">
        <v>809</v>
      </c>
      <c r="C307" t="s">
        <v>30</v>
      </c>
      <c r="D307" t="s">
        <v>88</v>
      </c>
      <c r="E307" t="s">
        <v>18</v>
      </c>
      <c r="F307">
        <v>78</v>
      </c>
      <c r="G307">
        <v>75512</v>
      </c>
      <c r="H307">
        <v>5889936</v>
      </c>
      <c r="I307" t="s">
        <v>905</v>
      </c>
      <c r="J307" t="s">
        <v>898</v>
      </c>
      <c r="K307">
        <v>78</v>
      </c>
      <c r="L307">
        <v>0</v>
      </c>
      <c r="M307" t="s">
        <v>115</v>
      </c>
      <c r="N307" t="str">
        <f t="shared" si="24"/>
        <v>PO-100306</v>
      </c>
      <c r="O307" t="str">
        <f t="shared" si="25"/>
        <v>Delivered</v>
      </c>
      <c r="P307" t="str">
        <f t="shared" si="26"/>
        <v>WH-PUN</v>
      </c>
      <c r="Q307" t="str">
        <f>VLOOKUP(C307, Lookups!$A$2:$D$10, 2, FALSE())</f>
        <v>TechSupply Corp</v>
      </c>
      <c r="R307" t="str">
        <f>_xlfn.XLOOKUP(D307, Lookups!$A$12:$A$51, Lookups!$C$12:$C$51, "Unknown")</f>
        <v>Electronics</v>
      </c>
      <c r="S307" t="str">
        <f>IF(ISBLANK(I307), B307+VLOOKUP(C307, Lookups!$A$2:$D$10, 4, FALSE()), I307)</f>
        <v>2025-10-31</v>
      </c>
      <c r="T307">
        <f t="shared" si="27"/>
        <v>15</v>
      </c>
      <c r="U307" t="str">
        <f t="shared" si="28"/>
        <v>Late</v>
      </c>
      <c r="V307">
        <f t="shared" si="29"/>
        <v>0</v>
      </c>
    </row>
    <row r="308" spans="1:22" x14ac:dyDescent="0.45">
      <c r="A308" t="s">
        <v>906</v>
      </c>
      <c r="B308" t="s">
        <v>907</v>
      </c>
      <c r="C308" t="s">
        <v>35</v>
      </c>
      <c r="D308" t="s">
        <v>65</v>
      </c>
      <c r="E308" t="s">
        <v>18</v>
      </c>
      <c r="F308">
        <v>201</v>
      </c>
      <c r="G308">
        <v>4936</v>
      </c>
      <c r="H308">
        <v>992136</v>
      </c>
      <c r="I308" t="s">
        <v>194</v>
      </c>
      <c r="J308" t="s">
        <v>908</v>
      </c>
      <c r="K308">
        <v>201</v>
      </c>
      <c r="L308">
        <v>0</v>
      </c>
      <c r="M308" t="s">
        <v>115</v>
      </c>
      <c r="N308" t="str">
        <f t="shared" si="24"/>
        <v>PO-100307</v>
      </c>
      <c r="O308" t="str">
        <f t="shared" si="25"/>
        <v>Delivered</v>
      </c>
      <c r="P308" t="str">
        <f t="shared" si="26"/>
        <v>WH-PUN</v>
      </c>
      <c r="Q308" t="str">
        <f>VLOOKUP(C308, Lookups!$A$2:$D$10, 2, FALSE())</f>
        <v>Peripheral Source</v>
      </c>
      <c r="R308" t="str">
        <f>_xlfn.XLOOKUP(D308, Lookups!$A$12:$A$51, Lookups!$C$12:$C$51, "Unknown")</f>
        <v>Peripherals</v>
      </c>
      <c r="S308" t="str">
        <f>IF(ISBLANK(I308), B308+VLOOKUP(C308, Lookups!$A$2:$D$10, 4, FALSE()), I308)</f>
        <v>2026-06-30</v>
      </c>
      <c r="T308">
        <f t="shared" si="27"/>
        <v>11</v>
      </c>
      <c r="U308" t="str">
        <f t="shared" si="28"/>
        <v>Late</v>
      </c>
      <c r="V308">
        <f t="shared" si="29"/>
        <v>0</v>
      </c>
    </row>
    <row r="309" spans="1:22" x14ac:dyDescent="0.45">
      <c r="A309" t="s">
        <v>909</v>
      </c>
      <c r="B309" t="s">
        <v>562</v>
      </c>
      <c r="C309" t="s">
        <v>34</v>
      </c>
      <c r="D309" t="s">
        <v>68</v>
      </c>
      <c r="E309" t="s">
        <v>18</v>
      </c>
      <c r="F309">
        <v>18</v>
      </c>
      <c r="G309">
        <v>41405</v>
      </c>
      <c r="H309">
        <v>745290</v>
      </c>
      <c r="I309" t="s">
        <v>910</v>
      </c>
      <c r="J309" t="s">
        <v>911</v>
      </c>
      <c r="K309">
        <v>18</v>
      </c>
      <c r="L309">
        <v>2</v>
      </c>
      <c r="M309" t="s">
        <v>115</v>
      </c>
      <c r="N309" t="str">
        <f t="shared" si="24"/>
        <v>PO-100308</v>
      </c>
      <c r="O309" t="str">
        <f t="shared" si="25"/>
        <v>Delivered</v>
      </c>
      <c r="P309" t="str">
        <f t="shared" si="26"/>
        <v>WH-PUN</v>
      </c>
      <c r="Q309" t="str">
        <f>VLOOKUP(C309, Lookups!$A$2:$D$10, 2, FALSE())</f>
        <v>FastElectronics</v>
      </c>
      <c r="R309" t="str">
        <f>_xlfn.XLOOKUP(D309, Lookups!$A$12:$A$51, Lookups!$C$12:$C$51, "Unknown")</f>
        <v>Networking</v>
      </c>
      <c r="S309" t="str">
        <f>IF(ISBLANK(I309), B309+VLOOKUP(C309, Lookups!$A$2:$D$10, 4, FALSE()), I309)</f>
        <v>2025-04-08</v>
      </c>
      <c r="T309">
        <f t="shared" si="27"/>
        <v>19</v>
      </c>
      <c r="U309" t="str">
        <f t="shared" si="28"/>
        <v>Late</v>
      </c>
      <c r="V309">
        <f t="shared" si="29"/>
        <v>0.1111111111111111</v>
      </c>
    </row>
    <row r="310" spans="1:22" x14ac:dyDescent="0.45">
      <c r="A310" t="s">
        <v>912</v>
      </c>
      <c r="B310" t="s">
        <v>349</v>
      </c>
      <c r="C310" t="s">
        <v>35</v>
      </c>
      <c r="D310" t="s">
        <v>65</v>
      </c>
      <c r="E310" t="s">
        <v>913</v>
      </c>
      <c r="F310">
        <v>220</v>
      </c>
      <c r="G310">
        <v>4936</v>
      </c>
      <c r="H310">
        <v>1085920</v>
      </c>
      <c r="I310" t="s">
        <v>661</v>
      </c>
      <c r="J310" t="s">
        <v>556</v>
      </c>
      <c r="K310">
        <v>220</v>
      </c>
      <c r="L310">
        <v>0</v>
      </c>
      <c r="M310" t="s">
        <v>115</v>
      </c>
      <c r="N310" t="str">
        <f t="shared" si="24"/>
        <v>PO-100309</v>
      </c>
      <c r="O310" t="str">
        <f t="shared" si="25"/>
        <v>Delivered</v>
      </c>
      <c r="P310" t="str">
        <f t="shared" si="26"/>
        <v>WH-DEL</v>
      </c>
      <c r="Q310" t="str">
        <f>VLOOKUP(C310, Lookups!$A$2:$D$10, 2, FALSE())</f>
        <v>Peripheral Source</v>
      </c>
      <c r="R310" t="str">
        <f>_xlfn.XLOOKUP(D310, Lookups!$A$12:$A$51, Lookups!$C$12:$C$51, "Unknown")</f>
        <v>Peripherals</v>
      </c>
      <c r="S310" t="str">
        <f>IF(ISBLANK(I310), B310+VLOOKUP(C310, Lookups!$A$2:$D$10, 4, FALSE()), I310)</f>
        <v>2026-09-14</v>
      </c>
      <c r="T310">
        <f t="shared" si="27"/>
        <v>11</v>
      </c>
      <c r="U310" t="str">
        <f t="shared" si="28"/>
        <v>Late</v>
      </c>
      <c r="V310">
        <f t="shared" si="29"/>
        <v>0</v>
      </c>
    </row>
    <row r="311" spans="1:22" x14ac:dyDescent="0.45">
      <c r="A311" t="s">
        <v>914</v>
      </c>
      <c r="B311" t="s">
        <v>171</v>
      </c>
      <c r="C311" t="s">
        <v>33</v>
      </c>
      <c r="D311" t="s">
        <v>89</v>
      </c>
      <c r="E311" t="s">
        <v>17</v>
      </c>
      <c r="F311">
        <v>238</v>
      </c>
      <c r="G311">
        <v>11309</v>
      </c>
      <c r="H311">
        <v>2691542</v>
      </c>
      <c r="I311" t="s">
        <v>593</v>
      </c>
      <c r="J311" t="s">
        <v>593</v>
      </c>
      <c r="K311">
        <v>238</v>
      </c>
      <c r="L311">
        <v>0</v>
      </c>
      <c r="M311" t="s">
        <v>115</v>
      </c>
      <c r="N311" t="str">
        <f t="shared" si="24"/>
        <v>PO-100310</v>
      </c>
      <c r="O311" t="str">
        <f t="shared" si="25"/>
        <v>Delivered</v>
      </c>
      <c r="P311" t="str">
        <f t="shared" si="26"/>
        <v>WH-BLR</v>
      </c>
      <c r="Q311" t="str">
        <f>VLOOKUP(C311, Lookups!$A$2:$D$10, 2, FALSE())</f>
        <v>MegaFurnish</v>
      </c>
      <c r="R311" t="str">
        <f>_xlfn.XLOOKUP(D311, Lookups!$A$12:$A$51, Lookups!$C$12:$C$51, "Unknown")</f>
        <v>Office Furniture</v>
      </c>
      <c r="S311" t="str">
        <f>IF(ISBLANK(I311), B311+VLOOKUP(C311, Lookups!$A$2:$D$10, 4, FALSE()), I311)</f>
        <v>2025-09-15</v>
      </c>
      <c r="T311">
        <f t="shared" si="27"/>
        <v>30</v>
      </c>
      <c r="U311" t="str">
        <f t="shared" si="28"/>
        <v>On-Time</v>
      </c>
      <c r="V311">
        <f t="shared" si="29"/>
        <v>0</v>
      </c>
    </row>
    <row r="312" spans="1:22" x14ac:dyDescent="0.45">
      <c r="A312" t="s">
        <v>915</v>
      </c>
      <c r="B312" t="s">
        <v>348</v>
      </c>
      <c r="C312" t="s">
        <v>30</v>
      </c>
      <c r="D312" t="s">
        <v>86</v>
      </c>
      <c r="E312" t="s">
        <v>15</v>
      </c>
      <c r="F312">
        <v>179</v>
      </c>
      <c r="G312">
        <v>74871</v>
      </c>
      <c r="H312">
        <v>13401909</v>
      </c>
      <c r="I312" t="s">
        <v>657</v>
      </c>
      <c r="J312" t="s">
        <v>657</v>
      </c>
      <c r="K312">
        <v>179</v>
      </c>
      <c r="L312">
        <v>0</v>
      </c>
      <c r="M312" t="s">
        <v>115</v>
      </c>
      <c r="N312" t="str">
        <f t="shared" si="24"/>
        <v>PO-100311</v>
      </c>
      <c r="O312" t="str">
        <f t="shared" si="25"/>
        <v>Delivered</v>
      </c>
      <c r="P312" t="str">
        <f t="shared" si="26"/>
        <v>WH-BOM</v>
      </c>
      <c r="Q312" t="str">
        <f>VLOOKUP(C312, Lookups!$A$2:$D$10, 2, FALSE())</f>
        <v>TechSupply Corp</v>
      </c>
      <c r="R312" t="str">
        <f>_xlfn.XLOOKUP(D312, Lookups!$A$12:$A$51, Lookups!$C$12:$C$51, "Unknown")</f>
        <v>Electronics</v>
      </c>
      <c r="S312" t="str">
        <f>IF(ISBLANK(I312), B312+VLOOKUP(C312, Lookups!$A$2:$D$10, 4, FALSE()), I312)</f>
        <v>2026-09-06</v>
      </c>
      <c r="T312">
        <f t="shared" si="27"/>
        <v>14</v>
      </c>
      <c r="U312" t="str">
        <f t="shared" si="28"/>
        <v>On-Time</v>
      </c>
      <c r="V312">
        <f t="shared" si="29"/>
        <v>0</v>
      </c>
    </row>
    <row r="313" spans="1:22" x14ac:dyDescent="0.45">
      <c r="A313" t="s">
        <v>916</v>
      </c>
      <c r="B313" t="s">
        <v>207</v>
      </c>
      <c r="C313" t="s">
        <v>31</v>
      </c>
      <c r="D313" t="s">
        <v>66</v>
      </c>
      <c r="E313" t="s">
        <v>17</v>
      </c>
      <c r="F313">
        <v>14</v>
      </c>
      <c r="G313">
        <v>29719</v>
      </c>
      <c r="H313">
        <v>416066</v>
      </c>
      <c r="I313" t="s">
        <v>917</v>
      </c>
      <c r="J313" t="s">
        <v>549</v>
      </c>
      <c r="K313">
        <v>14</v>
      </c>
      <c r="L313">
        <v>0</v>
      </c>
      <c r="M313" t="s">
        <v>115</v>
      </c>
      <c r="N313" t="str">
        <f t="shared" si="24"/>
        <v>PO-100312</v>
      </c>
      <c r="O313" t="str">
        <f t="shared" si="25"/>
        <v>Delivered</v>
      </c>
      <c r="P313" t="str">
        <f t="shared" si="26"/>
        <v>WH-BLR</v>
      </c>
      <c r="Q313" t="str">
        <f>VLOOKUP(C313, Lookups!$A$2:$D$10, 2, FALSE())</f>
        <v>Global Networks</v>
      </c>
      <c r="R313" t="str">
        <f>_xlfn.XLOOKUP(D313, Lookups!$A$12:$A$51, Lookups!$C$12:$C$51, "Unknown")</f>
        <v>Networking</v>
      </c>
      <c r="S313" t="str">
        <f>IF(ISBLANK(I313), B313+VLOOKUP(C313, Lookups!$A$2:$D$10, 4, FALSE()), I313)</f>
        <v>2026-01-04</v>
      </c>
      <c r="T313">
        <f t="shared" si="27"/>
        <v>24</v>
      </c>
      <c r="U313" t="str">
        <f t="shared" si="28"/>
        <v>Late</v>
      </c>
      <c r="V313">
        <f t="shared" si="29"/>
        <v>0</v>
      </c>
    </row>
    <row r="314" spans="1:22" x14ac:dyDescent="0.45">
      <c r="A314" t="s">
        <v>918</v>
      </c>
      <c r="B314" t="s">
        <v>213</v>
      </c>
      <c r="C314" t="s">
        <v>35</v>
      </c>
      <c r="D314" t="s">
        <v>60</v>
      </c>
      <c r="E314" t="s">
        <v>16</v>
      </c>
      <c r="F314">
        <v>219</v>
      </c>
      <c r="G314">
        <v>3291</v>
      </c>
      <c r="H314">
        <v>720729</v>
      </c>
      <c r="I314" t="s">
        <v>214</v>
      </c>
      <c r="J314" t="s">
        <v>215</v>
      </c>
      <c r="K314">
        <v>219</v>
      </c>
      <c r="L314">
        <v>0</v>
      </c>
      <c r="M314" t="s">
        <v>115</v>
      </c>
      <c r="N314" t="str">
        <f t="shared" si="24"/>
        <v>PO-100313</v>
      </c>
      <c r="O314" t="str">
        <f t="shared" si="25"/>
        <v>Delivered</v>
      </c>
      <c r="P314" t="str">
        <f t="shared" si="26"/>
        <v>WH-DEL</v>
      </c>
      <c r="Q314" t="str">
        <f>VLOOKUP(C314, Lookups!$A$2:$D$10, 2, FALSE())</f>
        <v>Peripheral Source</v>
      </c>
      <c r="R314" t="str">
        <f>_xlfn.XLOOKUP(D314, Lookups!$A$12:$A$51, Lookups!$C$12:$C$51, "Unknown")</f>
        <v>Peripherals</v>
      </c>
      <c r="S314" t="str">
        <f>IF(ISBLANK(I314), B314+VLOOKUP(C314, Lookups!$A$2:$D$10, 4, FALSE()), I314)</f>
        <v>2025-06-27</v>
      </c>
      <c r="T314">
        <f t="shared" si="27"/>
        <v>11</v>
      </c>
      <c r="U314" t="str">
        <f t="shared" si="28"/>
        <v>Late</v>
      </c>
      <c r="V314">
        <f t="shared" si="29"/>
        <v>0</v>
      </c>
    </row>
    <row r="315" spans="1:22" x14ac:dyDescent="0.45">
      <c r="A315" t="s">
        <v>919</v>
      </c>
      <c r="B315" t="s">
        <v>920</v>
      </c>
      <c r="C315" t="s">
        <v>36</v>
      </c>
      <c r="D315" t="s">
        <v>62</v>
      </c>
      <c r="E315" t="s">
        <v>17</v>
      </c>
      <c r="F315">
        <v>111</v>
      </c>
      <c r="G315">
        <v>48478</v>
      </c>
      <c r="H315">
        <v>5381058</v>
      </c>
      <c r="I315" t="s">
        <v>921</v>
      </c>
      <c r="J315" t="s">
        <v>922</v>
      </c>
      <c r="K315">
        <v>87</v>
      </c>
      <c r="L315">
        <v>0</v>
      </c>
      <c r="M315" t="s">
        <v>115</v>
      </c>
      <c r="N315" t="str">
        <f t="shared" si="24"/>
        <v>PO-100314</v>
      </c>
      <c r="O315" t="str">
        <f t="shared" si="25"/>
        <v>Delivered</v>
      </c>
      <c r="P315" t="str">
        <f t="shared" si="26"/>
        <v>WH-BLR</v>
      </c>
      <c r="Q315" t="str">
        <f>VLOOKUP(C315, Lookups!$A$2:$D$10, 2, FALSE())</f>
        <v>NextGen Hardware</v>
      </c>
      <c r="R315" t="str">
        <f>_xlfn.XLOOKUP(D315, Lookups!$A$12:$A$51, Lookups!$C$12:$C$51, "Unknown")</f>
        <v>Electronics</v>
      </c>
      <c r="S315" t="str">
        <f>IF(ISBLANK(I315), B315+VLOOKUP(C315, Lookups!$A$2:$D$10, 4, FALSE()), I315)</f>
        <v>2026-11-08</v>
      </c>
      <c r="T315">
        <f t="shared" si="27"/>
        <v>25</v>
      </c>
      <c r="U315" t="str">
        <f t="shared" si="28"/>
        <v>Late</v>
      </c>
      <c r="V315">
        <f t="shared" si="29"/>
        <v>0</v>
      </c>
    </row>
    <row r="316" spans="1:22" x14ac:dyDescent="0.45">
      <c r="A316" t="s">
        <v>923</v>
      </c>
      <c r="B316" t="s">
        <v>304</v>
      </c>
      <c r="C316" t="s">
        <v>30</v>
      </c>
      <c r="D316" t="s">
        <v>61</v>
      </c>
      <c r="E316" t="s">
        <v>16</v>
      </c>
      <c r="F316">
        <v>62</v>
      </c>
      <c r="G316">
        <v>111237</v>
      </c>
      <c r="H316">
        <v>6896694</v>
      </c>
      <c r="I316" t="s">
        <v>527</v>
      </c>
      <c r="J316" t="s">
        <v>623</v>
      </c>
      <c r="K316">
        <v>49</v>
      </c>
      <c r="L316">
        <v>5</v>
      </c>
      <c r="M316" t="s">
        <v>115</v>
      </c>
      <c r="N316" t="str">
        <f t="shared" si="24"/>
        <v>PO-100315</v>
      </c>
      <c r="O316" t="str">
        <f t="shared" si="25"/>
        <v>Delivered</v>
      </c>
      <c r="P316" t="str">
        <f t="shared" si="26"/>
        <v>WH-DEL</v>
      </c>
      <c r="Q316" t="str">
        <f>VLOOKUP(C316, Lookups!$A$2:$D$10, 2, FALSE())</f>
        <v>TechSupply Corp</v>
      </c>
      <c r="R316" t="str">
        <f>_xlfn.XLOOKUP(D316, Lookups!$A$12:$A$51, Lookups!$C$12:$C$51, "Unknown")</f>
        <v>Electronics</v>
      </c>
      <c r="S316" t="str">
        <f>IF(ISBLANK(I316), B316+VLOOKUP(C316, Lookups!$A$2:$D$10, 4, FALSE()), I316)</f>
        <v>2026-07-07</v>
      </c>
      <c r="T316">
        <f t="shared" si="27"/>
        <v>15</v>
      </c>
      <c r="U316" t="str">
        <f t="shared" si="28"/>
        <v>Late</v>
      </c>
      <c r="V316">
        <f t="shared" si="29"/>
        <v>0.10204081632653061</v>
      </c>
    </row>
    <row r="317" spans="1:22" x14ac:dyDescent="0.45">
      <c r="A317" t="s">
        <v>924</v>
      </c>
      <c r="B317" t="s">
        <v>925</v>
      </c>
      <c r="C317" t="s">
        <v>34</v>
      </c>
      <c r="D317" t="s">
        <v>76</v>
      </c>
      <c r="E317" t="s">
        <v>15</v>
      </c>
      <c r="F317">
        <v>197</v>
      </c>
      <c r="G317">
        <v>26270</v>
      </c>
      <c r="H317">
        <v>5175190</v>
      </c>
      <c r="I317" t="s">
        <v>476</v>
      </c>
      <c r="J317" t="s">
        <v>926</v>
      </c>
      <c r="K317">
        <v>197</v>
      </c>
      <c r="L317">
        <v>0</v>
      </c>
      <c r="M317" t="s">
        <v>927</v>
      </c>
      <c r="N317" t="str">
        <f t="shared" si="24"/>
        <v>PO-100316</v>
      </c>
      <c r="O317" t="str">
        <f t="shared" si="25"/>
        <v>Delivered</v>
      </c>
      <c r="P317" t="str">
        <f t="shared" si="26"/>
        <v>WH-BOM</v>
      </c>
      <c r="Q317" t="str">
        <f>VLOOKUP(C317, Lookups!$A$2:$D$10, 2, FALSE())</f>
        <v>FastElectronics</v>
      </c>
      <c r="R317" t="str">
        <f>_xlfn.XLOOKUP(D317, Lookups!$A$12:$A$51, Lookups!$C$12:$C$51, "Unknown")</f>
        <v>Networking</v>
      </c>
      <c r="S317" t="str">
        <f>IF(ISBLANK(I317), B317+VLOOKUP(C317, Lookups!$A$2:$D$10, 4, FALSE()), I317)</f>
        <v>2025-03-10</v>
      </c>
      <c r="T317">
        <f t="shared" si="27"/>
        <v>16</v>
      </c>
      <c r="U317" t="str">
        <f t="shared" si="28"/>
        <v>On-Time</v>
      </c>
      <c r="V317">
        <f t="shared" si="29"/>
        <v>0</v>
      </c>
    </row>
    <row r="318" spans="1:22" x14ac:dyDescent="0.45">
      <c r="A318" t="s">
        <v>928</v>
      </c>
      <c r="B318" t="s">
        <v>254</v>
      </c>
      <c r="C318" t="s">
        <v>34</v>
      </c>
      <c r="D318" t="s">
        <v>81</v>
      </c>
      <c r="E318" t="s">
        <v>17</v>
      </c>
      <c r="F318">
        <v>110</v>
      </c>
      <c r="G318">
        <v>55328</v>
      </c>
      <c r="H318">
        <v>6086080</v>
      </c>
      <c r="I318" t="s">
        <v>929</v>
      </c>
      <c r="J318" t="s">
        <v>930</v>
      </c>
      <c r="K318">
        <v>110</v>
      </c>
      <c r="L318">
        <v>0</v>
      </c>
      <c r="M318" t="s">
        <v>115</v>
      </c>
      <c r="N318" t="str">
        <f t="shared" si="24"/>
        <v>PO-100317</v>
      </c>
      <c r="O318" t="str">
        <f t="shared" si="25"/>
        <v>Delivered</v>
      </c>
      <c r="P318" t="str">
        <f t="shared" si="26"/>
        <v>WH-BLR</v>
      </c>
      <c r="Q318" t="str">
        <f>VLOOKUP(C318, Lookups!$A$2:$D$10, 2, FALSE())</f>
        <v>FastElectronics</v>
      </c>
      <c r="R318" t="str">
        <f>_xlfn.XLOOKUP(D318, Lookups!$A$12:$A$51, Lookups!$C$12:$C$51, "Unknown")</f>
        <v>Electronics</v>
      </c>
      <c r="S318" t="str">
        <f>IF(ISBLANK(I318), B318+VLOOKUP(C318, Lookups!$A$2:$D$10, 4, FALSE()), I318)</f>
        <v>2025-11-28</v>
      </c>
      <c r="T318">
        <f t="shared" si="27"/>
        <v>30</v>
      </c>
      <c r="U318" t="str">
        <f t="shared" si="28"/>
        <v>Late</v>
      </c>
      <c r="V318">
        <f t="shared" si="29"/>
        <v>0</v>
      </c>
    </row>
    <row r="319" spans="1:22" x14ac:dyDescent="0.45">
      <c r="A319" t="s">
        <v>931</v>
      </c>
      <c r="B319" t="s">
        <v>443</v>
      </c>
      <c r="C319" t="s">
        <v>35</v>
      </c>
      <c r="D319" t="s">
        <v>91</v>
      </c>
      <c r="E319" t="s">
        <v>17</v>
      </c>
      <c r="F319">
        <v>155</v>
      </c>
      <c r="G319">
        <v>6707</v>
      </c>
      <c r="H319">
        <v>1039585</v>
      </c>
      <c r="I319" t="s">
        <v>686</v>
      </c>
      <c r="J319" t="s">
        <v>587</v>
      </c>
      <c r="K319">
        <v>155</v>
      </c>
      <c r="L319">
        <v>0</v>
      </c>
      <c r="M319" t="s">
        <v>115</v>
      </c>
      <c r="N319" t="str">
        <f t="shared" si="24"/>
        <v>PO-100318</v>
      </c>
      <c r="O319" t="str">
        <f t="shared" si="25"/>
        <v>Delivered</v>
      </c>
      <c r="P319" t="str">
        <f t="shared" si="26"/>
        <v>WH-BLR</v>
      </c>
      <c r="Q319" t="str">
        <f>VLOOKUP(C319, Lookups!$A$2:$D$10, 2, FALSE())</f>
        <v>Peripheral Source</v>
      </c>
      <c r="R319" t="str">
        <f>_xlfn.XLOOKUP(D319, Lookups!$A$12:$A$51, Lookups!$C$12:$C$51, "Unknown")</f>
        <v>Peripherals</v>
      </c>
      <c r="S319" t="str">
        <f>IF(ISBLANK(I319), B319+VLOOKUP(C319, Lookups!$A$2:$D$10, 4, FALSE()), I319)</f>
        <v>2026-04-10</v>
      </c>
      <c r="T319">
        <f t="shared" si="27"/>
        <v>11</v>
      </c>
      <c r="U319" t="str">
        <f t="shared" si="28"/>
        <v>Late</v>
      </c>
      <c r="V319">
        <f t="shared" si="29"/>
        <v>0</v>
      </c>
    </row>
    <row r="320" spans="1:22" x14ac:dyDescent="0.45">
      <c r="A320" t="s">
        <v>932</v>
      </c>
      <c r="B320" t="s">
        <v>933</v>
      </c>
      <c r="C320" t="s">
        <v>30</v>
      </c>
      <c r="D320" t="s">
        <v>52</v>
      </c>
      <c r="E320" t="s">
        <v>18</v>
      </c>
      <c r="F320">
        <v>49</v>
      </c>
      <c r="G320">
        <v>59592</v>
      </c>
      <c r="H320">
        <v>2920008</v>
      </c>
      <c r="I320" t="s">
        <v>569</v>
      </c>
      <c r="J320" t="s">
        <v>593</v>
      </c>
      <c r="K320">
        <v>41</v>
      </c>
      <c r="L320">
        <v>2</v>
      </c>
      <c r="M320" t="s">
        <v>115</v>
      </c>
      <c r="N320" t="str">
        <f t="shared" si="24"/>
        <v>PO-100319</v>
      </c>
      <c r="O320" t="str">
        <f t="shared" si="25"/>
        <v>Delivered</v>
      </c>
      <c r="P320" t="str">
        <f t="shared" si="26"/>
        <v>WH-PUN</v>
      </c>
      <c r="Q320" t="str">
        <f>VLOOKUP(C320, Lookups!$A$2:$D$10, 2, FALSE())</f>
        <v>TechSupply Corp</v>
      </c>
      <c r="R320" t="str">
        <f>_xlfn.XLOOKUP(D320, Lookups!$A$12:$A$51, Lookups!$C$12:$C$51, "Unknown")</f>
        <v>Electronics</v>
      </c>
      <c r="S320" t="str">
        <f>IF(ISBLANK(I320), B320+VLOOKUP(C320, Lookups!$A$2:$D$10, 4, FALSE()), I320)</f>
        <v>2025-09-19</v>
      </c>
      <c r="T320">
        <f t="shared" si="27"/>
        <v>10</v>
      </c>
      <c r="U320" t="str">
        <f t="shared" si="28"/>
        <v>On-Time</v>
      </c>
      <c r="V320">
        <f t="shared" si="29"/>
        <v>4.878048780487805E-2</v>
      </c>
    </row>
    <row r="321" spans="1:22" x14ac:dyDescent="0.45">
      <c r="A321" t="s">
        <v>934</v>
      </c>
      <c r="B321" t="s">
        <v>787</v>
      </c>
      <c r="C321" t="s">
        <v>35</v>
      </c>
      <c r="D321" t="s">
        <v>57</v>
      </c>
      <c r="E321" t="s">
        <v>18</v>
      </c>
      <c r="F321">
        <v>112</v>
      </c>
      <c r="G321">
        <v>2212</v>
      </c>
      <c r="H321">
        <v>247744</v>
      </c>
      <c r="I321" t="s">
        <v>935</v>
      </c>
      <c r="J321" t="s">
        <v>840</v>
      </c>
      <c r="K321">
        <v>112</v>
      </c>
      <c r="L321">
        <v>0</v>
      </c>
      <c r="M321" t="s">
        <v>115</v>
      </c>
      <c r="N321" t="str">
        <f t="shared" si="24"/>
        <v>PO-100320</v>
      </c>
      <c r="O321" t="str">
        <f t="shared" si="25"/>
        <v>Delivered</v>
      </c>
      <c r="P321" t="str">
        <f t="shared" si="26"/>
        <v>WH-PUN</v>
      </c>
      <c r="Q321" t="str">
        <f>VLOOKUP(C321, Lookups!$A$2:$D$10, 2, FALSE())</f>
        <v>Peripheral Source</v>
      </c>
      <c r="R321" t="str">
        <f>_xlfn.XLOOKUP(D321, Lookups!$A$12:$A$51, Lookups!$C$12:$C$51, "Unknown")</f>
        <v>Peripherals</v>
      </c>
      <c r="S321" t="str">
        <f>IF(ISBLANK(I321), B321+VLOOKUP(C321, Lookups!$A$2:$D$10, 4, FALSE()), I321)</f>
        <v>2026-03-14</v>
      </c>
      <c r="T321">
        <f t="shared" si="27"/>
        <v>13</v>
      </c>
      <c r="U321" t="str">
        <f t="shared" si="28"/>
        <v>Late</v>
      </c>
      <c r="V321">
        <f t="shared" si="29"/>
        <v>0</v>
      </c>
    </row>
    <row r="322" spans="1:22" x14ac:dyDescent="0.45">
      <c r="A322" t="s">
        <v>936</v>
      </c>
      <c r="B322" t="s">
        <v>544</v>
      </c>
      <c r="C322" t="s">
        <v>34</v>
      </c>
      <c r="D322" t="s">
        <v>80</v>
      </c>
      <c r="E322" t="s">
        <v>18</v>
      </c>
      <c r="F322">
        <v>81</v>
      </c>
      <c r="G322">
        <v>19090</v>
      </c>
      <c r="H322">
        <v>1546290</v>
      </c>
      <c r="I322" t="s">
        <v>639</v>
      </c>
      <c r="J322" t="s">
        <v>937</v>
      </c>
      <c r="K322">
        <v>81</v>
      </c>
      <c r="L322">
        <v>0</v>
      </c>
      <c r="M322" t="s">
        <v>115</v>
      </c>
      <c r="N322" t="str">
        <f t="shared" ref="N322:N385" si="30">TRIM(A322)</f>
        <v>PO-100321</v>
      </c>
      <c r="O322" t="str">
        <f t="shared" ref="O322:O385" si="31">PROPER(TRIM(M322))</f>
        <v>Delivered</v>
      </c>
      <c r="P322" t="str">
        <f t="shared" ref="P322:P385" si="32">TRIM(E322)</f>
        <v>WH-PUN</v>
      </c>
      <c r="Q322" t="str">
        <f>VLOOKUP(C322, Lookups!$A$2:$D$10, 2, FALSE())</f>
        <v>FastElectronics</v>
      </c>
      <c r="R322" t="str">
        <f>_xlfn.XLOOKUP(D322, Lookups!$A$12:$A$51, Lookups!$C$12:$C$51, "Unknown")</f>
        <v>Networking</v>
      </c>
      <c r="S322" t="str">
        <f>IF(ISBLANK(I322), B322+VLOOKUP(C322, Lookups!$A$2:$D$10, 4, FALSE()), I322)</f>
        <v>2025-12-11</v>
      </c>
      <c r="T322">
        <f t="shared" ref="T322:T385" si="33">IF(ISBLANK(J322), "", J322-B322)</f>
        <v>19</v>
      </c>
      <c r="U322" t="str">
        <f t="shared" ref="U322:U385" si="34">IF(O322="Open", "Open", IF(J322&gt;S322, "Late", "On-Time"))</f>
        <v>Late</v>
      </c>
      <c r="V322">
        <f t="shared" ref="V322:V385" si="35">IF(K322&gt;0, L322/K322, 0)</f>
        <v>0</v>
      </c>
    </row>
    <row r="323" spans="1:22" x14ac:dyDescent="0.45">
      <c r="A323" t="s">
        <v>938</v>
      </c>
      <c r="B323" t="s">
        <v>537</v>
      </c>
      <c r="C323" t="s">
        <v>37</v>
      </c>
      <c r="D323" t="s">
        <v>83</v>
      </c>
      <c r="E323" t="s">
        <v>17</v>
      </c>
      <c r="F323">
        <v>35</v>
      </c>
      <c r="G323">
        <v>19850</v>
      </c>
      <c r="H323">
        <v>694750</v>
      </c>
      <c r="I323" t="s">
        <v>261</v>
      </c>
      <c r="J323" t="s">
        <v>261</v>
      </c>
      <c r="K323">
        <v>35</v>
      </c>
      <c r="L323">
        <v>0</v>
      </c>
      <c r="M323" t="s">
        <v>301</v>
      </c>
      <c r="N323" t="str">
        <f t="shared" si="30"/>
        <v>PO-100322</v>
      </c>
      <c r="O323" t="str">
        <f t="shared" si="31"/>
        <v>Delivered</v>
      </c>
      <c r="P323" t="str">
        <f t="shared" si="32"/>
        <v>WH-BLR</v>
      </c>
      <c r="Q323" t="str">
        <f>VLOOKUP(C323, Lookups!$A$2:$D$10, 2, FALSE())</f>
        <v>Premium Desks Ltd</v>
      </c>
      <c r="R323" t="str">
        <f>_xlfn.XLOOKUP(D323, Lookups!$A$12:$A$51, Lookups!$C$12:$C$51, "Unknown")</f>
        <v>Office Furniture</v>
      </c>
      <c r="S323" t="str">
        <f>IF(ISBLANK(I323), B323+VLOOKUP(C323, Lookups!$A$2:$D$10, 4, FALSE()), I323)</f>
        <v>2026-01-15</v>
      </c>
      <c r="T323">
        <f t="shared" si="33"/>
        <v>12</v>
      </c>
      <c r="U323" t="str">
        <f t="shared" si="34"/>
        <v>On-Time</v>
      </c>
      <c r="V323">
        <f t="shared" si="35"/>
        <v>0</v>
      </c>
    </row>
    <row r="324" spans="1:22" x14ac:dyDescent="0.45">
      <c r="A324" t="s">
        <v>939</v>
      </c>
      <c r="B324" t="s">
        <v>667</v>
      </c>
      <c r="C324" t="s">
        <v>30</v>
      </c>
      <c r="D324" t="s">
        <v>52</v>
      </c>
      <c r="E324" t="s">
        <v>15</v>
      </c>
      <c r="F324">
        <v>108</v>
      </c>
      <c r="G324">
        <v>59592</v>
      </c>
      <c r="H324">
        <v>6435936</v>
      </c>
      <c r="I324" t="s">
        <v>940</v>
      </c>
      <c r="J324" t="s">
        <v>941</v>
      </c>
      <c r="K324">
        <v>108</v>
      </c>
      <c r="L324">
        <v>0</v>
      </c>
      <c r="M324" t="s">
        <v>301</v>
      </c>
      <c r="N324" t="str">
        <f t="shared" si="30"/>
        <v>PO-100323</v>
      </c>
      <c r="O324" t="str">
        <f t="shared" si="31"/>
        <v>Delivered</v>
      </c>
      <c r="P324" t="str">
        <f t="shared" si="32"/>
        <v>WH-BOM</v>
      </c>
      <c r="Q324" t="str">
        <f>VLOOKUP(C324, Lookups!$A$2:$D$10, 2, FALSE())</f>
        <v>TechSupply Corp</v>
      </c>
      <c r="R324" t="str">
        <f>_xlfn.XLOOKUP(D324, Lookups!$A$12:$A$51, Lookups!$C$12:$C$51, "Unknown")</f>
        <v>Electronics</v>
      </c>
      <c r="S324" t="str">
        <f>IF(ISBLANK(I324), B324+VLOOKUP(C324, Lookups!$A$2:$D$10, 4, FALSE()), I324)</f>
        <v>2025-01-20</v>
      </c>
      <c r="T324">
        <f t="shared" si="33"/>
        <v>15</v>
      </c>
      <c r="U324" t="str">
        <f t="shared" si="34"/>
        <v>Late</v>
      </c>
      <c r="V324">
        <f t="shared" si="35"/>
        <v>0</v>
      </c>
    </row>
    <row r="325" spans="1:22" x14ac:dyDescent="0.45">
      <c r="A325" t="s">
        <v>942</v>
      </c>
      <c r="B325" t="s">
        <v>305</v>
      </c>
      <c r="C325" t="s">
        <v>35</v>
      </c>
      <c r="D325" t="s">
        <v>60</v>
      </c>
      <c r="E325" t="s">
        <v>17</v>
      </c>
      <c r="F325">
        <v>184</v>
      </c>
      <c r="G325">
        <v>3291</v>
      </c>
      <c r="H325">
        <v>605544</v>
      </c>
      <c r="I325" t="s">
        <v>623</v>
      </c>
      <c r="J325" t="s">
        <v>196</v>
      </c>
      <c r="K325">
        <v>184</v>
      </c>
      <c r="L325">
        <v>0</v>
      </c>
      <c r="M325" t="s">
        <v>115</v>
      </c>
      <c r="N325" t="str">
        <f t="shared" si="30"/>
        <v>PO-100324</v>
      </c>
      <c r="O325" t="str">
        <f t="shared" si="31"/>
        <v>Delivered</v>
      </c>
      <c r="P325" t="str">
        <f t="shared" si="32"/>
        <v>WH-BLR</v>
      </c>
      <c r="Q325" t="str">
        <f>VLOOKUP(C325, Lookups!$A$2:$D$10, 2, FALSE())</f>
        <v>Peripheral Source</v>
      </c>
      <c r="R325" t="str">
        <f>_xlfn.XLOOKUP(D325, Lookups!$A$12:$A$51, Lookups!$C$12:$C$51, "Unknown")</f>
        <v>Peripherals</v>
      </c>
      <c r="S325" t="str">
        <f>IF(ISBLANK(I325), B325+VLOOKUP(C325, Lookups!$A$2:$D$10, 4, FALSE()), I325)</f>
        <v>2026-07-08</v>
      </c>
      <c r="T325">
        <f t="shared" si="33"/>
        <v>13</v>
      </c>
      <c r="U325" t="str">
        <f t="shared" si="34"/>
        <v>Late</v>
      </c>
      <c r="V325">
        <f t="shared" si="35"/>
        <v>0</v>
      </c>
    </row>
    <row r="326" spans="1:22" x14ac:dyDescent="0.45">
      <c r="A326" t="s">
        <v>943</v>
      </c>
      <c r="B326" t="s">
        <v>446</v>
      </c>
      <c r="C326" t="s">
        <v>34</v>
      </c>
      <c r="D326" t="s">
        <v>58</v>
      </c>
      <c r="E326" t="s">
        <v>16</v>
      </c>
      <c r="F326">
        <v>54</v>
      </c>
      <c r="G326">
        <v>100302</v>
      </c>
      <c r="H326">
        <v>5416308</v>
      </c>
      <c r="I326" t="s">
        <v>447</v>
      </c>
      <c r="J326" t="s">
        <v>448</v>
      </c>
      <c r="K326">
        <v>54</v>
      </c>
      <c r="L326">
        <v>0</v>
      </c>
      <c r="M326" t="s">
        <v>115</v>
      </c>
      <c r="N326" t="str">
        <f t="shared" si="30"/>
        <v>PO-100325</v>
      </c>
      <c r="O326" t="str">
        <f t="shared" si="31"/>
        <v>Delivered</v>
      </c>
      <c r="P326" t="str">
        <f t="shared" si="32"/>
        <v>WH-DEL</v>
      </c>
      <c r="Q326" t="str">
        <f>VLOOKUP(C326, Lookups!$A$2:$D$10, 2, FALSE())</f>
        <v>FastElectronics</v>
      </c>
      <c r="R326" t="str">
        <f>_xlfn.XLOOKUP(D326, Lookups!$A$12:$A$51, Lookups!$C$12:$C$51, "Unknown")</f>
        <v>Electronics</v>
      </c>
      <c r="S326" t="str">
        <f>IF(ISBLANK(I326), B326+VLOOKUP(C326, Lookups!$A$2:$D$10, 4, FALSE()), I326)</f>
        <v>2025-12-17</v>
      </c>
      <c r="T326">
        <f t="shared" si="33"/>
        <v>19</v>
      </c>
      <c r="U326" t="str">
        <f t="shared" si="34"/>
        <v>Late</v>
      </c>
      <c r="V326">
        <f t="shared" si="35"/>
        <v>0</v>
      </c>
    </row>
    <row r="327" spans="1:22" x14ac:dyDescent="0.45">
      <c r="A327" t="s">
        <v>944</v>
      </c>
      <c r="B327" t="s">
        <v>307</v>
      </c>
      <c r="C327" t="s">
        <v>35</v>
      </c>
      <c r="D327" t="s">
        <v>91</v>
      </c>
      <c r="E327" t="s">
        <v>18</v>
      </c>
      <c r="F327">
        <v>248</v>
      </c>
      <c r="G327">
        <v>6707</v>
      </c>
      <c r="H327">
        <v>1663336</v>
      </c>
      <c r="I327" t="s">
        <v>350</v>
      </c>
      <c r="J327" t="s">
        <v>350</v>
      </c>
      <c r="K327">
        <v>248</v>
      </c>
      <c r="L327">
        <v>0</v>
      </c>
      <c r="M327" t="s">
        <v>178</v>
      </c>
      <c r="N327" t="str">
        <f t="shared" si="30"/>
        <v>PO-100326</v>
      </c>
      <c r="O327" t="str">
        <f t="shared" si="31"/>
        <v>Delivered</v>
      </c>
      <c r="P327" t="str">
        <f t="shared" si="32"/>
        <v>WH-PUN</v>
      </c>
      <c r="Q327" t="str">
        <f>VLOOKUP(C327, Lookups!$A$2:$D$10, 2, FALSE())</f>
        <v>Peripheral Source</v>
      </c>
      <c r="R327" t="str">
        <f>_xlfn.XLOOKUP(D327, Lookups!$A$12:$A$51, Lookups!$C$12:$C$51, "Unknown")</f>
        <v>Peripherals</v>
      </c>
      <c r="S327" t="str">
        <f>IF(ISBLANK(I327), B327+VLOOKUP(C327, Lookups!$A$2:$D$10, 4, FALSE()), I327)</f>
        <v>2026-09-05</v>
      </c>
      <c r="T327">
        <f t="shared" si="33"/>
        <v>10</v>
      </c>
      <c r="U327" t="str">
        <f t="shared" si="34"/>
        <v>On-Time</v>
      </c>
      <c r="V327">
        <f t="shared" si="35"/>
        <v>0</v>
      </c>
    </row>
    <row r="328" spans="1:22" x14ac:dyDescent="0.45">
      <c r="A328" t="s">
        <v>945</v>
      </c>
      <c r="B328" t="s">
        <v>271</v>
      </c>
      <c r="C328" t="s">
        <v>31</v>
      </c>
      <c r="D328" t="s">
        <v>85</v>
      </c>
      <c r="E328" t="s">
        <v>18</v>
      </c>
      <c r="F328">
        <v>243</v>
      </c>
      <c r="G328">
        <v>16501</v>
      </c>
      <c r="H328">
        <v>4009743</v>
      </c>
      <c r="I328" t="s">
        <v>171</v>
      </c>
      <c r="J328" t="s">
        <v>292</v>
      </c>
      <c r="K328">
        <v>220</v>
      </c>
      <c r="L328">
        <v>0</v>
      </c>
      <c r="M328" t="s">
        <v>115</v>
      </c>
      <c r="N328" t="str">
        <f t="shared" si="30"/>
        <v>PO-100327</v>
      </c>
      <c r="O328" t="str">
        <f t="shared" si="31"/>
        <v>Delivered</v>
      </c>
      <c r="P328" t="str">
        <f t="shared" si="32"/>
        <v>WH-PUN</v>
      </c>
      <c r="Q328" t="str">
        <f>VLOOKUP(C328, Lookups!$A$2:$D$10, 2, FALSE())</f>
        <v>Global Networks</v>
      </c>
      <c r="R328" t="str">
        <f>_xlfn.XLOOKUP(D328, Lookups!$A$12:$A$51, Lookups!$C$12:$C$51, "Unknown")</f>
        <v>Networking</v>
      </c>
      <c r="S328" t="str">
        <f>IF(ISBLANK(I328), B328+VLOOKUP(C328, Lookups!$A$2:$D$10, 4, FALSE()), I328)</f>
        <v>2025-08-16</v>
      </c>
      <c r="T328">
        <f t="shared" si="33"/>
        <v>22</v>
      </c>
      <c r="U328" t="str">
        <f t="shared" si="34"/>
        <v>Late</v>
      </c>
      <c r="V328">
        <f t="shared" si="35"/>
        <v>0</v>
      </c>
    </row>
    <row r="329" spans="1:22" x14ac:dyDescent="0.45">
      <c r="A329" t="s">
        <v>946</v>
      </c>
      <c r="B329" t="s">
        <v>552</v>
      </c>
      <c r="C329" t="s">
        <v>30</v>
      </c>
      <c r="D329" t="s">
        <v>82</v>
      </c>
      <c r="E329" t="s">
        <v>15</v>
      </c>
      <c r="F329">
        <v>196</v>
      </c>
      <c r="G329">
        <v>83427</v>
      </c>
      <c r="H329">
        <v>16351692</v>
      </c>
      <c r="I329" t="s">
        <v>947</v>
      </c>
      <c r="J329" t="s">
        <v>400</v>
      </c>
      <c r="K329">
        <v>196</v>
      </c>
      <c r="L329">
        <v>0</v>
      </c>
      <c r="M329" t="s">
        <v>115</v>
      </c>
      <c r="N329" t="str">
        <f t="shared" si="30"/>
        <v>PO-100328</v>
      </c>
      <c r="O329" t="str">
        <f t="shared" si="31"/>
        <v>Delivered</v>
      </c>
      <c r="P329" t="str">
        <f t="shared" si="32"/>
        <v>WH-BOM</v>
      </c>
      <c r="Q329" t="str">
        <f>VLOOKUP(C329, Lookups!$A$2:$D$10, 2, FALSE())</f>
        <v>TechSupply Corp</v>
      </c>
      <c r="R329" t="str">
        <f>_xlfn.XLOOKUP(D329, Lookups!$A$12:$A$51, Lookups!$C$12:$C$51, "Unknown")</f>
        <v>Electronics</v>
      </c>
      <c r="S329" t="str">
        <f>IF(ISBLANK(I329), B329+VLOOKUP(C329, Lookups!$A$2:$D$10, 4, FALSE()), I329)</f>
        <v>2025-12-06</v>
      </c>
      <c r="T329">
        <f t="shared" si="33"/>
        <v>16</v>
      </c>
      <c r="U329" t="str">
        <f t="shared" si="34"/>
        <v>Late</v>
      </c>
      <c r="V329">
        <f t="shared" si="35"/>
        <v>0</v>
      </c>
    </row>
    <row r="330" spans="1:22" x14ac:dyDescent="0.45">
      <c r="A330" t="s">
        <v>948</v>
      </c>
      <c r="B330" t="s">
        <v>379</v>
      </c>
      <c r="C330" t="s">
        <v>35</v>
      </c>
      <c r="D330" t="s">
        <v>91</v>
      </c>
      <c r="E330" t="s">
        <v>17</v>
      </c>
      <c r="F330">
        <v>217</v>
      </c>
      <c r="G330">
        <v>6707</v>
      </c>
      <c r="H330">
        <v>1455419</v>
      </c>
      <c r="I330" t="s">
        <v>185</v>
      </c>
      <c r="J330" t="s">
        <v>185</v>
      </c>
      <c r="K330">
        <v>217</v>
      </c>
      <c r="L330">
        <v>0</v>
      </c>
      <c r="M330" t="s">
        <v>115</v>
      </c>
      <c r="N330" t="str">
        <f t="shared" si="30"/>
        <v>PO-100329</v>
      </c>
      <c r="O330" t="str">
        <f t="shared" si="31"/>
        <v>Delivered</v>
      </c>
      <c r="P330" t="str">
        <f t="shared" si="32"/>
        <v>WH-BLR</v>
      </c>
      <c r="Q330" t="str">
        <f>VLOOKUP(C330, Lookups!$A$2:$D$10, 2, FALSE())</f>
        <v>Peripheral Source</v>
      </c>
      <c r="R330" t="str">
        <f>_xlfn.XLOOKUP(D330, Lookups!$A$12:$A$51, Lookups!$C$12:$C$51, "Unknown")</f>
        <v>Peripherals</v>
      </c>
      <c r="S330" t="str">
        <f>IF(ISBLANK(I330), B330+VLOOKUP(C330, Lookups!$A$2:$D$10, 4, FALSE()), I330)</f>
        <v>2025-02-26</v>
      </c>
      <c r="T330">
        <f t="shared" si="33"/>
        <v>10</v>
      </c>
      <c r="U330" t="str">
        <f t="shared" si="34"/>
        <v>On-Time</v>
      </c>
      <c r="V330">
        <f t="shared" si="35"/>
        <v>0</v>
      </c>
    </row>
    <row r="331" spans="1:22" x14ac:dyDescent="0.45">
      <c r="A331" t="s">
        <v>949</v>
      </c>
      <c r="B331" t="s">
        <v>705</v>
      </c>
      <c r="C331" t="s">
        <v>36</v>
      </c>
      <c r="D331" t="s">
        <v>55</v>
      </c>
      <c r="E331" t="s">
        <v>16</v>
      </c>
      <c r="F331">
        <v>21</v>
      </c>
      <c r="G331">
        <v>58434</v>
      </c>
      <c r="H331">
        <v>1227114</v>
      </c>
      <c r="I331" t="s">
        <v>361</v>
      </c>
      <c r="J331" t="s">
        <v>887</v>
      </c>
      <c r="K331">
        <v>21</v>
      </c>
      <c r="L331">
        <v>0</v>
      </c>
      <c r="M331" t="s">
        <v>115</v>
      </c>
      <c r="N331" t="str">
        <f t="shared" si="30"/>
        <v>PO-100330</v>
      </c>
      <c r="O331" t="str">
        <f t="shared" si="31"/>
        <v>Delivered</v>
      </c>
      <c r="P331" t="str">
        <f t="shared" si="32"/>
        <v>WH-DEL</v>
      </c>
      <c r="Q331" t="str">
        <f>VLOOKUP(C331, Lookups!$A$2:$D$10, 2, FALSE())</f>
        <v>NextGen Hardware</v>
      </c>
      <c r="R331" t="str">
        <f>_xlfn.XLOOKUP(D331, Lookups!$A$12:$A$51, Lookups!$C$12:$C$51, "Unknown")</f>
        <v>Electronics</v>
      </c>
      <c r="S331" t="str">
        <f>IF(ISBLANK(I331), B331+VLOOKUP(C331, Lookups!$A$2:$D$10, 4, FALSE()), I331)</f>
        <v>2026-03-22</v>
      </c>
      <c r="T331">
        <f t="shared" si="33"/>
        <v>25</v>
      </c>
      <c r="U331" t="str">
        <f t="shared" si="34"/>
        <v>Late</v>
      </c>
      <c r="V331">
        <f t="shared" si="35"/>
        <v>0</v>
      </c>
    </row>
    <row r="332" spans="1:22" x14ac:dyDescent="0.45">
      <c r="A332" t="s">
        <v>950</v>
      </c>
      <c r="B332" t="s">
        <v>951</v>
      </c>
      <c r="C332" t="s">
        <v>31</v>
      </c>
      <c r="D332" t="s">
        <v>66</v>
      </c>
      <c r="E332" t="s">
        <v>15</v>
      </c>
      <c r="F332">
        <v>165</v>
      </c>
      <c r="G332">
        <v>29719</v>
      </c>
      <c r="H332">
        <v>4903635</v>
      </c>
      <c r="I332" t="s">
        <v>141</v>
      </c>
      <c r="J332" t="s">
        <v>952</v>
      </c>
      <c r="K332">
        <v>165</v>
      </c>
      <c r="L332">
        <v>0</v>
      </c>
      <c r="M332" t="s">
        <v>115</v>
      </c>
      <c r="N332" t="str">
        <f t="shared" si="30"/>
        <v>PO-100331</v>
      </c>
      <c r="O332" t="str">
        <f t="shared" si="31"/>
        <v>Delivered</v>
      </c>
      <c r="P332" t="str">
        <f t="shared" si="32"/>
        <v>WH-BOM</v>
      </c>
      <c r="Q332" t="str">
        <f>VLOOKUP(C332, Lookups!$A$2:$D$10, 2, FALSE())</f>
        <v>Global Networks</v>
      </c>
      <c r="R332" t="str">
        <f>_xlfn.XLOOKUP(D332, Lookups!$A$12:$A$51, Lookups!$C$12:$C$51, "Unknown")</f>
        <v>Networking</v>
      </c>
      <c r="S332" t="str">
        <f>IF(ISBLANK(I332), B332+VLOOKUP(C332, Lookups!$A$2:$D$10, 4, FALSE()), I332)</f>
        <v>2026-07-23</v>
      </c>
      <c r="T332">
        <f t="shared" si="33"/>
        <v>22</v>
      </c>
      <c r="U332" t="str">
        <f t="shared" si="34"/>
        <v>Late</v>
      </c>
      <c r="V332">
        <f t="shared" si="35"/>
        <v>0</v>
      </c>
    </row>
    <row r="333" spans="1:22" x14ac:dyDescent="0.45">
      <c r="A333" t="s">
        <v>953</v>
      </c>
      <c r="B333" t="s">
        <v>954</v>
      </c>
      <c r="C333" t="s">
        <v>33</v>
      </c>
      <c r="D333" t="s">
        <v>89</v>
      </c>
      <c r="E333" t="s">
        <v>15</v>
      </c>
      <c r="F333">
        <v>159</v>
      </c>
      <c r="G333">
        <v>11309</v>
      </c>
      <c r="H333">
        <v>1798131</v>
      </c>
      <c r="I333" t="s">
        <v>955</v>
      </c>
      <c r="J333" t="s">
        <v>955</v>
      </c>
      <c r="K333">
        <v>159</v>
      </c>
      <c r="L333">
        <v>0</v>
      </c>
      <c r="M333" t="s">
        <v>115</v>
      </c>
      <c r="N333" t="str">
        <f t="shared" si="30"/>
        <v>PO-100332</v>
      </c>
      <c r="O333" t="str">
        <f t="shared" si="31"/>
        <v>Delivered</v>
      </c>
      <c r="P333" t="str">
        <f t="shared" si="32"/>
        <v>WH-BOM</v>
      </c>
      <c r="Q333" t="str">
        <f>VLOOKUP(C333, Lookups!$A$2:$D$10, 2, FALSE())</f>
        <v>MegaFurnish</v>
      </c>
      <c r="R333" t="str">
        <f>_xlfn.XLOOKUP(D333, Lookups!$A$12:$A$51, Lookups!$C$12:$C$51, "Unknown")</f>
        <v>Office Furniture</v>
      </c>
      <c r="S333" t="str">
        <f>IF(ISBLANK(I333), B333+VLOOKUP(C333, Lookups!$A$2:$D$10, 4, FALSE()), I333)</f>
        <v>2026-12-16</v>
      </c>
      <c r="T333">
        <f t="shared" si="33"/>
        <v>30</v>
      </c>
      <c r="U333" t="str">
        <f t="shared" si="34"/>
        <v>On-Time</v>
      </c>
      <c r="V333">
        <f t="shared" si="35"/>
        <v>0</v>
      </c>
    </row>
    <row r="334" spans="1:22" x14ac:dyDescent="0.45">
      <c r="A334" t="s">
        <v>956</v>
      </c>
      <c r="B334" t="s">
        <v>957</v>
      </c>
      <c r="C334" t="s">
        <v>30</v>
      </c>
      <c r="D334" t="s">
        <v>88</v>
      </c>
      <c r="E334" t="s">
        <v>18</v>
      </c>
      <c r="F334">
        <v>44</v>
      </c>
      <c r="G334">
        <v>75512</v>
      </c>
      <c r="H334">
        <v>3322528</v>
      </c>
      <c r="I334" t="s">
        <v>958</v>
      </c>
      <c r="J334" t="s">
        <v>412</v>
      </c>
      <c r="K334">
        <v>44</v>
      </c>
      <c r="L334">
        <v>0</v>
      </c>
      <c r="M334" t="s">
        <v>115</v>
      </c>
      <c r="N334" t="str">
        <f t="shared" si="30"/>
        <v>PO-100333</v>
      </c>
      <c r="O334" t="str">
        <f t="shared" si="31"/>
        <v>Delivered</v>
      </c>
      <c r="P334" t="str">
        <f t="shared" si="32"/>
        <v>WH-PUN</v>
      </c>
      <c r="Q334" t="str">
        <f>VLOOKUP(C334, Lookups!$A$2:$D$10, 2, FALSE())</f>
        <v>TechSupply Corp</v>
      </c>
      <c r="R334" t="str">
        <f>_xlfn.XLOOKUP(D334, Lookups!$A$12:$A$51, Lookups!$C$12:$C$51, "Unknown")</f>
        <v>Electronics</v>
      </c>
      <c r="S334" t="str">
        <f>IF(ISBLANK(I334), B334+VLOOKUP(C334, Lookups!$A$2:$D$10, 4, FALSE()), I334)</f>
        <v>2026-05-26</v>
      </c>
      <c r="T334">
        <f t="shared" si="33"/>
        <v>15</v>
      </c>
      <c r="U334" t="str">
        <f t="shared" si="34"/>
        <v>Late</v>
      </c>
      <c r="V334">
        <f t="shared" si="35"/>
        <v>0</v>
      </c>
    </row>
    <row r="335" spans="1:22" x14ac:dyDescent="0.45">
      <c r="A335" t="s">
        <v>959</v>
      </c>
      <c r="B335" t="s">
        <v>960</v>
      </c>
      <c r="C335" t="s">
        <v>35</v>
      </c>
      <c r="D335" t="s">
        <v>65</v>
      </c>
      <c r="E335" t="s">
        <v>17</v>
      </c>
      <c r="F335">
        <v>109</v>
      </c>
      <c r="G335">
        <v>4936</v>
      </c>
      <c r="H335">
        <v>538024</v>
      </c>
      <c r="I335" t="s">
        <v>961</v>
      </c>
      <c r="J335" t="s">
        <v>961</v>
      </c>
      <c r="K335">
        <v>109</v>
      </c>
      <c r="L335">
        <v>0</v>
      </c>
      <c r="M335" t="s">
        <v>115</v>
      </c>
      <c r="N335" t="str">
        <f t="shared" si="30"/>
        <v>PO-100334</v>
      </c>
      <c r="O335" t="str">
        <f t="shared" si="31"/>
        <v>Delivered</v>
      </c>
      <c r="P335" t="str">
        <f t="shared" si="32"/>
        <v>WH-BLR</v>
      </c>
      <c r="Q335" t="str">
        <f>VLOOKUP(C335, Lookups!$A$2:$D$10, 2, FALSE())</f>
        <v>Peripheral Source</v>
      </c>
      <c r="R335" t="str">
        <f>_xlfn.XLOOKUP(D335, Lookups!$A$12:$A$51, Lookups!$C$12:$C$51, "Unknown")</f>
        <v>Peripherals</v>
      </c>
      <c r="S335" t="str">
        <f>IF(ISBLANK(I335), B335+VLOOKUP(C335, Lookups!$A$2:$D$10, 4, FALSE()), I335)</f>
        <v>2025-05-03</v>
      </c>
      <c r="T335">
        <f t="shared" si="33"/>
        <v>10</v>
      </c>
      <c r="U335" t="str">
        <f t="shared" si="34"/>
        <v>On-Time</v>
      </c>
      <c r="V335">
        <f t="shared" si="35"/>
        <v>0</v>
      </c>
    </row>
    <row r="336" spans="1:22" x14ac:dyDescent="0.45">
      <c r="A336" t="s">
        <v>962</v>
      </c>
      <c r="B336" t="s">
        <v>963</v>
      </c>
      <c r="C336" t="s">
        <v>35</v>
      </c>
      <c r="D336" t="s">
        <v>65</v>
      </c>
      <c r="E336" t="s">
        <v>17</v>
      </c>
      <c r="F336">
        <v>202</v>
      </c>
      <c r="G336">
        <v>4936</v>
      </c>
      <c r="H336">
        <v>997072</v>
      </c>
      <c r="I336" t="s">
        <v>574</v>
      </c>
      <c r="J336" t="s">
        <v>856</v>
      </c>
      <c r="K336">
        <v>202</v>
      </c>
      <c r="L336">
        <v>0</v>
      </c>
      <c r="M336" t="s">
        <v>115</v>
      </c>
      <c r="N336" t="str">
        <f t="shared" si="30"/>
        <v>PO-100335</v>
      </c>
      <c r="O336" t="str">
        <f t="shared" si="31"/>
        <v>Delivered</v>
      </c>
      <c r="P336" t="str">
        <f t="shared" si="32"/>
        <v>WH-BLR</v>
      </c>
      <c r="Q336" t="str">
        <f>VLOOKUP(C336, Lookups!$A$2:$D$10, 2, FALSE())</f>
        <v>Peripheral Source</v>
      </c>
      <c r="R336" t="str">
        <f>_xlfn.XLOOKUP(D336, Lookups!$A$12:$A$51, Lookups!$C$12:$C$51, "Unknown")</f>
        <v>Peripherals</v>
      </c>
      <c r="S336" t="str">
        <f>IF(ISBLANK(I336), B336+VLOOKUP(C336, Lookups!$A$2:$D$10, 4, FALSE()), I336)</f>
        <v>2026-05-01</v>
      </c>
      <c r="T336">
        <f t="shared" si="33"/>
        <v>11</v>
      </c>
      <c r="U336" t="str">
        <f t="shared" si="34"/>
        <v>Late</v>
      </c>
      <c r="V336">
        <f t="shared" si="35"/>
        <v>0</v>
      </c>
    </row>
    <row r="337" spans="1:22" x14ac:dyDescent="0.45">
      <c r="A337" t="s">
        <v>964</v>
      </c>
      <c r="B337" t="s">
        <v>965</v>
      </c>
      <c r="C337" t="s">
        <v>30</v>
      </c>
      <c r="D337" t="s">
        <v>88</v>
      </c>
      <c r="E337" t="s">
        <v>17</v>
      </c>
      <c r="F337">
        <v>137</v>
      </c>
      <c r="G337">
        <v>75512</v>
      </c>
      <c r="H337">
        <v>10345144</v>
      </c>
      <c r="I337" t="s">
        <v>607</v>
      </c>
      <c r="J337" t="s">
        <v>607</v>
      </c>
      <c r="K337">
        <v>137</v>
      </c>
      <c r="L337">
        <v>0</v>
      </c>
      <c r="M337" t="s">
        <v>115</v>
      </c>
      <c r="N337" t="str">
        <f t="shared" si="30"/>
        <v>PO-100336</v>
      </c>
      <c r="O337" t="str">
        <f t="shared" si="31"/>
        <v>Delivered</v>
      </c>
      <c r="P337" t="str">
        <f t="shared" si="32"/>
        <v>WH-BLR</v>
      </c>
      <c r="Q337" t="str">
        <f>VLOOKUP(C337, Lookups!$A$2:$D$10, 2, FALSE())</f>
        <v>TechSupply Corp</v>
      </c>
      <c r="R337" t="str">
        <f>_xlfn.XLOOKUP(D337, Lookups!$A$12:$A$51, Lookups!$C$12:$C$51, "Unknown")</f>
        <v>Electronics</v>
      </c>
      <c r="S337" t="str">
        <f>IF(ISBLANK(I337), B337+VLOOKUP(C337, Lookups!$A$2:$D$10, 4, FALSE()), I337)</f>
        <v>2025-01-29</v>
      </c>
      <c r="T337">
        <f t="shared" si="33"/>
        <v>14</v>
      </c>
      <c r="U337" t="str">
        <f t="shared" si="34"/>
        <v>On-Time</v>
      </c>
      <c r="V337">
        <f t="shared" si="35"/>
        <v>0</v>
      </c>
    </row>
    <row r="338" spans="1:22" x14ac:dyDescent="0.45">
      <c r="A338" t="s">
        <v>966</v>
      </c>
      <c r="B338" t="s">
        <v>639</v>
      </c>
      <c r="C338" t="s">
        <v>33</v>
      </c>
      <c r="D338" t="s">
        <v>89</v>
      </c>
      <c r="E338" t="s">
        <v>15</v>
      </c>
      <c r="F338">
        <v>45</v>
      </c>
      <c r="G338">
        <v>11309</v>
      </c>
      <c r="H338">
        <v>508905</v>
      </c>
      <c r="I338" t="s">
        <v>836</v>
      </c>
      <c r="J338" t="s">
        <v>837</v>
      </c>
      <c r="K338">
        <v>44</v>
      </c>
      <c r="L338">
        <v>0</v>
      </c>
      <c r="M338" t="s">
        <v>115</v>
      </c>
      <c r="N338" t="str">
        <f t="shared" si="30"/>
        <v>PO-100337</v>
      </c>
      <c r="O338" t="str">
        <f t="shared" si="31"/>
        <v>Delivered</v>
      </c>
      <c r="P338" t="str">
        <f t="shared" si="32"/>
        <v>WH-BOM</v>
      </c>
      <c r="Q338" t="str">
        <f>VLOOKUP(C338, Lookups!$A$2:$D$10, 2, FALSE())</f>
        <v>MegaFurnish</v>
      </c>
      <c r="R338" t="str">
        <f>_xlfn.XLOOKUP(D338, Lookups!$A$12:$A$51, Lookups!$C$12:$C$51, "Unknown")</f>
        <v>Office Furniture</v>
      </c>
      <c r="S338" t="str">
        <f>IF(ISBLANK(I338), B338+VLOOKUP(C338, Lookups!$A$2:$D$10, 4, FALSE()), I338)</f>
        <v>2026-01-10</v>
      </c>
      <c r="T338">
        <f t="shared" si="33"/>
        <v>31</v>
      </c>
      <c r="U338" t="str">
        <f t="shared" si="34"/>
        <v>Late</v>
      </c>
      <c r="V338">
        <f t="shared" si="35"/>
        <v>0</v>
      </c>
    </row>
    <row r="339" spans="1:22" x14ac:dyDescent="0.45">
      <c r="A339" t="s">
        <v>967</v>
      </c>
      <c r="B339" t="s">
        <v>968</v>
      </c>
      <c r="C339" t="s">
        <v>30</v>
      </c>
      <c r="D339" t="s">
        <v>61</v>
      </c>
      <c r="E339" t="s">
        <v>15</v>
      </c>
      <c r="F339">
        <v>215</v>
      </c>
      <c r="G339">
        <v>111237</v>
      </c>
      <c r="H339">
        <v>23915955</v>
      </c>
      <c r="I339" t="s">
        <v>969</v>
      </c>
      <c r="J339" t="s">
        <v>969</v>
      </c>
      <c r="K339">
        <v>215</v>
      </c>
      <c r="L339">
        <v>0</v>
      </c>
      <c r="M339" t="s">
        <v>115</v>
      </c>
      <c r="N339" t="str">
        <f t="shared" si="30"/>
        <v>PO-100338</v>
      </c>
      <c r="O339" t="str">
        <f t="shared" si="31"/>
        <v>Delivered</v>
      </c>
      <c r="P339" t="str">
        <f t="shared" si="32"/>
        <v>WH-BOM</v>
      </c>
      <c r="Q339" t="str">
        <f>VLOOKUP(C339, Lookups!$A$2:$D$10, 2, FALSE())</f>
        <v>TechSupply Corp</v>
      </c>
      <c r="R339" t="str">
        <f>_xlfn.XLOOKUP(D339, Lookups!$A$12:$A$51, Lookups!$C$12:$C$51, "Unknown")</f>
        <v>Electronics</v>
      </c>
      <c r="S339" t="str">
        <f>IF(ISBLANK(I339), B339+VLOOKUP(C339, Lookups!$A$2:$D$10, 4, FALSE()), I339)</f>
        <v>2025-10-18</v>
      </c>
      <c r="T339">
        <f t="shared" si="33"/>
        <v>14</v>
      </c>
      <c r="U339" t="str">
        <f t="shared" si="34"/>
        <v>On-Time</v>
      </c>
      <c r="V339">
        <f t="shared" si="35"/>
        <v>0</v>
      </c>
    </row>
    <row r="340" spans="1:22" x14ac:dyDescent="0.45">
      <c r="A340" t="s">
        <v>970</v>
      </c>
      <c r="B340" t="s">
        <v>971</v>
      </c>
      <c r="C340" t="s">
        <v>34</v>
      </c>
      <c r="D340" t="s">
        <v>73</v>
      </c>
      <c r="E340" t="s">
        <v>17</v>
      </c>
      <c r="F340">
        <v>166</v>
      </c>
      <c r="G340">
        <v>58396</v>
      </c>
      <c r="H340">
        <v>9693736</v>
      </c>
      <c r="I340" t="s">
        <v>791</v>
      </c>
      <c r="J340" t="s">
        <v>791</v>
      </c>
      <c r="K340">
        <v>166</v>
      </c>
      <c r="L340">
        <v>0</v>
      </c>
      <c r="M340" t="s">
        <v>115</v>
      </c>
      <c r="N340" t="str">
        <f t="shared" si="30"/>
        <v>PO-100339</v>
      </c>
      <c r="O340" t="str">
        <f t="shared" si="31"/>
        <v>Delivered</v>
      </c>
      <c r="P340" t="str">
        <f t="shared" si="32"/>
        <v>WH-BLR</v>
      </c>
      <c r="Q340" t="str">
        <f>VLOOKUP(C340, Lookups!$A$2:$D$10, 2, FALSE())</f>
        <v>FastElectronics</v>
      </c>
      <c r="R340" t="str">
        <f>_xlfn.XLOOKUP(D340, Lookups!$A$12:$A$51, Lookups!$C$12:$C$51, "Unknown")</f>
        <v>Electronics</v>
      </c>
      <c r="S340" t="str">
        <f>IF(ISBLANK(I340), B340+VLOOKUP(C340, Lookups!$A$2:$D$10, 4, FALSE()), I340)</f>
        <v>2025-06-11</v>
      </c>
      <c r="T340">
        <f t="shared" si="33"/>
        <v>18</v>
      </c>
      <c r="U340" t="str">
        <f t="shared" si="34"/>
        <v>On-Time</v>
      </c>
      <c r="V340">
        <f t="shared" si="35"/>
        <v>0</v>
      </c>
    </row>
    <row r="341" spans="1:22" x14ac:dyDescent="0.45">
      <c r="A341" t="s">
        <v>972</v>
      </c>
      <c r="B341" t="s">
        <v>169</v>
      </c>
      <c r="C341" t="s">
        <v>34</v>
      </c>
      <c r="D341" t="s">
        <v>54</v>
      </c>
      <c r="E341" t="s">
        <v>16</v>
      </c>
      <c r="F341">
        <v>34</v>
      </c>
      <c r="G341">
        <v>22314</v>
      </c>
      <c r="H341">
        <v>758676</v>
      </c>
      <c r="I341" t="s">
        <v>457</v>
      </c>
      <c r="J341" t="s">
        <v>487</v>
      </c>
      <c r="K341">
        <v>34</v>
      </c>
      <c r="L341">
        <v>0</v>
      </c>
      <c r="M341" t="s">
        <v>115</v>
      </c>
      <c r="N341" t="str">
        <f t="shared" si="30"/>
        <v>PO-100340</v>
      </c>
      <c r="O341" t="str">
        <f t="shared" si="31"/>
        <v>Delivered</v>
      </c>
      <c r="P341" t="str">
        <f t="shared" si="32"/>
        <v>WH-DEL</v>
      </c>
      <c r="Q341" t="str">
        <f>VLOOKUP(C341, Lookups!$A$2:$D$10, 2, FALSE())</f>
        <v>FastElectronics</v>
      </c>
      <c r="R341" t="str">
        <f>_xlfn.XLOOKUP(D341, Lookups!$A$12:$A$51, Lookups!$C$12:$C$51, "Unknown")</f>
        <v>Networking</v>
      </c>
      <c r="S341" t="str">
        <f>IF(ISBLANK(I341), B341+VLOOKUP(C341, Lookups!$A$2:$D$10, 4, FALSE()), I341)</f>
        <v>2025-06-25</v>
      </c>
      <c r="T341">
        <f t="shared" si="33"/>
        <v>19</v>
      </c>
      <c r="U341" t="str">
        <f t="shared" si="34"/>
        <v>Late</v>
      </c>
      <c r="V341">
        <f t="shared" si="35"/>
        <v>0</v>
      </c>
    </row>
    <row r="342" spans="1:22" x14ac:dyDescent="0.45">
      <c r="A342" t="s">
        <v>973</v>
      </c>
      <c r="B342" t="s">
        <v>194</v>
      </c>
      <c r="C342" t="s">
        <v>37</v>
      </c>
      <c r="D342" t="s">
        <v>79</v>
      </c>
      <c r="E342" t="s">
        <v>18</v>
      </c>
      <c r="F342">
        <v>102</v>
      </c>
      <c r="G342">
        <v>23054</v>
      </c>
      <c r="H342">
        <v>2351508</v>
      </c>
      <c r="I342" t="s">
        <v>290</v>
      </c>
      <c r="J342" t="s">
        <v>290</v>
      </c>
      <c r="K342">
        <v>102</v>
      </c>
      <c r="L342">
        <v>15</v>
      </c>
      <c r="M342" t="s">
        <v>115</v>
      </c>
      <c r="N342" t="str">
        <f t="shared" si="30"/>
        <v>PO-100341</v>
      </c>
      <c r="O342" t="str">
        <f t="shared" si="31"/>
        <v>Delivered</v>
      </c>
      <c r="P342" t="str">
        <f t="shared" si="32"/>
        <v>WH-PUN</v>
      </c>
      <c r="Q342" t="str">
        <f>VLOOKUP(C342, Lookups!$A$2:$D$10, 2, FALSE())</f>
        <v>Premium Desks Ltd</v>
      </c>
      <c r="R342" t="str">
        <f>_xlfn.XLOOKUP(D342, Lookups!$A$12:$A$51, Lookups!$C$12:$C$51, "Unknown")</f>
        <v>Office Furniture</v>
      </c>
      <c r="S342" t="str">
        <f>IF(ISBLANK(I342), B342+VLOOKUP(C342, Lookups!$A$2:$D$10, 4, FALSE()), I342)</f>
        <v>2026-07-12</v>
      </c>
      <c r="T342">
        <f t="shared" si="33"/>
        <v>12</v>
      </c>
      <c r="U342" t="str">
        <f t="shared" si="34"/>
        <v>On-Time</v>
      </c>
      <c r="V342">
        <f t="shared" si="35"/>
        <v>0.14705882352941177</v>
      </c>
    </row>
    <row r="343" spans="1:22" x14ac:dyDescent="0.45">
      <c r="A343" t="s">
        <v>974</v>
      </c>
      <c r="B343" t="s">
        <v>337</v>
      </c>
      <c r="C343" t="s">
        <v>37</v>
      </c>
      <c r="D343" t="s">
        <v>69</v>
      </c>
      <c r="E343" t="s">
        <v>16</v>
      </c>
      <c r="F343">
        <v>61</v>
      </c>
      <c r="G343">
        <v>13231</v>
      </c>
      <c r="H343">
        <v>807091</v>
      </c>
      <c r="I343" t="s">
        <v>322</v>
      </c>
      <c r="J343" t="s">
        <v>149</v>
      </c>
      <c r="K343">
        <v>61</v>
      </c>
      <c r="L343">
        <v>0</v>
      </c>
      <c r="M343" t="s">
        <v>115</v>
      </c>
      <c r="N343" t="str">
        <f t="shared" si="30"/>
        <v>PO-100342</v>
      </c>
      <c r="O343" t="str">
        <f t="shared" si="31"/>
        <v>Delivered</v>
      </c>
      <c r="P343" t="str">
        <f t="shared" si="32"/>
        <v>WH-DEL</v>
      </c>
      <c r="Q343" t="str">
        <f>VLOOKUP(C343, Lookups!$A$2:$D$10, 2, FALSE())</f>
        <v>Premium Desks Ltd</v>
      </c>
      <c r="R343" t="str">
        <f>_xlfn.XLOOKUP(D343, Lookups!$A$12:$A$51, Lookups!$C$12:$C$51, "Unknown")</f>
        <v>Office Furniture</v>
      </c>
      <c r="S343" t="str">
        <f>IF(ISBLANK(I343), B343+VLOOKUP(C343, Lookups!$A$2:$D$10, 4, FALSE()), I343)</f>
        <v>2026-03-24</v>
      </c>
      <c r="T343">
        <f t="shared" si="33"/>
        <v>22</v>
      </c>
      <c r="U343" t="str">
        <f t="shared" si="34"/>
        <v>Late</v>
      </c>
      <c r="V343">
        <f t="shared" si="35"/>
        <v>0</v>
      </c>
    </row>
    <row r="344" spans="1:22" x14ac:dyDescent="0.45">
      <c r="A344" t="s">
        <v>975</v>
      </c>
      <c r="B344" t="s">
        <v>308</v>
      </c>
      <c r="C344" t="s">
        <v>35</v>
      </c>
      <c r="D344" t="s">
        <v>72</v>
      </c>
      <c r="E344" t="s">
        <v>18</v>
      </c>
      <c r="F344">
        <v>188</v>
      </c>
      <c r="G344">
        <v>7754</v>
      </c>
      <c r="H344">
        <v>1457752</v>
      </c>
      <c r="I344" t="s">
        <v>495</v>
      </c>
      <c r="J344" t="s">
        <v>976</v>
      </c>
      <c r="K344">
        <v>188</v>
      </c>
      <c r="L344">
        <v>0</v>
      </c>
      <c r="M344" t="s">
        <v>115</v>
      </c>
      <c r="N344" t="str">
        <f t="shared" si="30"/>
        <v>PO-100343</v>
      </c>
      <c r="O344" t="str">
        <f t="shared" si="31"/>
        <v>Delivered</v>
      </c>
      <c r="P344" t="str">
        <f t="shared" si="32"/>
        <v>WH-PUN</v>
      </c>
      <c r="Q344" t="str">
        <f>VLOOKUP(C344, Lookups!$A$2:$D$10, 2, FALSE())</f>
        <v>Peripheral Source</v>
      </c>
      <c r="R344" t="str">
        <f>_xlfn.XLOOKUP(D344, Lookups!$A$12:$A$51, Lookups!$C$12:$C$51, "Unknown")</f>
        <v>Peripherals</v>
      </c>
      <c r="S344" t="str">
        <f>IF(ISBLANK(I344), B344+VLOOKUP(C344, Lookups!$A$2:$D$10, 4, FALSE()), I344)</f>
        <v>2026-09-23</v>
      </c>
      <c r="T344">
        <f t="shared" si="33"/>
        <v>11</v>
      </c>
      <c r="U344" t="str">
        <f t="shared" si="34"/>
        <v>Late</v>
      </c>
      <c r="V344">
        <f t="shared" si="35"/>
        <v>0</v>
      </c>
    </row>
    <row r="345" spans="1:22" x14ac:dyDescent="0.45">
      <c r="A345" t="s">
        <v>977</v>
      </c>
      <c r="B345" t="s">
        <v>137</v>
      </c>
      <c r="C345" t="s">
        <v>31</v>
      </c>
      <c r="D345" t="s">
        <v>66</v>
      </c>
      <c r="E345" t="s">
        <v>16</v>
      </c>
      <c r="F345">
        <v>238</v>
      </c>
      <c r="G345">
        <v>29719</v>
      </c>
      <c r="H345">
        <v>7073122</v>
      </c>
      <c r="I345" t="s">
        <v>139</v>
      </c>
      <c r="J345" t="s">
        <v>978</v>
      </c>
      <c r="K345">
        <v>238</v>
      </c>
      <c r="L345">
        <v>0</v>
      </c>
      <c r="M345" t="s">
        <v>115</v>
      </c>
      <c r="N345" t="str">
        <f t="shared" si="30"/>
        <v>PO-100344</v>
      </c>
      <c r="O345" t="str">
        <f t="shared" si="31"/>
        <v>Delivered</v>
      </c>
      <c r="P345" t="str">
        <f t="shared" si="32"/>
        <v>WH-DEL</v>
      </c>
      <c r="Q345" t="str">
        <f>VLOOKUP(C345, Lookups!$A$2:$D$10, 2, FALSE())</f>
        <v>Global Networks</v>
      </c>
      <c r="R345" t="str">
        <f>_xlfn.XLOOKUP(D345, Lookups!$A$12:$A$51, Lookups!$C$12:$C$51, "Unknown")</f>
        <v>Networking</v>
      </c>
      <c r="S345" t="str">
        <f>IF(ISBLANK(I345), B345+VLOOKUP(C345, Lookups!$A$2:$D$10, 4, FALSE()), I345)</f>
        <v>2025-09-29</v>
      </c>
      <c r="T345">
        <f t="shared" si="33"/>
        <v>22</v>
      </c>
      <c r="U345" t="str">
        <f t="shared" si="34"/>
        <v>Late</v>
      </c>
      <c r="V345">
        <f t="shared" si="35"/>
        <v>0</v>
      </c>
    </row>
    <row r="346" spans="1:22" x14ac:dyDescent="0.45">
      <c r="A346" t="s">
        <v>979</v>
      </c>
      <c r="B346" t="s">
        <v>658</v>
      </c>
      <c r="C346" t="s">
        <v>37</v>
      </c>
      <c r="D346" t="s">
        <v>69</v>
      </c>
      <c r="E346" t="s">
        <v>16</v>
      </c>
      <c r="F346">
        <v>127</v>
      </c>
      <c r="G346">
        <v>13231</v>
      </c>
      <c r="H346">
        <v>1680337</v>
      </c>
      <c r="I346" t="s">
        <v>980</v>
      </c>
      <c r="J346" t="s">
        <v>981</v>
      </c>
      <c r="K346">
        <v>127</v>
      </c>
      <c r="L346">
        <v>0</v>
      </c>
      <c r="M346" t="s">
        <v>115</v>
      </c>
      <c r="N346" t="str">
        <f t="shared" si="30"/>
        <v>PO-100345</v>
      </c>
      <c r="O346" t="str">
        <f t="shared" si="31"/>
        <v>Delivered</v>
      </c>
      <c r="P346" t="str">
        <f t="shared" si="32"/>
        <v>WH-DEL</v>
      </c>
      <c r="Q346" t="str">
        <f>VLOOKUP(C346, Lookups!$A$2:$D$10, 2, FALSE())</f>
        <v>Premium Desks Ltd</v>
      </c>
      <c r="R346" t="str">
        <f>_xlfn.XLOOKUP(D346, Lookups!$A$12:$A$51, Lookups!$C$12:$C$51, "Unknown")</f>
        <v>Office Furniture</v>
      </c>
      <c r="S346" t="str">
        <f>IF(ISBLANK(I346), B346+VLOOKUP(C346, Lookups!$A$2:$D$10, 4, FALSE()), I346)</f>
        <v>2026-10-12</v>
      </c>
      <c r="T346">
        <f t="shared" si="33"/>
        <v>13</v>
      </c>
      <c r="U346" t="str">
        <f t="shared" si="34"/>
        <v>Late</v>
      </c>
      <c r="V346">
        <f t="shared" si="35"/>
        <v>0</v>
      </c>
    </row>
    <row r="347" spans="1:22" x14ac:dyDescent="0.45">
      <c r="A347" t="s">
        <v>982</v>
      </c>
      <c r="B347" t="s">
        <v>276</v>
      </c>
      <c r="C347" t="s">
        <v>34</v>
      </c>
      <c r="D347" t="s">
        <v>80</v>
      </c>
      <c r="E347" t="s">
        <v>16</v>
      </c>
      <c r="F347">
        <v>189</v>
      </c>
      <c r="G347">
        <v>19090</v>
      </c>
      <c r="H347">
        <v>3608010</v>
      </c>
      <c r="I347" t="s">
        <v>983</v>
      </c>
      <c r="J347" t="s">
        <v>984</v>
      </c>
      <c r="K347">
        <v>189</v>
      </c>
      <c r="L347">
        <v>0</v>
      </c>
      <c r="M347" t="s">
        <v>115</v>
      </c>
      <c r="N347" t="str">
        <f t="shared" si="30"/>
        <v>PO-100346</v>
      </c>
      <c r="O347" t="str">
        <f t="shared" si="31"/>
        <v>Delivered</v>
      </c>
      <c r="P347" t="str">
        <f t="shared" si="32"/>
        <v>WH-DEL</v>
      </c>
      <c r="Q347" t="str">
        <f>VLOOKUP(C347, Lookups!$A$2:$D$10, 2, FALSE())</f>
        <v>FastElectronics</v>
      </c>
      <c r="R347" t="str">
        <f>_xlfn.XLOOKUP(D347, Lookups!$A$12:$A$51, Lookups!$C$12:$C$51, "Unknown")</f>
        <v>Networking</v>
      </c>
      <c r="S347" t="str">
        <f>IF(ISBLANK(I347), B347+VLOOKUP(C347, Lookups!$A$2:$D$10, 4, FALSE()), I347)</f>
        <v>2025-04-30</v>
      </c>
      <c r="T347">
        <f t="shared" si="33"/>
        <v>26</v>
      </c>
      <c r="U347" t="str">
        <f t="shared" si="34"/>
        <v>Late</v>
      </c>
      <c r="V347">
        <f t="shared" si="35"/>
        <v>0</v>
      </c>
    </row>
    <row r="348" spans="1:22" x14ac:dyDescent="0.45">
      <c r="A348" t="s">
        <v>985</v>
      </c>
      <c r="B348" t="s">
        <v>986</v>
      </c>
      <c r="C348" t="s">
        <v>35</v>
      </c>
      <c r="D348" t="s">
        <v>57</v>
      </c>
      <c r="E348" t="s">
        <v>17</v>
      </c>
      <c r="F348">
        <v>33</v>
      </c>
      <c r="G348">
        <v>2212</v>
      </c>
      <c r="H348">
        <v>72996</v>
      </c>
      <c r="I348" t="s">
        <v>672</v>
      </c>
      <c r="J348" t="s">
        <v>672</v>
      </c>
      <c r="K348">
        <v>33</v>
      </c>
      <c r="L348">
        <v>0</v>
      </c>
      <c r="M348" t="s">
        <v>115</v>
      </c>
      <c r="N348" t="str">
        <f t="shared" si="30"/>
        <v>PO-100347</v>
      </c>
      <c r="O348" t="str">
        <f t="shared" si="31"/>
        <v>Delivered</v>
      </c>
      <c r="P348" t="str">
        <f t="shared" si="32"/>
        <v>WH-BLR</v>
      </c>
      <c r="Q348" t="str">
        <f>VLOOKUP(C348, Lookups!$A$2:$D$10, 2, FALSE())</f>
        <v>Peripheral Source</v>
      </c>
      <c r="R348" t="str">
        <f>_xlfn.XLOOKUP(D348, Lookups!$A$12:$A$51, Lookups!$C$12:$C$51, "Unknown")</f>
        <v>Peripherals</v>
      </c>
      <c r="S348" t="str">
        <f>IF(ISBLANK(I348), B348+VLOOKUP(C348, Lookups!$A$2:$D$10, 4, FALSE()), I348)</f>
        <v>2026-11-14</v>
      </c>
      <c r="T348">
        <f t="shared" si="33"/>
        <v>10</v>
      </c>
      <c r="U348" t="str">
        <f t="shared" si="34"/>
        <v>On-Time</v>
      </c>
      <c r="V348">
        <f t="shared" si="35"/>
        <v>0</v>
      </c>
    </row>
    <row r="349" spans="1:22" x14ac:dyDescent="0.45">
      <c r="A349" t="s">
        <v>987</v>
      </c>
      <c r="B349" t="s">
        <v>988</v>
      </c>
      <c r="C349" t="s">
        <v>30</v>
      </c>
      <c r="D349" t="s">
        <v>61</v>
      </c>
      <c r="E349" t="s">
        <v>18</v>
      </c>
      <c r="F349">
        <v>220</v>
      </c>
      <c r="G349">
        <v>111237</v>
      </c>
      <c r="H349">
        <v>24472140</v>
      </c>
      <c r="I349" t="s">
        <v>651</v>
      </c>
      <c r="J349" t="s">
        <v>989</v>
      </c>
      <c r="K349">
        <v>220</v>
      </c>
      <c r="L349">
        <v>0</v>
      </c>
      <c r="M349" t="s">
        <v>115</v>
      </c>
      <c r="N349" t="str">
        <f t="shared" si="30"/>
        <v>PO-100348</v>
      </c>
      <c r="O349" t="str">
        <f t="shared" si="31"/>
        <v>Delivered</v>
      </c>
      <c r="P349" t="str">
        <f t="shared" si="32"/>
        <v>WH-PUN</v>
      </c>
      <c r="Q349" t="str">
        <f>VLOOKUP(C349, Lookups!$A$2:$D$10, 2, FALSE())</f>
        <v>TechSupply Corp</v>
      </c>
      <c r="R349" t="str">
        <f>_xlfn.XLOOKUP(D349, Lookups!$A$12:$A$51, Lookups!$C$12:$C$51, "Unknown")</f>
        <v>Electronics</v>
      </c>
      <c r="S349" t="str">
        <f>IF(ISBLANK(I349), B349+VLOOKUP(C349, Lookups!$A$2:$D$10, 4, FALSE()), I349)</f>
        <v>2025-11-12</v>
      </c>
      <c r="T349">
        <f t="shared" si="33"/>
        <v>15</v>
      </c>
      <c r="U349" t="str">
        <f t="shared" si="34"/>
        <v>Late</v>
      </c>
      <c r="V349">
        <f t="shared" si="35"/>
        <v>0</v>
      </c>
    </row>
    <row r="350" spans="1:22" x14ac:dyDescent="0.45">
      <c r="A350" t="s">
        <v>990</v>
      </c>
      <c r="B350" t="s">
        <v>991</v>
      </c>
      <c r="C350" t="s">
        <v>33</v>
      </c>
      <c r="D350" t="s">
        <v>89</v>
      </c>
      <c r="E350" t="s">
        <v>15</v>
      </c>
      <c r="F350">
        <v>248</v>
      </c>
      <c r="G350">
        <v>11309</v>
      </c>
      <c r="H350">
        <v>2804632</v>
      </c>
      <c r="I350" t="s">
        <v>334</v>
      </c>
      <c r="J350" t="s">
        <v>334</v>
      </c>
      <c r="K350">
        <v>248</v>
      </c>
      <c r="L350">
        <v>0</v>
      </c>
      <c r="M350" t="s">
        <v>115</v>
      </c>
      <c r="N350" t="str">
        <f t="shared" si="30"/>
        <v>PO-100349</v>
      </c>
      <c r="O350" t="str">
        <f t="shared" si="31"/>
        <v>Delivered</v>
      </c>
      <c r="P350" t="str">
        <f t="shared" si="32"/>
        <v>WH-BOM</v>
      </c>
      <c r="Q350" t="str">
        <f>VLOOKUP(C350, Lookups!$A$2:$D$10, 2, FALSE())</f>
        <v>MegaFurnish</v>
      </c>
      <c r="R350" t="str">
        <f>_xlfn.XLOOKUP(D350, Lookups!$A$12:$A$51, Lookups!$C$12:$C$51, "Unknown")</f>
        <v>Office Furniture</v>
      </c>
      <c r="S350" t="str">
        <f>IF(ISBLANK(I350), B350+VLOOKUP(C350, Lookups!$A$2:$D$10, 4, FALSE()), I350)</f>
        <v>2026-08-15</v>
      </c>
      <c r="T350">
        <f t="shared" si="33"/>
        <v>30</v>
      </c>
      <c r="U350" t="str">
        <f t="shared" si="34"/>
        <v>On-Time</v>
      </c>
      <c r="V350">
        <f t="shared" si="35"/>
        <v>0</v>
      </c>
    </row>
    <row r="351" spans="1:22" x14ac:dyDescent="0.45">
      <c r="A351" t="s">
        <v>992</v>
      </c>
      <c r="B351" t="s">
        <v>993</v>
      </c>
      <c r="C351" t="s">
        <v>31</v>
      </c>
      <c r="D351" t="s">
        <v>66</v>
      </c>
      <c r="E351" t="s">
        <v>18</v>
      </c>
      <c r="F351">
        <v>40</v>
      </c>
      <c r="G351">
        <v>29719</v>
      </c>
      <c r="H351">
        <v>1188760</v>
      </c>
      <c r="I351" t="s">
        <v>732</v>
      </c>
      <c r="J351" t="s">
        <v>732</v>
      </c>
      <c r="K351">
        <v>40</v>
      </c>
      <c r="L351">
        <v>0</v>
      </c>
      <c r="M351" t="s">
        <v>115</v>
      </c>
      <c r="N351" t="str">
        <f t="shared" si="30"/>
        <v>PO-100350</v>
      </c>
      <c r="O351" t="str">
        <f t="shared" si="31"/>
        <v>Delivered</v>
      </c>
      <c r="P351" t="str">
        <f t="shared" si="32"/>
        <v>WH-PUN</v>
      </c>
      <c r="Q351" t="str">
        <f>VLOOKUP(C351, Lookups!$A$2:$D$10, 2, FALSE())</f>
        <v>Global Networks</v>
      </c>
      <c r="R351" t="str">
        <f>_xlfn.XLOOKUP(D351, Lookups!$A$12:$A$51, Lookups!$C$12:$C$51, "Unknown")</f>
        <v>Networking</v>
      </c>
      <c r="S351" t="str">
        <f>IF(ISBLANK(I351), B351+VLOOKUP(C351, Lookups!$A$2:$D$10, 4, FALSE()), I351)</f>
        <v>2025-06-18</v>
      </c>
      <c r="T351">
        <f t="shared" si="33"/>
        <v>21</v>
      </c>
      <c r="U351" t="str">
        <f t="shared" si="34"/>
        <v>On-Time</v>
      </c>
      <c r="V351">
        <f t="shared" si="35"/>
        <v>0</v>
      </c>
    </row>
    <row r="352" spans="1:22" x14ac:dyDescent="0.45">
      <c r="A352" t="s">
        <v>994</v>
      </c>
      <c r="B352" t="s">
        <v>995</v>
      </c>
      <c r="C352" t="s">
        <v>30</v>
      </c>
      <c r="D352" t="s">
        <v>82</v>
      </c>
      <c r="E352" t="s">
        <v>15</v>
      </c>
      <c r="F352">
        <v>19</v>
      </c>
      <c r="G352">
        <v>83427</v>
      </c>
      <c r="H352">
        <v>1585113</v>
      </c>
      <c r="I352" t="s">
        <v>933</v>
      </c>
      <c r="J352" t="s">
        <v>173</v>
      </c>
      <c r="K352">
        <v>19</v>
      </c>
      <c r="L352">
        <v>0</v>
      </c>
      <c r="M352" t="s">
        <v>115</v>
      </c>
      <c r="N352" t="str">
        <f t="shared" si="30"/>
        <v>PO-100351</v>
      </c>
      <c r="O352" t="str">
        <f t="shared" si="31"/>
        <v>Delivered</v>
      </c>
      <c r="P352" t="str">
        <f t="shared" si="32"/>
        <v>WH-BOM</v>
      </c>
      <c r="Q352" t="str">
        <f>VLOOKUP(C352, Lookups!$A$2:$D$10, 2, FALSE())</f>
        <v>TechSupply Corp</v>
      </c>
      <c r="R352" t="str">
        <f>_xlfn.XLOOKUP(D352, Lookups!$A$12:$A$51, Lookups!$C$12:$C$51, "Unknown")</f>
        <v>Electronics</v>
      </c>
      <c r="S352" t="str">
        <f>IF(ISBLANK(I352), B352+VLOOKUP(C352, Lookups!$A$2:$D$10, 4, FALSE()), I352)</f>
        <v>2025-09-05</v>
      </c>
      <c r="T352">
        <f t="shared" si="33"/>
        <v>15</v>
      </c>
      <c r="U352" t="str">
        <f t="shared" si="34"/>
        <v>Late</v>
      </c>
      <c r="V352">
        <f t="shared" si="35"/>
        <v>0</v>
      </c>
    </row>
    <row r="353" spans="1:22" x14ac:dyDescent="0.45">
      <c r="A353" t="s">
        <v>996</v>
      </c>
      <c r="B353" t="s">
        <v>195</v>
      </c>
      <c r="C353" t="s">
        <v>34</v>
      </c>
      <c r="D353" t="s">
        <v>80</v>
      </c>
      <c r="E353" t="s">
        <v>15</v>
      </c>
      <c r="F353">
        <v>181</v>
      </c>
      <c r="G353">
        <v>19090</v>
      </c>
      <c r="H353">
        <v>3455290</v>
      </c>
      <c r="I353" t="s">
        <v>175</v>
      </c>
      <c r="J353" t="s">
        <v>312</v>
      </c>
      <c r="K353">
        <v>181</v>
      </c>
      <c r="L353">
        <v>0</v>
      </c>
      <c r="M353" t="s">
        <v>115</v>
      </c>
      <c r="N353" t="str">
        <f t="shared" si="30"/>
        <v>PO-100352</v>
      </c>
      <c r="O353" t="str">
        <f t="shared" si="31"/>
        <v>Delivered</v>
      </c>
      <c r="P353" t="str">
        <f t="shared" si="32"/>
        <v>WH-BOM</v>
      </c>
      <c r="Q353" t="str">
        <f>VLOOKUP(C353, Lookups!$A$2:$D$10, 2, FALSE())</f>
        <v>FastElectronics</v>
      </c>
      <c r="R353" t="str">
        <f>_xlfn.XLOOKUP(D353, Lookups!$A$12:$A$51, Lookups!$C$12:$C$51, "Unknown")</f>
        <v>Networking</v>
      </c>
      <c r="S353" t="str">
        <f>IF(ISBLANK(I353), B353+VLOOKUP(C353, Lookups!$A$2:$D$10, 4, FALSE()), I353)</f>
        <v>2026-07-28</v>
      </c>
      <c r="T353">
        <f t="shared" si="33"/>
        <v>19</v>
      </c>
      <c r="U353" t="str">
        <f t="shared" si="34"/>
        <v>Late</v>
      </c>
      <c r="V353">
        <f t="shared" si="35"/>
        <v>0</v>
      </c>
    </row>
    <row r="354" spans="1:22" x14ac:dyDescent="0.45">
      <c r="A354" t="s">
        <v>997</v>
      </c>
      <c r="B354" t="s">
        <v>998</v>
      </c>
      <c r="C354" t="s">
        <v>35</v>
      </c>
      <c r="D354" t="s">
        <v>72</v>
      </c>
      <c r="E354" t="s">
        <v>17</v>
      </c>
      <c r="F354">
        <v>28</v>
      </c>
      <c r="G354">
        <v>7754</v>
      </c>
      <c r="H354">
        <v>217112</v>
      </c>
      <c r="I354" t="s">
        <v>999</v>
      </c>
      <c r="J354" t="s">
        <v>520</v>
      </c>
      <c r="K354">
        <v>28</v>
      </c>
      <c r="L354">
        <v>0</v>
      </c>
      <c r="M354" t="s">
        <v>115</v>
      </c>
      <c r="N354" t="str">
        <f t="shared" si="30"/>
        <v>PO-100353</v>
      </c>
      <c r="O354" t="str">
        <f t="shared" si="31"/>
        <v>Delivered</v>
      </c>
      <c r="P354" t="str">
        <f t="shared" si="32"/>
        <v>WH-BLR</v>
      </c>
      <c r="Q354" t="str">
        <f>VLOOKUP(C354, Lookups!$A$2:$D$10, 2, FALSE())</f>
        <v>Peripheral Source</v>
      </c>
      <c r="R354" t="str">
        <f>_xlfn.XLOOKUP(D354, Lookups!$A$12:$A$51, Lookups!$C$12:$C$51, "Unknown")</f>
        <v>Peripherals</v>
      </c>
      <c r="S354" t="str">
        <f>IF(ISBLANK(I354), B354+VLOOKUP(C354, Lookups!$A$2:$D$10, 4, FALSE()), I354)</f>
        <v>2026-08-28</v>
      </c>
      <c r="T354">
        <f t="shared" si="33"/>
        <v>11</v>
      </c>
      <c r="U354" t="str">
        <f t="shared" si="34"/>
        <v>Late</v>
      </c>
      <c r="V354">
        <f t="shared" si="35"/>
        <v>0</v>
      </c>
    </row>
    <row r="355" spans="1:22" x14ac:dyDescent="0.45">
      <c r="A355" t="s">
        <v>1000</v>
      </c>
      <c r="B355" t="s">
        <v>426</v>
      </c>
      <c r="C355" t="s">
        <v>33</v>
      </c>
      <c r="D355" t="s">
        <v>89</v>
      </c>
      <c r="E355" t="s">
        <v>15</v>
      </c>
      <c r="F355">
        <v>219</v>
      </c>
      <c r="G355">
        <v>11309</v>
      </c>
      <c r="H355">
        <v>2476671</v>
      </c>
      <c r="I355" t="s">
        <v>834</v>
      </c>
      <c r="J355" t="s">
        <v>834</v>
      </c>
      <c r="K355">
        <v>219</v>
      </c>
      <c r="L355">
        <v>0</v>
      </c>
      <c r="M355" t="s">
        <v>115</v>
      </c>
      <c r="N355" t="str">
        <f t="shared" si="30"/>
        <v>PO-100354</v>
      </c>
      <c r="O355" t="str">
        <f t="shared" si="31"/>
        <v>Delivered</v>
      </c>
      <c r="P355" t="str">
        <f t="shared" si="32"/>
        <v>WH-BOM</v>
      </c>
      <c r="Q355" t="str">
        <f>VLOOKUP(C355, Lookups!$A$2:$D$10, 2, FALSE())</f>
        <v>MegaFurnish</v>
      </c>
      <c r="R355" t="str">
        <f>_xlfn.XLOOKUP(D355, Lookups!$A$12:$A$51, Lookups!$C$12:$C$51, "Unknown")</f>
        <v>Office Furniture</v>
      </c>
      <c r="S355" t="str">
        <f>IF(ISBLANK(I355), B355+VLOOKUP(C355, Lookups!$A$2:$D$10, 4, FALSE()), I355)</f>
        <v>2025-08-26</v>
      </c>
      <c r="T355">
        <f t="shared" si="33"/>
        <v>30</v>
      </c>
      <c r="U355" t="str">
        <f t="shared" si="34"/>
        <v>On-Time</v>
      </c>
      <c r="V355">
        <f t="shared" si="35"/>
        <v>0</v>
      </c>
    </row>
    <row r="356" spans="1:22" x14ac:dyDescent="0.45">
      <c r="A356" t="s">
        <v>1001</v>
      </c>
      <c r="B356" t="s">
        <v>559</v>
      </c>
      <c r="C356" t="s">
        <v>32</v>
      </c>
      <c r="D356" t="s">
        <v>84</v>
      </c>
      <c r="E356" t="s">
        <v>15</v>
      </c>
      <c r="F356">
        <v>100</v>
      </c>
      <c r="G356">
        <v>7271</v>
      </c>
      <c r="H356">
        <v>727100</v>
      </c>
      <c r="I356" t="s">
        <v>1002</v>
      </c>
      <c r="J356" t="s">
        <v>1003</v>
      </c>
      <c r="K356">
        <v>100</v>
      </c>
      <c r="L356">
        <v>10</v>
      </c>
      <c r="M356" t="s">
        <v>115</v>
      </c>
      <c r="N356" t="str">
        <f t="shared" si="30"/>
        <v>PO-100355</v>
      </c>
      <c r="O356" t="str">
        <f t="shared" si="31"/>
        <v>Delivered</v>
      </c>
      <c r="P356" t="str">
        <f t="shared" si="32"/>
        <v>WH-BOM</v>
      </c>
      <c r="Q356" t="str">
        <f>VLOOKUP(C356, Lookups!$A$2:$D$10, 2, FALSE())</f>
        <v>OfficeDepot Pro</v>
      </c>
      <c r="R356" t="str">
        <f>_xlfn.XLOOKUP(D356, Lookups!$A$12:$A$51, Lookups!$C$12:$C$51, "Unknown")</f>
        <v>Peripherals</v>
      </c>
      <c r="S356" t="str">
        <f>IF(ISBLANK(I356), B356+VLOOKUP(C356, Lookups!$A$2:$D$10, 4, FALSE()), I356)</f>
        <v>2026-04-26</v>
      </c>
      <c r="T356">
        <f t="shared" si="33"/>
        <v>8</v>
      </c>
      <c r="U356" t="str">
        <f t="shared" si="34"/>
        <v>Late</v>
      </c>
      <c r="V356">
        <f t="shared" si="35"/>
        <v>0.1</v>
      </c>
    </row>
    <row r="357" spans="1:22" x14ac:dyDescent="0.45">
      <c r="A357" t="s">
        <v>1004</v>
      </c>
      <c r="B357" t="s">
        <v>1005</v>
      </c>
      <c r="C357" t="s">
        <v>35</v>
      </c>
      <c r="D357" t="s">
        <v>75</v>
      </c>
      <c r="E357" t="s">
        <v>18</v>
      </c>
      <c r="F357">
        <v>52</v>
      </c>
      <c r="G357">
        <v>4440</v>
      </c>
      <c r="H357">
        <v>230880</v>
      </c>
      <c r="I357" t="s">
        <v>1006</v>
      </c>
      <c r="J357" t="s">
        <v>1006</v>
      </c>
      <c r="K357">
        <v>52</v>
      </c>
      <c r="L357">
        <v>0</v>
      </c>
      <c r="M357" t="s">
        <v>115</v>
      </c>
      <c r="N357" t="str">
        <f t="shared" si="30"/>
        <v>PO-100356</v>
      </c>
      <c r="O357" t="str">
        <f t="shared" si="31"/>
        <v>Delivered</v>
      </c>
      <c r="P357" t="str">
        <f t="shared" si="32"/>
        <v>WH-PUN</v>
      </c>
      <c r="Q357" t="str">
        <f>VLOOKUP(C357, Lookups!$A$2:$D$10, 2, FALSE())</f>
        <v>Peripheral Source</v>
      </c>
      <c r="R357" t="str">
        <f>_xlfn.XLOOKUP(D357, Lookups!$A$12:$A$51, Lookups!$C$12:$C$51, "Unknown")</f>
        <v>Peripherals</v>
      </c>
      <c r="S357" t="str">
        <f>IF(ISBLANK(I357), B357+VLOOKUP(C357, Lookups!$A$2:$D$10, 4, FALSE()), I357)</f>
        <v>2025-11-16</v>
      </c>
      <c r="T357">
        <f t="shared" si="33"/>
        <v>10</v>
      </c>
      <c r="U357" t="str">
        <f t="shared" si="34"/>
        <v>On-Time</v>
      </c>
      <c r="V357">
        <f t="shared" si="35"/>
        <v>0</v>
      </c>
    </row>
    <row r="358" spans="1:22" x14ac:dyDescent="0.45">
      <c r="A358" t="s">
        <v>1007</v>
      </c>
      <c r="B358" t="s">
        <v>577</v>
      </c>
      <c r="C358" t="s">
        <v>37</v>
      </c>
      <c r="D358" t="s">
        <v>78</v>
      </c>
      <c r="E358" t="s">
        <v>16</v>
      </c>
      <c r="F358">
        <v>144</v>
      </c>
      <c r="G358">
        <v>9423</v>
      </c>
      <c r="H358">
        <v>1356912</v>
      </c>
      <c r="I358" t="s">
        <v>587</v>
      </c>
      <c r="J358" t="s">
        <v>367</v>
      </c>
      <c r="K358">
        <v>144</v>
      </c>
      <c r="L358">
        <v>0</v>
      </c>
      <c r="M358" t="s">
        <v>115</v>
      </c>
      <c r="N358" t="str">
        <f t="shared" si="30"/>
        <v>PO-100357</v>
      </c>
      <c r="O358" t="str">
        <f t="shared" si="31"/>
        <v>Delivered</v>
      </c>
      <c r="P358" t="str">
        <f t="shared" si="32"/>
        <v>WH-DEL</v>
      </c>
      <c r="Q358" t="str">
        <f>VLOOKUP(C358, Lookups!$A$2:$D$10, 2, FALSE())</f>
        <v>Premium Desks Ltd</v>
      </c>
      <c r="R358" t="str">
        <f>_xlfn.XLOOKUP(D358, Lookups!$A$12:$A$51, Lookups!$C$12:$C$51, "Unknown")</f>
        <v>Office Furniture</v>
      </c>
      <c r="S358" t="str">
        <f>IF(ISBLANK(I358), B358+VLOOKUP(C358, Lookups!$A$2:$D$10, 4, FALSE()), I358)</f>
        <v>2026-04-11</v>
      </c>
      <c r="T358">
        <f t="shared" si="33"/>
        <v>16</v>
      </c>
      <c r="U358" t="str">
        <f t="shared" si="34"/>
        <v>Late</v>
      </c>
      <c r="V358">
        <f t="shared" si="35"/>
        <v>0</v>
      </c>
    </row>
    <row r="359" spans="1:22" x14ac:dyDescent="0.45">
      <c r="A359" t="s">
        <v>1008</v>
      </c>
      <c r="B359" t="s">
        <v>815</v>
      </c>
      <c r="C359" t="s">
        <v>35</v>
      </c>
      <c r="D359" t="s">
        <v>57</v>
      </c>
      <c r="E359" t="s">
        <v>16</v>
      </c>
      <c r="F359">
        <v>70</v>
      </c>
      <c r="G359">
        <v>2212</v>
      </c>
      <c r="H359">
        <v>154840</v>
      </c>
      <c r="I359" t="s">
        <v>330</v>
      </c>
      <c r="J359" t="s">
        <v>330</v>
      </c>
      <c r="K359">
        <v>70</v>
      </c>
      <c r="L359">
        <v>0</v>
      </c>
      <c r="M359" t="s">
        <v>115</v>
      </c>
      <c r="N359" t="str">
        <f t="shared" si="30"/>
        <v>PO-100358</v>
      </c>
      <c r="O359" t="str">
        <f t="shared" si="31"/>
        <v>Delivered</v>
      </c>
      <c r="P359" t="str">
        <f t="shared" si="32"/>
        <v>WH-DEL</v>
      </c>
      <c r="Q359" t="str">
        <f>VLOOKUP(C359, Lookups!$A$2:$D$10, 2, FALSE())</f>
        <v>Peripheral Source</v>
      </c>
      <c r="R359" t="str">
        <f>_xlfn.XLOOKUP(D359, Lookups!$A$12:$A$51, Lookups!$C$12:$C$51, "Unknown")</f>
        <v>Peripherals</v>
      </c>
      <c r="S359" t="str">
        <f>IF(ISBLANK(I359), B359+VLOOKUP(C359, Lookups!$A$2:$D$10, 4, FALSE()), I359)</f>
        <v>2026-02-23</v>
      </c>
      <c r="T359">
        <f t="shared" si="33"/>
        <v>10</v>
      </c>
      <c r="U359" t="str">
        <f t="shared" si="34"/>
        <v>On-Time</v>
      </c>
      <c r="V359">
        <f t="shared" si="35"/>
        <v>0</v>
      </c>
    </row>
    <row r="360" spans="1:22" x14ac:dyDescent="0.45">
      <c r="A360" t="s">
        <v>1009</v>
      </c>
      <c r="B360" t="s">
        <v>743</v>
      </c>
      <c r="C360" t="s">
        <v>36</v>
      </c>
      <c r="D360" t="s">
        <v>90</v>
      </c>
      <c r="E360" t="s">
        <v>15</v>
      </c>
      <c r="F360">
        <v>171</v>
      </c>
      <c r="G360">
        <v>81434</v>
      </c>
      <c r="H360">
        <v>13925214</v>
      </c>
      <c r="I360" t="s">
        <v>1010</v>
      </c>
      <c r="J360" t="s">
        <v>1010</v>
      </c>
      <c r="K360">
        <v>171</v>
      </c>
      <c r="L360">
        <v>0</v>
      </c>
      <c r="M360" t="s">
        <v>301</v>
      </c>
      <c r="N360" t="str">
        <f t="shared" si="30"/>
        <v>PO-100359</v>
      </c>
      <c r="O360" t="str">
        <f t="shared" si="31"/>
        <v>Delivered</v>
      </c>
      <c r="P360" t="str">
        <f t="shared" si="32"/>
        <v>WH-BOM</v>
      </c>
      <c r="Q360" t="str">
        <f>VLOOKUP(C360, Lookups!$A$2:$D$10, 2, FALSE())</f>
        <v>NextGen Hardware</v>
      </c>
      <c r="R360" t="str">
        <f>_xlfn.XLOOKUP(D360, Lookups!$A$12:$A$51, Lookups!$C$12:$C$51, "Unknown")</f>
        <v>Electronics</v>
      </c>
      <c r="S360" t="str">
        <f>IF(ISBLANK(I360), B360+VLOOKUP(C360, Lookups!$A$2:$D$10, 4, FALSE()), I360)</f>
        <v>2026-12-09</v>
      </c>
      <c r="T360">
        <f t="shared" si="33"/>
        <v>24</v>
      </c>
      <c r="U360" t="str">
        <f t="shared" si="34"/>
        <v>On-Time</v>
      </c>
      <c r="V360">
        <f t="shared" si="35"/>
        <v>0</v>
      </c>
    </row>
    <row r="361" spans="1:22" x14ac:dyDescent="0.45">
      <c r="A361" t="s">
        <v>1011</v>
      </c>
      <c r="B361" t="s">
        <v>268</v>
      </c>
      <c r="C361" t="s">
        <v>30</v>
      </c>
      <c r="D361" t="s">
        <v>61</v>
      </c>
      <c r="E361" t="s">
        <v>18</v>
      </c>
      <c r="F361">
        <v>226</v>
      </c>
      <c r="G361">
        <v>111237</v>
      </c>
      <c r="H361">
        <v>25139562</v>
      </c>
      <c r="I361" t="s">
        <v>480</v>
      </c>
      <c r="J361" t="s">
        <v>480</v>
      </c>
      <c r="K361">
        <v>226</v>
      </c>
      <c r="L361">
        <v>0</v>
      </c>
      <c r="M361" t="s">
        <v>115</v>
      </c>
      <c r="N361" t="str">
        <f t="shared" si="30"/>
        <v>PO-100360</v>
      </c>
      <c r="O361" t="str">
        <f t="shared" si="31"/>
        <v>Delivered</v>
      </c>
      <c r="P361" t="str">
        <f t="shared" si="32"/>
        <v>WH-PUN</v>
      </c>
      <c r="Q361" t="str">
        <f>VLOOKUP(C361, Lookups!$A$2:$D$10, 2, FALSE())</f>
        <v>TechSupply Corp</v>
      </c>
      <c r="R361" t="str">
        <f>_xlfn.XLOOKUP(D361, Lookups!$A$12:$A$51, Lookups!$C$12:$C$51, "Unknown")</f>
        <v>Electronics</v>
      </c>
      <c r="S361" t="str">
        <f>IF(ISBLANK(I361), B361+VLOOKUP(C361, Lookups!$A$2:$D$10, 4, FALSE()), I361)</f>
        <v>2025-04-27</v>
      </c>
      <c r="T361">
        <f t="shared" si="33"/>
        <v>14</v>
      </c>
      <c r="U361" t="str">
        <f t="shared" si="34"/>
        <v>On-Time</v>
      </c>
      <c r="V361">
        <f t="shared" si="35"/>
        <v>0</v>
      </c>
    </row>
    <row r="362" spans="1:22" x14ac:dyDescent="0.45">
      <c r="A362" t="s">
        <v>1012</v>
      </c>
      <c r="B362" t="s">
        <v>489</v>
      </c>
      <c r="C362" t="s">
        <v>37</v>
      </c>
      <c r="D362" t="s">
        <v>83</v>
      </c>
      <c r="E362" t="s">
        <v>15</v>
      </c>
      <c r="F362">
        <v>244</v>
      </c>
      <c r="G362">
        <v>19850</v>
      </c>
      <c r="H362">
        <v>4843400</v>
      </c>
      <c r="I362" t="s">
        <v>711</v>
      </c>
      <c r="J362" t="s">
        <v>711</v>
      </c>
      <c r="K362">
        <v>244</v>
      </c>
      <c r="L362">
        <v>9</v>
      </c>
      <c r="M362" t="s">
        <v>115</v>
      </c>
      <c r="N362" t="str">
        <f t="shared" si="30"/>
        <v>PO-100361</v>
      </c>
      <c r="O362" t="str">
        <f t="shared" si="31"/>
        <v>Delivered</v>
      </c>
      <c r="P362" t="str">
        <f t="shared" si="32"/>
        <v>WH-BOM</v>
      </c>
      <c r="Q362" t="str">
        <f>VLOOKUP(C362, Lookups!$A$2:$D$10, 2, FALSE())</f>
        <v>Premium Desks Ltd</v>
      </c>
      <c r="R362" t="str">
        <f>_xlfn.XLOOKUP(D362, Lookups!$A$12:$A$51, Lookups!$C$12:$C$51, "Unknown")</f>
        <v>Office Furniture</v>
      </c>
      <c r="S362" t="str">
        <f>IF(ISBLANK(I362), B362+VLOOKUP(C362, Lookups!$A$2:$D$10, 4, FALSE()), I362)</f>
        <v>2025-02-09</v>
      </c>
      <c r="T362">
        <f t="shared" si="33"/>
        <v>12</v>
      </c>
      <c r="U362" t="str">
        <f t="shared" si="34"/>
        <v>On-Time</v>
      </c>
      <c r="V362">
        <f t="shared" si="35"/>
        <v>3.6885245901639344E-2</v>
      </c>
    </row>
    <row r="363" spans="1:22" x14ac:dyDescent="0.45">
      <c r="A363" t="s">
        <v>1013</v>
      </c>
      <c r="B363" t="s">
        <v>272</v>
      </c>
      <c r="C363" t="s">
        <v>30</v>
      </c>
      <c r="D363" t="s">
        <v>82</v>
      </c>
      <c r="E363" t="s">
        <v>913</v>
      </c>
      <c r="F363">
        <v>160</v>
      </c>
      <c r="G363">
        <v>83427</v>
      </c>
      <c r="H363">
        <v>13348320</v>
      </c>
      <c r="I363" t="s">
        <v>235</v>
      </c>
      <c r="J363" t="s">
        <v>236</v>
      </c>
      <c r="K363">
        <v>160</v>
      </c>
      <c r="L363">
        <v>0</v>
      </c>
      <c r="M363" t="s">
        <v>115</v>
      </c>
      <c r="N363" t="str">
        <f t="shared" si="30"/>
        <v>PO-100362</v>
      </c>
      <c r="O363" t="str">
        <f t="shared" si="31"/>
        <v>Delivered</v>
      </c>
      <c r="P363" t="str">
        <f t="shared" si="32"/>
        <v>WH-DEL</v>
      </c>
      <c r="Q363" t="str">
        <f>VLOOKUP(C363, Lookups!$A$2:$D$10, 2, FALSE())</f>
        <v>TechSupply Corp</v>
      </c>
      <c r="R363" t="str">
        <f>_xlfn.XLOOKUP(D363, Lookups!$A$12:$A$51, Lookups!$C$12:$C$51, "Unknown")</f>
        <v>Electronics</v>
      </c>
      <c r="S363" t="str">
        <f>IF(ISBLANK(I363), B363+VLOOKUP(C363, Lookups!$A$2:$D$10, 4, FALSE()), I363)</f>
        <v>2025-08-27</v>
      </c>
      <c r="T363">
        <f t="shared" si="33"/>
        <v>15</v>
      </c>
      <c r="U363" t="str">
        <f t="shared" si="34"/>
        <v>Late</v>
      </c>
      <c r="V363">
        <f t="shared" si="35"/>
        <v>0</v>
      </c>
    </row>
    <row r="364" spans="1:22" x14ac:dyDescent="0.45">
      <c r="A364" t="s">
        <v>1014</v>
      </c>
      <c r="B364" t="s">
        <v>649</v>
      </c>
      <c r="C364" t="s">
        <v>37</v>
      </c>
      <c r="D364" t="s">
        <v>69</v>
      </c>
      <c r="E364" t="s">
        <v>18</v>
      </c>
      <c r="F364">
        <v>179</v>
      </c>
      <c r="G364">
        <v>13231</v>
      </c>
      <c r="H364">
        <v>2368349</v>
      </c>
      <c r="I364" t="s">
        <v>274</v>
      </c>
      <c r="J364" t="s">
        <v>598</v>
      </c>
      <c r="K364">
        <v>179</v>
      </c>
      <c r="L364">
        <v>0</v>
      </c>
      <c r="M364" t="s">
        <v>115</v>
      </c>
      <c r="N364" t="str">
        <f t="shared" si="30"/>
        <v>PO-100363</v>
      </c>
      <c r="O364" t="str">
        <f t="shared" si="31"/>
        <v>Delivered</v>
      </c>
      <c r="P364" t="str">
        <f t="shared" si="32"/>
        <v>WH-PUN</v>
      </c>
      <c r="Q364" t="str">
        <f>VLOOKUP(C364, Lookups!$A$2:$D$10, 2, FALSE())</f>
        <v>Premium Desks Ltd</v>
      </c>
      <c r="R364" t="str">
        <f>_xlfn.XLOOKUP(D364, Lookups!$A$12:$A$51, Lookups!$C$12:$C$51, "Unknown")</f>
        <v>Office Furniture</v>
      </c>
      <c r="S364" t="str">
        <f>IF(ISBLANK(I364), B364+VLOOKUP(C364, Lookups!$A$2:$D$10, 4, FALSE()), I364)</f>
        <v>2025-08-30</v>
      </c>
      <c r="T364">
        <f t="shared" si="33"/>
        <v>13</v>
      </c>
      <c r="U364" t="str">
        <f t="shared" si="34"/>
        <v>Late</v>
      </c>
      <c r="V364">
        <f t="shared" si="35"/>
        <v>0</v>
      </c>
    </row>
    <row r="365" spans="1:22" x14ac:dyDescent="0.45">
      <c r="A365" t="s">
        <v>1015</v>
      </c>
      <c r="B365" t="s">
        <v>464</v>
      </c>
      <c r="C365" t="s">
        <v>34</v>
      </c>
      <c r="D365" t="s">
        <v>54</v>
      </c>
      <c r="E365" t="s">
        <v>18</v>
      </c>
      <c r="F365">
        <v>135</v>
      </c>
      <c r="G365">
        <v>22314</v>
      </c>
      <c r="H365">
        <v>3012390</v>
      </c>
      <c r="I365" t="s">
        <v>400</v>
      </c>
      <c r="J365" t="s">
        <v>401</v>
      </c>
      <c r="K365">
        <v>135</v>
      </c>
      <c r="L365">
        <v>0</v>
      </c>
      <c r="M365" t="s">
        <v>115</v>
      </c>
      <c r="N365" t="str">
        <f t="shared" si="30"/>
        <v>PO-100364</v>
      </c>
      <c r="O365" t="str">
        <f t="shared" si="31"/>
        <v>Delivered</v>
      </c>
      <c r="P365" t="str">
        <f t="shared" si="32"/>
        <v>WH-PUN</v>
      </c>
      <c r="Q365" t="str">
        <f>VLOOKUP(C365, Lookups!$A$2:$D$10, 2, FALSE())</f>
        <v>FastElectronics</v>
      </c>
      <c r="R365" t="str">
        <f>_xlfn.XLOOKUP(D365, Lookups!$A$12:$A$51, Lookups!$C$12:$C$51, "Unknown")</f>
        <v>Networking</v>
      </c>
      <c r="S365" t="str">
        <f>IF(ISBLANK(I365), B365+VLOOKUP(C365, Lookups!$A$2:$D$10, 4, FALSE()), I365)</f>
        <v>2025-12-08</v>
      </c>
      <c r="T365">
        <f t="shared" si="33"/>
        <v>19</v>
      </c>
      <c r="U365" t="str">
        <f t="shared" si="34"/>
        <v>Late</v>
      </c>
      <c r="V365">
        <f t="shared" si="35"/>
        <v>0</v>
      </c>
    </row>
    <row r="366" spans="1:22" x14ac:dyDescent="0.45">
      <c r="A366" t="s">
        <v>1016</v>
      </c>
      <c r="B366" t="s">
        <v>252</v>
      </c>
      <c r="C366" t="s">
        <v>31</v>
      </c>
      <c r="D366" t="s">
        <v>64</v>
      </c>
      <c r="E366" t="s">
        <v>17</v>
      </c>
      <c r="F366">
        <v>100</v>
      </c>
      <c r="G366">
        <v>36295</v>
      </c>
      <c r="H366">
        <v>3629500</v>
      </c>
      <c r="I366" t="s">
        <v>568</v>
      </c>
      <c r="J366" t="s">
        <v>568</v>
      </c>
      <c r="K366">
        <v>100</v>
      </c>
      <c r="L366">
        <v>0</v>
      </c>
      <c r="M366" t="s">
        <v>115</v>
      </c>
      <c r="N366" t="str">
        <f t="shared" si="30"/>
        <v>PO-100365</v>
      </c>
      <c r="O366" t="str">
        <f t="shared" si="31"/>
        <v>Delivered</v>
      </c>
      <c r="P366" t="str">
        <f t="shared" si="32"/>
        <v>WH-BLR</v>
      </c>
      <c r="Q366" t="str">
        <f>VLOOKUP(C366, Lookups!$A$2:$D$10, 2, FALSE())</f>
        <v>Global Networks</v>
      </c>
      <c r="R366" t="str">
        <f>_xlfn.XLOOKUP(D366, Lookups!$A$12:$A$51, Lookups!$C$12:$C$51, "Unknown")</f>
        <v>Networking</v>
      </c>
      <c r="S366" t="str">
        <f>IF(ISBLANK(I366), B366+VLOOKUP(C366, Lookups!$A$2:$D$10, 4, FALSE()), I366)</f>
        <v>2025-09-09</v>
      </c>
      <c r="T366">
        <f t="shared" si="33"/>
        <v>21</v>
      </c>
      <c r="U366" t="str">
        <f t="shared" si="34"/>
        <v>On-Time</v>
      </c>
      <c r="V366">
        <f t="shared" si="35"/>
        <v>0</v>
      </c>
    </row>
    <row r="367" spans="1:22" x14ac:dyDescent="0.45">
      <c r="A367" t="s">
        <v>1017</v>
      </c>
      <c r="B367" t="s">
        <v>1018</v>
      </c>
      <c r="C367" t="s">
        <v>36</v>
      </c>
      <c r="D367" t="s">
        <v>62</v>
      </c>
      <c r="E367" t="s">
        <v>16</v>
      </c>
      <c r="F367">
        <v>35</v>
      </c>
      <c r="G367">
        <v>48478</v>
      </c>
      <c r="H367">
        <v>1696730</v>
      </c>
      <c r="I367" t="s">
        <v>984</v>
      </c>
      <c r="J367" t="s">
        <v>1019</v>
      </c>
      <c r="K367">
        <v>35</v>
      </c>
      <c r="L367">
        <v>0</v>
      </c>
      <c r="M367" t="s">
        <v>115</v>
      </c>
      <c r="N367" t="str">
        <f t="shared" si="30"/>
        <v>PO-100366</v>
      </c>
      <c r="O367" t="str">
        <f t="shared" si="31"/>
        <v>Delivered</v>
      </c>
      <c r="P367" t="str">
        <f t="shared" si="32"/>
        <v>WH-DEL</v>
      </c>
      <c r="Q367" t="str">
        <f>VLOOKUP(C367, Lookups!$A$2:$D$10, 2, FALSE())</f>
        <v>NextGen Hardware</v>
      </c>
      <c r="R367" t="str">
        <f>_xlfn.XLOOKUP(D367, Lookups!$A$12:$A$51, Lookups!$C$12:$C$51, "Unknown")</f>
        <v>Electronics</v>
      </c>
      <c r="S367" t="str">
        <f>IF(ISBLANK(I367), B367+VLOOKUP(C367, Lookups!$A$2:$D$10, 4, FALSE()), I367)</f>
        <v>2025-05-08</v>
      </c>
      <c r="T367">
        <f t="shared" si="33"/>
        <v>25</v>
      </c>
      <c r="U367" t="str">
        <f t="shared" si="34"/>
        <v>Late</v>
      </c>
      <c r="V367">
        <f t="shared" si="35"/>
        <v>0</v>
      </c>
    </row>
    <row r="368" spans="1:22" x14ac:dyDescent="0.45">
      <c r="A368" t="s">
        <v>1020</v>
      </c>
      <c r="B368" t="s">
        <v>552</v>
      </c>
      <c r="C368" t="s">
        <v>34</v>
      </c>
      <c r="D368" t="s">
        <v>80</v>
      </c>
      <c r="E368" t="s">
        <v>15</v>
      </c>
      <c r="F368">
        <v>101</v>
      </c>
      <c r="G368">
        <v>19090</v>
      </c>
      <c r="H368">
        <v>1928090</v>
      </c>
      <c r="I368" t="s">
        <v>930</v>
      </c>
      <c r="J368" t="s">
        <v>778</v>
      </c>
      <c r="K368">
        <v>101</v>
      </c>
      <c r="L368">
        <v>0</v>
      </c>
      <c r="M368" t="s">
        <v>115</v>
      </c>
      <c r="N368" t="str">
        <f t="shared" si="30"/>
        <v>PO-100367</v>
      </c>
      <c r="O368" t="str">
        <f t="shared" si="31"/>
        <v>Delivered</v>
      </c>
      <c r="P368" t="str">
        <f t="shared" si="32"/>
        <v>WH-BOM</v>
      </c>
      <c r="Q368" t="str">
        <f>VLOOKUP(C368, Lookups!$A$2:$D$10, 2, FALSE())</f>
        <v>FastElectronics</v>
      </c>
      <c r="R368" t="str">
        <f>_xlfn.XLOOKUP(D368, Lookups!$A$12:$A$51, Lookups!$C$12:$C$51, "Unknown")</f>
        <v>Networking</v>
      </c>
      <c r="S368" t="str">
        <f>IF(ISBLANK(I368), B368+VLOOKUP(C368, Lookups!$A$2:$D$10, 4, FALSE()), I368)</f>
        <v>2025-12-10</v>
      </c>
      <c r="T368">
        <f t="shared" si="33"/>
        <v>21</v>
      </c>
      <c r="U368" t="str">
        <f t="shared" si="34"/>
        <v>Late</v>
      </c>
      <c r="V368">
        <f t="shared" si="35"/>
        <v>0</v>
      </c>
    </row>
    <row r="369" spans="1:22" x14ac:dyDescent="0.45">
      <c r="A369" t="s">
        <v>1021</v>
      </c>
      <c r="B369" t="s">
        <v>694</v>
      </c>
      <c r="C369" t="s">
        <v>31</v>
      </c>
      <c r="D369" t="s">
        <v>66</v>
      </c>
      <c r="E369" t="s">
        <v>17</v>
      </c>
      <c r="F369">
        <v>191</v>
      </c>
      <c r="G369">
        <v>29719</v>
      </c>
      <c r="H369">
        <v>5676329</v>
      </c>
      <c r="I369" t="s">
        <v>653</v>
      </c>
      <c r="K369">
        <v>0</v>
      </c>
      <c r="L369">
        <v>0</v>
      </c>
      <c r="M369" t="s">
        <v>297</v>
      </c>
      <c r="N369" t="str">
        <f t="shared" si="30"/>
        <v>PO-100368</v>
      </c>
      <c r="O369" t="str">
        <f t="shared" si="31"/>
        <v>Open</v>
      </c>
      <c r="P369" t="str">
        <f t="shared" si="32"/>
        <v>WH-BLR</v>
      </c>
      <c r="Q369" t="str">
        <f>VLOOKUP(C369, Lookups!$A$2:$D$10, 2, FALSE())</f>
        <v>Global Networks</v>
      </c>
      <c r="R369" t="str">
        <f>_xlfn.XLOOKUP(D369, Lookups!$A$12:$A$51, Lookups!$C$12:$C$51, "Unknown")</f>
        <v>Networking</v>
      </c>
      <c r="S369" t="str">
        <f>IF(ISBLANK(I369), B369+VLOOKUP(C369, Lookups!$A$2:$D$10, 4, FALSE()), I369)</f>
        <v>2026-12-14</v>
      </c>
      <c r="T369" t="str">
        <f t="shared" si="33"/>
        <v/>
      </c>
      <c r="U369" t="str">
        <f t="shared" si="34"/>
        <v>Open</v>
      </c>
      <c r="V369">
        <f t="shared" si="35"/>
        <v>0</v>
      </c>
    </row>
    <row r="370" spans="1:22" x14ac:dyDescent="0.45">
      <c r="A370" t="s">
        <v>1022</v>
      </c>
      <c r="B370" t="s">
        <v>580</v>
      </c>
      <c r="C370" t="s">
        <v>32</v>
      </c>
      <c r="D370" t="s">
        <v>84</v>
      </c>
      <c r="E370" t="s">
        <v>16</v>
      </c>
      <c r="F370">
        <v>36</v>
      </c>
      <c r="G370">
        <v>7271</v>
      </c>
      <c r="H370">
        <v>261756</v>
      </c>
      <c r="I370" t="s">
        <v>422</v>
      </c>
      <c r="J370" t="s">
        <v>591</v>
      </c>
      <c r="K370">
        <v>33</v>
      </c>
      <c r="L370">
        <v>0</v>
      </c>
      <c r="M370" t="s">
        <v>115</v>
      </c>
      <c r="N370" t="str">
        <f t="shared" si="30"/>
        <v>PO-100369</v>
      </c>
      <c r="O370" t="str">
        <f t="shared" si="31"/>
        <v>Delivered</v>
      </c>
      <c r="P370" t="str">
        <f t="shared" si="32"/>
        <v>WH-DEL</v>
      </c>
      <c r="Q370" t="str">
        <f>VLOOKUP(C370, Lookups!$A$2:$D$10, 2, FALSE())</f>
        <v>OfficeDepot Pro</v>
      </c>
      <c r="R370" t="str">
        <f>_xlfn.XLOOKUP(D370, Lookups!$A$12:$A$51, Lookups!$C$12:$C$51, "Unknown")</f>
        <v>Peripherals</v>
      </c>
      <c r="S370" t="str">
        <f>IF(ISBLANK(I370), B370+VLOOKUP(C370, Lookups!$A$2:$D$10, 4, FALSE()), I370)</f>
        <v>2026-01-19</v>
      </c>
      <c r="T370">
        <f t="shared" si="33"/>
        <v>8</v>
      </c>
      <c r="U370" t="str">
        <f t="shared" si="34"/>
        <v>Late</v>
      </c>
      <c r="V370">
        <f t="shared" si="35"/>
        <v>0</v>
      </c>
    </row>
    <row r="371" spans="1:22" x14ac:dyDescent="0.45">
      <c r="A371" t="s">
        <v>1023</v>
      </c>
      <c r="B371" t="s">
        <v>736</v>
      </c>
      <c r="C371" t="s">
        <v>34</v>
      </c>
      <c r="D371" t="s">
        <v>58</v>
      </c>
      <c r="E371" t="s">
        <v>16</v>
      </c>
      <c r="F371">
        <v>249</v>
      </c>
      <c r="G371">
        <v>100302</v>
      </c>
      <c r="H371">
        <v>24975198</v>
      </c>
      <c r="I371" t="s">
        <v>1024</v>
      </c>
      <c r="J371" t="s">
        <v>743</v>
      </c>
      <c r="K371">
        <v>249</v>
      </c>
      <c r="L371">
        <v>0</v>
      </c>
      <c r="M371" t="s">
        <v>115</v>
      </c>
      <c r="N371" t="str">
        <f t="shared" si="30"/>
        <v>PO-100370</v>
      </c>
      <c r="O371" t="str">
        <f t="shared" si="31"/>
        <v>Delivered</v>
      </c>
      <c r="P371" t="str">
        <f t="shared" si="32"/>
        <v>WH-DEL</v>
      </c>
      <c r="Q371" t="str">
        <f>VLOOKUP(C371, Lookups!$A$2:$D$10, 2, FALSE())</f>
        <v>FastElectronics</v>
      </c>
      <c r="R371" t="str">
        <f>_xlfn.XLOOKUP(D371, Lookups!$A$12:$A$51, Lookups!$C$12:$C$51, "Unknown")</f>
        <v>Electronics</v>
      </c>
      <c r="S371" t="str">
        <f>IF(ISBLANK(I371), B371+VLOOKUP(C371, Lookups!$A$2:$D$10, 4, FALSE()), I371)</f>
        <v>2026-11-17</v>
      </c>
      <c r="T371">
        <f t="shared" si="33"/>
        <v>16</v>
      </c>
      <c r="U371" t="str">
        <f t="shared" si="34"/>
        <v>On-Time</v>
      </c>
      <c r="V371">
        <f t="shared" si="35"/>
        <v>0</v>
      </c>
    </row>
    <row r="372" spans="1:22" x14ac:dyDescent="0.45">
      <c r="A372" t="s">
        <v>1025</v>
      </c>
      <c r="B372" t="s">
        <v>1026</v>
      </c>
      <c r="C372" t="s">
        <v>34</v>
      </c>
      <c r="D372" t="s">
        <v>80</v>
      </c>
      <c r="E372" t="s">
        <v>15</v>
      </c>
      <c r="F372">
        <v>93</v>
      </c>
      <c r="G372">
        <v>19090</v>
      </c>
      <c r="H372">
        <v>1775370</v>
      </c>
      <c r="I372" t="s">
        <v>419</v>
      </c>
      <c r="J372" t="s">
        <v>420</v>
      </c>
      <c r="K372">
        <v>93</v>
      </c>
      <c r="L372">
        <v>0</v>
      </c>
      <c r="M372" t="s">
        <v>115</v>
      </c>
      <c r="N372" t="str">
        <f t="shared" si="30"/>
        <v>PO-100371</v>
      </c>
      <c r="O372" t="str">
        <f t="shared" si="31"/>
        <v>Delivered</v>
      </c>
      <c r="P372" t="str">
        <f t="shared" si="32"/>
        <v>WH-BOM</v>
      </c>
      <c r="Q372" t="str">
        <f>VLOOKUP(C372, Lookups!$A$2:$D$10, 2, FALSE())</f>
        <v>FastElectronics</v>
      </c>
      <c r="R372" t="str">
        <f>_xlfn.XLOOKUP(D372, Lookups!$A$12:$A$51, Lookups!$C$12:$C$51, "Unknown")</f>
        <v>Networking</v>
      </c>
      <c r="S372" t="str">
        <f>IF(ISBLANK(I372), B372+VLOOKUP(C372, Lookups!$A$2:$D$10, 4, FALSE()), I372)</f>
        <v>2026-07-21</v>
      </c>
      <c r="T372">
        <f t="shared" si="33"/>
        <v>19</v>
      </c>
      <c r="U372" t="str">
        <f t="shared" si="34"/>
        <v>Late</v>
      </c>
      <c r="V372">
        <f t="shared" si="35"/>
        <v>0</v>
      </c>
    </row>
    <row r="373" spans="1:22" x14ac:dyDescent="0.45">
      <c r="A373" t="s">
        <v>1027</v>
      </c>
      <c r="B373" t="s">
        <v>1028</v>
      </c>
      <c r="C373" t="s">
        <v>31</v>
      </c>
      <c r="D373" t="s">
        <v>56</v>
      </c>
      <c r="E373" t="s">
        <v>15</v>
      </c>
      <c r="F373">
        <v>159</v>
      </c>
      <c r="G373">
        <v>39270</v>
      </c>
      <c r="H373">
        <v>6243930</v>
      </c>
      <c r="I373" t="s">
        <v>658</v>
      </c>
      <c r="J373" t="s">
        <v>659</v>
      </c>
      <c r="K373">
        <v>159</v>
      </c>
      <c r="L373">
        <v>0</v>
      </c>
      <c r="M373" t="s">
        <v>115</v>
      </c>
      <c r="N373" t="str">
        <f t="shared" si="30"/>
        <v>PO-100372</v>
      </c>
      <c r="O373" t="str">
        <f t="shared" si="31"/>
        <v>Delivered</v>
      </c>
      <c r="P373" t="str">
        <f t="shared" si="32"/>
        <v>WH-BOM</v>
      </c>
      <c r="Q373" t="str">
        <f>VLOOKUP(C373, Lookups!$A$2:$D$10, 2, FALSE())</f>
        <v>Global Networks</v>
      </c>
      <c r="R373" t="str">
        <f>_xlfn.XLOOKUP(D373, Lookups!$A$12:$A$51, Lookups!$C$12:$C$51, "Unknown")</f>
        <v>Networking</v>
      </c>
      <c r="S373" t="str">
        <f>IF(ISBLANK(I373), B373+VLOOKUP(C373, Lookups!$A$2:$D$10, 4, FALSE()), I373)</f>
        <v>2026-09-30</v>
      </c>
      <c r="T373">
        <f t="shared" si="33"/>
        <v>22</v>
      </c>
      <c r="U373" t="str">
        <f t="shared" si="34"/>
        <v>Late</v>
      </c>
      <c r="V373">
        <f t="shared" si="35"/>
        <v>0</v>
      </c>
    </row>
    <row r="374" spans="1:22" x14ac:dyDescent="0.45">
      <c r="A374" t="s">
        <v>1029</v>
      </c>
      <c r="B374" t="s">
        <v>325</v>
      </c>
      <c r="C374" t="s">
        <v>31</v>
      </c>
      <c r="D374" t="s">
        <v>66</v>
      </c>
      <c r="E374" t="s">
        <v>17</v>
      </c>
      <c r="F374">
        <v>215</v>
      </c>
      <c r="G374">
        <v>29719</v>
      </c>
      <c r="H374">
        <v>6389585</v>
      </c>
      <c r="I374" t="s">
        <v>486</v>
      </c>
      <c r="J374" t="s">
        <v>213</v>
      </c>
      <c r="K374">
        <v>215</v>
      </c>
      <c r="L374">
        <v>0</v>
      </c>
      <c r="M374" t="s">
        <v>115</v>
      </c>
      <c r="N374" t="str">
        <f t="shared" si="30"/>
        <v>PO-100373</v>
      </c>
      <c r="O374" t="str">
        <f t="shared" si="31"/>
        <v>Delivered</v>
      </c>
      <c r="P374" t="str">
        <f t="shared" si="32"/>
        <v>WH-BLR</v>
      </c>
      <c r="Q374" t="str">
        <f>VLOOKUP(C374, Lookups!$A$2:$D$10, 2, FALSE())</f>
        <v>Global Networks</v>
      </c>
      <c r="R374" t="str">
        <f>_xlfn.XLOOKUP(D374, Lookups!$A$12:$A$51, Lookups!$C$12:$C$51, "Unknown")</f>
        <v>Networking</v>
      </c>
      <c r="S374" t="str">
        <f>IF(ISBLANK(I374), B374+VLOOKUP(C374, Lookups!$A$2:$D$10, 4, FALSE()), I374)</f>
        <v>2025-06-16</v>
      </c>
      <c r="T374">
        <f t="shared" si="33"/>
        <v>22</v>
      </c>
      <c r="U374" t="str">
        <f t="shared" si="34"/>
        <v>Late</v>
      </c>
      <c r="V374">
        <f t="shared" si="35"/>
        <v>0</v>
      </c>
    </row>
    <row r="375" spans="1:22" x14ac:dyDescent="0.45">
      <c r="A375" t="s">
        <v>1030</v>
      </c>
      <c r="B375" t="s">
        <v>356</v>
      </c>
      <c r="C375" t="s">
        <v>37</v>
      </c>
      <c r="D375" t="s">
        <v>78</v>
      </c>
      <c r="E375" t="s">
        <v>18</v>
      </c>
      <c r="F375">
        <v>157</v>
      </c>
      <c r="G375">
        <v>9423</v>
      </c>
      <c r="H375">
        <v>1479411</v>
      </c>
      <c r="I375" t="s">
        <v>460</v>
      </c>
      <c r="J375" t="s">
        <v>460</v>
      </c>
      <c r="K375">
        <v>157</v>
      </c>
      <c r="L375">
        <v>0</v>
      </c>
      <c r="M375" t="s">
        <v>115</v>
      </c>
      <c r="N375" t="str">
        <f t="shared" si="30"/>
        <v>PO-100374</v>
      </c>
      <c r="O375" t="str">
        <f t="shared" si="31"/>
        <v>Delivered</v>
      </c>
      <c r="P375" t="str">
        <f t="shared" si="32"/>
        <v>WH-PUN</v>
      </c>
      <c r="Q375" t="str">
        <f>VLOOKUP(C375, Lookups!$A$2:$D$10, 2, FALSE())</f>
        <v>Premium Desks Ltd</v>
      </c>
      <c r="R375" t="str">
        <f>_xlfn.XLOOKUP(D375, Lookups!$A$12:$A$51, Lookups!$C$12:$C$51, "Unknown")</f>
        <v>Office Furniture</v>
      </c>
      <c r="S375" t="str">
        <f>IF(ISBLANK(I375), B375+VLOOKUP(C375, Lookups!$A$2:$D$10, 4, FALSE()), I375)</f>
        <v>2025-10-09</v>
      </c>
      <c r="T375">
        <f t="shared" si="33"/>
        <v>12</v>
      </c>
      <c r="U375" t="str">
        <f t="shared" si="34"/>
        <v>On-Time</v>
      </c>
      <c r="V375">
        <f t="shared" si="35"/>
        <v>0</v>
      </c>
    </row>
    <row r="376" spans="1:22" x14ac:dyDescent="0.45">
      <c r="A376" t="s">
        <v>1031</v>
      </c>
      <c r="B376" t="s">
        <v>685</v>
      </c>
      <c r="C376" t="s">
        <v>37</v>
      </c>
      <c r="D376" t="s">
        <v>79</v>
      </c>
      <c r="E376" t="s">
        <v>17</v>
      </c>
      <c r="F376">
        <v>218</v>
      </c>
      <c r="G376">
        <v>23054</v>
      </c>
      <c r="H376">
        <v>5025772</v>
      </c>
      <c r="I376" t="s">
        <v>361</v>
      </c>
      <c r="J376" t="s">
        <v>577</v>
      </c>
      <c r="K376">
        <v>218</v>
      </c>
      <c r="L376">
        <v>0</v>
      </c>
      <c r="M376" t="s">
        <v>115</v>
      </c>
      <c r="N376" t="str">
        <f t="shared" si="30"/>
        <v>PO-100375</v>
      </c>
      <c r="O376" t="str">
        <f t="shared" si="31"/>
        <v>Delivered</v>
      </c>
      <c r="P376" t="str">
        <f t="shared" si="32"/>
        <v>WH-BLR</v>
      </c>
      <c r="Q376" t="str">
        <f>VLOOKUP(C376, Lookups!$A$2:$D$10, 2, FALSE())</f>
        <v>Premium Desks Ltd</v>
      </c>
      <c r="R376" t="str">
        <f>_xlfn.XLOOKUP(D376, Lookups!$A$12:$A$51, Lookups!$C$12:$C$51, "Unknown")</f>
        <v>Office Furniture</v>
      </c>
      <c r="S376" t="str">
        <f>IF(ISBLANK(I376), B376+VLOOKUP(C376, Lookups!$A$2:$D$10, 4, FALSE()), I376)</f>
        <v>2026-03-22</v>
      </c>
      <c r="T376">
        <f t="shared" si="33"/>
        <v>20</v>
      </c>
      <c r="U376" t="str">
        <f t="shared" si="34"/>
        <v>Late</v>
      </c>
      <c r="V376">
        <f t="shared" si="35"/>
        <v>0</v>
      </c>
    </row>
    <row r="377" spans="1:22" x14ac:dyDescent="0.45">
      <c r="A377" t="s">
        <v>1032</v>
      </c>
      <c r="B377" t="s">
        <v>544</v>
      </c>
      <c r="C377" t="s">
        <v>30</v>
      </c>
      <c r="D377" t="s">
        <v>82</v>
      </c>
      <c r="E377" t="s">
        <v>16</v>
      </c>
      <c r="F377">
        <v>204</v>
      </c>
      <c r="G377">
        <v>83427</v>
      </c>
      <c r="H377">
        <v>17019108</v>
      </c>
      <c r="I377" t="s">
        <v>206</v>
      </c>
      <c r="J377" t="s">
        <v>206</v>
      </c>
      <c r="K377">
        <v>204</v>
      </c>
      <c r="L377">
        <v>0</v>
      </c>
      <c r="M377" t="s">
        <v>115</v>
      </c>
      <c r="N377" t="str">
        <f t="shared" si="30"/>
        <v>PO-100376</v>
      </c>
      <c r="O377" t="str">
        <f t="shared" si="31"/>
        <v>Delivered</v>
      </c>
      <c r="P377" t="str">
        <f t="shared" si="32"/>
        <v>WH-DEL</v>
      </c>
      <c r="Q377" t="str">
        <f>VLOOKUP(C377, Lookups!$A$2:$D$10, 2, FALSE())</f>
        <v>TechSupply Corp</v>
      </c>
      <c r="R377" t="str">
        <f>_xlfn.XLOOKUP(D377, Lookups!$A$12:$A$51, Lookups!$C$12:$C$51, "Unknown")</f>
        <v>Electronics</v>
      </c>
      <c r="S377" t="str">
        <f>IF(ISBLANK(I377), B377+VLOOKUP(C377, Lookups!$A$2:$D$10, 4, FALSE()), I377)</f>
        <v>2025-12-07</v>
      </c>
      <c r="T377">
        <f t="shared" si="33"/>
        <v>14</v>
      </c>
      <c r="U377" t="str">
        <f t="shared" si="34"/>
        <v>On-Time</v>
      </c>
      <c r="V377">
        <f t="shared" si="35"/>
        <v>0</v>
      </c>
    </row>
    <row r="378" spans="1:22" x14ac:dyDescent="0.45">
      <c r="A378" t="s">
        <v>1033</v>
      </c>
      <c r="B378" t="s">
        <v>958</v>
      </c>
      <c r="C378" t="s">
        <v>35</v>
      </c>
      <c r="D378" t="s">
        <v>75</v>
      </c>
      <c r="E378" t="s">
        <v>18</v>
      </c>
      <c r="F378">
        <v>190</v>
      </c>
      <c r="G378">
        <v>4440</v>
      </c>
      <c r="H378">
        <v>843600</v>
      </c>
      <c r="I378" t="s">
        <v>413</v>
      </c>
      <c r="J378" t="s">
        <v>413</v>
      </c>
      <c r="K378">
        <v>190</v>
      </c>
      <c r="L378">
        <v>0</v>
      </c>
      <c r="M378" t="s">
        <v>115</v>
      </c>
      <c r="N378" t="str">
        <f t="shared" si="30"/>
        <v>PO-100377</v>
      </c>
      <c r="O378" t="str">
        <f t="shared" si="31"/>
        <v>Delivered</v>
      </c>
      <c r="P378" t="str">
        <f t="shared" si="32"/>
        <v>WH-PUN</v>
      </c>
      <c r="Q378" t="str">
        <f>VLOOKUP(C378, Lookups!$A$2:$D$10, 2, FALSE())</f>
        <v>Peripheral Source</v>
      </c>
      <c r="R378" t="str">
        <f>_xlfn.XLOOKUP(D378, Lookups!$A$12:$A$51, Lookups!$C$12:$C$51, "Unknown")</f>
        <v>Peripherals</v>
      </c>
      <c r="S378" t="str">
        <f>IF(ISBLANK(I378), B378+VLOOKUP(C378, Lookups!$A$2:$D$10, 4, FALSE()), I378)</f>
        <v>2026-06-05</v>
      </c>
      <c r="T378">
        <f t="shared" si="33"/>
        <v>10</v>
      </c>
      <c r="U378" t="str">
        <f t="shared" si="34"/>
        <v>On-Time</v>
      </c>
      <c r="V378">
        <f t="shared" si="35"/>
        <v>0</v>
      </c>
    </row>
    <row r="379" spans="1:22" x14ac:dyDescent="0.45">
      <c r="A379" t="s">
        <v>1034</v>
      </c>
      <c r="B379" t="s">
        <v>376</v>
      </c>
      <c r="C379" t="s">
        <v>31</v>
      </c>
      <c r="D379" t="s">
        <v>77</v>
      </c>
      <c r="E379" t="s">
        <v>16</v>
      </c>
      <c r="F379">
        <v>191</v>
      </c>
      <c r="G379">
        <v>23667</v>
      </c>
      <c r="H379">
        <v>4520397</v>
      </c>
      <c r="I379" t="s">
        <v>631</v>
      </c>
      <c r="J379" t="s">
        <v>623</v>
      </c>
      <c r="K379">
        <v>191</v>
      </c>
      <c r="L379">
        <v>0</v>
      </c>
      <c r="M379" t="s">
        <v>115</v>
      </c>
      <c r="N379" t="str">
        <f t="shared" si="30"/>
        <v>PO-100378</v>
      </c>
      <c r="O379" t="str">
        <f t="shared" si="31"/>
        <v>Delivered</v>
      </c>
      <c r="P379" t="str">
        <f t="shared" si="32"/>
        <v>WH-DEL</v>
      </c>
      <c r="Q379" t="str">
        <f>VLOOKUP(C379, Lookups!$A$2:$D$10, 2, FALSE())</f>
        <v>Global Networks</v>
      </c>
      <c r="R379" t="str">
        <f>_xlfn.XLOOKUP(D379, Lookups!$A$12:$A$51, Lookups!$C$12:$C$51, "Unknown")</f>
        <v>Networking</v>
      </c>
      <c r="S379" t="str">
        <f>IF(ISBLANK(I379), B379+VLOOKUP(C379, Lookups!$A$2:$D$10, 4, FALSE()), I379)</f>
        <v>2026-06-27</v>
      </c>
      <c r="T379">
        <f t="shared" si="33"/>
        <v>32</v>
      </c>
      <c r="U379" t="str">
        <f t="shared" si="34"/>
        <v>Late</v>
      </c>
      <c r="V379">
        <f t="shared" si="35"/>
        <v>0</v>
      </c>
    </row>
    <row r="380" spans="1:22" x14ac:dyDescent="0.45">
      <c r="A380" t="s">
        <v>1035</v>
      </c>
      <c r="B380" t="s">
        <v>341</v>
      </c>
      <c r="C380" t="s">
        <v>36</v>
      </c>
      <c r="D380" t="s">
        <v>71</v>
      </c>
      <c r="E380" t="s">
        <v>16</v>
      </c>
      <c r="F380">
        <v>220</v>
      </c>
      <c r="G380">
        <v>65379</v>
      </c>
      <c r="H380">
        <v>14383380</v>
      </c>
      <c r="I380" t="s">
        <v>861</v>
      </c>
      <c r="J380" t="s">
        <v>342</v>
      </c>
      <c r="K380">
        <v>220</v>
      </c>
      <c r="L380">
        <v>0</v>
      </c>
      <c r="M380" t="s">
        <v>115</v>
      </c>
      <c r="N380" t="str">
        <f t="shared" si="30"/>
        <v>PO-100379</v>
      </c>
      <c r="O380" t="str">
        <f t="shared" si="31"/>
        <v>Delivered</v>
      </c>
      <c r="P380" t="str">
        <f t="shared" si="32"/>
        <v>WH-DEL</v>
      </c>
      <c r="Q380" t="str">
        <f>VLOOKUP(C380, Lookups!$A$2:$D$10, 2, FALSE())</f>
        <v>NextGen Hardware</v>
      </c>
      <c r="R380" t="str">
        <f>_xlfn.XLOOKUP(D380, Lookups!$A$12:$A$51, Lookups!$C$12:$C$51, "Unknown")</f>
        <v>Electronics</v>
      </c>
      <c r="S380" t="str">
        <f>IF(ISBLANK(I380), B380+VLOOKUP(C380, Lookups!$A$2:$D$10, 4, FALSE()), I380)</f>
        <v>2026-02-06</v>
      </c>
      <c r="T380">
        <f t="shared" si="33"/>
        <v>21</v>
      </c>
      <c r="U380" t="str">
        <f t="shared" si="34"/>
        <v>On-Time</v>
      </c>
      <c r="V380">
        <f t="shared" si="35"/>
        <v>0</v>
      </c>
    </row>
    <row r="381" spans="1:22" x14ac:dyDescent="0.45">
      <c r="A381" t="s">
        <v>1036</v>
      </c>
      <c r="B381" t="s">
        <v>508</v>
      </c>
      <c r="C381" t="s">
        <v>31</v>
      </c>
      <c r="D381" t="s">
        <v>56</v>
      </c>
      <c r="E381" t="s">
        <v>17</v>
      </c>
      <c r="F381">
        <v>170</v>
      </c>
      <c r="G381">
        <v>39270</v>
      </c>
      <c r="H381">
        <v>6675900</v>
      </c>
      <c r="I381" t="s">
        <v>359</v>
      </c>
      <c r="J381" t="s">
        <v>359</v>
      </c>
      <c r="K381">
        <v>170</v>
      </c>
      <c r="L381">
        <v>0</v>
      </c>
      <c r="M381" t="s">
        <v>115</v>
      </c>
      <c r="N381" t="str">
        <f t="shared" si="30"/>
        <v>PO-100380</v>
      </c>
      <c r="O381" t="str">
        <f t="shared" si="31"/>
        <v>Delivered</v>
      </c>
      <c r="P381" t="str">
        <f t="shared" si="32"/>
        <v>WH-BLR</v>
      </c>
      <c r="Q381" t="str">
        <f>VLOOKUP(C381, Lookups!$A$2:$D$10, 2, FALSE())</f>
        <v>Global Networks</v>
      </c>
      <c r="R381" t="str">
        <f>_xlfn.XLOOKUP(D381, Lookups!$A$12:$A$51, Lookups!$C$12:$C$51, "Unknown")</f>
        <v>Networking</v>
      </c>
      <c r="S381" t="str">
        <f>IF(ISBLANK(I381), B381+VLOOKUP(C381, Lookups!$A$2:$D$10, 4, FALSE()), I381)</f>
        <v>2026-02-07</v>
      </c>
      <c r="T381">
        <f t="shared" si="33"/>
        <v>21</v>
      </c>
      <c r="U381" t="str">
        <f t="shared" si="34"/>
        <v>On-Time</v>
      </c>
      <c r="V381">
        <f t="shared" si="35"/>
        <v>0</v>
      </c>
    </row>
    <row r="382" spans="1:22" x14ac:dyDescent="0.45">
      <c r="A382" t="s">
        <v>1037</v>
      </c>
      <c r="B382" t="s">
        <v>1038</v>
      </c>
      <c r="C382" t="s">
        <v>34</v>
      </c>
      <c r="D382" t="s">
        <v>81</v>
      </c>
      <c r="E382" t="s">
        <v>16</v>
      </c>
      <c r="F382">
        <v>86</v>
      </c>
      <c r="G382">
        <v>55328</v>
      </c>
      <c r="H382">
        <v>4758208</v>
      </c>
      <c r="I382" t="s">
        <v>439</v>
      </c>
      <c r="J382" t="s">
        <v>438</v>
      </c>
      <c r="K382">
        <v>86</v>
      </c>
      <c r="L382">
        <v>0</v>
      </c>
      <c r="M382" t="s">
        <v>115</v>
      </c>
      <c r="N382" t="str">
        <f t="shared" si="30"/>
        <v>PO-100381</v>
      </c>
      <c r="O382" t="str">
        <f t="shared" si="31"/>
        <v>Delivered</v>
      </c>
      <c r="P382" t="str">
        <f t="shared" si="32"/>
        <v>WH-DEL</v>
      </c>
      <c r="Q382" t="str">
        <f>VLOOKUP(C382, Lookups!$A$2:$D$10, 2, FALSE())</f>
        <v>FastElectronics</v>
      </c>
      <c r="R382" t="str">
        <f>_xlfn.XLOOKUP(D382, Lookups!$A$12:$A$51, Lookups!$C$12:$C$51, "Unknown")</f>
        <v>Electronics</v>
      </c>
      <c r="S382" t="str">
        <f>IF(ISBLANK(I382), B382+VLOOKUP(C382, Lookups!$A$2:$D$10, 4, FALSE()), I382)</f>
        <v>2025-02-12</v>
      </c>
      <c r="T382">
        <f t="shared" si="33"/>
        <v>19</v>
      </c>
      <c r="U382" t="str">
        <f t="shared" si="34"/>
        <v>Late</v>
      </c>
      <c r="V382">
        <f t="shared" si="35"/>
        <v>0</v>
      </c>
    </row>
    <row r="383" spans="1:22" x14ac:dyDescent="0.45">
      <c r="A383" t="s">
        <v>1039</v>
      </c>
      <c r="B383" t="s">
        <v>342</v>
      </c>
      <c r="C383" t="s">
        <v>36</v>
      </c>
      <c r="D383" t="s">
        <v>63</v>
      </c>
      <c r="E383" t="s">
        <v>15</v>
      </c>
      <c r="F383">
        <v>98</v>
      </c>
      <c r="G383">
        <v>71062</v>
      </c>
      <c r="H383">
        <v>6964076</v>
      </c>
      <c r="I383" t="s">
        <v>503</v>
      </c>
      <c r="J383" t="s">
        <v>221</v>
      </c>
      <c r="K383">
        <v>98</v>
      </c>
      <c r="L383">
        <v>0</v>
      </c>
      <c r="M383" t="s">
        <v>115</v>
      </c>
      <c r="N383" t="str">
        <f t="shared" si="30"/>
        <v>PO-100382</v>
      </c>
      <c r="O383" t="str">
        <f t="shared" si="31"/>
        <v>Delivered</v>
      </c>
      <c r="P383" t="str">
        <f t="shared" si="32"/>
        <v>WH-BOM</v>
      </c>
      <c r="Q383" t="str">
        <f>VLOOKUP(C383, Lookups!$A$2:$D$10, 2, FALSE())</f>
        <v>NextGen Hardware</v>
      </c>
      <c r="R383" t="str">
        <f>_xlfn.XLOOKUP(D383, Lookups!$A$12:$A$51, Lookups!$C$12:$C$51, "Unknown")</f>
        <v>Electronics</v>
      </c>
      <c r="S383" t="str">
        <f>IF(ISBLANK(I383), B383+VLOOKUP(C383, Lookups!$A$2:$D$10, 4, FALSE()), I383)</f>
        <v>2026-02-27</v>
      </c>
      <c r="T383">
        <f t="shared" si="33"/>
        <v>25</v>
      </c>
      <c r="U383" t="str">
        <f t="shared" si="34"/>
        <v>Late</v>
      </c>
      <c r="V383">
        <f t="shared" si="35"/>
        <v>0</v>
      </c>
    </row>
    <row r="384" spans="1:22" x14ac:dyDescent="0.45">
      <c r="A384" t="s">
        <v>1040</v>
      </c>
      <c r="B384" t="s">
        <v>662</v>
      </c>
      <c r="C384" t="s">
        <v>37</v>
      </c>
      <c r="D384" t="s">
        <v>83</v>
      </c>
      <c r="E384" t="s">
        <v>17</v>
      </c>
      <c r="F384">
        <v>199</v>
      </c>
      <c r="G384">
        <v>19850</v>
      </c>
      <c r="H384">
        <v>3950150</v>
      </c>
      <c r="I384" t="s">
        <v>1041</v>
      </c>
      <c r="J384" t="s">
        <v>1041</v>
      </c>
      <c r="K384">
        <v>199</v>
      </c>
      <c r="L384">
        <v>0</v>
      </c>
      <c r="M384" t="s">
        <v>115</v>
      </c>
      <c r="N384" t="str">
        <f t="shared" si="30"/>
        <v>PO-100383</v>
      </c>
      <c r="O384" t="str">
        <f t="shared" si="31"/>
        <v>Delivered</v>
      </c>
      <c r="P384" t="str">
        <f t="shared" si="32"/>
        <v>WH-BLR</v>
      </c>
      <c r="Q384" t="str">
        <f>VLOOKUP(C384, Lookups!$A$2:$D$10, 2, FALSE())</f>
        <v>Premium Desks Ltd</v>
      </c>
      <c r="R384" t="str">
        <f>_xlfn.XLOOKUP(D384, Lookups!$A$12:$A$51, Lookups!$C$12:$C$51, "Unknown")</f>
        <v>Office Furniture</v>
      </c>
      <c r="S384" t="str">
        <f>IF(ISBLANK(I384), B384+VLOOKUP(C384, Lookups!$A$2:$D$10, 4, FALSE()), I384)</f>
        <v>2026-10-17</v>
      </c>
      <c r="T384">
        <f t="shared" si="33"/>
        <v>12</v>
      </c>
      <c r="U384" t="str">
        <f t="shared" si="34"/>
        <v>On-Time</v>
      </c>
      <c r="V384">
        <f t="shared" si="35"/>
        <v>0</v>
      </c>
    </row>
    <row r="385" spans="1:22" x14ac:dyDescent="0.45">
      <c r="A385" t="s">
        <v>1042</v>
      </c>
      <c r="B385" t="s">
        <v>639</v>
      </c>
      <c r="C385" t="s">
        <v>30</v>
      </c>
      <c r="D385" t="s">
        <v>52</v>
      </c>
      <c r="E385" t="s">
        <v>16</v>
      </c>
      <c r="F385">
        <v>239</v>
      </c>
      <c r="G385">
        <v>59592</v>
      </c>
      <c r="H385">
        <v>14242488</v>
      </c>
      <c r="I385" t="s">
        <v>547</v>
      </c>
      <c r="J385" t="s">
        <v>917</v>
      </c>
      <c r="K385">
        <v>239</v>
      </c>
      <c r="L385">
        <v>0</v>
      </c>
      <c r="M385" t="s">
        <v>115</v>
      </c>
      <c r="N385" t="str">
        <f t="shared" si="30"/>
        <v>PO-100384</v>
      </c>
      <c r="O385" t="str">
        <f t="shared" si="31"/>
        <v>Delivered</v>
      </c>
      <c r="P385" t="str">
        <f t="shared" si="32"/>
        <v>WH-DEL</v>
      </c>
      <c r="Q385" t="str">
        <f>VLOOKUP(C385, Lookups!$A$2:$D$10, 2, FALSE())</f>
        <v>TechSupply Corp</v>
      </c>
      <c r="R385" t="str">
        <f>_xlfn.XLOOKUP(D385, Lookups!$A$12:$A$51, Lookups!$C$12:$C$51, "Unknown")</f>
        <v>Electronics</v>
      </c>
      <c r="S385" t="str">
        <f>IF(ISBLANK(I385), B385+VLOOKUP(C385, Lookups!$A$2:$D$10, 4, FALSE()), I385)</f>
        <v>2025-12-25</v>
      </c>
      <c r="T385">
        <f t="shared" si="33"/>
        <v>24</v>
      </c>
      <c r="U385" t="str">
        <f t="shared" si="34"/>
        <v>Late</v>
      </c>
      <c r="V385">
        <f t="shared" si="35"/>
        <v>0</v>
      </c>
    </row>
    <row r="386" spans="1:22" x14ac:dyDescent="0.45">
      <c r="A386" t="s">
        <v>1043</v>
      </c>
      <c r="B386" t="s">
        <v>679</v>
      </c>
      <c r="C386" t="s">
        <v>31</v>
      </c>
      <c r="D386" t="s">
        <v>56</v>
      </c>
      <c r="E386" t="s">
        <v>17</v>
      </c>
      <c r="F386">
        <v>238</v>
      </c>
      <c r="G386">
        <v>39270</v>
      </c>
      <c r="H386">
        <v>9346260</v>
      </c>
      <c r="I386" t="s">
        <v>1044</v>
      </c>
      <c r="J386" t="s">
        <v>1044</v>
      </c>
      <c r="K386">
        <v>238</v>
      </c>
      <c r="L386">
        <v>0</v>
      </c>
      <c r="M386" t="s">
        <v>115</v>
      </c>
      <c r="N386" t="str">
        <f t="shared" ref="N386:N449" si="36">TRIM(A386)</f>
        <v>PO-100385</v>
      </c>
      <c r="O386" t="str">
        <f t="shared" ref="O386:O449" si="37">PROPER(TRIM(M386))</f>
        <v>Delivered</v>
      </c>
      <c r="P386" t="str">
        <f t="shared" ref="P386:P449" si="38">TRIM(E386)</f>
        <v>WH-BLR</v>
      </c>
      <c r="Q386" t="str">
        <f>VLOOKUP(C386, Lookups!$A$2:$D$10, 2, FALSE())</f>
        <v>Global Networks</v>
      </c>
      <c r="R386" t="str">
        <f>_xlfn.XLOOKUP(D386, Lookups!$A$12:$A$51, Lookups!$C$12:$C$51, "Unknown")</f>
        <v>Networking</v>
      </c>
      <c r="S386" t="str">
        <f>IF(ISBLANK(I386), B386+VLOOKUP(C386, Lookups!$A$2:$D$10, 4, FALSE()), I386)</f>
        <v>2026-08-10</v>
      </c>
      <c r="T386">
        <f t="shared" ref="T386:T449" si="39">IF(ISBLANK(J386), "", J386-B386)</f>
        <v>21</v>
      </c>
      <c r="U386" t="str">
        <f t="shared" ref="U386:U449" si="40">IF(O386="Open", "Open", IF(J386&gt;S386, "Late", "On-Time"))</f>
        <v>On-Time</v>
      </c>
      <c r="V386">
        <f t="shared" ref="V386:V449" si="41">IF(K386&gt;0, L386/K386, 0)</f>
        <v>0</v>
      </c>
    </row>
    <row r="387" spans="1:22" x14ac:dyDescent="0.45">
      <c r="A387" t="s">
        <v>1045</v>
      </c>
      <c r="B387" t="s">
        <v>146</v>
      </c>
      <c r="C387" t="s">
        <v>30</v>
      </c>
      <c r="D387" t="s">
        <v>82</v>
      </c>
      <c r="E387" t="s">
        <v>18</v>
      </c>
      <c r="F387">
        <v>188</v>
      </c>
      <c r="G387">
        <v>83427</v>
      </c>
      <c r="H387">
        <v>15684276</v>
      </c>
      <c r="I387" t="s">
        <v>200</v>
      </c>
      <c r="J387" t="s">
        <v>1046</v>
      </c>
      <c r="K387">
        <v>188</v>
      </c>
      <c r="L387">
        <v>0</v>
      </c>
      <c r="M387" t="s">
        <v>115</v>
      </c>
      <c r="N387" t="str">
        <f t="shared" si="36"/>
        <v>PO-100386</v>
      </c>
      <c r="O387" t="str">
        <f t="shared" si="37"/>
        <v>Delivered</v>
      </c>
      <c r="P387" t="str">
        <f t="shared" si="38"/>
        <v>WH-PUN</v>
      </c>
      <c r="Q387" t="str">
        <f>VLOOKUP(C387, Lookups!$A$2:$D$10, 2, FALSE())</f>
        <v>TechSupply Corp</v>
      </c>
      <c r="R387" t="str">
        <f>_xlfn.XLOOKUP(D387, Lookups!$A$12:$A$51, Lookups!$C$12:$C$51, "Unknown")</f>
        <v>Electronics</v>
      </c>
      <c r="S387" t="str">
        <f>IF(ISBLANK(I387), B387+VLOOKUP(C387, Lookups!$A$2:$D$10, 4, FALSE()), I387)</f>
        <v>2025-10-22</v>
      </c>
      <c r="T387">
        <f t="shared" si="39"/>
        <v>15</v>
      </c>
      <c r="U387" t="str">
        <f t="shared" si="40"/>
        <v>Late</v>
      </c>
      <c r="V387">
        <f t="shared" si="41"/>
        <v>0</v>
      </c>
    </row>
    <row r="388" spans="1:22" x14ac:dyDescent="0.45">
      <c r="A388" t="s">
        <v>1047</v>
      </c>
      <c r="B388" t="s">
        <v>1048</v>
      </c>
      <c r="C388" t="s">
        <v>34</v>
      </c>
      <c r="D388" t="s">
        <v>80</v>
      </c>
      <c r="E388" t="s">
        <v>17</v>
      </c>
      <c r="F388">
        <v>16</v>
      </c>
      <c r="G388">
        <v>19090</v>
      </c>
      <c r="H388">
        <v>305440</v>
      </c>
      <c r="I388" t="s">
        <v>483</v>
      </c>
      <c r="J388" t="s">
        <v>483</v>
      </c>
      <c r="K388">
        <v>16</v>
      </c>
      <c r="L388">
        <v>0</v>
      </c>
      <c r="M388" t="s">
        <v>115</v>
      </c>
      <c r="N388" t="str">
        <f t="shared" si="36"/>
        <v>PO-100387</v>
      </c>
      <c r="O388" t="str">
        <f t="shared" si="37"/>
        <v>Delivered</v>
      </c>
      <c r="P388" t="str">
        <f t="shared" si="38"/>
        <v>WH-BLR</v>
      </c>
      <c r="Q388" t="str">
        <f>VLOOKUP(C388, Lookups!$A$2:$D$10, 2, FALSE())</f>
        <v>FastElectronics</v>
      </c>
      <c r="R388" t="str">
        <f>_xlfn.XLOOKUP(D388, Lookups!$A$12:$A$51, Lookups!$C$12:$C$51, "Unknown")</f>
        <v>Networking</v>
      </c>
      <c r="S388" t="str">
        <f>IF(ISBLANK(I388), B388+VLOOKUP(C388, Lookups!$A$2:$D$10, 4, FALSE()), I388)</f>
        <v>2026-06-01</v>
      </c>
      <c r="T388">
        <f t="shared" si="39"/>
        <v>18</v>
      </c>
      <c r="U388" t="str">
        <f t="shared" si="40"/>
        <v>On-Time</v>
      </c>
      <c r="V388">
        <f t="shared" si="41"/>
        <v>0</v>
      </c>
    </row>
    <row r="389" spans="1:22" x14ac:dyDescent="0.45">
      <c r="A389" t="s">
        <v>1049</v>
      </c>
      <c r="B389" t="s">
        <v>1019</v>
      </c>
      <c r="C389" t="s">
        <v>30</v>
      </c>
      <c r="D389" t="s">
        <v>86</v>
      </c>
      <c r="E389" t="s">
        <v>18</v>
      </c>
      <c r="F389">
        <v>83</v>
      </c>
      <c r="G389">
        <v>74871</v>
      </c>
      <c r="H389">
        <v>6214293</v>
      </c>
      <c r="I389" t="s">
        <v>518</v>
      </c>
      <c r="J389" t="s">
        <v>518</v>
      </c>
      <c r="K389">
        <v>83</v>
      </c>
      <c r="L389">
        <v>0</v>
      </c>
      <c r="M389" t="s">
        <v>115</v>
      </c>
      <c r="N389" t="str">
        <f t="shared" si="36"/>
        <v>PO-100388</v>
      </c>
      <c r="O389" t="str">
        <f t="shared" si="37"/>
        <v>Delivered</v>
      </c>
      <c r="P389" t="str">
        <f t="shared" si="38"/>
        <v>WH-PUN</v>
      </c>
      <c r="Q389" t="str">
        <f>VLOOKUP(C389, Lookups!$A$2:$D$10, 2, FALSE())</f>
        <v>TechSupply Corp</v>
      </c>
      <c r="R389" t="str">
        <f>_xlfn.XLOOKUP(D389, Lookups!$A$12:$A$51, Lookups!$C$12:$C$51, "Unknown")</f>
        <v>Electronics</v>
      </c>
      <c r="S389" t="str">
        <f>IF(ISBLANK(I389), B389+VLOOKUP(C389, Lookups!$A$2:$D$10, 4, FALSE()), I389)</f>
        <v>2025-05-23</v>
      </c>
      <c r="T389">
        <f t="shared" si="39"/>
        <v>14</v>
      </c>
      <c r="U389" t="str">
        <f t="shared" si="40"/>
        <v>On-Time</v>
      </c>
      <c r="V389">
        <f t="shared" si="41"/>
        <v>0</v>
      </c>
    </row>
    <row r="390" spans="1:22" x14ac:dyDescent="0.45">
      <c r="A390" t="s">
        <v>1050</v>
      </c>
      <c r="B390" t="s">
        <v>1051</v>
      </c>
      <c r="C390" t="s">
        <v>30</v>
      </c>
      <c r="D390" t="s">
        <v>61</v>
      </c>
      <c r="E390" t="s">
        <v>18</v>
      </c>
      <c r="F390">
        <v>228</v>
      </c>
      <c r="G390">
        <v>111237</v>
      </c>
      <c r="H390">
        <v>25362036</v>
      </c>
      <c r="I390" t="s">
        <v>438</v>
      </c>
      <c r="J390" t="s">
        <v>438</v>
      </c>
      <c r="K390">
        <v>228</v>
      </c>
      <c r="L390">
        <v>0</v>
      </c>
      <c r="M390" t="s">
        <v>115</v>
      </c>
      <c r="N390" t="str">
        <f t="shared" si="36"/>
        <v>PO-100389</v>
      </c>
      <c r="O390" t="str">
        <f t="shared" si="37"/>
        <v>Delivered</v>
      </c>
      <c r="P390" t="str">
        <f t="shared" si="38"/>
        <v>WH-PUN</v>
      </c>
      <c r="Q390" t="str">
        <f>VLOOKUP(C390, Lookups!$A$2:$D$10, 2, FALSE())</f>
        <v>TechSupply Corp</v>
      </c>
      <c r="R390" t="str">
        <f>_xlfn.XLOOKUP(D390, Lookups!$A$12:$A$51, Lookups!$C$12:$C$51, "Unknown")</f>
        <v>Electronics</v>
      </c>
      <c r="S390" t="str">
        <f>IF(ISBLANK(I390), B390+VLOOKUP(C390, Lookups!$A$2:$D$10, 4, FALSE()), I390)</f>
        <v>2025-02-13</v>
      </c>
      <c r="T390">
        <f t="shared" si="39"/>
        <v>14</v>
      </c>
      <c r="U390" t="str">
        <f t="shared" si="40"/>
        <v>On-Time</v>
      </c>
      <c r="V390">
        <f t="shared" si="41"/>
        <v>0</v>
      </c>
    </row>
    <row r="391" spans="1:22" x14ac:dyDescent="0.45">
      <c r="A391" t="s">
        <v>1052</v>
      </c>
      <c r="B391" t="s">
        <v>501</v>
      </c>
      <c r="C391" t="s">
        <v>36</v>
      </c>
      <c r="D391" t="s">
        <v>63</v>
      </c>
      <c r="E391" t="s">
        <v>15</v>
      </c>
      <c r="F391">
        <v>152</v>
      </c>
      <c r="G391">
        <v>71062</v>
      </c>
      <c r="H391">
        <v>10801424</v>
      </c>
      <c r="I391" t="s">
        <v>502</v>
      </c>
      <c r="J391" t="s">
        <v>330</v>
      </c>
      <c r="K391">
        <v>152</v>
      </c>
      <c r="L391">
        <v>0</v>
      </c>
      <c r="M391" t="s">
        <v>115</v>
      </c>
      <c r="N391" t="str">
        <f t="shared" si="36"/>
        <v>PO-100390</v>
      </c>
      <c r="O391" t="str">
        <f t="shared" si="37"/>
        <v>Delivered</v>
      </c>
      <c r="P391" t="str">
        <f t="shared" si="38"/>
        <v>WH-BOM</v>
      </c>
      <c r="Q391" t="str">
        <f>VLOOKUP(C391, Lookups!$A$2:$D$10, 2, FALSE())</f>
        <v>NextGen Hardware</v>
      </c>
      <c r="R391" t="str">
        <f>_xlfn.XLOOKUP(D391, Lookups!$A$12:$A$51, Lookups!$C$12:$C$51, "Unknown")</f>
        <v>Electronics</v>
      </c>
      <c r="S391" t="str">
        <f>IF(ISBLANK(I391), B391+VLOOKUP(C391, Lookups!$A$2:$D$10, 4, FALSE()), I391)</f>
        <v>2026-02-22</v>
      </c>
      <c r="T391">
        <f t="shared" si="39"/>
        <v>25</v>
      </c>
      <c r="U391" t="str">
        <f t="shared" si="40"/>
        <v>Late</v>
      </c>
      <c r="V391">
        <f t="shared" si="41"/>
        <v>0</v>
      </c>
    </row>
    <row r="392" spans="1:22" x14ac:dyDescent="0.45">
      <c r="A392" t="s">
        <v>1053</v>
      </c>
      <c r="B392" t="s">
        <v>794</v>
      </c>
      <c r="C392" t="s">
        <v>34</v>
      </c>
      <c r="D392" t="s">
        <v>76</v>
      </c>
      <c r="E392" t="s">
        <v>18</v>
      </c>
      <c r="F392">
        <v>115</v>
      </c>
      <c r="G392">
        <v>26270</v>
      </c>
      <c r="H392">
        <v>3021050</v>
      </c>
      <c r="I392" t="s">
        <v>869</v>
      </c>
      <c r="J392" t="s">
        <v>869</v>
      </c>
      <c r="K392">
        <v>77</v>
      </c>
      <c r="L392">
        <v>0</v>
      </c>
      <c r="M392" t="s">
        <v>115</v>
      </c>
      <c r="N392" t="str">
        <f t="shared" si="36"/>
        <v>PO-100391</v>
      </c>
      <c r="O392" t="str">
        <f t="shared" si="37"/>
        <v>Delivered</v>
      </c>
      <c r="P392" t="str">
        <f t="shared" si="38"/>
        <v>WH-PUN</v>
      </c>
      <c r="Q392" t="str">
        <f>VLOOKUP(C392, Lookups!$A$2:$D$10, 2, FALSE())</f>
        <v>FastElectronics</v>
      </c>
      <c r="R392" t="str">
        <f>_xlfn.XLOOKUP(D392, Lookups!$A$12:$A$51, Lookups!$C$12:$C$51, "Unknown")</f>
        <v>Networking</v>
      </c>
      <c r="S392" t="str">
        <f>IF(ISBLANK(I392), B392+VLOOKUP(C392, Lookups!$A$2:$D$10, 4, FALSE()), I392)</f>
        <v>2026-09-25</v>
      </c>
      <c r="T392">
        <f t="shared" si="39"/>
        <v>18</v>
      </c>
      <c r="U392" t="str">
        <f t="shared" si="40"/>
        <v>On-Time</v>
      </c>
      <c r="V392">
        <f t="shared" si="41"/>
        <v>0</v>
      </c>
    </row>
    <row r="393" spans="1:22" x14ac:dyDescent="0.45">
      <c r="A393" t="s">
        <v>1054</v>
      </c>
      <c r="B393" t="s">
        <v>293</v>
      </c>
      <c r="C393" t="s">
        <v>37</v>
      </c>
      <c r="D393" t="s">
        <v>69</v>
      </c>
      <c r="E393" t="s">
        <v>16</v>
      </c>
      <c r="F393">
        <v>217</v>
      </c>
      <c r="G393">
        <v>13231</v>
      </c>
      <c r="H393">
        <v>2871127</v>
      </c>
      <c r="I393" t="s">
        <v>394</v>
      </c>
      <c r="J393" t="s">
        <v>394</v>
      </c>
      <c r="K393">
        <v>217</v>
      </c>
      <c r="L393">
        <v>0</v>
      </c>
      <c r="M393" t="s">
        <v>927</v>
      </c>
      <c r="N393" t="str">
        <f t="shared" si="36"/>
        <v>PO-100392</v>
      </c>
      <c r="O393" t="str">
        <f t="shared" si="37"/>
        <v>Delivered</v>
      </c>
      <c r="P393" t="str">
        <f t="shared" si="38"/>
        <v>WH-DEL</v>
      </c>
      <c r="Q393" t="str">
        <f>VLOOKUP(C393, Lookups!$A$2:$D$10, 2, FALSE())</f>
        <v>Premium Desks Ltd</v>
      </c>
      <c r="R393" t="str">
        <f>_xlfn.XLOOKUP(D393, Lookups!$A$12:$A$51, Lookups!$C$12:$C$51, "Unknown")</f>
        <v>Office Furniture</v>
      </c>
      <c r="S393" t="str">
        <f>IF(ISBLANK(I393), B393+VLOOKUP(C393, Lookups!$A$2:$D$10, 4, FALSE()), I393)</f>
        <v>2025-09-16</v>
      </c>
      <c r="T393">
        <f t="shared" si="39"/>
        <v>12</v>
      </c>
      <c r="U393" t="str">
        <f t="shared" si="40"/>
        <v>On-Time</v>
      </c>
      <c r="V393">
        <f t="shared" si="41"/>
        <v>0</v>
      </c>
    </row>
    <row r="394" spans="1:22" x14ac:dyDescent="0.45">
      <c r="A394" t="s">
        <v>1055</v>
      </c>
      <c r="B394" t="s">
        <v>277</v>
      </c>
      <c r="C394" t="s">
        <v>35</v>
      </c>
      <c r="D394" t="s">
        <v>60</v>
      </c>
      <c r="E394" t="s">
        <v>16</v>
      </c>
      <c r="F394">
        <v>78</v>
      </c>
      <c r="G394">
        <v>3291</v>
      </c>
      <c r="H394">
        <v>256698</v>
      </c>
      <c r="I394" t="s">
        <v>160</v>
      </c>
      <c r="J394" t="s">
        <v>160</v>
      </c>
      <c r="K394">
        <v>52</v>
      </c>
      <c r="L394">
        <v>0</v>
      </c>
      <c r="M394" t="s">
        <v>115</v>
      </c>
      <c r="N394" t="str">
        <f t="shared" si="36"/>
        <v>PO-100393</v>
      </c>
      <c r="O394" t="str">
        <f t="shared" si="37"/>
        <v>Delivered</v>
      </c>
      <c r="P394" t="str">
        <f t="shared" si="38"/>
        <v>WH-DEL</v>
      </c>
      <c r="Q394" t="str">
        <f>VLOOKUP(C394, Lookups!$A$2:$D$10, 2, FALSE())</f>
        <v>Peripheral Source</v>
      </c>
      <c r="R394" t="str">
        <f>_xlfn.XLOOKUP(D394, Lookups!$A$12:$A$51, Lookups!$C$12:$C$51, "Unknown")</f>
        <v>Peripherals</v>
      </c>
      <c r="S394" t="str">
        <f>IF(ISBLANK(I394), B394+VLOOKUP(C394, Lookups!$A$2:$D$10, 4, FALSE()), I394)</f>
        <v>2025-05-22</v>
      </c>
      <c r="T394">
        <f t="shared" si="39"/>
        <v>10</v>
      </c>
      <c r="U394" t="str">
        <f t="shared" si="40"/>
        <v>On-Time</v>
      </c>
      <c r="V394">
        <f t="shared" si="41"/>
        <v>0</v>
      </c>
    </row>
    <row r="395" spans="1:22" x14ac:dyDescent="0.45">
      <c r="A395" t="s">
        <v>1056</v>
      </c>
      <c r="B395" t="s">
        <v>685</v>
      </c>
      <c r="C395" t="s">
        <v>36</v>
      </c>
      <c r="D395" t="s">
        <v>87</v>
      </c>
      <c r="E395" t="s">
        <v>16</v>
      </c>
      <c r="F395">
        <v>238</v>
      </c>
      <c r="G395">
        <v>82930</v>
      </c>
      <c r="H395">
        <v>19737340</v>
      </c>
      <c r="I395" t="s">
        <v>149</v>
      </c>
      <c r="J395" t="s">
        <v>323</v>
      </c>
      <c r="K395">
        <v>238</v>
      </c>
      <c r="L395">
        <v>31</v>
      </c>
      <c r="M395" t="s">
        <v>115</v>
      </c>
      <c r="N395" t="str">
        <f t="shared" si="36"/>
        <v>PO-100394</v>
      </c>
      <c r="O395" t="str">
        <f t="shared" si="37"/>
        <v>Delivered</v>
      </c>
      <c r="P395" t="str">
        <f t="shared" si="38"/>
        <v>WH-DEL</v>
      </c>
      <c r="Q395" t="str">
        <f>VLOOKUP(C395, Lookups!$A$2:$D$10, 2, FALSE())</f>
        <v>NextGen Hardware</v>
      </c>
      <c r="R395" t="str">
        <f>_xlfn.XLOOKUP(D395, Lookups!$A$12:$A$51, Lookups!$C$12:$C$51, "Unknown")</f>
        <v>Electronics</v>
      </c>
      <c r="S395" t="str">
        <f>IF(ISBLANK(I395), B395+VLOOKUP(C395, Lookups!$A$2:$D$10, 4, FALSE()), I395)</f>
        <v>2026-04-03</v>
      </c>
      <c r="T395">
        <f t="shared" si="39"/>
        <v>25</v>
      </c>
      <c r="U395" t="str">
        <f t="shared" si="40"/>
        <v>Late</v>
      </c>
      <c r="V395">
        <f t="shared" si="41"/>
        <v>0.13025210084033614</v>
      </c>
    </row>
    <row r="396" spans="1:22" x14ac:dyDescent="0.45">
      <c r="A396" t="s">
        <v>1057</v>
      </c>
      <c r="B396" t="s">
        <v>204</v>
      </c>
      <c r="C396" t="s">
        <v>35</v>
      </c>
      <c r="D396" t="s">
        <v>91</v>
      </c>
      <c r="E396" t="s">
        <v>15</v>
      </c>
      <c r="F396">
        <v>93</v>
      </c>
      <c r="G396">
        <v>6707</v>
      </c>
      <c r="H396">
        <v>623751</v>
      </c>
      <c r="I396" t="s">
        <v>559</v>
      </c>
      <c r="J396" t="s">
        <v>1058</v>
      </c>
      <c r="K396">
        <v>93</v>
      </c>
      <c r="L396">
        <v>0</v>
      </c>
      <c r="M396" t="s">
        <v>115</v>
      </c>
      <c r="N396" t="str">
        <f t="shared" si="36"/>
        <v>PO-100395</v>
      </c>
      <c r="O396" t="str">
        <f t="shared" si="37"/>
        <v>Delivered</v>
      </c>
      <c r="P396" t="str">
        <f t="shared" si="38"/>
        <v>WH-BOM</v>
      </c>
      <c r="Q396" t="str">
        <f>VLOOKUP(C396, Lookups!$A$2:$D$10, 2, FALSE())</f>
        <v>Peripheral Source</v>
      </c>
      <c r="R396" t="str">
        <f>_xlfn.XLOOKUP(D396, Lookups!$A$12:$A$51, Lookups!$C$12:$C$51, "Unknown")</f>
        <v>Peripherals</v>
      </c>
      <c r="S396" t="str">
        <f>IF(ISBLANK(I396), B396+VLOOKUP(C396, Lookups!$A$2:$D$10, 4, FALSE()), I396)</f>
        <v>2026-04-19</v>
      </c>
      <c r="T396">
        <f t="shared" si="39"/>
        <v>16</v>
      </c>
      <c r="U396" t="str">
        <f t="shared" si="40"/>
        <v>Late</v>
      </c>
      <c r="V396">
        <f t="shared" si="41"/>
        <v>0</v>
      </c>
    </row>
    <row r="397" spans="1:22" x14ac:dyDescent="0.45">
      <c r="A397" t="s">
        <v>1059</v>
      </c>
      <c r="B397" t="s">
        <v>146</v>
      </c>
      <c r="C397" t="s">
        <v>35</v>
      </c>
      <c r="D397" t="s">
        <v>70</v>
      </c>
      <c r="E397" t="s">
        <v>15</v>
      </c>
      <c r="F397">
        <v>167</v>
      </c>
      <c r="G397">
        <v>4287</v>
      </c>
      <c r="H397">
        <v>715929</v>
      </c>
      <c r="I397" t="s">
        <v>969</v>
      </c>
      <c r="J397" t="s">
        <v>1046</v>
      </c>
      <c r="K397">
        <v>167</v>
      </c>
      <c r="L397">
        <v>0</v>
      </c>
      <c r="M397" t="s">
        <v>115</v>
      </c>
      <c r="N397" t="str">
        <f t="shared" si="36"/>
        <v>PO-100396</v>
      </c>
      <c r="O397" t="str">
        <f t="shared" si="37"/>
        <v>Delivered</v>
      </c>
      <c r="P397" t="str">
        <f t="shared" si="38"/>
        <v>WH-BOM</v>
      </c>
      <c r="Q397" t="str">
        <f>VLOOKUP(C397, Lookups!$A$2:$D$10, 2, FALSE())</f>
        <v>Peripheral Source</v>
      </c>
      <c r="R397" t="str">
        <f>_xlfn.XLOOKUP(D397, Lookups!$A$12:$A$51, Lookups!$C$12:$C$51, "Unknown")</f>
        <v>Peripherals</v>
      </c>
      <c r="S397" t="str">
        <f>IF(ISBLANK(I397), B397+VLOOKUP(C397, Lookups!$A$2:$D$10, 4, FALSE()), I397)</f>
        <v>2025-10-18</v>
      </c>
      <c r="T397">
        <f t="shared" si="39"/>
        <v>15</v>
      </c>
      <c r="U397" t="str">
        <f t="shared" si="40"/>
        <v>Late</v>
      </c>
      <c r="V397">
        <f t="shared" si="41"/>
        <v>0</v>
      </c>
    </row>
    <row r="398" spans="1:22" x14ac:dyDescent="0.45">
      <c r="A398" t="s">
        <v>1060</v>
      </c>
      <c r="B398" t="s">
        <v>151</v>
      </c>
      <c r="C398" t="s">
        <v>36</v>
      </c>
      <c r="D398" t="s">
        <v>71</v>
      </c>
      <c r="E398" t="s">
        <v>18</v>
      </c>
      <c r="F398">
        <v>242</v>
      </c>
      <c r="G398">
        <v>65379</v>
      </c>
      <c r="H398">
        <v>15821718</v>
      </c>
      <c r="I398" t="s">
        <v>535</v>
      </c>
      <c r="J398" t="s">
        <v>411</v>
      </c>
      <c r="K398">
        <v>242</v>
      </c>
      <c r="L398">
        <v>0</v>
      </c>
      <c r="M398" t="s">
        <v>115</v>
      </c>
      <c r="N398" t="str">
        <f t="shared" si="36"/>
        <v>PO-100397</v>
      </c>
      <c r="O398" t="str">
        <f t="shared" si="37"/>
        <v>Delivered</v>
      </c>
      <c r="P398" t="str">
        <f t="shared" si="38"/>
        <v>WH-PUN</v>
      </c>
      <c r="Q398" t="str">
        <f>VLOOKUP(C398, Lookups!$A$2:$D$10, 2, FALSE())</f>
        <v>NextGen Hardware</v>
      </c>
      <c r="R398" t="str">
        <f>_xlfn.XLOOKUP(D398, Lookups!$A$12:$A$51, Lookups!$C$12:$C$51, "Unknown")</f>
        <v>Electronics</v>
      </c>
      <c r="S398" t="str">
        <f>IF(ISBLANK(I398), B398+VLOOKUP(C398, Lookups!$A$2:$D$10, 4, FALSE()), I398)</f>
        <v>2026-05-08</v>
      </c>
      <c r="T398">
        <f t="shared" si="39"/>
        <v>25</v>
      </c>
      <c r="U398" t="str">
        <f t="shared" si="40"/>
        <v>Late</v>
      </c>
      <c r="V398">
        <f t="shared" si="41"/>
        <v>0</v>
      </c>
    </row>
    <row r="399" spans="1:22" x14ac:dyDescent="0.45">
      <c r="A399" t="s">
        <v>1061</v>
      </c>
      <c r="B399" t="s">
        <v>561</v>
      </c>
      <c r="C399" t="s">
        <v>30</v>
      </c>
      <c r="D399" t="s">
        <v>59</v>
      </c>
      <c r="E399" t="s">
        <v>18</v>
      </c>
      <c r="F399">
        <v>73</v>
      </c>
      <c r="G399">
        <v>48905</v>
      </c>
      <c r="H399">
        <v>3570065</v>
      </c>
      <c r="I399" t="s">
        <v>566</v>
      </c>
      <c r="J399" t="s">
        <v>566</v>
      </c>
      <c r="K399">
        <v>73</v>
      </c>
      <c r="L399">
        <v>10</v>
      </c>
      <c r="M399" t="s">
        <v>115</v>
      </c>
      <c r="N399" t="str">
        <f t="shared" si="36"/>
        <v>PO-100398</v>
      </c>
      <c r="O399" t="str">
        <f t="shared" si="37"/>
        <v>Delivered</v>
      </c>
      <c r="P399" t="str">
        <f t="shared" si="38"/>
        <v>WH-PUN</v>
      </c>
      <c r="Q399" t="str">
        <f>VLOOKUP(C399, Lookups!$A$2:$D$10, 2, FALSE())</f>
        <v>TechSupply Corp</v>
      </c>
      <c r="R399" t="str">
        <f>_xlfn.XLOOKUP(D399, Lookups!$A$12:$A$51, Lookups!$C$12:$C$51, "Unknown")</f>
        <v>Electronics</v>
      </c>
      <c r="S399" t="str">
        <f>IF(ISBLANK(I399), B399+VLOOKUP(C399, Lookups!$A$2:$D$10, 4, FALSE()), I399)</f>
        <v>2025-03-09</v>
      </c>
      <c r="T399">
        <f t="shared" si="39"/>
        <v>14</v>
      </c>
      <c r="U399" t="str">
        <f t="shared" si="40"/>
        <v>On-Time</v>
      </c>
      <c r="V399">
        <f t="shared" si="41"/>
        <v>0.13698630136986301</v>
      </c>
    </row>
    <row r="400" spans="1:22" x14ac:dyDescent="0.45">
      <c r="A400" t="s">
        <v>1062</v>
      </c>
      <c r="B400" t="s">
        <v>772</v>
      </c>
      <c r="C400" t="s">
        <v>34</v>
      </c>
      <c r="D400" t="s">
        <v>76</v>
      </c>
      <c r="E400" t="s">
        <v>17</v>
      </c>
      <c r="F400">
        <v>101</v>
      </c>
      <c r="G400">
        <v>26270</v>
      </c>
      <c r="H400">
        <v>2653270</v>
      </c>
      <c r="I400" t="s">
        <v>422</v>
      </c>
      <c r="J400" t="s">
        <v>422</v>
      </c>
      <c r="K400">
        <v>101</v>
      </c>
      <c r="L400">
        <v>0</v>
      </c>
      <c r="M400" t="s">
        <v>115</v>
      </c>
      <c r="N400" t="str">
        <f t="shared" si="36"/>
        <v>PO-100399</v>
      </c>
      <c r="O400" t="str">
        <f t="shared" si="37"/>
        <v>Delivered</v>
      </c>
      <c r="P400" t="str">
        <f t="shared" si="38"/>
        <v>WH-BLR</v>
      </c>
      <c r="Q400" t="str">
        <f>VLOOKUP(C400, Lookups!$A$2:$D$10, 2, FALSE())</f>
        <v>FastElectronics</v>
      </c>
      <c r="R400" t="str">
        <f>_xlfn.XLOOKUP(D400, Lookups!$A$12:$A$51, Lookups!$C$12:$C$51, "Unknown")</f>
        <v>Networking</v>
      </c>
      <c r="S400" t="str">
        <f>IF(ISBLANK(I400), B400+VLOOKUP(C400, Lookups!$A$2:$D$10, 4, FALSE()), I400)</f>
        <v>2026-01-19</v>
      </c>
      <c r="T400">
        <f t="shared" si="39"/>
        <v>18</v>
      </c>
      <c r="U400" t="str">
        <f t="shared" si="40"/>
        <v>On-Time</v>
      </c>
      <c r="V400">
        <f t="shared" si="41"/>
        <v>0</v>
      </c>
    </row>
    <row r="401" spans="1:22" x14ac:dyDescent="0.45">
      <c r="A401" t="s">
        <v>1063</v>
      </c>
      <c r="B401" t="s">
        <v>512</v>
      </c>
      <c r="C401" t="s">
        <v>34</v>
      </c>
      <c r="D401" t="s">
        <v>76</v>
      </c>
      <c r="E401" t="s">
        <v>17</v>
      </c>
      <c r="F401">
        <v>217</v>
      </c>
      <c r="G401">
        <v>26270</v>
      </c>
      <c r="H401">
        <v>5700590</v>
      </c>
      <c r="I401" t="s">
        <v>150</v>
      </c>
      <c r="J401" t="s">
        <v>218</v>
      </c>
      <c r="K401">
        <v>135</v>
      </c>
      <c r="L401">
        <v>0</v>
      </c>
      <c r="M401" t="s">
        <v>115</v>
      </c>
      <c r="N401" t="str">
        <f t="shared" si="36"/>
        <v>PO-100400</v>
      </c>
      <c r="O401" t="str">
        <f t="shared" si="37"/>
        <v>Delivered</v>
      </c>
      <c r="P401" t="str">
        <f t="shared" si="38"/>
        <v>WH-BLR</v>
      </c>
      <c r="Q401" t="str">
        <f>VLOOKUP(C401, Lookups!$A$2:$D$10, 2, FALSE())</f>
        <v>FastElectronics</v>
      </c>
      <c r="R401" t="str">
        <f>_xlfn.XLOOKUP(D401, Lookups!$A$12:$A$51, Lookups!$C$12:$C$51, "Unknown")</f>
        <v>Networking</v>
      </c>
      <c r="S401" t="str">
        <f>IF(ISBLANK(I401), B401+VLOOKUP(C401, Lookups!$A$2:$D$10, 4, FALSE()), I401)</f>
        <v>2026-04-13</v>
      </c>
      <c r="T401">
        <f t="shared" si="39"/>
        <v>29</v>
      </c>
      <c r="U401" t="str">
        <f t="shared" si="40"/>
        <v>Late</v>
      </c>
      <c r="V401">
        <f t="shared" si="41"/>
        <v>0</v>
      </c>
    </row>
    <row r="402" spans="1:22" x14ac:dyDescent="0.45">
      <c r="A402" t="s">
        <v>1064</v>
      </c>
      <c r="B402" t="s">
        <v>130</v>
      </c>
      <c r="C402" t="s">
        <v>35</v>
      </c>
      <c r="D402" t="s">
        <v>72</v>
      </c>
      <c r="E402" t="s">
        <v>15</v>
      </c>
      <c r="F402">
        <v>55</v>
      </c>
      <c r="G402">
        <v>7754</v>
      </c>
      <c r="H402">
        <v>426470</v>
      </c>
      <c r="I402" t="s">
        <v>1065</v>
      </c>
      <c r="J402" t="s">
        <v>1066</v>
      </c>
      <c r="K402">
        <v>55</v>
      </c>
      <c r="L402">
        <v>0</v>
      </c>
      <c r="M402" t="s">
        <v>115</v>
      </c>
      <c r="N402" t="str">
        <f t="shared" si="36"/>
        <v>PO-100401</v>
      </c>
      <c r="O402" t="str">
        <f t="shared" si="37"/>
        <v>Delivered</v>
      </c>
      <c r="P402" t="str">
        <f t="shared" si="38"/>
        <v>WH-BOM</v>
      </c>
      <c r="Q402" t="str">
        <f>VLOOKUP(C402, Lookups!$A$2:$D$10, 2, FALSE())</f>
        <v>Peripheral Source</v>
      </c>
      <c r="R402" t="str">
        <f>_xlfn.XLOOKUP(D402, Lookups!$A$12:$A$51, Lookups!$C$12:$C$51, "Unknown")</f>
        <v>Peripherals</v>
      </c>
      <c r="S402" t="str">
        <f>IF(ISBLANK(I402), B402+VLOOKUP(C402, Lookups!$A$2:$D$10, 4, FALSE()), I402)</f>
        <v>2026-07-25</v>
      </c>
      <c r="T402">
        <f t="shared" si="39"/>
        <v>11</v>
      </c>
      <c r="U402" t="str">
        <f t="shared" si="40"/>
        <v>Late</v>
      </c>
      <c r="V402">
        <f t="shared" si="41"/>
        <v>0</v>
      </c>
    </row>
    <row r="403" spans="1:22" x14ac:dyDescent="0.45">
      <c r="A403" t="s">
        <v>1067</v>
      </c>
      <c r="B403" t="s">
        <v>1068</v>
      </c>
      <c r="C403" t="s">
        <v>37</v>
      </c>
      <c r="D403" t="s">
        <v>69</v>
      </c>
      <c r="E403" t="s">
        <v>17</v>
      </c>
      <c r="F403">
        <v>246</v>
      </c>
      <c r="G403">
        <v>13231</v>
      </c>
      <c r="H403">
        <v>3254826</v>
      </c>
      <c r="I403" t="s">
        <v>1069</v>
      </c>
      <c r="J403" t="s">
        <v>1070</v>
      </c>
      <c r="K403">
        <v>246</v>
      </c>
      <c r="L403">
        <v>0</v>
      </c>
      <c r="M403" t="s">
        <v>115</v>
      </c>
      <c r="N403" t="str">
        <f t="shared" si="36"/>
        <v>PO-100402</v>
      </c>
      <c r="O403" t="str">
        <f t="shared" si="37"/>
        <v>Delivered</v>
      </c>
      <c r="P403" t="str">
        <f t="shared" si="38"/>
        <v>WH-BLR</v>
      </c>
      <c r="Q403" t="str">
        <f>VLOOKUP(C403, Lookups!$A$2:$D$10, 2, FALSE())</f>
        <v>Premium Desks Ltd</v>
      </c>
      <c r="R403" t="str">
        <f>_xlfn.XLOOKUP(D403, Lookups!$A$12:$A$51, Lookups!$C$12:$C$51, "Unknown")</f>
        <v>Office Furniture</v>
      </c>
      <c r="S403" t="str">
        <f>IF(ISBLANK(I403), B403+VLOOKUP(C403, Lookups!$A$2:$D$10, 4, FALSE()), I403)</f>
        <v>2025-08-14</v>
      </c>
      <c r="T403">
        <f t="shared" si="39"/>
        <v>13</v>
      </c>
      <c r="U403" t="str">
        <f t="shared" si="40"/>
        <v>Late</v>
      </c>
      <c r="V403">
        <f t="shared" si="41"/>
        <v>0</v>
      </c>
    </row>
    <row r="404" spans="1:22" x14ac:dyDescent="0.45">
      <c r="A404" t="s">
        <v>1071</v>
      </c>
      <c r="B404" t="s">
        <v>1026</v>
      </c>
      <c r="C404" t="s">
        <v>31</v>
      </c>
      <c r="D404" t="s">
        <v>66</v>
      </c>
      <c r="E404" t="s">
        <v>15</v>
      </c>
      <c r="F404">
        <v>86</v>
      </c>
      <c r="G404">
        <v>29719</v>
      </c>
      <c r="H404">
        <v>2555834</v>
      </c>
      <c r="I404" t="s">
        <v>952</v>
      </c>
      <c r="J404" t="s">
        <v>952</v>
      </c>
      <c r="K404">
        <v>86</v>
      </c>
      <c r="L404">
        <v>6</v>
      </c>
      <c r="M404" t="s">
        <v>178</v>
      </c>
      <c r="N404" t="str">
        <f t="shared" si="36"/>
        <v>PO-100403</v>
      </c>
      <c r="O404" t="str">
        <f t="shared" si="37"/>
        <v>Delivered</v>
      </c>
      <c r="P404" t="str">
        <f t="shared" si="38"/>
        <v>WH-BOM</v>
      </c>
      <c r="Q404" t="str">
        <f>VLOOKUP(C404, Lookups!$A$2:$D$10, 2, FALSE())</f>
        <v>Global Networks</v>
      </c>
      <c r="R404" t="str">
        <f>_xlfn.XLOOKUP(D404, Lookups!$A$12:$A$51, Lookups!$C$12:$C$51, "Unknown")</f>
        <v>Networking</v>
      </c>
      <c r="S404" t="str">
        <f>IF(ISBLANK(I404), B404+VLOOKUP(C404, Lookups!$A$2:$D$10, 4, FALSE()), I404)</f>
        <v>2026-07-24</v>
      </c>
      <c r="T404">
        <f t="shared" si="39"/>
        <v>21</v>
      </c>
      <c r="U404" t="str">
        <f t="shared" si="40"/>
        <v>On-Time</v>
      </c>
      <c r="V404">
        <f t="shared" si="41"/>
        <v>6.9767441860465115E-2</v>
      </c>
    </row>
    <row r="405" spans="1:22" x14ac:dyDescent="0.45">
      <c r="A405" t="s">
        <v>1072</v>
      </c>
      <c r="B405" t="s">
        <v>346</v>
      </c>
      <c r="C405" t="s">
        <v>34</v>
      </c>
      <c r="D405" t="s">
        <v>76</v>
      </c>
      <c r="E405" t="s">
        <v>15</v>
      </c>
      <c r="F405">
        <v>105</v>
      </c>
      <c r="G405">
        <v>26270</v>
      </c>
      <c r="H405">
        <v>2758350</v>
      </c>
      <c r="I405" t="s">
        <v>154</v>
      </c>
      <c r="J405" t="s">
        <v>988</v>
      </c>
      <c r="K405">
        <v>105</v>
      </c>
      <c r="L405">
        <v>0</v>
      </c>
      <c r="M405" t="s">
        <v>115</v>
      </c>
      <c r="N405" t="str">
        <f t="shared" si="36"/>
        <v>PO-100404</v>
      </c>
      <c r="O405" t="str">
        <f t="shared" si="37"/>
        <v>Delivered</v>
      </c>
      <c r="P405" t="str">
        <f t="shared" si="38"/>
        <v>WH-BOM</v>
      </c>
      <c r="Q405" t="str">
        <f>VLOOKUP(C405, Lookups!$A$2:$D$10, 2, FALSE())</f>
        <v>FastElectronics</v>
      </c>
      <c r="R405" t="str">
        <f>_xlfn.XLOOKUP(D405, Lookups!$A$12:$A$51, Lookups!$C$12:$C$51, "Unknown")</f>
        <v>Networking</v>
      </c>
      <c r="S405" t="str">
        <f>IF(ISBLANK(I405), B405+VLOOKUP(C405, Lookups!$A$2:$D$10, 4, FALSE()), I405)</f>
        <v>2025-10-28</v>
      </c>
      <c r="T405">
        <f t="shared" si="39"/>
        <v>19</v>
      </c>
      <c r="U405" t="str">
        <f t="shared" si="40"/>
        <v>Late</v>
      </c>
      <c r="V405">
        <f t="shared" si="41"/>
        <v>0</v>
      </c>
    </row>
    <row r="406" spans="1:22" x14ac:dyDescent="0.45">
      <c r="A406" t="s">
        <v>1073</v>
      </c>
      <c r="B406" t="s">
        <v>773</v>
      </c>
      <c r="C406" t="s">
        <v>35</v>
      </c>
      <c r="D406" t="s">
        <v>57</v>
      </c>
      <c r="E406" t="s">
        <v>15</v>
      </c>
      <c r="F406">
        <v>76</v>
      </c>
      <c r="G406">
        <v>2212</v>
      </c>
      <c r="H406">
        <v>168112</v>
      </c>
      <c r="I406" t="s">
        <v>580</v>
      </c>
      <c r="J406" t="s">
        <v>341</v>
      </c>
      <c r="K406">
        <v>76</v>
      </c>
      <c r="L406">
        <v>0</v>
      </c>
      <c r="M406" t="s">
        <v>115</v>
      </c>
      <c r="N406" t="str">
        <f t="shared" si="36"/>
        <v>PO-100405</v>
      </c>
      <c r="O406" t="str">
        <f t="shared" si="37"/>
        <v>Delivered</v>
      </c>
      <c r="P406" t="str">
        <f t="shared" si="38"/>
        <v>WH-BOM</v>
      </c>
      <c r="Q406" t="str">
        <f>VLOOKUP(C406, Lookups!$A$2:$D$10, 2, FALSE())</f>
        <v>Peripheral Source</v>
      </c>
      <c r="R406" t="str">
        <f>_xlfn.XLOOKUP(D406, Lookups!$A$12:$A$51, Lookups!$C$12:$C$51, "Unknown")</f>
        <v>Peripherals</v>
      </c>
      <c r="S406" t="str">
        <f>IF(ISBLANK(I406), B406+VLOOKUP(C406, Lookups!$A$2:$D$10, 4, FALSE()), I406)</f>
        <v>2026-01-12</v>
      </c>
      <c r="T406">
        <f t="shared" si="39"/>
        <v>11</v>
      </c>
      <c r="U406" t="str">
        <f t="shared" si="40"/>
        <v>Late</v>
      </c>
      <c r="V406">
        <f t="shared" si="41"/>
        <v>0</v>
      </c>
    </row>
    <row r="407" spans="1:22" x14ac:dyDescent="0.45">
      <c r="A407" t="s">
        <v>1074</v>
      </c>
      <c r="B407" t="s">
        <v>1075</v>
      </c>
      <c r="C407" t="s">
        <v>35</v>
      </c>
      <c r="D407" t="s">
        <v>65</v>
      </c>
      <c r="E407" t="s">
        <v>15</v>
      </c>
      <c r="F407">
        <v>44</v>
      </c>
      <c r="G407">
        <v>4936</v>
      </c>
      <c r="H407">
        <v>217184</v>
      </c>
      <c r="I407" t="s">
        <v>372</v>
      </c>
      <c r="J407" t="s">
        <v>372</v>
      </c>
      <c r="K407">
        <v>44</v>
      </c>
      <c r="L407">
        <v>0</v>
      </c>
      <c r="M407" t="s">
        <v>115</v>
      </c>
      <c r="N407" t="str">
        <f t="shared" si="36"/>
        <v>PO-100406</v>
      </c>
      <c r="O407" t="str">
        <f t="shared" si="37"/>
        <v>Delivered</v>
      </c>
      <c r="P407" t="str">
        <f t="shared" si="38"/>
        <v>WH-BOM</v>
      </c>
      <c r="Q407" t="str">
        <f>VLOOKUP(C407, Lookups!$A$2:$D$10, 2, FALSE())</f>
        <v>Peripheral Source</v>
      </c>
      <c r="R407" t="str">
        <f>_xlfn.XLOOKUP(D407, Lookups!$A$12:$A$51, Lookups!$C$12:$C$51, "Unknown")</f>
        <v>Peripherals</v>
      </c>
      <c r="S407" t="str">
        <f>IF(ISBLANK(I407), B407+VLOOKUP(C407, Lookups!$A$2:$D$10, 4, FALSE()), I407)</f>
        <v>2025-12-01</v>
      </c>
      <c r="T407">
        <f t="shared" si="39"/>
        <v>10</v>
      </c>
      <c r="U407" t="str">
        <f t="shared" si="40"/>
        <v>On-Time</v>
      </c>
      <c r="V407">
        <f t="shared" si="41"/>
        <v>0</v>
      </c>
    </row>
    <row r="408" spans="1:22" x14ac:dyDescent="0.45">
      <c r="A408" t="s">
        <v>1076</v>
      </c>
      <c r="B408" t="s">
        <v>642</v>
      </c>
      <c r="C408" t="s">
        <v>32</v>
      </c>
      <c r="D408" t="s">
        <v>67</v>
      </c>
      <c r="E408" t="s">
        <v>18</v>
      </c>
      <c r="F408">
        <v>136</v>
      </c>
      <c r="G408">
        <v>1553</v>
      </c>
      <c r="H408">
        <v>211208</v>
      </c>
      <c r="I408" t="s">
        <v>1077</v>
      </c>
      <c r="J408" t="s">
        <v>154</v>
      </c>
      <c r="K408">
        <v>92</v>
      </c>
      <c r="L408">
        <v>9</v>
      </c>
      <c r="M408" t="s">
        <v>115</v>
      </c>
      <c r="N408" t="str">
        <f t="shared" si="36"/>
        <v>PO-100407</v>
      </c>
      <c r="O408" t="str">
        <f t="shared" si="37"/>
        <v>Delivered</v>
      </c>
      <c r="P408" t="str">
        <f t="shared" si="38"/>
        <v>WH-PUN</v>
      </c>
      <c r="Q408" t="str">
        <f>VLOOKUP(C408, Lookups!$A$2:$D$10, 2, FALSE())</f>
        <v>OfficeDepot Pro</v>
      </c>
      <c r="R408" t="str">
        <f>_xlfn.XLOOKUP(D408, Lookups!$A$12:$A$51, Lookups!$C$12:$C$51, "Unknown")</f>
        <v>Peripherals</v>
      </c>
      <c r="S408" t="str">
        <f>IF(ISBLANK(I408), B408+VLOOKUP(C408, Lookups!$A$2:$D$10, 4, FALSE()), I408)</f>
        <v>2025-10-27</v>
      </c>
      <c r="T408">
        <f t="shared" si="39"/>
        <v>8</v>
      </c>
      <c r="U408" t="str">
        <f t="shared" si="40"/>
        <v>Late</v>
      </c>
      <c r="V408">
        <f t="shared" si="41"/>
        <v>9.7826086956521743E-2</v>
      </c>
    </row>
    <row r="409" spans="1:22" x14ac:dyDescent="0.45">
      <c r="A409" t="s">
        <v>1078</v>
      </c>
      <c r="B409" t="s">
        <v>1079</v>
      </c>
      <c r="C409" t="s">
        <v>32</v>
      </c>
      <c r="D409" t="s">
        <v>84</v>
      </c>
      <c r="E409" t="s">
        <v>15</v>
      </c>
      <c r="F409">
        <v>25</v>
      </c>
      <c r="G409">
        <v>7271</v>
      </c>
      <c r="H409">
        <v>181775</v>
      </c>
      <c r="I409" t="s">
        <v>1080</v>
      </c>
      <c r="J409" t="s">
        <v>359</v>
      </c>
      <c r="K409">
        <v>25</v>
      </c>
      <c r="L409">
        <v>0</v>
      </c>
      <c r="M409" t="s">
        <v>115</v>
      </c>
      <c r="N409" t="str">
        <f t="shared" si="36"/>
        <v>PO-100408</v>
      </c>
      <c r="O409" t="str">
        <f t="shared" si="37"/>
        <v>Delivered</v>
      </c>
      <c r="P409" t="str">
        <f t="shared" si="38"/>
        <v>WH-BOM</v>
      </c>
      <c r="Q409" t="str">
        <f>VLOOKUP(C409, Lookups!$A$2:$D$10, 2, FALSE())</f>
        <v>OfficeDepot Pro</v>
      </c>
      <c r="R409" t="str">
        <f>_xlfn.XLOOKUP(D409, Lookups!$A$12:$A$51, Lookups!$C$12:$C$51, "Unknown")</f>
        <v>Peripherals</v>
      </c>
      <c r="S409" t="str">
        <f>IF(ISBLANK(I409), B409+VLOOKUP(C409, Lookups!$A$2:$D$10, 4, FALSE()), I409)</f>
        <v>2026-01-25</v>
      </c>
      <c r="T409">
        <f t="shared" si="39"/>
        <v>20</v>
      </c>
      <c r="U409" t="str">
        <f t="shared" si="40"/>
        <v>Late</v>
      </c>
      <c r="V409">
        <f t="shared" si="41"/>
        <v>0</v>
      </c>
    </row>
    <row r="410" spans="1:22" x14ac:dyDescent="0.45">
      <c r="A410" t="s">
        <v>1081</v>
      </c>
      <c r="B410" t="s">
        <v>478</v>
      </c>
      <c r="C410" t="s">
        <v>36</v>
      </c>
      <c r="D410" t="s">
        <v>71</v>
      </c>
      <c r="E410" t="s">
        <v>16</v>
      </c>
      <c r="F410">
        <v>159</v>
      </c>
      <c r="G410">
        <v>65379</v>
      </c>
      <c r="H410">
        <v>10395261</v>
      </c>
      <c r="I410" t="s">
        <v>1082</v>
      </c>
      <c r="J410" t="s">
        <v>805</v>
      </c>
      <c r="K410">
        <v>159</v>
      </c>
      <c r="L410">
        <v>0</v>
      </c>
      <c r="M410" t="s">
        <v>115</v>
      </c>
      <c r="N410" t="str">
        <f t="shared" si="36"/>
        <v>PO-100409</v>
      </c>
      <c r="O410" t="str">
        <f t="shared" si="37"/>
        <v>Delivered</v>
      </c>
      <c r="P410" t="str">
        <f t="shared" si="38"/>
        <v>WH-DEL</v>
      </c>
      <c r="Q410" t="str">
        <f>VLOOKUP(C410, Lookups!$A$2:$D$10, 2, FALSE())</f>
        <v>NextGen Hardware</v>
      </c>
      <c r="R410" t="str">
        <f>_xlfn.XLOOKUP(D410, Lookups!$A$12:$A$51, Lookups!$C$12:$C$51, "Unknown")</f>
        <v>Electronics</v>
      </c>
      <c r="S410" t="str">
        <f>IF(ISBLANK(I410), B410+VLOOKUP(C410, Lookups!$A$2:$D$10, 4, FALSE()), I410)</f>
        <v>2025-04-22</v>
      </c>
      <c r="T410">
        <f t="shared" si="39"/>
        <v>27</v>
      </c>
      <c r="U410" t="str">
        <f t="shared" si="40"/>
        <v>Late</v>
      </c>
      <c r="V410">
        <f t="shared" si="41"/>
        <v>0</v>
      </c>
    </row>
    <row r="411" spans="1:22" x14ac:dyDescent="0.45">
      <c r="A411" t="s">
        <v>1083</v>
      </c>
      <c r="B411" t="s">
        <v>1084</v>
      </c>
      <c r="C411" t="s">
        <v>30</v>
      </c>
      <c r="D411" t="s">
        <v>82</v>
      </c>
      <c r="E411" t="s">
        <v>18</v>
      </c>
      <c r="F411">
        <v>53</v>
      </c>
      <c r="G411">
        <v>83427</v>
      </c>
      <c r="H411">
        <v>4421631</v>
      </c>
      <c r="I411" t="s">
        <v>149</v>
      </c>
      <c r="J411" t="s">
        <v>149</v>
      </c>
      <c r="K411">
        <v>53</v>
      </c>
      <c r="L411">
        <v>0</v>
      </c>
      <c r="M411" t="s">
        <v>115</v>
      </c>
      <c r="N411" t="str">
        <f t="shared" si="36"/>
        <v>PO-100410</v>
      </c>
      <c r="O411" t="str">
        <f t="shared" si="37"/>
        <v>Delivered</v>
      </c>
      <c r="P411" t="str">
        <f t="shared" si="38"/>
        <v>WH-PUN</v>
      </c>
      <c r="Q411" t="str">
        <f>VLOOKUP(C411, Lookups!$A$2:$D$10, 2, FALSE())</f>
        <v>TechSupply Corp</v>
      </c>
      <c r="R411" t="str">
        <f>_xlfn.XLOOKUP(D411, Lookups!$A$12:$A$51, Lookups!$C$12:$C$51, "Unknown")</f>
        <v>Electronics</v>
      </c>
      <c r="S411" t="str">
        <f>IF(ISBLANK(I411), B411+VLOOKUP(C411, Lookups!$A$2:$D$10, 4, FALSE()), I411)</f>
        <v>2026-04-03</v>
      </c>
      <c r="T411">
        <f t="shared" si="39"/>
        <v>14</v>
      </c>
      <c r="U411" t="str">
        <f t="shared" si="40"/>
        <v>On-Time</v>
      </c>
      <c r="V411">
        <f t="shared" si="41"/>
        <v>0</v>
      </c>
    </row>
    <row r="412" spans="1:22" x14ac:dyDescent="0.45">
      <c r="A412" t="s">
        <v>1085</v>
      </c>
      <c r="B412" t="s">
        <v>991</v>
      </c>
      <c r="C412" t="s">
        <v>34</v>
      </c>
      <c r="D412" t="s">
        <v>81</v>
      </c>
      <c r="E412" t="s">
        <v>15</v>
      </c>
      <c r="F412">
        <v>21</v>
      </c>
      <c r="G412">
        <v>55328</v>
      </c>
      <c r="H412">
        <v>1161888</v>
      </c>
      <c r="I412" t="s">
        <v>143</v>
      </c>
      <c r="J412" t="s">
        <v>680</v>
      </c>
      <c r="K412">
        <v>21</v>
      </c>
      <c r="L412">
        <v>0</v>
      </c>
      <c r="M412" t="s">
        <v>115</v>
      </c>
      <c r="N412" t="str">
        <f t="shared" si="36"/>
        <v>PO-100411</v>
      </c>
      <c r="O412" t="str">
        <f t="shared" si="37"/>
        <v>Delivered</v>
      </c>
      <c r="P412" t="str">
        <f t="shared" si="38"/>
        <v>WH-BOM</v>
      </c>
      <c r="Q412" t="str">
        <f>VLOOKUP(C412, Lookups!$A$2:$D$10, 2, FALSE())</f>
        <v>FastElectronics</v>
      </c>
      <c r="R412" t="str">
        <f>_xlfn.XLOOKUP(D412, Lookups!$A$12:$A$51, Lookups!$C$12:$C$51, "Unknown")</f>
        <v>Electronics</v>
      </c>
      <c r="S412" t="str">
        <f>IF(ISBLANK(I412), B412+VLOOKUP(C412, Lookups!$A$2:$D$10, 4, FALSE()), I412)</f>
        <v>2026-08-03</v>
      </c>
      <c r="T412">
        <f t="shared" si="39"/>
        <v>19</v>
      </c>
      <c r="U412" t="str">
        <f t="shared" si="40"/>
        <v>Late</v>
      </c>
      <c r="V412">
        <f t="shared" si="41"/>
        <v>0</v>
      </c>
    </row>
    <row r="413" spans="1:22" x14ac:dyDescent="0.45">
      <c r="A413" t="s">
        <v>1086</v>
      </c>
      <c r="B413" t="s">
        <v>462</v>
      </c>
      <c r="C413" t="s">
        <v>35</v>
      </c>
      <c r="D413" t="s">
        <v>60</v>
      </c>
      <c r="E413" t="s">
        <v>17</v>
      </c>
      <c r="F413">
        <v>204</v>
      </c>
      <c r="G413">
        <v>3291</v>
      </c>
      <c r="H413">
        <v>671364</v>
      </c>
      <c r="I413" t="s">
        <v>1087</v>
      </c>
      <c r="J413" t="s">
        <v>1087</v>
      </c>
      <c r="K413">
        <v>204</v>
      </c>
      <c r="L413">
        <v>0</v>
      </c>
      <c r="M413" t="s">
        <v>115</v>
      </c>
      <c r="N413" t="str">
        <f t="shared" si="36"/>
        <v>PO-100412</v>
      </c>
      <c r="O413" t="str">
        <f t="shared" si="37"/>
        <v>Delivered</v>
      </c>
      <c r="P413" t="str">
        <f t="shared" si="38"/>
        <v>WH-BLR</v>
      </c>
      <c r="Q413" t="str">
        <f>VLOOKUP(C413, Lookups!$A$2:$D$10, 2, FALSE())</f>
        <v>Peripheral Source</v>
      </c>
      <c r="R413" t="str">
        <f>_xlfn.XLOOKUP(D413, Lookups!$A$12:$A$51, Lookups!$C$12:$C$51, "Unknown")</f>
        <v>Peripherals</v>
      </c>
      <c r="S413" t="str">
        <f>IF(ISBLANK(I413), B413+VLOOKUP(C413, Lookups!$A$2:$D$10, 4, FALSE()), I413)</f>
        <v>2025-11-15</v>
      </c>
      <c r="T413">
        <f t="shared" si="39"/>
        <v>10</v>
      </c>
      <c r="U413" t="str">
        <f t="shared" si="40"/>
        <v>On-Time</v>
      </c>
      <c r="V413">
        <f t="shared" si="41"/>
        <v>0</v>
      </c>
    </row>
    <row r="414" spans="1:22" x14ac:dyDescent="0.45">
      <c r="A414" t="s">
        <v>1088</v>
      </c>
      <c r="B414" t="s">
        <v>120</v>
      </c>
      <c r="C414" t="s">
        <v>30</v>
      </c>
      <c r="D414" t="s">
        <v>61</v>
      </c>
      <c r="E414" t="s">
        <v>18</v>
      </c>
      <c r="F414">
        <v>220</v>
      </c>
      <c r="G414">
        <v>111237</v>
      </c>
      <c r="H414">
        <v>24472140</v>
      </c>
      <c r="I414" t="s">
        <v>121</v>
      </c>
      <c r="J414" t="s">
        <v>121</v>
      </c>
      <c r="K414">
        <v>220</v>
      </c>
      <c r="L414">
        <v>0</v>
      </c>
      <c r="M414" t="s">
        <v>115</v>
      </c>
      <c r="N414" t="str">
        <f t="shared" si="36"/>
        <v>PO-100413</v>
      </c>
      <c r="O414" t="str">
        <f t="shared" si="37"/>
        <v>Delivered</v>
      </c>
      <c r="P414" t="str">
        <f t="shared" si="38"/>
        <v>WH-PUN</v>
      </c>
      <c r="Q414" t="str">
        <f>VLOOKUP(C414, Lookups!$A$2:$D$10, 2, FALSE())</f>
        <v>TechSupply Corp</v>
      </c>
      <c r="R414" t="str">
        <f>_xlfn.XLOOKUP(D414, Lookups!$A$12:$A$51, Lookups!$C$12:$C$51, "Unknown")</f>
        <v>Electronics</v>
      </c>
      <c r="S414" t="str">
        <f>IF(ISBLANK(I414), B414+VLOOKUP(C414, Lookups!$A$2:$D$10, 4, FALSE()), I414)</f>
        <v>2025-01-17</v>
      </c>
      <c r="T414">
        <f t="shared" si="39"/>
        <v>14</v>
      </c>
      <c r="U414" t="str">
        <f t="shared" si="40"/>
        <v>On-Time</v>
      </c>
      <c r="V414">
        <f t="shared" si="41"/>
        <v>0</v>
      </c>
    </row>
    <row r="415" spans="1:22" x14ac:dyDescent="0.45">
      <c r="A415" t="s">
        <v>1089</v>
      </c>
      <c r="B415" t="s">
        <v>1090</v>
      </c>
      <c r="C415" t="s">
        <v>35</v>
      </c>
      <c r="D415" t="s">
        <v>75</v>
      </c>
      <c r="E415" t="s">
        <v>17</v>
      </c>
      <c r="F415">
        <v>55</v>
      </c>
      <c r="G415">
        <v>4440</v>
      </c>
      <c r="H415">
        <v>244200</v>
      </c>
      <c r="I415" t="s">
        <v>432</v>
      </c>
      <c r="J415" t="s">
        <v>432</v>
      </c>
      <c r="K415">
        <v>28</v>
      </c>
      <c r="L415">
        <v>2</v>
      </c>
      <c r="M415" t="s">
        <v>115</v>
      </c>
      <c r="N415" t="str">
        <f t="shared" si="36"/>
        <v>PO-100414</v>
      </c>
      <c r="O415" t="str">
        <f t="shared" si="37"/>
        <v>Delivered</v>
      </c>
      <c r="P415" t="str">
        <f t="shared" si="38"/>
        <v>WH-BLR</v>
      </c>
      <c r="Q415" t="str">
        <f>VLOOKUP(C415, Lookups!$A$2:$D$10, 2, FALSE())</f>
        <v>Peripheral Source</v>
      </c>
      <c r="R415" t="str">
        <f>_xlfn.XLOOKUP(D415, Lookups!$A$12:$A$51, Lookups!$C$12:$C$51, "Unknown")</f>
        <v>Peripherals</v>
      </c>
      <c r="S415" t="str">
        <f>IF(ISBLANK(I415), B415+VLOOKUP(C415, Lookups!$A$2:$D$10, 4, FALSE()), I415)</f>
        <v>2025-03-25</v>
      </c>
      <c r="T415">
        <f t="shared" si="39"/>
        <v>10</v>
      </c>
      <c r="U415" t="str">
        <f t="shared" si="40"/>
        <v>On-Time</v>
      </c>
      <c r="V415">
        <f t="shared" si="41"/>
        <v>7.1428571428571425E-2</v>
      </c>
    </row>
    <row r="416" spans="1:22" x14ac:dyDescent="0.45">
      <c r="A416" t="s">
        <v>1091</v>
      </c>
      <c r="B416" t="s">
        <v>188</v>
      </c>
      <c r="C416" t="s">
        <v>36</v>
      </c>
      <c r="D416" t="s">
        <v>63</v>
      </c>
      <c r="E416" t="s">
        <v>18</v>
      </c>
      <c r="F416">
        <v>233</v>
      </c>
      <c r="G416">
        <v>71062</v>
      </c>
      <c r="H416">
        <v>16557446</v>
      </c>
      <c r="I416" t="s">
        <v>562</v>
      </c>
      <c r="J416" t="s">
        <v>1092</v>
      </c>
      <c r="K416">
        <v>233</v>
      </c>
      <c r="L416">
        <v>21</v>
      </c>
      <c r="M416" t="s">
        <v>178</v>
      </c>
      <c r="N416" t="str">
        <f t="shared" si="36"/>
        <v>PO-100415</v>
      </c>
      <c r="O416" t="str">
        <f t="shared" si="37"/>
        <v>Delivered</v>
      </c>
      <c r="P416" t="str">
        <f t="shared" si="38"/>
        <v>WH-PUN</v>
      </c>
      <c r="Q416" t="str">
        <f>VLOOKUP(C416, Lookups!$A$2:$D$10, 2, FALSE())</f>
        <v>NextGen Hardware</v>
      </c>
      <c r="R416" t="str">
        <f>_xlfn.XLOOKUP(D416, Lookups!$A$12:$A$51, Lookups!$C$12:$C$51, "Unknown")</f>
        <v>Electronics</v>
      </c>
      <c r="S416" t="str">
        <f>IF(ISBLANK(I416), B416+VLOOKUP(C416, Lookups!$A$2:$D$10, 4, FALSE()), I416)</f>
        <v>2025-03-21</v>
      </c>
      <c r="T416">
        <f t="shared" si="39"/>
        <v>25</v>
      </c>
      <c r="U416" t="str">
        <f t="shared" si="40"/>
        <v>Late</v>
      </c>
      <c r="V416">
        <f t="shared" si="41"/>
        <v>9.012875536480687E-2</v>
      </c>
    </row>
    <row r="417" spans="1:22" x14ac:dyDescent="0.45">
      <c r="A417" t="s">
        <v>1093</v>
      </c>
      <c r="B417" t="s">
        <v>160</v>
      </c>
      <c r="C417" t="s">
        <v>36</v>
      </c>
      <c r="D417" t="s">
        <v>62</v>
      </c>
      <c r="E417" t="s">
        <v>17</v>
      </c>
      <c r="F417">
        <v>199</v>
      </c>
      <c r="G417">
        <v>48478</v>
      </c>
      <c r="H417">
        <v>9647122</v>
      </c>
      <c r="I417" t="s">
        <v>240</v>
      </c>
      <c r="J417" t="s">
        <v>211</v>
      </c>
      <c r="K417">
        <v>199</v>
      </c>
      <c r="L417">
        <v>14</v>
      </c>
      <c r="M417" t="s">
        <v>115</v>
      </c>
      <c r="N417" t="str">
        <f t="shared" si="36"/>
        <v>PO-100416</v>
      </c>
      <c r="O417" t="str">
        <f t="shared" si="37"/>
        <v>Delivered</v>
      </c>
      <c r="P417" t="str">
        <f t="shared" si="38"/>
        <v>WH-BLR</v>
      </c>
      <c r="Q417" t="str">
        <f>VLOOKUP(C417, Lookups!$A$2:$D$10, 2, FALSE())</f>
        <v>NextGen Hardware</v>
      </c>
      <c r="R417" t="str">
        <f>_xlfn.XLOOKUP(D417, Lookups!$A$12:$A$51, Lookups!$C$12:$C$51, "Unknown")</f>
        <v>Electronics</v>
      </c>
      <c r="S417" t="str">
        <f>IF(ISBLANK(I417), B417+VLOOKUP(C417, Lookups!$A$2:$D$10, 4, FALSE()), I417)</f>
        <v>2025-06-15</v>
      </c>
      <c r="T417">
        <f t="shared" si="39"/>
        <v>30</v>
      </c>
      <c r="U417" t="str">
        <f t="shared" si="40"/>
        <v>Late</v>
      </c>
      <c r="V417">
        <f t="shared" si="41"/>
        <v>7.0351758793969849E-2</v>
      </c>
    </row>
    <row r="418" spans="1:22" x14ac:dyDescent="0.45">
      <c r="A418" t="s">
        <v>1094</v>
      </c>
      <c r="B418" t="s">
        <v>1095</v>
      </c>
      <c r="C418" t="s">
        <v>34</v>
      </c>
      <c r="D418" t="s">
        <v>54</v>
      </c>
      <c r="E418" t="s">
        <v>15</v>
      </c>
      <c r="F418">
        <v>90</v>
      </c>
      <c r="G418">
        <v>22314</v>
      </c>
      <c r="H418">
        <v>2008260</v>
      </c>
      <c r="I418" t="s">
        <v>724</v>
      </c>
      <c r="J418" t="s">
        <v>483</v>
      </c>
      <c r="K418">
        <v>90</v>
      </c>
      <c r="L418">
        <v>0</v>
      </c>
      <c r="M418" t="s">
        <v>115</v>
      </c>
      <c r="N418" t="str">
        <f t="shared" si="36"/>
        <v>PO-100417</v>
      </c>
      <c r="O418" t="str">
        <f t="shared" si="37"/>
        <v>Delivered</v>
      </c>
      <c r="P418" t="str">
        <f t="shared" si="38"/>
        <v>WH-BOM</v>
      </c>
      <c r="Q418" t="str">
        <f>VLOOKUP(C418, Lookups!$A$2:$D$10, 2, FALSE())</f>
        <v>FastElectronics</v>
      </c>
      <c r="R418" t="str">
        <f>_xlfn.XLOOKUP(D418, Lookups!$A$12:$A$51, Lookups!$C$12:$C$51, "Unknown")</f>
        <v>Networking</v>
      </c>
      <c r="S418" t="str">
        <f>IF(ISBLANK(I418), B418+VLOOKUP(C418, Lookups!$A$2:$D$10, 4, FALSE()), I418)</f>
        <v>2026-05-25</v>
      </c>
      <c r="T418">
        <f t="shared" si="39"/>
        <v>25</v>
      </c>
      <c r="U418" t="str">
        <f t="shared" si="40"/>
        <v>Late</v>
      </c>
      <c r="V418">
        <f t="shared" si="41"/>
        <v>0</v>
      </c>
    </row>
    <row r="419" spans="1:22" x14ac:dyDescent="0.45">
      <c r="A419" t="s">
        <v>1096</v>
      </c>
      <c r="B419" t="s">
        <v>940</v>
      </c>
      <c r="C419" t="s">
        <v>34</v>
      </c>
      <c r="D419" t="s">
        <v>58</v>
      </c>
      <c r="E419" t="s">
        <v>18</v>
      </c>
      <c r="F419">
        <v>118</v>
      </c>
      <c r="G419">
        <v>100302</v>
      </c>
      <c r="H419">
        <v>11835636</v>
      </c>
      <c r="I419" t="s">
        <v>782</v>
      </c>
      <c r="J419" t="s">
        <v>782</v>
      </c>
      <c r="K419">
        <v>118</v>
      </c>
      <c r="L419">
        <v>0</v>
      </c>
      <c r="M419" t="s">
        <v>115</v>
      </c>
      <c r="N419" t="str">
        <f t="shared" si="36"/>
        <v>PO-100418</v>
      </c>
      <c r="O419" t="str">
        <f t="shared" si="37"/>
        <v>Delivered</v>
      </c>
      <c r="P419" t="str">
        <f t="shared" si="38"/>
        <v>WH-PUN</v>
      </c>
      <c r="Q419" t="str">
        <f>VLOOKUP(C419, Lookups!$A$2:$D$10, 2, FALSE())</f>
        <v>FastElectronics</v>
      </c>
      <c r="R419" t="str">
        <f>_xlfn.XLOOKUP(D419, Lookups!$A$12:$A$51, Lookups!$C$12:$C$51, "Unknown")</f>
        <v>Electronics</v>
      </c>
      <c r="S419" t="str">
        <f>IF(ISBLANK(I419), B419+VLOOKUP(C419, Lookups!$A$2:$D$10, 4, FALSE()), I419)</f>
        <v>2025-02-07</v>
      </c>
      <c r="T419">
        <f t="shared" si="39"/>
        <v>18</v>
      </c>
      <c r="U419" t="str">
        <f t="shared" si="40"/>
        <v>On-Time</v>
      </c>
      <c r="V419">
        <f t="shared" si="41"/>
        <v>0</v>
      </c>
    </row>
    <row r="420" spans="1:22" x14ac:dyDescent="0.45">
      <c r="A420" t="s">
        <v>1097</v>
      </c>
      <c r="B420" t="s">
        <v>277</v>
      </c>
      <c r="C420" t="s">
        <v>35</v>
      </c>
      <c r="D420" t="s">
        <v>60</v>
      </c>
      <c r="E420" t="s">
        <v>16</v>
      </c>
      <c r="F420">
        <v>81</v>
      </c>
      <c r="G420">
        <v>3291</v>
      </c>
      <c r="H420">
        <v>266571</v>
      </c>
      <c r="I420" t="s">
        <v>160</v>
      </c>
      <c r="J420" t="s">
        <v>524</v>
      </c>
      <c r="K420">
        <v>81</v>
      </c>
      <c r="L420">
        <v>0</v>
      </c>
      <c r="M420" t="s">
        <v>115</v>
      </c>
      <c r="N420" t="str">
        <f t="shared" si="36"/>
        <v>PO-100419</v>
      </c>
      <c r="O420" t="str">
        <f t="shared" si="37"/>
        <v>Delivered</v>
      </c>
      <c r="P420" t="str">
        <f t="shared" si="38"/>
        <v>WH-DEL</v>
      </c>
      <c r="Q420" t="str">
        <f>VLOOKUP(C420, Lookups!$A$2:$D$10, 2, FALSE())</f>
        <v>Peripheral Source</v>
      </c>
      <c r="R420" t="str">
        <f>_xlfn.XLOOKUP(D420, Lookups!$A$12:$A$51, Lookups!$C$12:$C$51, "Unknown")</f>
        <v>Peripherals</v>
      </c>
      <c r="S420" t="str">
        <f>IF(ISBLANK(I420), B420+VLOOKUP(C420, Lookups!$A$2:$D$10, 4, FALSE()), I420)</f>
        <v>2025-05-22</v>
      </c>
      <c r="T420">
        <f t="shared" si="39"/>
        <v>17</v>
      </c>
      <c r="U420" t="str">
        <f t="shared" si="40"/>
        <v>Late</v>
      </c>
      <c r="V420">
        <f t="shared" si="41"/>
        <v>0</v>
      </c>
    </row>
    <row r="421" spans="1:22" x14ac:dyDescent="0.45">
      <c r="A421" t="s">
        <v>1098</v>
      </c>
      <c r="B421" t="s">
        <v>408</v>
      </c>
      <c r="C421" t="s">
        <v>36</v>
      </c>
      <c r="D421" t="s">
        <v>63</v>
      </c>
      <c r="E421" t="s">
        <v>16</v>
      </c>
      <c r="F421">
        <v>22</v>
      </c>
      <c r="G421">
        <v>71062</v>
      </c>
      <c r="H421">
        <v>1563364</v>
      </c>
      <c r="I421" t="s">
        <v>169</v>
      </c>
      <c r="J421" t="s">
        <v>169</v>
      </c>
      <c r="K421">
        <v>22</v>
      </c>
      <c r="L421">
        <v>0</v>
      </c>
      <c r="M421" t="s">
        <v>115</v>
      </c>
      <c r="N421" t="str">
        <f t="shared" si="36"/>
        <v>PO-100420</v>
      </c>
      <c r="O421" t="str">
        <f t="shared" si="37"/>
        <v>Delivered</v>
      </c>
      <c r="P421" t="str">
        <f t="shared" si="38"/>
        <v>WH-DEL</v>
      </c>
      <c r="Q421" t="str">
        <f>VLOOKUP(C421, Lookups!$A$2:$D$10, 2, FALSE())</f>
        <v>NextGen Hardware</v>
      </c>
      <c r="R421" t="str">
        <f>_xlfn.XLOOKUP(D421, Lookups!$A$12:$A$51, Lookups!$C$12:$C$51, "Unknown")</f>
        <v>Electronics</v>
      </c>
      <c r="S421" t="str">
        <f>IF(ISBLANK(I421), B421+VLOOKUP(C421, Lookups!$A$2:$D$10, 4, FALSE()), I421)</f>
        <v>2025-06-07</v>
      </c>
      <c r="T421">
        <f t="shared" si="39"/>
        <v>24</v>
      </c>
      <c r="U421" t="str">
        <f t="shared" si="40"/>
        <v>On-Time</v>
      </c>
      <c r="V421">
        <f t="shared" si="41"/>
        <v>0</v>
      </c>
    </row>
    <row r="422" spans="1:22" x14ac:dyDescent="0.45">
      <c r="A422" t="s">
        <v>1099</v>
      </c>
      <c r="B422" t="s">
        <v>1100</v>
      </c>
      <c r="C422" t="s">
        <v>35</v>
      </c>
      <c r="D422" t="s">
        <v>91</v>
      </c>
      <c r="E422" t="s">
        <v>15</v>
      </c>
      <c r="F422">
        <v>227</v>
      </c>
      <c r="G422">
        <v>6707</v>
      </c>
      <c r="H422">
        <v>1522489</v>
      </c>
      <c r="I422" t="s">
        <v>1101</v>
      </c>
      <c r="J422" t="s">
        <v>1102</v>
      </c>
      <c r="K422">
        <v>227</v>
      </c>
      <c r="L422">
        <v>0</v>
      </c>
      <c r="M422" t="s">
        <v>115</v>
      </c>
      <c r="N422" t="str">
        <f t="shared" si="36"/>
        <v>PO-100421</v>
      </c>
      <c r="O422" t="str">
        <f t="shared" si="37"/>
        <v>Delivered</v>
      </c>
      <c r="P422" t="str">
        <f t="shared" si="38"/>
        <v>WH-BOM</v>
      </c>
      <c r="Q422" t="str">
        <f>VLOOKUP(C422, Lookups!$A$2:$D$10, 2, FALSE())</f>
        <v>Peripheral Source</v>
      </c>
      <c r="R422" t="str">
        <f>_xlfn.XLOOKUP(D422, Lookups!$A$12:$A$51, Lookups!$C$12:$C$51, "Unknown")</f>
        <v>Peripherals</v>
      </c>
      <c r="S422" t="str">
        <f>IF(ISBLANK(I422), B422+VLOOKUP(C422, Lookups!$A$2:$D$10, 4, FALSE()), I422)</f>
        <v>2026-11-21</v>
      </c>
      <c r="T422">
        <f t="shared" si="39"/>
        <v>24</v>
      </c>
      <c r="U422" t="str">
        <f t="shared" si="40"/>
        <v>Late</v>
      </c>
      <c r="V422">
        <f t="shared" si="41"/>
        <v>0</v>
      </c>
    </row>
    <row r="423" spans="1:22" x14ac:dyDescent="0.45">
      <c r="A423" t="s">
        <v>1103</v>
      </c>
      <c r="B423" t="s">
        <v>234</v>
      </c>
      <c r="C423" t="s">
        <v>31</v>
      </c>
      <c r="D423" t="s">
        <v>66</v>
      </c>
      <c r="E423" t="s">
        <v>15</v>
      </c>
      <c r="F423">
        <v>59</v>
      </c>
      <c r="G423">
        <v>29719</v>
      </c>
      <c r="H423">
        <v>1753421</v>
      </c>
      <c r="I423" t="s">
        <v>1104</v>
      </c>
      <c r="J423" t="s">
        <v>310</v>
      </c>
      <c r="K423">
        <v>59</v>
      </c>
      <c r="L423">
        <v>0</v>
      </c>
      <c r="M423" t="s">
        <v>115</v>
      </c>
      <c r="N423" t="str">
        <f t="shared" si="36"/>
        <v>PO-100422</v>
      </c>
      <c r="O423" t="str">
        <f t="shared" si="37"/>
        <v>Delivered</v>
      </c>
      <c r="P423" t="str">
        <f t="shared" si="38"/>
        <v>WH-BOM</v>
      </c>
      <c r="Q423" t="str">
        <f>VLOOKUP(C423, Lookups!$A$2:$D$10, 2, FALSE())</f>
        <v>Global Networks</v>
      </c>
      <c r="R423" t="str">
        <f>_xlfn.XLOOKUP(D423, Lookups!$A$12:$A$51, Lookups!$C$12:$C$51, "Unknown")</f>
        <v>Networking</v>
      </c>
      <c r="S423" t="str">
        <f>IF(ISBLANK(I423), B423+VLOOKUP(C423, Lookups!$A$2:$D$10, 4, FALSE()), I423)</f>
        <v>2025-08-24</v>
      </c>
      <c r="T423">
        <f t="shared" si="39"/>
        <v>18</v>
      </c>
      <c r="U423" t="str">
        <f t="shared" si="40"/>
        <v>On-Time</v>
      </c>
      <c r="V423">
        <f t="shared" si="41"/>
        <v>0</v>
      </c>
    </row>
    <row r="424" spans="1:22" x14ac:dyDescent="0.45">
      <c r="A424" t="s">
        <v>1105</v>
      </c>
      <c r="B424" t="s">
        <v>983</v>
      </c>
      <c r="C424" t="s">
        <v>35</v>
      </c>
      <c r="D424" t="s">
        <v>65</v>
      </c>
      <c r="E424" t="s">
        <v>16</v>
      </c>
      <c r="F424">
        <v>72</v>
      </c>
      <c r="G424">
        <v>4936</v>
      </c>
      <c r="H424">
        <v>355392</v>
      </c>
      <c r="I424" t="s">
        <v>1106</v>
      </c>
      <c r="J424" t="s">
        <v>506</v>
      </c>
      <c r="K424">
        <v>72</v>
      </c>
      <c r="L424">
        <v>0</v>
      </c>
      <c r="M424" t="s">
        <v>115</v>
      </c>
      <c r="N424" t="str">
        <f t="shared" si="36"/>
        <v>PO-100423</v>
      </c>
      <c r="O424" t="str">
        <f t="shared" si="37"/>
        <v>Delivered</v>
      </c>
      <c r="P424" t="str">
        <f t="shared" si="38"/>
        <v>WH-DEL</v>
      </c>
      <c r="Q424" t="str">
        <f>VLOOKUP(C424, Lookups!$A$2:$D$10, 2, FALSE())</f>
        <v>Peripheral Source</v>
      </c>
      <c r="R424" t="str">
        <f>_xlfn.XLOOKUP(D424, Lookups!$A$12:$A$51, Lookups!$C$12:$C$51, "Unknown")</f>
        <v>Peripherals</v>
      </c>
      <c r="S424" t="str">
        <f>IF(ISBLANK(I424), B424+VLOOKUP(C424, Lookups!$A$2:$D$10, 4, FALSE()), I424)</f>
        <v>2025-05-10</v>
      </c>
      <c r="T424">
        <f t="shared" si="39"/>
        <v>11</v>
      </c>
      <c r="U424" t="str">
        <f t="shared" si="40"/>
        <v>Late</v>
      </c>
      <c r="V424">
        <f t="shared" si="41"/>
        <v>0</v>
      </c>
    </row>
    <row r="425" spans="1:22" x14ac:dyDescent="0.45">
      <c r="A425" t="s">
        <v>1107</v>
      </c>
      <c r="B425" t="s">
        <v>811</v>
      </c>
      <c r="C425" t="s">
        <v>35</v>
      </c>
      <c r="D425" t="s">
        <v>70</v>
      </c>
      <c r="E425" t="s">
        <v>17</v>
      </c>
      <c r="F425">
        <v>42</v>
      </c>
      <c r="G425">
        <v>4287</v>
      </c>
      <c r="H425">
        <v>180054</v>
      </c>
      <c r="K425">
        <v>0</v>
      </c>
      <c r="L425">
        <v>0</v>
      </c>
      <c r="M425" t="s">
        <v>297</v>
      </c>
      <c r="N425" t="str">
        <f t="shared" si="36"/>
        <v>PO-100424</v>
      </c>
      <c r="O425" t="str">
        <f t="shared" si="37"/>
        <v>Open</v>
      </c>
      <c r="P425" t="str">
        <f t="shared" si="38"/>
        <v>WH-BLR</v>
      </c>
      <c r="Q425" t="str">
        <f>VLOOKUP(C425, Lookups!$A$2:$D$10, 2, FALSE())</f>
        <v>Peripheral Source</v>
      </c>
      <c r="R425" t="str">
        <f>_xlfn.XLOOKUP(D425, Lookups!$A$12:$A$51, Lookups!$C$12:$C$51, "Unknown")</f>
        <v>Peripherals</v>
      </c>
      <c r="S425">
        <f>IF(ISBLANK(I425), B425+VLOOKUP(C425, Lookups!$A$2:$D$10, 4, FALSE()), I425)</f>
        <v>46363</v>
      </c>
      <c r="T425" t="str">
        <f t="shared" si="39"/>
        <v/>
      </c>
      <c r="U425" t="str">
        <f t="shared" si="40"/>
        <v>Open</v>
      </c>
      <c r="V425">
        <f t="shared" si="41"/>
        <v>0</v>
      </c>
    </row>
    <row r="426" spans="1:22" x14ac:dyDescent="0.45">
      <c r="A426" t="s">
        <v>1108</v>
      </c>
      <c r="B426" t="s">
        <v>247</v>
      </c>
      <c r="C426" t="s">
        <v>36</v>
      </c>
      <c r="D426" t="s">
        <v>71</v>
      </c>
      <c r="E426" t="s">
        <v>18</v>
      </c>
      <c r="F426">
        <v>119</v>
      </c>
      <c r="G426">
        <v>65379</v>
      </c>
      <c r="H426">
        <v>7780101</v>
      </c>
      <c r="I426" t="s">
        <v>399</v>
      </c>
      <c r="J426" t="s">
        <v>399</v>
      </c>
      <c r="K426">
        <v>119</v>
      </c>
      <c r="L426">
        <v>0</v>
      </c>
      <c r="M426" t="s">
        <v>115</v>
      </c>
      <c r="N426" t="str">
        <f t="shared" si="36"/>
        <v>PO-100425</v>
      </c>
      <c r="O426" t="str">
        <f t="shared" si="37"/>
        <v>Delivered</v>
      </c>
      <c r="P426" t="str">
        <f t="shared" si="38"/>
        <v>WH-PUN</v>
      </c>
      <c r="Q426" t="str">
        <f>VLOOKUP(C426, Lookups!$A$2:$D$10, 2, FALSE())</f>
        <v>NextGen Hardware</v>
      </c>
      <c r="R426" t="str">
        <f>_xlfn.XLOOKUP(D426, Lookups!$A$12:$A$51, Lookups!$C$12:$C$51, "Unknown")</f>
        <v>Electronics</v>
      </c>
      <c r="S426" t="str">
        <f>IF(ISBLANK(I426), B426+VLOOKUP(C426, Lookups!$A$2:$D$10, 4, FALSE()), I426)</f>
        <v>2025-11-26</v>
      </c>
      <c r="T426">
        <f t="shared" si="39"/>
        <v>24</v>
      </c>
      <c r="U426" t="str">
        <f t="shared" si="40"/>
        <v>On-Time</v>
      </c>
      <c r="V426">
        <f t="shared" si="41"/>
        <v>0</v>
      </c>
    </row>
    <row r="427" spans="1:22" x14ac:dyDescent="0.45">
      <c r="A427" t="s">
        <v>1109</v>
      </c>
      <c r="B427" t="s">
        <v>700</v>
      </c>
      <c r="C427" t="s">
        <v>31</v>
      </c>
      <c r="D427" t="s">
        <v>64</v>
      </c>
      <c r="E427" t="s">
        <v>17</v>
      </c>
      <c r="F427">
        <v>54</v>
      </c>
      <c r="G427">
        <v>36295</v>
      </c>
      <c r="H427">
        <v>1959930</v>
      </c>
      <c r="I427" t="s">
        <v>389</v>
      </c>
      <c r="J427" t="s">
        <v>540</v>
      </c>
      <c r="K427">
        <v>54</v>
      </c>
      <c r="L427">
        <v>0</v>
      </c>
      <c r="M427" t="s">
        <v>115</v>
      </c>
      <c r="N427" t="str">
        <f t="shared" si="36"/>
        <v>PO-100426</v>
      </c>
      <c r="O427" t="str">
        <f t="shared" si="37"/>
        <v>Delivered</v>
      </c>
      <c r="P427" t="str">
        <f t="shared" si="38"/>
        <v>WH-BLR</v>
      </c>
      <c r="Q427" t="str">
        <f>VLOOKUP(C427, Lookups!$A$2:$D$10, 2, FALSE())</f>
        <v>Global Networks</v>
      </c>
      <c r="R427" t="str">
        <f>_xlfn.XLOOKUP(D427, Lookups!$A$12:$A$51, Lookups!$C$12:$C$51, "Unknown")</f>
        <v>Networking</v>
      </c>
      <c r="S427" t="str">
        <f>IF(ISBLANK(I427), B427+VLOOKUP(C427, Lookups!$A$2:$D$10, 4, FALSE()), I427)</f>
        <v>2026-04-06</v>
      </c>
      <c r="T427">
        <f t="shared" si="39"/>
        <v>22</v>
      </c>
      <c r="U427" t="str">
        <f t="shared" si="40"/>
        <v>Late</v>
      </c>
      <c r="V427">
        <f t="shared" si="41"/>
        <v>0</v>
      </c>
    </row>
    <row r="428" spans="1:22" x14ac:dyDescent="0.45">
      <c r="A428" t="s">
        <v>1110</v>
      </c>
      <c r="B428" t="s">
        <v>1111</v>
      </c>
      <c r="C428" t="s">
        <v>30</v>
      </c>
      <c r="D428" t="s">
        <v>82</v>
      </c>
      <c r="E428" t="s">
        <v>16</v>
      </c>
      <c r="F428">
        <v>80</v>
      </c>
      <c r="G428">
        <v>83427</v>
      </c>
      <c r="H428">
        <v>6674160</v>
      </c>
      <c r="I428" t="s">
        <v>1112</v>
      </c>
      <c r="J428" t="s">
        <v>692</v>
      </c>
      <c r="K428">
        <v>80</v>
      </c>
      <c r="L428">
        <v>0</v>
      </c>
      <c r="M428" t="s">
        <v>115</v>
      </c>
      <c r="N428" t="str">
        <f t="shared" si="36"/>
        <v>PO-100427</v>
      </c>
      <c r="O428" t="str">
        <f t="shared" si="37"/>
        <v>Delivered</v>
      </c>
      <c r="P428" t="str">
        <f t="shared" si="38"/>
        <v>WH-DEL</v>
      </c>
      <c r="Q428" t="str">
        <f>VLOOKUP(C428, Lookups!$A$2:$D$10, 2, FALSE())</f>
        <v>TechSupply Corp</v>
      </c>
      <c r="R428" t="str">
        <f>_xlfn.XLOOKUP(D428, Lookups!$A$12:$A$51, Lookups!$C$12:$C$51, "Unknown")</f>
        <v>Electronics</v>
      </c>
      <c r="S428" t="str">
        <f>IF(ISBLANK(I428), B428+VLOOKUP(C428, Lookups!$A$2:$D$10, 4, FALSE()), I428)</f>
        <v>2026-10-28</v>
      </c>
      <c r="T428">
        <f t="shared" si="39"/>
        <v>15</v>
      </c>
      <c r="U428" t="str">
        <f t="shared" si="40"/>
        <v>Late</v>
      </c>
      <c r="V428">
        <f t="shared" si="41"/>
        <v>0</v>
      </c>
    </row>
    <row r="429" spans="1:22" x14ac:dyDescent="0.45">
      <c r="A429" t="s">
        <v>1113</v>
      </c>
      <c r="B429" t="s">
        <v>834</v>
      </c>
      <c r="C429" t="s">
        <v>34</v>
      </c>
      <c r="D429" t="s">
        <v>74</v>
      </c>
      <c r="E429" t="s">
        <v>18</v>
      </c>
      <c r="F429">
        <v>223</v>
      </c>
      <c r="G429">
        <v>94797</v>
      </c>
      <c r="H429">
        <v>21139731</v>
      </c>
      <c r="I429" t="s">
        <v>294</v>
      </c>
      <c r="J429" t="s">
        <v>1114</v>
      </c>
      <c r="K429">
        <v>223</v>
      </c>
      <c r="L429">
        <v>0</v>
      </c>
      <c r="M429" t="s">
        <v>115</v>
      </c>
      <c r="N429" t="str">
        <f t="shared" si="36"/>
        <v>PO-100428</v>
      </c>
      <c r="O429" t="str">
        <f t="shared" si="37"/>
        <v>Delivered</v>
      </c>
      <c r="P429" t="str">
        <f t="shared" si="38"/>
        <v>WH-PUN</v>
      </c>
      <c r="Q429" t="str">
        <f>VLOOKUP(C429, Lookups!$A$2:$D$10, 2, FALSE())</f>
        <v>FastElectronics</v>
      </c>
      <c r="R429" t="str">
        <f>_xlfn.XLOOKUP(D429, Lookups!$A$12:$A$51, Lookups!$C$12:$C$51, "Unknown")</f>
        <v>Electronics</v>
      </c>
      <c r="S429" t="str">
        <f>IF(ISBLANK(I429), B429+VLOOKUP(C429, Lookups!$A$2:$D$10, 4, FALSE()), I429)</f>
        <v>2025-09-13</v>
      </c>
      <c r="T429">
        <f t="shared" si="39"/>
        <v>19</v>
      </c>
      <c r="U429" t="str">
        <f t="shared" si="40"/>
        <v>Late</v>
      </c>
      <c r="V429">
        <f t="shared" si="41"/>
        <v>0</v>
      </c>
    </row>
    <row r="430" spans="1:22" x14ac:dyDescent="0.45">
      <c r="A430" t="s">
        <v>1115</v>
      </c>
      <c r="B430" t="s">
        <v>441</v>
      </c>
      <c r="C430" t="s">
        <v>35</v>
      </c>
      <c r="D430" t="s">
        <v>75</v>
      </c>
      <c r="E430" t="s">
        <v>17</v>
      </c>
      <c r="F430">
        <v>154</v>
      </c>
      <c r="G430">
        <v>4440</v>
      </c>
      <c r="H430">
        <v>683760</v>
      </c>
      <c r="I430" t="s">
        <v>221</v>
      </c>
      <c r="J430" t="s">
        <v>222</v>
      </c>
      <c r="K430">
        <v>154</v>
      </c>
      <c r="L430">
        <v>0</v>
      </c>
      <c r="M430" t="s">
        <v>115</v>
      </c>
      <c r="N430" t="str">
        <f t="shared" si="36"/>
        <v>PO-100429</v>
      </c>
      <c r="O430" t="str">
        <f t="shared" si="37"/>
        <v>Delivered</v>
      </c>
      <c r="P430" t="str">
        <f t="shared" si="38"/>
        <v>WH-BLR</v>
      </c>
      <c r="Q430" t="str">
        <f>VLOOKUP(C430, Lookups!$A$2:$D$10, 2, FALSE())</f>
        <v>Peripheral Source</v>
      </c>
      <c r="R430" t="str">
        <f>_xlfn.XLOOKUP(D430, Lookups!$A$12:$A$51, Lookups!$C$12:$C$51, "Unknown")</f>
        <v>Peripherals</v>
      </c>
      <c r="S430" t="str">
        <f>IF(ISBLANK(I430), B430+VLOOKUP(C430, Lookups!$A$2:$D$10, 4, FALSE()), I430)</f>
        <v>2026-02-28</v>
      </c>
      <c r="T430">
        <f t="shared" si="39"/>
        <v>11</v>
      </c>
      <c r="U430" t="str">
        <f t="shared" si="40"/>
        <v>Late</v>
      </c>
      <c r="V430">
        <f t="shared" si="41"/>
        <v>0</v>
      </c>
    </row>
    <row r="431" spans="1:22" x14ac:dyDescent="0.45">
      <c r="A431" t="s">
        <v>1116</v>
      </c>
      <c r="B431" t="s">
        <v>791</v>
      </c>
      <c r="C431" t="s">
        <v>35</v>
      </c>
      <c r="D431" t="s">
        <v>75</v>
      </c>
      <c r="E431" t="s">
        <v>16</v>
      </c>
      <c r="F431">
        <v>233</v>
      </c>
      <c r="G431">
        <v>4440</v>
      </c>
      <c r="H431">
        <v>1034520</v>
      </c>
      <c r="I431" t="s">
        <v>211</v>
      </c>
      <c r="J431" t="s">
        <v>211</v>
      </c>
      <c r="K431">
        <v>233</v>
      </c>
      <c r="L431">
        <v>0</v>
      </c>
      <c r="M431" t="s">
        <v>115</v>
      </c>
      <c r="N431" t="str">
        <f t="shared" si="36"/>
        <v>PO-100430</v>
      </c>
      <c r="O431" t="str">
        <f t="shared" si="37"/>
        <v>Delivered</v>
      </c>
      <c r="P431" t="str">
        <f t="shared" si="38"/>
        <v>WH-DEL</v>
      </c>
      <c r="Q431" t="str">
        <f>VLOOKUP(C431, Lookups!$A$2:$D$10, 2, FALSE())</f>
        <v>Peripheral Source</v>
      </c>
      <c r="R431" t="str">
        <f>_xlfn.XLOOKUP(D431, Lookups!$A$12:$A$51, Lookups!$C$12:$C$51, "Unknown")</f>
        <v>Peripherals</v>
      </c>
      <c r="S431" t="str">
        <f>IF(ISBLANK(I431), B431+VLOOKUP(C431, Lookups!$A$2:$D$10, 4, FALSE()), I431)</f>
        <v>2025-06-21</v>
      </c>
      <c r="T431">
        <f t="shared" si="39"/>
        <v>10</v>
      </c>
      <c r="U431" t="str">
        <f t="shared" si="40"/>
        <v>On-Time</v>
      </c>
      <c r="V431">
        <f t="shared" si="41"/>
        <v>0</v>
      </c>
    </row>
    <row r="432" spans="1:22" x14ac:dyDescent="0.45">
      <c r="A432" t="s">
        <v>1117</v>
      </c>
      <c r="B432" t="s">
        <v>551</v>
      </c>
      <c r="C432" t="s">
        <v>34</v>
      </c>
      <c r="D432" t="s">
        <v>58</v>
      </c>
      <c r="E432" t="s">
        <v>17</v>
      </c>
      <c r="F432">
        <v>131</v>
      </c>
      <c r="G432">
        <v>100302</v>
      </c>
      <c r="H432">
        <v>13139562</v>
      </c>
      <c r="I432" t="s">
        <v>552</v>
      </c>
      <c r="J432" t="s">
        <v>544</v>
      </c>
      <c r="K432">
        <v>131</v>
      </c>
      <c r="L432">
        <v>0</v>
      </c>
      <c r="M432" t="s">
        <v>115</v>
      </c>
      <c r="N432" t="str">
        <f t="shared" si="36"/>
        <v>PO-100431</v>
      </c>
      <c r="O432" t="str">
        <f t="shared" si="37"/>
        <v>Delivered</v>
      </c>
      <c r="P432" t="str">
        <f t="shared" si="38"/>
        <v>WH-BLR</v>
      </c>
      <c r="Q432" t="str">
        <f>VLOOKUP(C432, Lookups!$A$2:$D$10, 2, FALSE())</f>
        <v>FastElectronics</v>
      </c>
      <c r="R432" t="str">
        <f>_xlfn.XLOOKUP(D432, Lookups!$A$12:$A$51, Lookups!$C$12:$C$51, "Unknown")</f>
        <v>Electronics</v>
      </c>
      <c r="S432" t="str">
        <f>IF(ISBLANK(I432), B432+VLOOKUP(C432, Lookups!$A$2:$D$10, 4, FALSE()), I432)</f>
        <v>2025-11-22</v>
      </c>
      <c r="T432">
        <f t="shared" si="39"/>
        <v>19</v>
      </c>
      <c r="U432" t="str">
        <f t="shared" si="40"/>
        <v>Late</v>
      </c>
      <c r="V432">
        <f t="shared" si="41"/>
        <v>0</v>
      </c>
    </row>
    <row r="433" spans="1:22" x14ac:dyDescent="0.45">
      <c r="A433" t="s">
        <v>1118</v>
      </c>
      <c r="B433" t="s">
        <v>713</v>
      </c>
      <c r="C433" t="s">
        <v>35</v>
      </c>
      <c r="D433" t="s">
        <v>75</v>
      </c>
      <c r="E433" t="s">
        <v>16</v>
      </c>
      <c r="F433">
        <v>83</v>
      </c>
      <c r="G433">
        <v>4440</v>
      </c>
      <c r="H433">
        <v>368520</v>
      </c>
      <c r="I433" t="s">
        <v>520</v>
      </c>
      <c r="J433" t="s">
        <v>1119</v>
      </c>
      <c r="K433">
        <v>83</v>
      </c>
      <c r="L433">
        <v>0</v>
      </c>
      <c r="M433" t="s">
        <v>115</v>
      </c>
      <c r="N433" t="str">
        <f t="shared" si="36"/>
        <v>PO-100432</v>
      </c>
      <c r="O433" t="str">
        <f t="shared" si="37"/>
        <v>Delivered</v>
      </c>
      <c r="P433" t="str">
        <f t="shared" si="38"/>
        <v>WH-DEL</v>
      </c>
      <c r="Q433" t="str">
        <f>VLOOKUP(C433, Lookups!$A$2:$D$10, 2, FALSE())</f>
        <v>Peripheral Source</v>
      </c>
      <c r="R433" t="str">
        <f>_xlfn.XLOOKUP(D433, Lookups!$A$12:$A$51, Lookups!$C$12:$C$51, "Unknown")</f>
        <v>Peripherals</v>
      </c>
      <c r="S433" t="str">
        <f>IF(ISBLANK(I433), B433+VLOOKUP(C433, Lookups!$A$2:$D$10, 4, FALSE()), I433)</f>
        <v>2026-08-29</v>
      </c>
      <c r="T433">
        <f t="shared" si="39"/>
        <v>11</v>
      </c>
      <c r="U433" t="str">
        <f t="shared" si="40"/>
        <v>Late</v>
      </c>
      <c r="V433">
        <f t="shared" si="41"/>
        <v>0</v>
      </c>
    </row>
    <row r="434" spans="1:22" x14ac:dyDescent="0.45">
      <c r="A434" t="s">
        <v>1120</v>
      </c>
      <c r="B434" t="s">
        <v>552</v>
      </c>
      <c r="C434" t="s">
        <v>31</v>
      </c>
      <c r="D434" t="s">
        <v>66</v>
      </c>
      <c r="E434" t="s">
        <v>17</v>
      </c>
      <c r="F434">
        <v>63</v>
      </c>
      <c r="G434">
        <v>29719</v>
      </c>
      <c r="H434">
        <v>1872297</v>
      </c>
      <c r="I434" t="s">
        <v>778</v>
      </c>
      <c r="J434" t="s">
        <v>207</v>
      </c>
      <c r="K434">
        <v>63</v>
      </c>
      <c r="L434">
        <v>0</v>
      </c>
      <c r="M434" t="s">
        <v>115</v>
      </c>
      <c r="N434" t="str">
        <f t="shared" si="36"/>
        <v>PO-100433</v>
      </c>
      <c r="O434" t="str">
        <f t="shared" si="37"/>
        <v>Delivered</v>
      </c>
      <c r="P434" t="str">
        <f t="shared" si="38"/>
        <v>WH-BLR</v>
      </c>
      <c r="Q434" t="str">
        <f>VLOOKUP(C434, Lookups!$A$2:$D$10, 2, FALSE())</f>
        <v>Global Networks</v>
      </c>
      <c r="R434" t="str">
        <f>_xlfn.XLOOKUP(D434, Lookups!$A$12:$A$51, Lookups!$C$12:$C$51, "Unknown")</f>
        <v>Networking</v>
      </c>
      <c r="S434" t="str">
        <f>IF(ISBLANK(I434), B434+VLOOKUP(C434, Lookups!$A$2:$D$10, 4, FALSE()), I434)</f>
        <v>2025-12-13</v>
      </c>
      <c r="T434">
        <f t="shared" si="39"/>
        <v>22</v>
      </c>
      <c r="U434" t="str">
        <f t="shared" si="40"/>
        <v>Late</v>
      </c>
      <c r="V434">
        <f t="shared" si="41"/>
        <v>0</v>
      </c>
    </row>
    <row r="435" spans="1:22" x14ac:dyDescent="0.45">
      <c r="A435" t="s">
        <v>1121</v>
      </c>
      <c r="B435" t="s">
        <v>1122</v>
      </c>
      <c r="C435" t="s">
        <v>36</v>
      </c>
      <c r="D435" t="s">
        <v>87</v>
      </c>
      <c r="E435" t="s">
        <v>17</v>
      </c>
      <c r="F435">
        <v>201</v>
      </c>
      <c r="G435">
        <v>82930</v>
      </c>
      <c r="H435">
        <v>16668930</v>
      </c>
      <c r="I435" t="s">
        <v>794</v>
      </c>
      <c r="J435" t="s">
        <v>493</v>
      </c>
      <c r="K435">
        <v>201</v>
      </c>
      <c r="L435">
        <v>0</v>
      </c>
      <c r="M435" t="s">
        <v>115</v>
      </c>
      <c r="N435" t="str">
        <f t="shared" si="36"/>
        <v>PO-100434</v>
      </c>
      <c r="O435" t="str">
        <f t="shared" si="37"/>
        <v>Delivered</v>
      </c>
      <c r="P435" t="str">
        <f t="shared" si="38"/>
        <v>WH-BLR</v>
      </c>
      <c r="Q435" t="str">
        <f>VLOOKUP(C435, Lookups!$A$2:$D$10, 2, FALSE())</f>
        <v>NextGen Hardware</v>
      </c>
      <c r="R435" t="str">
        <f>_xlfn.XLOOKUP(D435, Lookups!$A$12:$A$51, Lookups!$C$12:$C$51, "Unknown")</f>
        <v>Electronics</v>
      </c>
      <c r="S435" t="str">
        <f>IF(ISBLANK(I435), B435+VLOOKUP(C435, Lookups!$A$2:$D$10, 4, FALSE()), I435)</f>
        <v>2026-09-07</v>
      </c>
      <c r="T435">
        <f t="shared" si="39"/>
        <v>25</v>
      </c>
      <c r="U435" t="str">
        <f t="shared" si="40"/>
        <v>Late</v>
      </c>
      <c r="V435">
        <f t="shared" si="41"/>
        <v>0</v>
      </c>
    </row>
    <row r="436" spans="1:22" x14ac:dyDescent="0.45">
      <c r="A436" t="s">
        <v>1123</v>
      </c>
      <c r="B436" t="s">
        <v>127</v>
      </c>
      <c r="C436" t="s">
        <v>37</v>
      </c>
      <c r="D436" t="s">
        <v>83</v>
      </c>
      <c r="E436" t="s">
        <v>16</v>
      </c>
      <c r="F436">
        <v>86</v>
      </c>
      <c r="G436">
        <v>19850</v>
      </c>
      <c r="H436">
        <v>1707100</v>
      </c>
      <c r="I436" t="s">
        <v>220</v>
      </c>
      <c r="J436" t="s">
        <v>330</v>
      </c>
      <c r="K436">
        <v>84</v>
      </c>
      <c r="L436">
        <v>0</v>
      </c>
      <c r="M436" t="s">
        <v>115</v>
      </c>
      <c r="N436" t="str">
        <f t="shared" si="36"/>
        <v>PO-100435</v>
      </c>
      <c r="O436" t="str">
        <f t="shared" si="37"/>
        <v>Delivered</v>
      </c>
      <c r="P436" t="str">
        <f t="shared" si="38"/>
        <v>WH-DEL</v>
      </c>
      <c r="Q436" t="str">
        <f>VLOOKUP(C436, Lookups!$A$2:$D$10, 2, FALSE())</f>
        <v>Premium Desks Ltd</v>
      </c>
      <c r="R436" t="str">
        <f>_xlfn.XLOOKUP(D436, Lookups!$A$12:$A$51, Lookups!$C$12:$C$51, "Unknown")</f>
        <v>Office Furniture</v>
      </c>
      <c r="S436" t="str">
        <f>IF(ISBLANK(I436), B436+VLOOKUP(C436, Lookups!$A$2:$D$10, 4, FALSE()), I436)</f>
        <v>2026-02-14</v>
      </c>
      <c r="T436">
        <f t="shared" si="39"/>
        <v>21</v>
      </c>
      <c r="U436" t="str">
        <f t="shared" si="40"/>
        <v>Late</v>
      </c>
      <c r="V436">
        <f t="shared" si="41"/>
        <v>0</v>
      </c>
    </row>
    <row r="437" spans="1:22" x14ac:dyDescent="0.45">
      <c r="A437" t="s">
        <v>1124</v>
      </c>
      <c r="B437" t="s">
        <v>670</v>
      </c>
      <c r="C437" t="s">
        <v>37</v>
      </c>
      <c r="D437" t="s">
        <v>78</v>
      </c>
      <c r="E437" t="s">
        <v>16</v>
      </c>
      <c r="F437">
        <v>200</v>
      </c>
      <c r="G437">
        <v>9423</v>
      </c>
      <c r="H437">
        <v>1884600</v>
      </c>
      <c r="I437" t="s">
        <v>986</v>
      </c>
      <c r="J437" t="s">
        <v>986</v>
      </c>
      <c r="K437">
        <v>200</v>
      </c>
      <c r="L437">
        <v>0</v>
      </c>
      <c r="M437" t="s">
        <v>115</v>
      </c>
      <c r="N437" t="str">
        <f t="shared" si="36"/>
        <v>PO-100436</v>
      </c>
      <c r="O437" t="str">
        <f t="shared" si="37"/>
        <v>Delivered</v>
      </c>
      <c r="P437" t="str">
        <f t="shared" si="38"/>
        <v>WH-DEL</v>
      </c>
      <c r="Q437" t="str">
        <f>VLOOKUP(C437, Lookups!$A$2:$D$10, 2, FALSE())</f>
        <v>Premium Desks Ltd</v>
      </c>
      <c r="R437" t="str">
        <f>_xlfn.XLOOKUP(D437, Lookups!$A$12:$A$51, Lookups!$C$12:$C$51, "Unknown")</f>
        <v>Office Furniture</v>
      </c>
      <c r="S437" t="str">
        <f>IF(ISBLANK(I437), B437+VLOOKUP(C437, Lookups!$A$2:$D$10, 4, FALSE()), I437)</f>
        <v>2026-11-04</v>
      </c>
      <c r="T437">
        <f t="shared" si="39"/>
        <v>12</v>
      </c>
      <c r="U437" t="str">
        <f t="shared" si="40"/>
        <v>On-Time</v>
      </c>
      <c r="V437">
        <f t="shared" si="41"/>
        <v>0</v>
      </c>
    </row>
    <row r="438" spans="1:22" x14ac:dyDescent="0.45">
      <c r="A438" t="s">
        <v>1125</v>
      </c>
      <c r="B438" t="s">
        <v>615</v>
      </c>
      <c r="C438" t="s">
        <v>35</v>
      </c>
      <c r="D438" t="s">
        <v>70</v>
      </c>
      <c r="E438" t="s">
        <v>18</v>
      </c>
      <c r="F438">
        <v>150</v>
      </c>
      <c r="G438">
        <v>4287</v>
      </c>
      <c r="H438">
        <v>643050</v>
      </c>
      <c r="I438" t="s">
        <v>1024</v>
      </c>
      <c r="J438" t="s">
        <v>1126</v>
      </c>
      <c r="K438">
        <v>150</v>
      </c>
      <c r="L438">
        <v>0</v>
      </c>
      <c r="M438" t="s">
        <v>115</v>
      </c>
      <c r="N438" t="str">
        <f t="shared" si="36"/>
        <v>PO-100437</v>
      </c>
      <c r="O438" t="str">
        <f t="shared" si="37"/>
        <v>Delivered</v>
      </c>
      <c r="P438" t="str">
        <f t="shared" si="38"/>
        <v>WH-PUN</v>
      </c>
      <c r="Q438" t="str">
        <f>VLOOKUP(C438, Lookups!$A$2:$D$10, 2, FALSE())</f>
        <v>Peripheral Source</v>
      </c>
      <c r="R438" t="str">
        <f>_xlfn.XLOOKUP(D438, Lookups!$A$12:$A$51, Lookups!$C$12:$C$51, "Unknown")</f>
        <v>Peripherals</v>
      </c>
      <c r="S438" t="str">
        <f>IF(ISBLANK(I438), B438+VLOOKUP(C438, Lookups!$A$2:$D$10, 4, FALSE()), I438)</f>
        <v>2026-11-17</v>
      </c>
      <c r="T438">
        <f t="shared" si="39"/>
        <v>11</v>
      </c>
      <c r="U438" t="str">
        <f t="shared" si="40"/>
        <v>Late</v>
      </c>
      <c r="V438">
        <f t="shared" si="41"/>
        <v>0</v>
      </c>
    </row>
    <row r="439" spans="1:22" x14ac:dyDescent="0.45">
      <c r="A439" t="s">
        <v>1127</v>
      </c>
      <c r="B439" t="s">
        <v>503</v>
      </c>
      <c r="C439" t="s">
        <v>34</v>
      </c>
      <c r="D439" t="s">
        <v>58</v>
      </c>
      <c r="E439" t="s">
        <v>18</v>
      </c>
      <c r="F439">
        <v>197</v>
      </c>
      <c r="G439">
        <v>100302</v>
      </c>
      <c r="H439">
        <v>19759494</v>
      </c>
      <c r="I439" t="s">
        <v>840</v>
      </c>
      <c r="J439" t="s">
        <v>387</v>
      </c>
      <c r="K439">
        <v>197</v>
      </c>
      <c r="L439">
        <v>0</v>
      </c>
      <c r="M439" t="s">
        <v>115</v>
      </c>
      <c r="N439" t="str">
        <f t="shared" si="36"/>
        <v>PO-100438</v>
      </c>
      <c r="O439" t="str">
        <f t="shared" si="37"/>
        <v>Delivered</v>
      </c>
      <c r="P439" t="str">
        <f t="shared" si="38"/>
        <v>WH-PUN</v>
      </c>
      <c r="Q439" t="str">
        <f>VLOOKUP(C439, Lookups!$A$2:$D$10, 2, FALSE())</f>
        <v>FastElectronics</v>
      </c>
      <c r="R439" t="str">
        <f>_xlfn.XLOOKUP(D439, Lookups!$A$12:$A$51, Lookups!$C$12:$C$51, "Unknown")</f>
        <v>Electronics</v>
      </c>
      <c r="S439" t="str">
        <f>IF(ISBLANK(I439), B439+VLOOKUP(C439, Lookups!$A$2:$D$10, 4, FALSE()), I439)</f>
        <v>2026-03-17</v>
      </c>
      <c r="T439">
        <f t="shared" si="39"/>
        <v>19</v>
      </c>
      <c r="U439" t="str">
        <f t="shared" si="40"/>
        <v>Late</v>
      </c>
      <c r="V439">
        <f t="shared" si="41"/>
        <v>0</v>
      </c>
    </row>
    <row r="440" spans="1:22" x14ac:dyDescent="0.45">
      <c r="A440" t="s">
        <v>1128</v>
      </c>
      <c r="B440" t="s">
        <v>598</v>
      </c>
      <c r="C440" t="s">
        <v>35</v>
      </c>
      <c r="D440" t="s">
        <v>91</v>
      </c>
      <c r="E440" t="s">
        <v>15</v>
      </c>
      <c r="F440">
        <v>116</v>
      </c>
      <c r="G440">
        <v>6707</v>
      </c>
      <c r="H440">
        <v>778012</v>
      </c>
      <c r="I440" t="s">
        <v>728</v>
      </c>
      <c r="J440" t="s">
        <v>1129</v>
      </c>
      <c r="K440">
        <v>116</v>
      </c>
      <c r="L440">
        <v>0</v>
      </c>
      <c r="M440" t="s">
        <v>115</v>
      </c>
      <c r="N440" t="str">
        <f t="shared" si="36"/>
        <v>PO-100439</v>
      </c>
      <c r="O440" t="str">
        <f t="shared" si="37"/>
        <v>Delivered</v>
      </c>
      <c r="P440" t="str">
        <f t="shared" si="38"/>
        <v>WH-BOM</v>
      </c>
      <c r="Q440" t="str">
        <f>VLOOKUP(C440, Lookups!$A$2:$D$10, 2, FALSE())</f>
        <v>Peripheral Source</v>
      </c>
      <c r="R440" t="str">
        <f>_xlfn.XLOOKUP(D440, Lookups!$A$12:$A$51, Lookups!$C$12:$C$51, "Unknown")</f>
        <v>Peripherals</v>
      </c>
      <c r="S440" t="str">
        <f>IF(ISBLANK(I440), B440+VLOOKUP(C440, Lookups!$A$2:$D$10, 4, FALSE()), I440)</f>
        <v>2025-09-10</v>
      </c>
      <c r="T440">
        <f t="shared" si="39"/>
        <v>25</v>
      </c>
      <c r="U440" t="str">
        <f t="shared" si="40"/>
        <v>Late</v>
      </c>
      <c r="V440">
        <f t="shared" si="41"/>
        <v>0</v>
      </c>
    </row>
    <row r="441" spans="1:22" x14ac:dyDescent="0.45">
      <c r="A441" t="s">
        <v>1130</v>
      </c>
      <c r="B441" t="s">
        <v>396</v>
      </c>
      <c r="C441" t="s">
        <v>34</v>
      </c>
      <c r="D441" t="s">
        <v>58</v>
      </c>
      <c r="E441" t="s">
        <v>18</v>
      </c>
      <c r="F441">
        <v>239</v>
      </c>
      <c r="G441">
        <v>100302</v>
      </c>
      <c r="H441">
        <v>23972178</v>
      </c>
      <c r="I441" t="s">
        <v>1018</v>
      </c>
      <c r="J441" t="s">
        <v>1018</v>
      </c>
      <c r="K441">
        <v>239</v>
      </c>
      <c r="L441">
        <v>0</v>
      </c>
      <c r="M441" t="s">
        <v>115</v>
      </c>
      <c r="N441" t="str">
        <f t="shared" si="36"/>
        <v>PO-100440</v>
      </c>
      <c r="O441" t="str">
        <f t="shared" si="37"/>
        <v>Delivered</v>
      </c>
      <c r="P441" t="str">
        <f t="shared" si="38"/>
        <v>WH-PUN</v>
      </c>
      <c r="Q441" t="str">
        <f>VLOOKUP(C441, Lookups!$A$2:$D$10, 2, FALSE())</f>
        <v>FastElectronics</v>
      </c>
      <c r="R441" t="str">
        <f>_xlfn.XLOOKUP(D441, Lookups!$A$12:$A$51, Lookups!$C$12:$C$51, "Unknown")</f>
        <v>Electronics</v>
      </c>
      <c r="S441" t="str">
        <f>IF(ISBLANK(I441), B441+VLOOKUP(C441, Lookups!$A$2:$D$10, 4, FALSE()), I441)</f>
        <v>2025-04-14</v>
      </c>
      <c r="T441">
        <f t="shared" si="39"/>
        <v>18</v>
      </c>
      <c r="U441" t="str">
        <f t="shared" si="40"/>
        <v>On-Time</v>
      </c>
      <c r="V441">
        <f t="shared" si="41"/>
        <v>0</v>
      </c>
    </row>
    <row r="442" spans="1:22" x14ac:dyDescent="0.45">
      <c r="A442" t="s">
        <v>1131</v>
      </c>
      <c r="B442" t="s">
        <v>137</v>
      </c>
      <c r="C442" t="s">
        <v>30</v>
      </c>
      <c r="D442" t="s">
        <v>53</v>
      </c>
      <c r="E442" t="s">
        <v>18</v>
      </c>
      <c r="F442">
        <v>216</v>
      </c>
      <c r="G442">
        <v>81048</v>
      </c>
      <c r="H442">
        <v>17506368</v>
      </c>
      <c r="I442" t="s">
        <v>198</v>
      </c>
      <c r="J442" t="s">
        <v>569</v>
      </c>
      <c r="K442">
        <v>216</v>
      </c>
      <c r="L442">
        <v>0</v>
      </c>
      <c r="M442" t="s">
        <v>115</v>
      </c>
      <c r="N442" t="str">
        <f t="shared" si="36"/>
        <v>PO-100441</v>
      </c>
      <c r="O442" t="str">
        <f t="shared" si="37"/>
        <v>Delivered</v>
      </c>
      <c r="P442" t="str">
        <f t="shared" si="38"/>
        <v>WH-PUN</v>
      </c>
      <c r="Q442" t="str">
        <f>VLOOKUP(C442, Lookups!$A$2:$D$10, 2, FALSE())</f>
        <v>TechSupply Corp</v>
      </c>
      <c r="R442" t="str">
        <f>_xlfn.XLOOKUP(D442, Lookups!$A$12:$A$51, Lookups!$C$12:$C$51, "Unknown")</f>
        <v>Electronics</v>
      </c>
      <c r="S442" t="str">
        <f>IF(ISBLANK(I442), B442+VLOOKUP(C442, Lookups!$A$2:$D$10, 4, FALSE()), I442)</f>
        <v>2025-09-22</v>
      </c>
      <c r="T442">
        <f t="shared" si="39"/>
        <v>11</v>
      </c>
      <c r="U442" t="str">
        <f t="shared" si="40"/>
        <v>On-Time</v>
      </c>
      <c r="V442">
        <f t="shared" si="41"/>
        <v>0</v>
      </c>
    </row>
    <row r="443" spans="1:22" x14ac:dyDescent="0.45">
      <c r="A443" t="s">
        <v>1132</v>
      </c>
      <c r="B443" t="s">
        <v>210</v>
      </c>
      <c r="C443" t="s">
        <v>30</v>
      </c>
      <c r="D443" t="s">
        <v>52</v>
      </c>
      <c r="E443" t="s">
        <v>15</v>
      </c>
      <c r="F443">
        <v>80</v>
      </c>
      <c r="G443">
        <v>59592</v>
      </c>
      <c r="H443">
        <v>4767360</v>
      </c>
      <c r="I443" t="s">
        <v>1133</v>
      </c>
      <c r="J443" t="s">
        <v>242</v>
      </c>
      <c r="K443">
        <v>80</v>
      </c>
      <c r="L443">
        <v>0</v>
      </c>
      <c r="M443" t="s">
        <v>115</v>
      </c>
      <c r="N443" t="str">
        <f t="shared" si="36"/>
        <v>PO-100442</v>
      </c>
      <c r="O443" t="str">
        <f t="shared" si="37"/>
        <v>Delivered</v>
      </c>
      <c r="P443" t="str">
        <f t="shared" si="38"/>
        <v>WH-BOM</v>
      </c>
      <c r="Q443" t="str">
        <f>VLOOKUP(C443, Lookups!$A$2:$D$10, 2, FALSE())</f>
        <v>TechSupply Corp</v>
      </c>
      <c r="R443" t="str">
        <f>_xlfn.XLOOKUP(D443, Lookups!$A$12:$A$51, Lookups!$C$12:$C$51, "Unknown")</f>
        <v>Electronics</v>
      </c>
      <c r="S443" t="str">
        <f>IF(ISBLANK(I443), B443+VLOOKUP(C443, Lookups!$A$2:$D$10, 4, FALSE()), I443)</f>
        <v>2025-07-04</v>
      </c>
      <c r="T443">
        <f t="shared" si="39"/>
        <v>15</v>
      </c>
      <c r="U443" t="str">
        <f t="shared" si="40"/>
        <v>Late</v>
      </c>
      <c r="V443">
        <f t="shared" si="41"/>
        <v>0</v>
      </c>
    </row>
    <row r="444" spans="1:22" x14ac:dyDescent="0.45">
      <c r="A444" t="s">
        <v>1134</v>
      </c>
      <c r="B444" t="s">
        <v>940</v>
      </c>
      <c r="C444" t="s">
        <v>36</v>
      </c>
      <c r="D444" t="s">
        <v>87</v>
      </c>
      <c r="E444" t="s">
        <v>16</v>
      </c>
      <c r="F444">
        <v>108</v>
      </c>
      <c r="G444">
        <v>82930</v>
      </c>
      <c r="H444">
        <v>8956440</v>
      </c>
      <c r="I444" t="s">
        <v>438</v>
      </c>
      <c r="J444" t="s">
        <v>438</v>
      </c>
      <c r="K444">
        <v>108</v>
      </c>
      <c r="L444">
        <v>0</v>
      </c>
      <c r="M444" t="s">
        <v>115</v>
      </c>
      <c r="N444" t="str">
        <f t="shared" si="36"/>
        <v>PO-100443</v>
      </c>
      <c r="O444" t="str">
        <f t="shared" si="37"/>
        <v>Delivered</v>
      </c>
      <c r="P444" t="str">
        <f t="shared" si="38"/>
        <v>WH-DEL</v>
      </c>
      <c r="Q444" t="str">
        <f>VLOOKUP(C444, Lookups!$A$2:$D$10, 2, FALSE())</f>
        <v>NextGen Hardware</v>
      </c>
      <c r="R444" t="str">
        <f>_xlfn.XLOOKUP(D444, Lookups!$A$12:$A$51, Lookups!$C$12:$C$51, "Unknown")</f>
        <v>Electronics</v>
      </c>
      <c r="S444" t="str">
        <f>IF(ISBLANK(I444), B444+VLOOKUP(C444, Lookups!$A$2:$D$10, 4, FALSE()), I444)</f>
        <v>2025-02-13</v>
      </c>
      <c r="T444">
        <f t="shared" si="39"/>
        <v>24</v>
      </c>
      <c r="U444" t="str">
        <f t="shared" si="40"/>
        <v>On-Time</v>
      </c>
      <c r="V444">
        <f t="shared" si="41"/>
        <v>0</v>
      </c>
    </row>
    <row r="445" spans="1:22" x14ac:dyDescent="0.45">
      <c r="A445" t="s">
        <v>1135</v>
      </c>
      <c r="B445" t="s">
        <v>642</v>
      </c>
      <c r="C445" t="s">
        <v>31</v>
      </c>
      <c r="D445" t="s">
        <v>77</v>
      </c>
      <c r="E445" t="s">
        <v>16</v>
      </c>
      <c r="F445">
        <v>161</v>
      </c>
      <c r="G445">
        <v>23667</v>
      </c>
      <c r="H445">
        <v>3810387</v>
      </c>
      <c r="I445" t="s">
        <v>254</v>
      </c>
      <c r="J445" t="s">
        <v>370</v>
      </c>
      <c r="K445">
        <v>161</v>
      </c>
      <c r="L445">
        <v>0</v>
      </c>
      <c r="M445" t="s">
        <v>115</v>
      </c>
      <c r="N445" t="str">
        <f t="shared" si="36"/>
        <v>PO-100444</v>
      </c>
      <c r="O445" t="str">
        <f t="shared" si="37"/>
        <v>Delivered</v>
      </c>
      <c r="P445" t="str">
        <f t="shared" si="38"/>
        <v>WH-DEL</v>
      </c>
      <c r="Q445" t="str">
        <f>VLOOKUP(C445, Lookups!$A$2:$D$10, 2, FALSE())</f>
        <v>Global Networks</v>
      </c>
      <c r="R445" t="str">
        <f>_xlfn.XLOOKUP(D445, Lookups!$A$12:$A$51, Lookups!$C$12:$C$51, "Unknown")</f>
        <v>Networking</v>
      </c>
      <c r="S445" t="str">
        <f>IF(ISBLANK(I445), B445+VLOOKUP(C445, Lookups!$A$2:$D$10, 4, FALSE()), I445)</f>
        <v>2025-11-10</v>
      </c>
      <c r="T445">
        <f t="shared" si="39"/>
        <v>22</v>
      </c>
      <c r="U445" t="str">
        <f t="shared" si="40"/>
        <v>Late</v>
      </c>
      <c r="V445">
        <f t="shared" si="41"/>
        <v>0</v>
      </c>
    </row>
    <row r="446" spans="1:22" x14ac:dyDescent="0.45">
      <c r="A446" t="s">
        <v>1136</v>
      </c>
      <c r="B446" t="s">
        <v>332</v>
      </c>
      <c r="C446" t="s">
        <v>30</v>
      </c>
      <c r="D446" t="s">
        <v>61</v>
      </c>
      <c r="E446" t="s">
        <v>16</v>
      </c>
      <c r="F446">
        <v>109</v>
      </c>
      <c r="G446">
        <v>111237</v>
      </c>
      <c r="H446">
        <v>12124833</v>
      </c>
      <c r="I446" t="s">
        <v>610</v>
      </c>
      <c r="J446" t="s">
        <v>1077</v>
      </c>
      <c r="K446">
        <v>109</v>
      </c>
      <c r="L446">
        <v>0</v>
      </c>
      <c r="M446" t="s">
        <v>115</v>
      </c>
      <c r="N446" t="str">
        <f t="shared" si="36"/>
        <v>PO-100445</v>
      </c>
      <c r="O446" t="str">
        <f t="shared" si="37"/>
        <v>Delivered</v>
      </c>
      <c r="P446" t="str">
        <f t="shared" si="38"/>
        <v>WH-DEL</v>
      </c>
      <c r="Q446" t="str">
        <f>VLOOKUP(C446, Lookups!$A$2:$D$10, 2, FALSE())</f>
        <v>TechSupply Corp</v>
      </c>
      <c r="R446" t="str">
        <f>_xlfn.XLOOKUP(D446, Lookups!$A$12:$A$51, Lookups!$C$12:$C$51, "Unknown")</f>
        <v>Electronics</v>
      </c>
      <c r="S446" t="str">
        <f>IF(ISBLANK(I446), B446+VLOOKUP(C446, Lookups!$A$2:$D$10, 4, FALSE()), I446)</f>
        <v>2025-10-26</v>
      </c>
      <c r="T446">
        <f t="shared" si="39"/>
        <v>15</v>
      </c>
      <c r="U446" t="str">
        <f t="shared" si="40"/>
        <v>Late</v>
      </c>
      <c r="V446">
        <f t="shared" si="41"/>
        <v>0</v>
      </c>
    </row>
    <row r="447" spans="1:22" x14ac:dyDescent="0.45">
      <c r="A447" t="s">
        <v>1137</v>
      </c>
      <c r="B447" t="s">
        <v>469</v>
      </c>
      <c r="C447" t="s">
        <v>36</v>
      </c>
      <c r="D447" t="s">
        <v>90</v>
      </c>
      <c r="E447" t="s">
        <v>15</v>
      </c>
      <c r="F447">
        <v>127</v>
      </c>
      <c r="G447">
        <v>81434</v>
      </c>
      <c r="H447">
        <v>10342118</v>
      </c>
      <c r="I447" t="s">
        <v>250</v>
      </c>
      <c r="J447" t="s">
        <v>252</v>
      </c>
      <c r="K447">
        <v>127</v>
      </c>
      <c r="L447">
        <v>0</v>
      </c>
      <c r="M447" t="s">
        <v>115</v>
      </c>
      <c r="N447" t="str">
        <f t="shared" si="36"/>
        <v>PO-100446</v>
      </c>
      <c r="O447" t="str">
        <f t="shared" si="37"/>
        <v>Delivered</v>
      </c>
      <c r="P447" t="str">
        <f t="shared" si="38"/>
        <v>WH-BOM</v>
      </c>
      <c r="Q447" t="str">
        <f>VLOOKUP(C447, Lookups!$A$2:$D$10, 2, FALSE())</f>
        <v>NextGen Hardware</v>
      </c>
      <c r="R447" t="str">
        <f>_xlfn.XLOOKUP(D447, Lookups!$A$12:$A$51, Lookups!$C$12:$C$51, "Unknown")</f>
        <v>Electronics</v>
      </c>
      <c r="S447" t="str">
        <f>IF(ISBLANK(I447), B447+VLOOKUP(C447, Lookups!$A$2:$D$10, 4, FALSE()), I447)</f>
        <v>2025-08-08</v>
      </c>
      <c r="T447">
        <f t="shared" si="39"/>
        <v>35</v>
      </c>
      <c r="U447" t="str">
        <f t="shared" si="40"/>
        <v>Late</v>
      </c>
      <c r="V447">
        <f t="shared" si="41"/>
        <v>0</v>
      </c>
    </row>
    <row r="448" spans="1:22" x14ac:dyDescent="0.45">
      <c r="A448" t="s">
        <v>1138</v>
      </c>
      <c r="B448" t="s">
        <v>551</v>
      </c>
      <c r="C448" t="s">
        <v>30</v>
      </c>
      <c r="D448" t="s">
        <v>52</v>
      </c>
      <c r="E448" t="s">
        <v>16</v>
      </c>
      <c r="F448">
        <v>111</v>
      </c>
      <c r="G448">
        <v>59592</v>
      </c>
      <c r="H448">
        <v>6614712</v>
      </c>
      <c r="I448" t="s">
        <v>255</v>
      </c>
      <c r="J448" t="s">
        <v>463</v>
      </c>
      <c r="K448">
        <v>111</v>
      </c>
      <c r="L448">
        <v>0</v>
      </c>
      <c r="M448" t="s">
        <v>115</v>
      </c>
      <c r="N448" t="str">
        <f t="shared" si="36"/>
        <v>PO-100447</v>
      </c>
      <c r="O448" t="str">
        <f t="shared" si="37"/>
        <v>Delivered</v>
      </c>
      <c r="P448" t="str">
        <f t="shared" si="38"/>
        <v>WH-DEL</v>
      </c>
      <c r="Q448" t="str">
        <f>VLOOKUP(C448, Lookups!$A$2:$D$10, 2, FALSE())</f>
        <v>TechSupply Corp</v>
      </c>
      <c r="R448" t="str">
        <f>_xlfn.XLOOKUP(D448, Lookups!$A$12:$A$51, Lookups!$C$12:$C$51, "Unknown")</f>
        <v>Electronics</v>
      </c>
      <c r="S448" t="str">
        <f>IF(ISBLANK(I448), B448+VLOOKUP(C448, Lookups!$A$2:$D$10, 4, FALSE()), I448)</f>
        <v>2025-11-18</v>
      </c>
      <c r="T448">
        <f t="shared" si="39"/>
        <v>15</v>
      </c>
      <c r="U448" t="str">
        <f t="shared" si="40"/>
        <v>Late</v>
      </c>
      <c r="V448">
        <f t="shared" si="41"/>
        <v>0</v>
      </c>
    </row>
    <row r="449" spans="1:22" x14ac:dyDescent="0.45">
      <c r="A449" t="s">
        <v>1139</v>
      </c>
      <c r="B449" t="s">
        <v>743</v>
      </c>
      <c r="C449" t="s">
        <v>30</v>
      </c>
      <c r="D449" t="s">
        <v>59</v>
      </c>
      <c r="E449" t="s">
        <v>16</v>
      </c>
      <c r="F449">
        <v>174</v>
      </c>
      <c r="G449">
        <v>48905</v>
      </c>
      <c r="H449">
        <v>8509470</v>
      </c>
      <c r="I449" t="s">
        <v>780</v>
      </c>
      <c r="J449" t="s">
        <v>1140</v>
      </c>
      <c r="K449">
        <v>174</v>
      </c>
      <c r="L449">
        <v>0</v>
      </c>
      <c r="M449" t="s">
        <v>115</v>
      </c>
      <c r="N449" t="str">
        <f t="shared" si="36"/>
        <v>PO-100448</v>
      </c>
      <c r="O449" t="str">
        <f t="shared" si="37"/>
        <v>Delivered</v>
      </c>
      <c r="P449" t="str">
        <f t="shared" si="38"/>
        <v>WH-DEL</v>
      </c>
      <c r="Q449" t="str">
        <f>VLOOKUP(C449, Lookups!$A$2:$D$10, 2, FALSE())</f>
        <v>TechSupply Corp</v>
      </c>
      <c r="R449" t="str">
        <f>_xlfn.XLOOKUP(D449, Lookups!$A$12:$A$51, Lookups!$C$12:$C$51, "Unknown")</f>
        <v>Electronics</v>
      </c>
      <c r="S449" t="str">
        <f>IF(ISBLANK(I449), B449+VLOOKUP(C449, Lookups!$A$2:$D$10, 4, FALSE()), I449)</f>
        <v>2026-11-29</v>
      </c>
      <c r="T449">
        <f t="shared" si="39"/>
        <v>15</v>
      </c>
      <c r="U449" t="str">
        <f t="shared" si="40"/>
        <v>Late</v>
      </c>
      <c r="V449">
        <f t="shared" si="41"/>
        <v>0</v>
      </c>
    </row>
    <row r="450" spans="1:22" x14ac:dyDescent="0.45">
      <c r="A450" t="s">
        <v>1141</v>
      </c>
      <c r="B450" t="s">
        <v>1142</v>
      </c>
      <c r="C450" t="s">
        <v>35</v>
      </c>
      <c r="D450" t="s">
        <v>91</v>
      </c>
      <c r="E450" t="s">
        <v>18</v>
      </c>
      <c r="F450">
        <v>125</v>
      </c>
      <c r="G450">
        <v>6707</v>
      </c>
      <c r="H450">
        <v>838375</v>
      </c>
      <c r="I450" t="s">
        <v>505</v>
      </c>
      <c r="J450" t="s">
        <v>505</v>
      </c>
      <c r="K450">
        <v>125</v>
      </c>
      <c r="L450">
        <v>0</v>
      </c>
      <c r="M450" t="s">
        <v>115</v>
      </c>
      <c r="N450" t="str">
        <f t="shared" ref="N450:N513" si="42">TRIM(A450)</f>
        <v>PO-100449</v>
      </c>
      <c r="O450" t="str">
        <f t="shared" ref="O450:O513" si="43">PROPER(TRIM(M450))</f>
        <v>Delivered</v>
      </c>
      <c r="P450" t="str">
        <f t="shared" ref="P450:P513" si="44">TRIM(E450)</f>
        <v>WH-PUN</v>
      </c>
      <c r="Q450" t="str">
        <f>VLOOKUP(C450, Lookups!$A$2:$D$10, 2, FALSE())</f>
        <v>Peripheral Source</v>
      </c>
      <c r="R450" t="str">
        <f>_xlfn.XLOOKUP(D450, Lookups!$A$12:$A$51, Lookups!$C$12:$C$51, "Unknown")</f>
        <v>Peripherals</v>
      </c>
      <c r="S450" t="str">
        <f>IF(ISBLANK(I450), B450+VLOOKUP(C450, Lookups!$A$2:$D$10, 4, FALSE()), I450)</f>
        <v>2025-04-11</v>
      </c>
      <c r="T450">
        <f t="shared" ref="T450:T513" si="45">IF(ISBLANK(J450), "", J450-B450)</f>
        <v>10</v>
      </c>
      <c r="U450" t="str">
        <f t="shared" ref="U450:U513" si="46">IF(O450="Open", "Open", IF(J450&gt;S450, "Late", "On-Time"))</f>
        <v>On-Time</v>
      </c>
      <c r="V450">
        <f t="shared" ref="V450:V513" si="47">IF(K450&gt;0, L450/K450, 0)</f>
        <v>0</v>
      </c>
    </row>
    <row r="451" spans="1:22" x14ac:dyDescent="0.45">
      <c r="A451" t="s">
        <v>1143</v>
      </c>
      <c r="B451" t="s">
        <v>649</v>
      </c>
      <c r="C451" t="s">
        <v>35</v>
      </c>
      <c r="D451" t="s">
        <v>65</v>
      </c>
      <c r="E451" t="s">
        <v>17</v>
      </c>
      <c r="F451">
        <v>66</v>
      </c>
      <c r="G451">
        <v>4936</v>
      </c>
      <c r="H451">
        <v>325776</v>
      </c>
      <c r="I451" t="s">
        <v>236</v>
      </c>
      <c r="J451" t="s">
        <v>236</v>
      </c>
      <c r="K451">
        <v>66</v>
      </c>
      <c r="L451">
        <v>0</v>
      </c>
      <c r="M451" t="s">
        <v>115</v>
      </c>
      <c r="N451" t="str">
        <f t="shared" si="42"/>
        <v>PO-100450</v>
      </c>
      <c r="O451" t="str">
        <f t="shared" si="43"/>
        <v>Delivered</v>
      </c>
      <c r="P451" t="str">
        <f t="shared" si="44"/>
        <v>WH-BLR</v>
      </c>
      <c r="Q451" t="str">
        <f>VLOOKUP(C451, Lookups!$A$2:$D$10, 2, FALSE())</f>
        <v>Peripheral Source</v>
      </c>
      <c r="R451" t="str">
        <f>_xlfn.XLOOKUP(D451, Lookups!$A$12:$A$51, Lookups!$C$12:$C$51, "Unknown")</f>
        <v>Peripherals</v>
      </c>
      <c r="S451" t="str">
        <f>IF(ISBLANK(I451), B451+VLOOKUP(C451, Lookups!$A$2:$D$10, 4, FALSE()), I451)</f>
        <v>2025-08-28</v>
      </c>
      <c r="T451">
        <f t="shared" si="45"/>
        <v>10</v>
      </c>
      <c r="U451" t="str">
        <f t="shared" si="46"/>
        <v>On-Time</v>
      </c>
      <c r="V451">
        <f t="shared" si="47"/>
        <v>0</v>
      </c>
    </row>
    <row r="452" spans="1:22" x14ac:dyDescent="0.45">
      <c r="A452" t="s">
        <v>1144</v>
      </c>
      <c r="B452" t="s">
        <v>635</v>
      </c>
      <c r="C452" t="s">
        <v>34</v>
      </c>
      <c r="D452" t="s">
        <v>74</v>
      </c>
      <c r="E452" t="s">
        <v>15</v>
      </c>
      <c r="F452">
        <v>39</v>
      </c>
      <c r="G452">
        <v>94797</v>
      </c>
      <c r="H452">
        <v>3697083</v>
      </c>
      <c r="I452" t="s">
        <v>1145</v>
      </c>
      <c r="J452" t="s">
        <v>1145</v>
      </c>
      <c r="K452">
        <v>39</v>
      </c>
      <c r="L452">
        <v>0</v>
      </c>
      <c r="M452" t="s">
        <v>927</v>
      </c>
      <c r="N452" t="str">
        <f t="shared" si="42"/>
        <v>PO-100451</v>
      </c>
      <c r="O452" t="str">
        <f t="shared" si="43"/>
        <v>Delivered</v>
      </c>
      <c r="P452" t="str">
        <f t="shared" si="44"/>
        <v>WH-BOM</v>
      </c>
      <c r="Q452" t="str">
        <f>VLOOKUP(C452, Lookups!$A$2:$D$10, 2, FALSE())</f>
        <v>FastElectronics</v>
      </c>
      <c r="R452" t="str">
        <f>_xlfn.XLOOKUP(D452, Lookups!$A$12:$A$51, Lookups!$C$12:$C$51, "Unknown")</f>
        <v>Electronics</v>
      </c>
      <c r="S452" t="str">
        <f>IF(ISBLANK(I452), B452+VLOOKUP(C452, Lookups!$A$2:$D$10, 4, FALSE()), I452)</f>
        <v>2025-07-11</v>
      </c>
      <c r="T452">
        <f t="shared" si="45"/>
        <v>18</v>
      </c>
      <c r="U452" t="str">
        <f t="shared" si="46"/>
        <v>On-Time</v>
      </c>
      <c r="V452">
        <f t="shared" si="47"/>
        <v>0</v>
      </c>
    </row>
    <row r="453" spans="1:22" x14ac:dyDescent="0.45">
      <c r="A453" t="s">
        <v>1146</v>
      </c>
      <c r="B453" t="s">
        <v>348</v>
      </c>
      <c r="C453" t="s">
        <v>34</v>
      </c>
      <c r="D453" t="s">
        <v>54</v>
      </c>
      <c r="E453" t="s">
        <v>15</v>
      </c>
      <c r="F453">
        <v>59</v>
      </c>
      <c r="G453">
        <v>22314</v>
      </c>
      <c r="H453">
        <v>1316526</v>
      </c>
      <c r="I453" t="s">
        <v>865</v>
      </c>
      <c r="J453" t="s">
        <v>493</v>
      </c>
      <c r="K453">
        <v>59</v>
      </c>
      <c r="L453">
        <v>0</v>
      </c>
      <c r="M453" t="s">
        <v>115</v>
      </c>
      <c r="N453" t="str">
        <f t="shared" si="42"/>
        <v>PO-100452</v>
      </c>
      <c r="O453" t="str">
        <f t="shared" si="43"/>
        <v>Delivered</v>
      </c>
      <c r="P453" t="str">
        <f t="shared" si="44"/>
        <v>WH-BOM</v>
      </c>
      <c r="Q453" t="str">
        <f>VLOOKUP(C453, Lookups!$A$2:$D$10, 2, FALSE())</f>
        <v>FastElectronics</v>
      </c>
      <c r="R453" t="str">
        <f>_xlfn.XLOOKUP(D453, Lookups!$A$12:$A$51, Lookups!$C$12:$C$51, "Unknown")</f>
        <v>Networking</v>
      </c>
      <c r="S453" t="str">
        <f>IF(ISBLANK(I453), B453+VLOOKUP(C453, Lookups!$A$2:$D$10, 4, FALSE()), I453)</f>
        <v>2026-09-10</v>
      </c>
      <c r="T453">
        <f t="shared" si="45"/>
        <v>16</v>
      </c>
      <c r="U453" t="str">
        <f t="shared" si="46"/>
        <v>On-Time</v>
      </c>
      <c r="V453">
        <f t="shared" si="47"/>
        <v>0</v>
      </c>
    </row>
    <row r="454" spans="1:22" x14ac:dyDescent="0.45">
      <c r="A454" t="s">
        <v>1147</v>
      </c>
      <c r="B454" t="s">
        <v>671</v>
      </c>
      <c r="C454" t="s">
        <v>37</v>
      </c>
      <c r="D454" t="s">
        <v>78</v>
      </c>
      <c r="E454" t="s">
        <v>18</v>
      </c>
      <c r="F454">
        <v>178</v>
      </c>
      <c r="G454">
        <v>9423</v>
      </c>
      <c r="H454">
        <v>1677294</v>
      </c>
      <c r="I454" t="s">
        <v>744</v>
      </c>
      <c r="J454" t="s">
        <v>1148</v>
      </c>
      <c r="K454">
        <v>178</v>
      </c>
      <c r="L454">
        <v>0</v>
      </c>
      <c r="M454" t="s">
        <v>115</v>
      </c>
      <c r="N454" t="str">
        <f t="shared" si="42"/>
        <v>PO-100453</v>
      </c>
      <c r="O454" t="str">
        <f t="shared" si="43"/>
        <v>Delivered</v>
      </c>
      <c r="P454" t="str">
        <f t="shared" si="44"/>
        <v>WH-PUN</v>
      </c>
      <c r="Q454" t="str">
        <f>VLOOKUP(C454, Lookups!$A$2:$D$10, 2, FALSE())</f>
        <v>Premium Desks Ltd</v>
      </c>
      <c r="R454" t="str">
        <f>_xlfn.XLOOKUP(D454, Lookups!$A$12:$A$51, Lookups!$C$12:$C$51, "Unknown")</f>
        <v>Office Furniture</v>
      </c>
      <c r="S454" t="str">
        <f>IF(ISBLANK(I454), B454+VLOOKUP(C454, Lookups!$A$2:$D$10, 4, FALSE()), I454)</f>
        <v>2026-11-25</v>
      </c>
      <c r="T454">
        <f t="shared" si="45"/>
        <v>13</v>
      </c>
      <c r="U454" t="str">
        <f t="shared" si="46"/>
        <v>Late</v>
      </c>
      <c r="V454">
        <f t="shared" si="47"/>
        <v>0</v>
      </c>
    </row>
    <row r="455" spans="1:22" x14ac:dyDescent="0.45">
      <c r="A455" t="s">
        <v>1149</v>
      </c>
      <c r="B455" t="s">
        <v>379</v>
      </c>
      <c r="C455" t="s">
        <v>30</v>
      </c>
      <c r="D455" t="s">
        <v>88</v>
      </c>
      <c r="E455" t="s">
        <v>17</v>
      </c>
      <c r="F455">
        <v>32</v>
      </c>
      <c r="G455">
        <v>75512</v>
      </c>
      <c r="H455">
        <v>2416384</v>
      </c>
      <c r="I455" t="s">
        <v>286</v>
      </c>
      <c r="J455" t="s">
        <v>286</v>
      </c>
      <c r="K455">
        <v>32</v>
      </c>
      <c r="L455">
        <v>0</v>
      </c>
      <c r="M455" t="s">
        <v>115</v>
      </c>
      <c r="N455" t="str">
        <f t="shared" si="42"/>
        <v>PO-100454</v>
      </c>
      <c r="O455" t="str">
        <f t="shared" si="43"/>
        <v>Delivered</v>
      </c>
      <c r="P455" t="str">
        <f t="shared" si="44"/>
        <v>WH-BLR</v>
      </c>
      <c r="Q455" t="str">
        <f>VLOOKUP(C455, Lookups!$A$2:$D$10, 2, FALSE())</f>
        <v>TechSupply Corp</v>
      </c>
      <c r="R455" t="str">
        <f>_xlfn.XLOOKUP(D455, Lookups!$A$12:$A$51, Lookups!$C$12:$C$51, "Unknown")</f>
        <v>Electronics</v>
      </c>
      <c r="S455" t="str">
        <f>IF(ISBLANK(I455), B455+VLOOKUP(C455, Lookups!$A$2:$D$10, 4, FALSE()), I455)</f>
        <v>2025-03-02</v>
      </c>
      <c r="T455">
        <f t="shared" si="45"/>
        <v>14</v>
      </c>
      <c r="U455" t="str">
        <f t="shared" si="46"/>
        <v>On-Time</v>
      </c>
      <c r="V455">
        <f t="shared" si="47"/>
        <v>0</v>
      </c>
    </row>
    <row r="456" spans="1:22" x14ac:dyDescent="0.45">
      <c r="A456" t="s">
        <v>1150</v>
      </c>
      <c r="B456" t="s">
        <v>434</v>
      </c>
      <c r="C456" t="s">
        <v>34</v>
      </c>
      <c r="D456" t="s">
        <v>54</v>
      </c>
      <c r="E456" t="s">
        <v>15</v>
      </c>
      <c r="F456">
        <v>74</v>
      </c>
      <c r="G456">
        <v>22314</v>
      </c>
      <c r="H456">
        <v>1651236</v>
      </c>
      <c r="I456" t="s">
        <v>236</v>
      </c>
      <c r="J456" t="s">
        <v>236</v>
      </c>
      <c r="K456">
        <v>74</v>
      </c>
      <c r="L456">
        <v>5</v>
      </c>
      <c r="M456" t="s">
        <v>115</v>
      </c>
      <c r="N456" t="str">
        <f t="shared" si="42"/>
        <v>PO-100455</v>
      </c>
      <c r="O456" t="str">
        <f t="shared" si="43"/>
        <v>Delivered</v>
      </c>
      <c r="P456" t="str">
        <f t="shared" si="44"/>
        <v>WH-BOM</v>
      </c>
      <c r="Q456" t="str">
        <f>VLOOKUP(C456, Lookups!$A$2:$D$10, 2, FALSE())</f>
        <v>FastElectronics</v>
      </c>
      <c r="R456" t="str">
        <f>_xlfn.XLOOKUP(D456, Lookups!$A$12:$A$51, Lookups!$C$12:$C$51, "Unknown")</f>
        <v>Networking</v>
      </c>
      <c r="S456" t="str">
        <f>IF(ISBLANK(I456), B456+VLOOKUP(C456, Lookups!$A$2:$D$10, 4, FALSE()), I456)</f>
        <v>2025-08-28</v>
      </c>
      <c r="T456">
        <f t="shared" si="45"/>
        <v>18</v>
      </c>
      <c r="U456" t="str">
        <f t="shared" si="46"/>
        <v>On-Time</v>
      </c>
      <c r="V456">
        <f t="shared" si="47"/>
        <v>6.7567567567567571E-2</v>
      </c>
    </row>
    <row r="457" spans="1:22" x14ac:dyDescent="0.45">
      <c r="A457" t="s">
        <v>1151</v>
      </c>
      <c r="B457" t="s">
        <v>803</v>
      </c>
      <c r="C457" t="s">
        <v>33</v>
      </c>
      <c r="D457" t="s">
        <v>89</v>
      </c>
      <c r="E457" t="s">
        <v>15</v>
      </c>
      <c r="F457">
        <v>207</v>
      </c>
      <c r="G457">
        <v>11309</v>
      </c>
      <c r="H457">
        <v>2340963</v>
      </c>
      <c r="I457" t="s">
        <v>556</v>
      </c>
      <c r="J457" t="s">
        <v>658</v>
      </c>
      <c r="K457">
        <v>207</v>
      </c>
      <c r="L457">
        <v>0</v>
      </c>
      <c r="M457" t="s">
        <v>115</v>
      </c>
      <c r="N457" t="str">
        <f t="shared" si="42"/>
        <v>PO-100456</v>
      </c>
      <c r="O457" t="str">
        <f t="shared" si="43"/>
        <v>Delivered</v>
      </c>
      <c r="P457" t="str">
        <f t="shared" si="44"/>
        <v>WH-BOM</v>
      </c>
      <c r="Q457" t="str">
        <f>VLOOKUP(C457, Lookups!$A$2:$D$10, 2, FALSE())</f>
        <v>MegaFurnish</v>
      </c>
      <c r="R457" t="str">
        <f>_xlfn.XLOOKUP(D457, Lookups!$A$12:$A$51, Lookups!$C$12:$C$51, "Unknown")</f>
        <v>Office Furniture</v>
      </c>
      <c r="S457" t="str">
        <f>IF(ISBLANK(I457), B457+VLOOKUP(C457, Lookups!$A$2:$D$10, 4, FALSE()), I457)</f>
        <v>2026-09-15</v>
      </c>
      <c r="T457">
        <f t="shared" si="45"/>
        <v>45</v>
      </c>
      <c r="U457" t="str">
        <f t="shared" si="46"/>
        <v>Late</v>
      </c>
      <c r="V457">
        <f t="shared" si="47"/>
        <v>0</v>
      </c>
    </row>
    <row r="458" spans="1:22" x14ac:dyDescent="0.45">
      <c r="A458" t="s">
        <v>1152</v>
      </c>
      <c r="B458" t="s">
        <v>240</v>
      </c>
      <c r="C458" t="s">
        <v>34</v>
      </c>
      <c r="D458" t="s">
        <v>54</v>
      </c>
      <c r="E458" t="s">
        <v>16</v>
      </c>
      <c r="F458">
        <v>145</v>
      </c>
      <c r="G458">
        <v>22314</v>
      </c>
      <c r="H458">
        <v>3235530</v>
      </c>
      <c r="I458" t="s">
        <v>425</v>
      </c>
      <c r="J458" t="s">
        <v>1133</v>
      </c>
      <c r="K458">
        <v>145</v>
      </c>
      <c r="L458">
        <v>0</v>
      </c>
      <c r="M458" t="s">
        <v>115</v>
      </c>
      <c r="N458" t="str">
        <f t="shared" si="42"/>
        <v>PO-100457</v>
      </c>
      <c r="O458" t="str">
        <f t="shared" si="43"/>
        <v>Delivered</v>
      </c>
      <c r="P458" t="str">
        <f t="shared" si="44"/>
        <v>WH-DEL</v>
      </c>
      <c r="Q458" t="str">
        <f>VLOOKUP(C458, Lookups!$A$2:$D$10, 2, FALSE())</f>
        <v>FastElectronics</v>
      </c>
      <c r="R458" t="str">
        <f>_xlfn.XLOOKUP(D458, Lookups!$A$12:$A$51, Lookups!$C$12:$C$51, "Unknown")</f>
        <v>Networking</v>
      </c>
      <c r="S458" t="str">
        <f>IF(ISBLANK(I458), B458+VLOOKUP(C458, Lookups!$A$2:$D$10, 4, FALSE()), I458)</f>
        <v>2025-07-03</v>
      </c>
      <c r="T458">
        <f t="shared" si="45"/>
        <v>19</v>
      </c>
      <c r="U458" t="str">
        <f t="shared" si="46"/>
        <v>Late</v>
      </c>
      <c r="V458">
        <f t="shared" si="47"/>
        <v>0</v>
      </c>
    </row>
    <row r="459" spans="1:22" x14ac:dyDescent="0.45">
      <c r="A459" t="s">
        <v>1153</v>
      </c>
      <c r="B459" t="s">
        <v>441</v>
      </c>
      <c r="C459" t="s">
        <v>30</v>
      </c>
      <c r="D459" t="s">
        <v>86</v>
      </c>
      <c r="E459" t="s">
        <v>15</v>
      </c>
      <c r="F459">
        <v>201</v>
      </c>
      <c r="G459">
        <v>74871</v>
      </c>
      <c r="H459">
        <v>15049071</v>
      </c>
      <c r="I459" t="s">
        <v>787</v>
      </c>
      <c r="J459" t="s">
        <v>787</v>
      </c>
      <c r="K459">
        <v>201</v>
      </c>
      <c r="L459">
        <v>0</v>
      </c>
      <c r="M459" t="s">
        <v>178</v>
      </c>
      <c r="N459" t="str">
        <f t="shared" si="42"/>
        <v>PO-100458</v>
      </c>
      <c r="O459" t="str">
        <f t="shared" si="43"/>
        <v>Delivered</v>
      </c>
      <c r="P459" t="str">
        <f t="shared" si="44"/>
        <v>WH-BOM</v>
      </c>
      <c r="Q459" t="str">
        <f>VLOOKUP(C459, Lookups!$A$2:$D$10, 2, FALSE())</f>
        <v>TechSupply Corp</v>
      </c>
      <c r="R459" t="str">
        <f>_xlfn.XLOOKUP(D459, Lookups!$A$12:$A$51, Lookups!$C$12:$C$51, "Unknown")</f>
        <v>Electronics</v>
      </c>
      <c r="S459" t="str">
        <f>IF(ISBLANK(I459), B459+VLOOKUP(C459, Lookups!$A$2:$D$10, 4, FALSE()), I459)</f>
        <v>2026-03-04</v>
      </c>
      <c r="T459">
        <f t="shared" si="45"/>
        <v>14</v>
      </c>
      <c r="U459" t="str">
        <f t="shared" si="46"/>
        <v>On-Time</v>
      </c>
      <c r="V459">
        <f t="shared" si="47"/>
        <v>0</v>
      </c>
    </row>
    <row r="460" spans="1:22" x14ac:dyDescent="0.45">
      <c r="A460" t="s">
        <v>1154</v>
      </c>
      <c r="B460" t="s">
        <v>191</v>
      </c>
      <c r="C460" t="s">
        <v>34</v>
      </c>
      <c r="D460" t="s">
        <v>68</v>
      </c>
      <c r="E460" t="s">
        <v>17</v>
      </c>
      <c r="F460">
        <v>87</v>
      </c>
      <c r="G460">
        <v>41405</v>
      </c>
      <c r="H460">
        <v>3602235</v>
      </c>
      <c r="I460" t="s">
        <v>604</v>
      </c>
      <c r="J460" t="s">
        <v>604</v>
      </c>
      <c r="K460">
        <v>87</v>
      </c>
      <c r="L460">
        <v>0</v>
      </c>
      <c r="M460" t="s">
        <v>115</v>
      </c>
      <c r="N460" t="str">
        <f t="shared" si="42"/>
        <v>PO-100459</v>
      </c>
      <c r="O460" t="str">
        <f t="shared" si="43"/>
        <v>Delivered</v>
      </c>
      <c r="P460" t="str">
        <f t="shared" si="44"/>
        <v>WH-BLR</v>
      </c>
      <c r="Q460" t="str">
        <f>VLOOKUP(C460, Lookups!$A$2:$D$10, 2, FALSE())</f>
        <v>FastElectronics</v>
      </c>
      <c r="R460" t="str">
        <f>_xlfn.XLOOKUP(D460, Lookups!$A$12:$A$51, Lookups!$C$12:$C$51, "Unknown")</f>
        <v>Networking</v>
      </c>
      <c r="S460" t="str">
        <f>IF(ISBLANK(I460), B460+VLOOKUP(C460, Lookups!$A$2:$D$10, 4, FALSE()), I460)</f>
        <v>2025-08-12</v>
      </c>
      <c r="T460">
        <f t="shared" si="45"/>
        <v>18</v>
      </c>
      <c r="U460" t="str">
        <f t="shared" si="46"/>
        <v>On-Time</v>
      </c>
      <c r="V460">
        <f t="shared" si="47"/>
        <v>0</v>
      </c>
    </row>
    <row r="461" spans="1:22" x14ac:dyDescent="0.45">
      <c r="A461" t="s">
        <v>1155</v>
      </c>
      <c r="B461" t="s">
        <v>585</v>
      </c>
      <c r="C461" t="s">
        <v>31</v>
      </c>
      <c r="D461" t="s">
        <v>56</v>
      </c>
      <c r="E461" t="s">
        <v>18</v>
      </c>
      <c r="F461">
        <v>25</v>
      </c>
      <c r="G461">
        <v>39270</v>
      </c>
      <c r="H461">
        <v>981750</v>
      </c>
      <c r="I461" t="s">
        <v>604</v>
      </c>
      <c r="J461" t="s">
        <v>604</v>
      </c>
      <c r="K461">
        <v>25</v>
      </c>
      <c r="L461">
        <v>0</v>
      </c>
      <c r="M461" t="s">
        <v>115</v>
      </c>
      <c r="N461" t="str">
        <f t="shared" si="42"/>
        <v>PO-100460</v>
      </c>
      <c r="O461" t="str">
        <f t="shared" si="43"/>
        <v>Delivered</v>
      </c>
      <c r="P461" t="str">
        <f t="shared" si="44"/>
        <v>WH-PUN</v>
      </c>
      <c r="Q461" t="str">
        <f>VLOOKUP(C461, Lookups!$A$2:$D$10, 2, FALSE())</f>
        <v>Global Networks</v>
      </c>
      <c r="R461" t="str">
        <f>_xlfn.XLOOKUP(D461, Lookups!$A$12:$A$51, Lookups!$C$12:$C$51, "Unknown")</f>
        <v>Networking</v>
      </c>
      <c r="S461" t="str">
        <f>IF(ISBLANK(I461), B461+VLOOKUP(C461, Lookups!$A$2:$D$10, 4, FALSE()), I461)</f>
        <v>2025-08-12</v>
      </c>
      <c r="T461">
        <f t="shared" si="45"/>
        <v>21</v>
      </c>
      <c r="U461" t="str">
        <f t="shared" si="46"/>
        <v>On-Time</v>
      </c>
      <c r="V461">
        <f t="shared" si="47"/>
        <v>0</v>
      </c>
    </row>
    <row r="462" spans="1:22" x14ac:dyDescent="0.45">
      <c r="A462" t="s">
        <v>1156</v>
      </c>
      <c r="B462" t="s">
        <v>520</v>
      </c>
      <c r="C462" t="s">
        <v>34</v>
      </c>
      <c r="D462" t="s">
        <v>58</v>
      </c>
      <c r="E462" t="s">
        <v>16</v>
      </c>
      <c r="F462">
        <v>245</v>
      </c>
      <c r="G462">
        <v>100302</v>
      </c>
      <c r="H462">
        <v>24573990</v>
      </c>
      <c r="I462" t="s">
        <v>521</v>
      </c>
      <c r="J462" t="s">
        <v>521</v>
      </c>
      <c r="K462">
        <v>222</v>
      </c>
      <c r="L462">
        <v>0</v>
      </c>
      <c r="M462" t="s">
        <v>115</v>
      </c>
      <c r="N462" t="str">
        <f t="shared" si="42"/>
        <v>PO-100461</v>
      </c>
      <c r="O462" t="str">
        <f t="shared" si="43"/>
        <v>Delivered</v>
      </c>
      <c r="P462" t="str">
        <f t="shared" si="44"/>
        <v>WH-DEL</v>
      </c>
      <c r="Q462" t="str">
        <f>VLOOKUP(C462, Lookups!$A$2:$D$10, 2, FALSE())</f>
        <v>FastElectronics</v>
      </c>
      <c r="R462" t="str">
        <f>_xlfn.XLOOKUP(D462, Lookups!$A$12:$A$51, Lookups!$C$12:$C$51, "Unknown")</f>
        <v>Electronics</v>
      </c>
      <c r="S462" t="str">
        <f>IF(ISBLANK(I462), B462+VLOOKUP(C462, Lookups!$A$2:$D$10, 4, FALSE()), I462)</f>
        <v>2026-09-16</v>
      </c>
      <c r="T462">
        <f t="shared" si="45"/>
        <v>18</v>
      </c>
      <c r="U462" t="str">
        <f t="shared" si="46"/>
        <v>On-Time</v>
      </c>
      <c r="V462">
        <f t="shared" si="47"/>
        <v>0</v>
      </c>
    </row>
    <row r="463" spans="1:22" x14ac:dyDescent="0.45">
      <c r="A463" t="s">
        <v>1157</v>
      </c>
      <c r="B463" t="s">
        <v>1158</v>
      </c>
      <c r="C463" t="s">
        <v>37</v>
      </c>
      <c r="D463" t="s">
        <v>83</v>
      </c>
      <c r="E463" t="s">
        <v>15</v>
      </c>
      <c r="F463">
        <v>62</v>
      </c>
      <c r="G463">
        <v>19850</v>
      </c>
      <c r="H463">
        <v>1230700</v>
      </c>
      <c r="I463" t="s">
        <v>505</v>
      </c>
      <c r="J463" t="s">
        <v>505</v>
      </c>
      <c r="K463">
        <v>62</v>
      </c>
      <c r="L463">
        <v>0</v>
      </c>
      <c r="M463" t="s">
        <v>178</v>
      </c>
      <c r="N463" t="str">
        <f t="shared" si="42"/>
        <v>PO-100462</v>
      </c>
      <c r="O463" t="str">
        <f t="shared" si="43"/>
        <v>Delivered</v>
      </c>
      <c r="P463" t="str">
        <f t="shared" si="44"/>
        <v>WH-BOM</v>
      </c>
      <c r="Q463" t="str">
        <f>VLOOKUP(C463, Lookups!$A$2:$D$10, 2, FALSE())</f>
        <v>Premium Desks Ltd</v>
      </c>
      <c r="R463" t="str">
        <f>_xlfn.XLOOKUP(D463, Lookups!$A$12:$A$51, Lookups!$C$12:$C$51, "Unknown")</f>
        <v>Office Furniture</v>
      </c>
      <c r="S463" t="str">
        <f>IF(ISBLANK(I463), B463+VLOOKUP(C463, Lookups!$A$2:$D$10, 4, FALSE()), I463)</f>
        <v>2025-04-11</v>
      </c>
      <c r="T463">
        <f t="shared" si="45"/>
        <v>12</v>
      </c>
      <c r="U463" t="str">
        <f t="shared" si="46"/>
        <v>On-Time</v>
      </c>
      <c r="V463">
        <f t="shared" si="47"/>
        <v>0</v>
      </c>
    </row>
    <row r="464" spans="1:22" x14ac:dyDescent="0.45">
      <c r="A464" t="s">
        <v>1159</v>
      </c>
      <c r="B464" t="s">
        <v>121</v>
      </c>
      <c r="C464" t="s">
        <v>35</v>
      </c>
      <c r="D464" t="s">
        <v>60</v>
      </c>
      <c r="E464" t="s">
        <v>17</v>
      </c>
      <c r="F464">
        <v>241</v>
      </c>
      <c r="G464">
        <v>3291</v>
      </c>
      <c r="H464">
        <v>793131</v>
      </c>
      <c r="I464" t="s">
        <v>763</v>
      </c>
      <c r="J464" t="s">
        <v>763</v>
      </c>
      <c r="K464">
        <v>241</v>
      </c>
      <c r="L464">
        <v>0</v>
      </c>
      <c r="M464" t="s">
        <v>115</v>
      </c>
      <c r="N464" t="str">
        <f t="shared" si="42"/>
        <v>PO-100463</v>
      </c>
      <c r="O464" t="str">
        <f t="shared" si="43"/>
        <v>Delivered</v>
      </c>
      <c r="P464" t="str">
        <f t="shared" si="44"/>
        <v>WH-BLR</v>
      </c>
      <c r="Q464" t="str">
        <f>VLOOKUP(C464, Lookups!$A$2:$D$10, 2, FALSE())</f>
        <v>Peripheral Source</v>
      </c>
      <c r="R464" t="str">
        <f>_xlfn.XLOOKUP(D464, Lookups!$A$12:$A$51, Lookups!$C$12:$C$51, "Unknown")</f>
        <v>Peripherals</v>
      </c>
      <c r="S464" t="str">
        <f>IF(ISBLANK(I464), B464+VLOOKUP(C464, Lookups!$A$2:$D$10, 4, FALSE()), I464)</f>
        <v>2025-01-27</v>
      </c>
      <c r="T464">
        <f t="shared" si="45"/>
        <v>10</v>
      </c>
      <c r="U464" t="str">
        <f t="shared" si="46"/>
        <v>On-Time</v>
      </c>
      <c r="V464">
        <f t="shared" si="47"/>
        <v>0</v>
      </c>
    </row>
    <row r="465" spans="1:22" x14ac:dyDescent="0.45">
      <c r="A465" t="s">
        <v>1160</v>
      </c>
      <c r="B465" t="s">
        <v>141</v>
      </c>
      <c r="C465" t="s">
        <v>35</v>
      </c>
      <c r="D465" t="s">
        <v>57</v>
      </c>
      <c r="E465" t="s">
        <v>17</v>
      </c>
      <c r="F465">
        <v>33</v>
      </c>
      <c r="G465">
        <v>2212</v>
      </c>
      <c r="H465">
        <v>72996</v>
      </c>
      <c r="I465" t="s">
        <v>142</v>
      </c>
      <c r="J465" t="s">
        <v>683</v>
      </c>
      <c r="K465">
        <v>33</v>
      </c>
      <c r="L465">
        <v>0</v>
      </c>
      <c r="M465" t="s">
        <v>115</v>
      </c>
      <c r="N465" t="str">
        <f t="shared" si="42"/>
        <v>PO-100464</v>
      </c>
      <c r="O465" t="str">
        <f t="shared" si="43"/>
        <v>Delivered</v>
      </c>
      <c r="P465" t="str">
        <f t="shared" si="44"/>
        <v>WH-BLR</v>
      </c>
      <c r="Q465" t="str">
        <f>VLOOKUP(C465, Lookups!$A$2:$D$10, 2, FALSE())</f>
        <v>Peripheral Source</v>
      </c>
      <c r="R465" t="str">
        <f>_xlfn.XLOOKUP(D465, Lookups!$A$12:$A$51, Lookups!$C$12:$C$51, "Unknown")</f>
        <v>Peripherals</v>
      </c>
      <c r="S465" t="str">
        <f>IF(ISBLANK(I465), B465+VLOOKUP(C465, Lookups!$A$2:$D$10, 4, FALSE()), I465)</f>
        <v>2026-08-02</v>
      </c>
      <c r="T465">
        <f t="shared" si="45"/>
        <v>25</v>
      </c>
      <c r="U465" t="str">
        <f t="shared" si="46"/>
        <v>Late</v>
      </c>
      <c r="V465">
        <f t="shared" si="47"/>
        <v>0</v>
      </c>
    </row>
    <row r="466" spans="1:22" x14ac:dyDescent="0.45">
      <c r="A466" t="s">
        <v>1161</v>
      </c>
      <c r="B466" t="s">
        <v>471</v>
      </c>
      <c r="C466" t="s">
        <v>35</v>
      </c>
      <c r="D466" t="s">
        <v>72</v>
      </c>
      <c r="E466" t="s">
        <v>16</v>
      </c>
      <c r="F466">
        <v>242</v>
      </c>
      <c r="G466">
        <v>7754</v>
      </c>
      <c r="H466">
        <v>1876468</v>
      </c>
      <c r="I466" t="s">
        <v>989</v>
      </c>
      <c r="J466" t="s">
        <v>989</v>
      </c>
      <c r="K466">
        <v>242</v>
      </c>
      <c r="L466">
        <v>0</v>
      </c>
      <c r="M466" t="s">
        <v>115</v>
      </c>
      <c r="N466" t="str">
        <f t="shared" si="42"/>
        <v>PO-100465</v>
      </c>
      <c r="O466" t="str">
        <f t="shared" si="43"/>
        <v>Delivered</v>
      </c>
      <c r="P466" t="str">
        <f t="shared" si="44"/>
        <v>WH-DEL</v>
      </c>
      <c r="Q466" t="str">
        <f>VLOOKUP(C466, Lookups!$A$2:$D$10, 2, FALSE())</f>
        <v>Peripheral Source</v>
      </c>
      <c r="R466" t="str">
        <f>_xlfn.XLOOKUP(D466, Lookups!$A$12:$A$51, Lookups!$C$12:$C$51, "Unknown")</f>
        <v>Peripherals</v>
      </c>
      <c r="S466" t="str">
        <f>IF(ISBLANK(I466), B466+VLOOKUP(C466, Lookups!$A$2:$D$10, 4, FALSE()), I466)</f>
        <v>2025-11-13</v>
      </c>
      <c r="T466">
        <f t="shared" si="45"/>
        <v>10</v>
      </c>
      <c r="U466" t="str">
        <f t="shared" si="46"/>
        <v>On-Time</v>
      </c>
      <c r="V466">
        <f t="shared" si="47"/>
        <v>0</v>
      </c>
    </row>
    <row r="467" spans="1:22" x14ac:dyDescent="0.45">
      <c r="A467" t="s">
        <v>1162</v>
      </c>
      <c r="B467" t="s">
        <v>887</v>
      </c>
      <c r="C467" t="s">
        <v>30</v>
      </c>
      <c r="D467" t="s">
        <v>82</v>
      </c>
      <c r="E467" t="s">
        <v>17</v>
      </c>
      <c r="F467">
        <v>135</v>
      </c>
      <c r="G467">
        <v>83427</v>
      </c>
      <c r="H467">
        <v>11262645</v>
      </c>
      <c r="I467" t="s">
        <v>389</v>
      </c>
      <c r="J467" t="s">
        <v>540</v>
      </c>
      <c r="K467">
        <v>135</v>
      </c>
      <c r="L467">
        <v>18</v>
      </c>
      <c r="M467" t="s">
        <v>115</v>
      </c>
      <c r="N467" t="str">
        <f t="shared" si="42"/>
        <v>PO-100466</v>
      </c>
      <c r="O467" t="str">
        <f t="shared" si="43"/>
        <v>Delivered</v>
      </c>
      <c r="P467" t="str">
        <f t="shared" si="44"/>
        <v>WH-BLR</v>
      </c>
      <c r="Q467" t="str">
        <f>VLOOKUP(C467, Lookups!$A$2:$D$10, 2, FALSE())</f>
        <v>TechSupply Corp</v>
      </c>
      <c r="R467" t="str">
        <f>_xlfn.XLOOKUP(D467, Lookups!$A$12:$A$51, Lookups!$C$12:$C$51, "Unknown")</f>
        <v>Electronics</v>
      </c>
      <c r="S467" t="str">
        <f>IF(ISBLANK(I467), B467+VLOOKUP(C467, Lookups!$A$2:$D$10, 4, FALSE()), I467)</f>
        <v>2026-04-06</v>
      </c>
      <c r="T467">
        <f t="shared" si="45"/>
        <v>15</v>
      </c>
      <c r="U467" t="str">
        <f t="shared" si="46"/>
        <v>Late</v>
      </c>
      <c r="V467">
        <f t="shared" si="47"/>
        <v>0.13333333333333333</v>
      </c>
    </row>
    <row r="468" spans="1:22" x14ac:dyDescent="0.45">
      <c r="A468" t="s">
        <v>1163</v>
      </c>
      <c r="B468" t="s">
        <v>1164</v>
      </c>
      <c r="C468" t="s">
        <v>34</v>
      </c>
      <c r="D468" t="s">
        <v>54</v>
      </c>
      <c r="E468" t="s">
        <v>18</v>
      </c>
      <c r="F468">
        <v>87</v>
      </c>
      <c r="G468">
        <v>22314</v>
      </c>
      <c r="H468">
        <v>1941318</v>
      </c>
      <c r="I468" t="s">
        <v>1165</v>
      </c>
      <c r="J468" t="s">
        <v>1165</v>
      </c>
      <c r="K468">
        <v>87</v>
      </c>
      <c r="L468">
        <v>0</v>
      </c>
      <c r="M468" t="s">
        <v>115</v>
      </c>
      <c r="N468" t="str">
        <f t="shared" si="42"/>
        <v>PO-100467</v>
      </c>
      <c r="O468" t="str">
        <f t="shared" si="43"/>
        <v>Delivered</v>
      </c>
      <c r="P468" t="str">
        <f t="shared" si="44"/>
        <v>WH-PUN</v>
      </c>
      <c r="Q468" t="str">
        <f>VLOOKUP(C468, Lookups!$A$2:$D$10, 2, FALSE())</f>
        <v>FastElectronics</v>
      </c>
      <c r="R468" t="str">
        <f>_xlfn.XLOOKUP(D468, Lookups!$A$12:$A$51, Lookups!$C$12:$C$51, "Unknown")</f>
        <v>Networking</v>
      </c>
      <c r="S468" t="str">
        <f>IF(ISBLANK(I468), B468+VLOOKUP(C468, Lookups!$A$2:$D$10, 4, FALSE()), I468)</f>
        <v>2025-04-10</v>
      </c>
      <c r="T468">
        <f t="shared" si="45"/>
        <v>18</v>
      </c>
      <c r="U468" t="str">
        <f t="shared" si="46"/>
        <v>On-Time</v>
      </c>
      <c r="V468">
        <f t="shared" si="47"/>
        <v>0</v>
      </c>
    </row>
    <row r="469" spans="1:22" x14ac:dyDescent="0.45">
      <c r="A469" t="s">
        <v>1166</v>
      </c>
      <c r="B469" t="s">
        <v>334</v>
      </c>
      <c r="C469" t="s">
        <v>35</v>
      </c>
      <c r="D469" t="s">
        <v>70</v>
      </c>
      <c r="E469" t="s">
        <v>16</v>
      </c>
      <c r="F469">
        <v>73</v>
      </c>
      <c r="G469">
        <v>4287</v>
      </c>
      <c r="H469">
        <v>312951</v>
      </c>
      <c r="I469" t="s">
        <v>335</v>
      </c>
      <c r="J469" t="s">
        <v>335</v>
      </c>
      <c r="K469">
        <v>73</v>
      </c>
      <c r="L469">
        <v>0</v>
      </c>
      <c r="M469" t="s">
        <v>115</v>
      </c>
      <c r="N469" t="str">
        <f t="shared" si="42"/>
        <v>PO-100468</v>
      </c>
      <c r="O469" t="str">
        <f t="shared" si="43"/>
        <v>Delivered</v>
      </c>
      <c r="P469" t="str">
        <f t="shared" si="44"/>
        <v>WH-DEL</v>
      </c>
      <c r="Q469" t="str">
        <f>VLOOKUP(C469, Lookups!$A$2:$D$10, 2, FALSE())</f>
        <v>Peripheral Source</v>
      </c>
      <c r="R469" t="str">
        <f>_xlfn.XLOOKUP(D469, Lookups!$A$12:$A$51, Lookups!$C$12:$C$51, "Unknown")</f>
        <v>Peripherals</v>
      </c>
      <c r="S469" t="str">
        <f>IF(ISBLANK(I469), B469+VLOOKUP(C469, Lookups!$A$2:$D$10, 4, FALSE()), I469)</f>
        <v>2026-08-25</v>
      </c>
      <c r="T469">
        <f t="shared" si="45"/>
        <v>10</v>
      </c>
      <c r="U469" t="str">
        <f t="shared" si="46"/>
        <v>On-Time</v>
      </c>
      <c r="V469">
        <f t="shared" si="47"/>
        <v>0</v>
      </c>
    </row>
    <row r="470" spans="1:22" x14ac:dyDescent="0.45">
      <c r="A470" t="s">
        <v>1167</v>
      </c>
      <c r="B470" t="s">
        <v>497</v>
      </c>
      <c r="C470" t="s">
        <v>32</v>
      </c>
      <c r="D470" t="s">
        <v>67</v>
      </c>
      <c r="E470" t="s">
        <v>15</v>
      </c>
      <c r="F470">
        <v>245</v>
      </c>
      <c r="G470">
        <v>1553</v>
      </c>
      <c r="H470">
        <v>380485</v>
      </c>
      <c r="I470" t="s">
        <v>1168</v>
      </c>
      <c r="J470" t="s">
        <v>396</v>
      </c>
      <c r="K470">
        <v>198</v>
      </c>
      <c r="L470">
        <v>0</v>
      </c>
      <c r="M470" t="s">
        <v>115</v>
      </c>
      <c r="N470" t="str">
        <f t="shared" si="42"/>
        <v>PO-100469</v>
      </c>
      <c r="O470" t="str">
        <f t="shared" si="43"/>
        <v>Delivered</v>
      </c>
      <c r="P470" t="str">
        <f t="shared" si="44"/>
        <v>WH-BOM</v>
      </c>
      <c r="Q470" t="str">
        <f>VLOOKUP(C470, Lookups!$A$2:$D$10, 2, FALSE())</f>
        <v>OfficeDepot Pro</v>
      </c>
      <c r="R470" t="str">
        <f>_xlfn.XLOOKUP(D470, Lookups!$A$12:$A$51, Lookups!$C$12:$C$51, "Unknown")</f>
        <v>Peripherals</v>
      </c>
      <c r="S470" t="str">
        <f>IF(ISBLANK(I470), B470+VLOOKUP(C470, Lookups!$A$2:$D$10, 4, FALSE()), I470)</f>
        <v>2025-03-26</v>
      </c>
      <c r="T470">
        <f t="shared" si="45"/>
        <v>8</v>
      </c>
      <c r="U470" t="str">
        <f t="shared" si="46"/>
        <v>Late</v>
      </c>
      <c r="V470">
        <f t="shared" si="47"/>
        <v>0</v>
      </c>
    </row>
    <row r="471" spans="1:22" x14ac:dyDescent="0.45">
      <c r="A471" t="s">
        <v>1169</v>
      </c>
      <c r="B471" t="s">
        <v>922</v>
      </c>
      <c r="C471" t="s">
        <v>36</v>
      </c>
      <c r="D471" t="s">
        <v>63</v>
      </c>
      <c r="E471" t="s">
        <v>18</v>
      </c>
      <c r="F471">
        <v>27</v>
      </c>
      <c r="G471">
        <v>71062</v>
      </c>
      <c r="H471">
        <v>1918674</v>
      </c>
      <c r="I471" t="s">
        <v>1170</v>
      </c>
      <c r="J471" t="s">
        <v>877</v>
      </c>
      <c r="K471">
        <v>27</v>
      </c>
      <c r="L471">
        <v>0</v>
      </c>
      <c r="M471" t="s">
        <v>115</v>
      </c>
      <c r="N471" t="str">
        <f t="shared" si="42"/>
        <v>PO-100470</v>
      </c>
      <c r="O471" t="str">
        <f t="shared" si="43"/>
        <v>Delivered</v>
      </c>
      <c r="P471" t="str">
        <f t="shared" si="44"/>
        <v>WH-PUN</v>
      </c>
      <c r="Q471" t="str">
        <f>VLOOKUP(C471, Lookups!$A$2:$D$10, 2, FALSE())</f>
        <v>NextGen Hardware</v>
      </c>
      <c r="R471" t="str">
        <f>_xlfn.XLOOKUP(D471, Lookups!$A$12:$A$51, Lookups!$C$12:$C$51, "Unknown")</f>
        <v>Electronics</v>
      </c>
      <c r="S471" t="str">
        <f>IF(ISBLANK(I471), B471+VLOOKUP(C471, Lookups!$A$2:$D$10, 4, FALSE()), I471)</f>
        <v>2026-12-03</v>
      </c>
      <c r="T471">
        <f t="shared" si="45"/>
        <v>25</v>
      </c>
      <c r="U471" t="str">
        <f t="shared" si="46"/>
        <v>Late</v>
      </c>
      <c r="V471">
        <f t="shared" si="47"/>
        <v>0</v>
      </c>
    </row>
    <row r="472" spans="1:22" x14ac:dyDescent="0.45">
      <c r="A472" t="s">
        <v>1171</v>
      </c>
      <c r="B472" t="s">
        <v>638</v>
      </c>
      <c r="C472" t="s">
        <v>36</v>
      </c>
      <c r="D472" t="s">
        <v>63</v>
      </c>
      <c r="E472" t="s">
        <v>18</v>
      </c>
      <c r="F472">
        <v>199</v>
      </c>
      <c r="G472">
        <v>71062</v>
      </c>
      <c r="H472">
        <v>14141338</v>
      </c>
      <c r="I472" t="s">
        <v>859</v>
      </c>
      <c r="J472" t="s">
        <v>859</v>
      </c>
      <c r="K472">
        <v>180</v>
      </c>
      <c r="L472">
        <v>0</v>
      </c>
      <c r="M472" t="s">
        <v>115</v>
      </c>
      <c r="N472" t="str">
        <f t="shared" si="42"/>
        <v>PO-100471</v>
      </c>
      <c r="O472" t="str">
        <f t="shared" si="43"/>
        <v>Delivered</v>
      </c>
      <c r="P472" t="str">
        <f t="shared" si="44"/>
        <v>WH-PUN</v>
      </c>
      <c r="Q472" t="str">
        <f>VLOOKUP(C472, Lookups!$A$2:$D$10, 2, FALSE())</f>
        <v>NextGen Hardware</v>
      </c>
      <c r="R472" t="str">
        <f>_xlfn.XLOOKUP(D472, Lookups!$A$12:$A$51, Lookups!$C$12:$C$51, "Unknown")</f>
        <v>Electronics</v>
      </c>
      <c r="S472" t="str">
        <f>IF(ISBLANK(I472), B472+VLOOKUP(C472, Lookups!$A$2:$D$10, 4, FALSE()), I472)</f>
        <v>2025-12-21</v>
      </c>
      <c r="T472">
        <f t="shared" si="45"/>
        <v>24</v>
      </c>
      <c r="U472" t="str">
        <f t="shared" si="46"/>
        <v>On-Time</v>
      </c>
      <c r="V472">
        <f t="shared" si="47"/>
        <v>0</v>
      </c>
    </row>
    <row r="473" spans="1:22" x14ac:dyDescent="0.45">
      <c r="A473" t="s">
        <v>1172</v>
      </c>
      <c r="B473" t="s">
        <v>1048</v>
      </c>
      <c r="C473" t="s">
        <v>31</v>
      </c>
      <c r="D473" t="s">
        <v>56</v>
      </c>
      <c r="E473" t="s">
        <v>18</v>
      </c>
      <c r="F473">
        <v>159</v>
      </c>
      <c r="G473">
        <v>39270</v>
      </c>
      <c r="H473">
        <v>6243930</v>
      </c>
      <c r="I473" t="s">
        <v>1173</v>
      </c>
      <c r="J473" t="s">
        <v>413</v>
      </c>
      <c r="K473">
        <v>159</v>
      </c>
      <c r="L473">
        <v>0</v>
      </c>
      <c r="M473" t="s">
        <v>115</v>
      </c>
      <c r="N473" t="str">
        <f t="shared" si="42"/>
        <v>PO-100472</v>
      </c>
      <c r="O473" t="str">
        <f t="shared" si="43"/>
        <v>Delivered</v>
      </c>
      <c r="P473" t="str">
        <f t="shared" si="44"/>
        <v>WH-PUN</v>
      </c>
      <c r="Q473" t="str">
        <f>VLOOKUP(C473, Lookups!$A$2:$D$10, 2, FALSE())</f>
        <v>Global Networks</v>
      </c>
      <c r="R473" t="str">
        <f>_xlfn.XLOOKUP(D473, Lookups!$A$12:$A$51, Lookups!$C$12:$C$51, "Unknown")</f>
        <v>Networking</v>
      </c>
      <c r="S473" t="str">
        <f>IF(ISBLANK(I473), B473+VLOOKUP(C473, Lookups!$A$2:$D$10, 4, FALSE()), I473)</f>
        <v>2026-06-04</v>
      </c>
      <c r="T473">
        <f t="shared" si="45"/>
        <v>22</v>
      </c>
      <c r="U473" t="str">
        <f t="shared" si="46"/>
        <v>Late</v>
      </c>
      <c r="V473">
        <f t="shared" si="47"/>
        <v>0</v>
      </c>
    </row>
    <row r="474" spans="1:22" x14ac:dyDescent="0.45">
      <c r="A474" t="s">
        <v>1174</v>
      </c>
      <c r="B474" t="s">
        <v>537</v>
      </c>
      <c r="C474" t="s">
        <v>37</v>
      </c>
      <c r="D474" t="s">
        <v>79</v>
      </c>
      <c r="E474" t="s">
        <v>18</v>
      </c>
      <c r="F474">
        <v>164</v>
      </c>
      <c r="G474">
        <v>23054</v>
      </c>
      <c r="H474">
        <v>3780856</v>
      </c>
      <c r="I474" t="s">
        <v>261</v>
      </c>
      <c r="J474" t="s">
        <v>261</v>
      </c>
      <c r="K474">
        <v>164</v>
      </c>
      <c r="L474">
        <v>4</v>
      </c>
      <c r="M474" t="s">
        <v>115</v>
      </c>
      <c r="N474" t="str">
        <f t="shared" si="42"/>
        <v>PO-100473</v>
      </c>
      <c r="O474" t="str">
        <f t="shared" si="43"/>
        <v>Delivered</v>
      </c>
      <c r="P474" t="str">
        <f t="shared" si="44"/>
        <v>WH-PUN</v>
      </c>
      <c r="Q474" t="str">
        <f>VLOOKUP(C474, Lookups!$A$2:$D$10, 2, FALSE())</f>
        <v>Premium Desks Ltd</v>
      </c>
      <c r="R474" t="str">
        <f>_xlfn.XLOOKUP(D474, Lookups!$A$12:$A$51, Lookups!$C$12:$C$51, "Unknown")</f>
        <v>Office Furniture</v>
      </c>
      <c r="S474" t="str">
        <f>IF(ISBLANK(I474), B474+VLOOKUP(C474, Lookups!$A$2:$D$10, 4, FALSE()), I474)</f>
        <v>2026-01-15</v>
      </c>
      <c r="T474">
        <f t="shared" si="45"/>
        <v>12</v>
      </c>
      <c r="U474" t="str">
        <f t="shared" si="46"/>
        <v>On-Time</v>
      </c>
      <c r="V474">
        <f t="shared" si="47"/>
        <v>2.4390243902439025E-2</v>
      </c>
    </row>
    <row r="475" spans="1:22" x14ac:dyDescent="0.45">
      <c r="A475" t="s">
        <v>1175</v>
      </c>
      <c r="B475" t="s">
        <v>520</v>
      </c>
      <c r="C475" t="s">
        <v>34</v>
      </c>
      <c r="D475" t="s">
        <v>73</v>
      </c>
      <c r="E475" t="s">
        <v>18</v>
      </c>
      <c r="F475">
        <v>125</v>
      </c>
      <c r="G475">
        <v>58396</v>
      </c>
      <c r="H475">
        <v>7299500</v>
      </c>
      <c r="I475" t="s">
        <v>521</v>
      </c>
      <c r="J475" t="s">
        <v>795</v>
      </c>
      <c r="K475">
        <v>125</v>
      </c>
      <c r="L475">
        <v>0</v>
      </c>
      <c r="M475" t="s">
        <v>115</v>
      </c>
      <c r="N475" t="str">
        <f t="shared" si="42"/>
        <v>PO-100474</v>
      </c>
      <c r="O475" t="str">
        <f t="shared" si="43"/>
        <v>Delivered</v>
      </c>
      <c r="P475" t="str">
        <f t="shared" si="44"/>
        <v>WH-PUN</v>
      </c>
      <c r="Q475" t="str">
        <f>VLOOKUP(C475, Lookups!$A$2:$D$10, 2, FALSE())</f>
        <v>FastElectronics</v>
      </c>
      <c r="R475" t="str">
        <f>_xlfn.XLOOKUP(D475, Lookups!$A$12:$A$51, Lookups!$C$12:$C$51, "Unknown")</f>
        <v>Electronics</v>
      </c>
      <c r="S475" t="str">
        <f>IF(ISBLANK(I475), B475+VLOOKUP(C475, Lookups!$A$2:$D$10, 4, FALSE()), I475)</f>
        <v>2026-09-16</v>
      </c>
      <c r="T475">
        <f t="shared" si="45"/>
        <v>19</v>
      </c>
      <c r="U475" t="str">
        <f t="shared" si="46"/>
        <v>Late</v>
      </c>
      <c r="V475">
        <f t="shared" si="47"/>
        <v>0</v>
      </c>
    </row>
    <row r="476" spans="1:22" x14ac:dyDescent="0.45">
      <c r="A476" t="s">
        <v>1176</v>
      </c>
      <c r="B476" t="s">
        <v>483</v>
      </c>
      <c r="C476" t="s">
        <v>35</v>
      </c>
      <c r="D476" t="s">
        <v>70</v>
      </c>
      <c r="E476" t="s">
        <v>16</v>
      </c>
      <c r="F476">
        <v>228</v>
      </c>
      <c r="G476">
        <v>4287</v>
      </c>
      <c r="H476">
        <v>977436</v>
      </c>
      <c r="I476" t="s">
        <v>1177</v>
      </c>
      <c r="J476" t="s">
        <v>124</v>
      </c>
      <c r="K476">
        <v>228</v>
      </c>
      <c r="L476">
        <v>0</v>
      </c>
      <c r="M476" t="s">
        <v>115</v>
      </c>
      <c r="N476" t="str">
        <f t="shared" si="42"/>
        <v>PO-100475</v>
      </c>
      <c r="O476" t="str">
        <f t="shared" si="43"/>
        <v>Delivered</v>
      </c>
      <c r="P476" t="str">
        <f t="shared" si="44"/>
        <v>WH-DEL</v>
      </c>
      <c r="Q476" t="str">
        <f>VLOOKUP(C476, Lookups!$A$2:$D$10, 2, FALSE())</f>
        <v>Peripheral Source</v>
      </c>
      <c r="R476" t="str">
        <f>_xlfn.XLOOKUP(D476, Lookups!$A$12:$A$51, Lookups!$C$12:$C$51, "Unknown")</f>
        <v>Peripherals</v>
      </c>
      <c r="S476" t="str">
        <f>IF(ISBLANK(I476), B476+VLOOKUP(C476, Lookups!$A$2:$D$10, 4, FALSE()), I476)</f>
        <v>2026-06-11</v>
      </c>
      <c r="T476">
        <f t="shared" si="45"/>
        <v>11</v>
      </c>
      <c r="U476" t="str">
        <f t="shared" si="46"/>
        <v>Late</v>
      </c>
      <c r="V476">
        <f t="shared" si="47"/>
        <v>0</v>
      </c>
    </row>
    <row r="477" spans="1:22" x14ac:dyDescent="0.45">
      <c r="A477" t="s">
        <v>1178</v>
      </c>
      <c r="B477" t="s">
        <v>832</v>
      </c>
      <c r="C477" t="s">
        <v>34</v>
      </c>
      <c r="D477" t="s">
        <v>76</v>
      </c>
      <c r="E477" t="s">
        <v>18</v>
      </c>
      <c r="F477">
        <v>44</v>
      </c>
      <c r="G477">
        <v>26270</v>
      </c>
      <c r="H477">
        <v>1155880</v>
      </c>
      <c r="I477" t="s">
        <v>214</v>
      </c>
      <c r="J477" t="s">
        <v>215</v>
      </c>
      <c r="K477">
        <v>44</v>
      </c>
      <c r="L477">
        <v>4</v>
      </c>
      <c r="M477" t="s">
        <v>115</v>
      </c>
      <c r="N477" t="str">
        <f t="shared" si="42"/>
        <v>PO-100476</v>
      </c>
      <c r="O477" t="str">
        <f t="shared" si="43"/>
        <v>Delivered</v>
      </c>
      <c r="P477" t="str">
        <f t="shared" si="44"/>
        <v>WH-PUN</v>
      </c>
      <c r="Q477" t="str">
        <f>VLOOKUP(C477, Lookups!$A$2:$D$10, 2, FALSE())</f>
        <v>FastElectronics</v>
      </c>
      <c r="R477" t="str">
        <f>_xlfn.XLOOKUP(D477, Lookups!$A$12:$A$51, Lookups!$C$12:$C$51, "Unknown")</f>
        <v>Networking</v>
      </c>
      <c r="S477" t="str">
        <f>IF(ISBLANK(I477), B477+VLOOKUP(C477, Lookups!$A$2:$D$10, 4, FALSE()), I477)</f>
        <v>2025-06-27</v>
      </c>
      <c r="T477">
        <f t="shared" si="45"/>
        <v>19</v>
      </c>
      <c r="U477" t="str">
        <f t="shared" si="46"/>
        <v>Late</v>
      </c>
      <c r="V477">
        <f t="shared" si="47"/>
        <v>9.0909090909090912E-2</v>
      </c>
    </row>
    <row r="478" spans="1:22" x14ac:dyDescent="0.45">
      <c r="A478" t="s">
        <v>1179</v>
      </c>
      <c r="B478" t="s">
        <v>820</v>
      </c>
      <c r="C478" t="s">
        <v>30</v>
      </c>
      <c r="D478" t="s">
        <v>82</v>
      </c>
      <c r="E478" t="s">
        <v>15</v>
      </c>
      <c r="F478">
        <v>179</v>
      </c>
      <c r="G478">
        <v>83427</v>
      </c>
      <c r="H478">
        <v>14933433</v>
      </c>
      <c r="I478" t="s">
        <v>466</v>
      </c>
      <c r="J478" t="s">
        <v>607</v>
      </c>
      <c r="K478">
        <v>179</v>
      </c>
      <c r="L478">
        <v>0</v>
      </c>
      <c r="M478" t="s">
        <v>115</v>
      </c>
      <c r="N478" t="str">
        <f t="shared" si="42"/>
        <v>PO-100477</v>
      </c>
      <c r="O478" t="str">
        <f t="shared" si="43"/>
        <v>Delivered</v>
      </c>
      <c r="P478" t="str">
        <f t="shared" si="44"/>
        <v>WH-BOM</v>
      </c>
      <c r="Q478" t="str">
        <f>VLOOKUP(C478, Lookups!$A$2:$D$10, 2, FALSE())</f>
        <v>TechSupply Corp</v>
      </c>
      <c r="R478" t="str">
        <f>_xlfn.XLOOKUP(D478, Lookups!$A$12:$A$51, Lookups!$C$12:$C$51, "Unknown")</f>
        <v>Electronics</v>
      </c>
      <c r="S478" t="str">
        <f>IF(ISBLANK(I478), B478+VLOOKUP(C478, Lookups!$A$2:$D$10, 4, FALSE()), I478)</f>
        <v>2025-01-23</v>
      </c>
      <c r="T478">
        <f t="shared" si="45"/>
        <v>20</v>
      </c>
      <c r="U478" t="str">
        <f t="shared" si="46"/>
        <v>Late</v>
      </c>
      <c r="V478">
        <f t="shared" si="47"/>
        <v>0</v>
      </c>
    </row>
    <row r="479" spans="1:22" x14ac:dyDescent="0.45">
      <c r="A479" t="s">
        <v>1180</v>
      </c>
      <c r="B479" t="s">
        <v>460</v>
      </c>
      <c r="C479" t="s">
        <v>30</v>
      </c>
      <c r="D479" t="s">
        <v>59</v>
      </c>
      <c r="E479" t="s">
        <v>16</v>
      </c>
      <c r="F479">
        <v>11</v>
      </c>
      <c r="G479">
        <v>48905</v>
      </c>
      <c r="H479">
        <v>537955</v>
      </c>
      <c r="I479" t="s">
        <v>1046</v>
      </c>
      <c r="J479" t="s">
        <v>871</v>
      </c>
      <c r="K479">
        <v>11</v>
      </c>
      <c r="L479">
        <v>0</v>
      </c>
      <c r="M479" t="s">
        <v>115</v>
      </c>
      <c r="N479" t="str">
        <f t="shared" si="42"/>
        <v>PO-100478</v>
      </c>
      <c r="O479" t="str">
        <f t="shared" si="43"/>
        <v>Delivered</v>
      </c>
      <c r="P479" t="str">
        <f t="shared" si="44"/>
        <v>WH-DEL</v>
      </c>
      <c r="Q479" t="str">
        <f>VLOOKUP(C479, Lookups!$A$2:$D$10, 2, FALSE())</f>
        <v>TechSupply Corp</v>
      </c>
      <c r="R479" t="str">
        <f>_xlfn.XLOOKUP(D479, Lookups!$A$12:$A$51, Lookups!$C$12:$C$51, "Unknown")</f>
        <v>Electronics</v>
      </c>
      <c r="S479" t="str">
        <f>IF(ISBLANK(I479), B479+VLOOKUP(C479, Lookups!$A$2:$D$10, 4, FALSE()), I479)</f>
        <v>2025-10-23</v>
      </c>
      <c r="T479">
        <f t="shared" si="45"/>
        <v>15</v>
      </c>
      <c r="U479" t="str">
        <f t="shared" si="46"/>
        <v>Late</v>
      </c>
      <c r="V479">
        <f t="shared" si="47"/>
        <v>0</v>
      </c>
    </row>
    <row r="480" spans="1:22" x14ac:dyDescent="0.45">
      <c r="A480" t="s">
        <v>1181</v>
      </c>
      <c r="B480" t="s">
        <v>316</v>
      </c>
      <c r="C480" t="s">
        <v>36</v>
      </c>
      <c r="D480" t="s">
        <v>63</v>
      </c>
      <c r="E480" t="s">
        <v>17</v>
      </c>
      <c r="F480">
        <v>20</v>
      </c>
      <c r="G480">
        <v>71062</v>
      </c>
      <c r="H480">
        <v>1421240</v>
      </c>
      <c r="I480" t="s">
        <v>362</v>
      </c>
      <c r="J480" t="s">
        <v>363</v>
      </c>
      <c r="K480">
        <v>20</v>
      </c>
      <c r="L480">
        <v>0</v>
      </c>
      <c r="M480" t="s">
        <v>166</v>
      </c>
      <c r="N480" t="str">
        <f t="shared" si="42"/>
        <v>PO-100479</v>
      </c>
      <c r="O480" t="str">
        <f t="shared" si="43"/>
        <v>Delivered</v>
      </c>
      <c r="P480" t="str">
        <f t="shared" si="44"/>
        <v>WH-BLR</v>
      </c>
      <c r="Q480" t="str">
        <f>VLOOKUP(C480, Lookups!$A$2:$D$10, 2, FALSE())</f>
        <v>NextGen Hardware</v>
      </c>
      <c r="R480" t="str">
        <f>_xlfn.XLOOKUP(D480, Lookups!$A$12:$A$51, Lookups!$C$12:$C$51, "Unknown")</f>
        <v>Electronics</v>
      </c>
      <c r="S480" t="str">
        <f>IF(ISBLANK(I480), B480+VLOOKUP(C480, Lookups!$A$2:$D$10, 4, FALSE()), I480)</f>
        <v>2026-04-01</v>
      </c>
      <c r="T480">
        <f t="shared" si="45"/>
        <v>25</v>
      </c>
      <c r="U480" t="str">
        <f t="shared" si="46"/>
        <v>Late</v>
      </c>
      <c r="V480">
        <f t="shared" si="47"/>
        <v>0</v>
      </c>
    </row>
    <row r="481" spans="1:22" x14ac:dyDescent="0.45">
      <c r="A481" t="s">
        <v>1182</v>
      </c>
      <c r="B481" t="s">
        <v>667</v>
      </c>
      <c r="C481" t="s">
        <v>30</v>
      </c>
      <c r="D481" t="s">
        <v>52</v>
      </c>
      <c r="E481" t="s">
        <v>18</v>
      </c>
      <c r="F481">
        <v>114</v>
      </c>
      <c r="G481">
        <v>59592</v>
      </c>
      <c r="H481">
        <v>6793488</v>
      </c>
      <c r="I481" t="s">
        <v>940</v>
      </c>
      <c r="J481" t="s">
        <v>940</v>
      </c>
      <c r="K481">
        <v>114</v>
      </c>
      <c r="L481">
        <v>0</v>
      </c>
      <c r="M481" t="s">
        <v>115</v>
      </c>
      <c r="N481" t="str">
        <f t="shared" si="42"/>
        <v>PO-100480</v>
      </c>
      <c r="O481" t="str">
        <f t="shared" si="43"/>
        <v>Delivered</v>
      </c>
      <c r="P481" t="str">
        <f t="shared" si="44"/>
        <v>WH-PUN</v>
      </c>
      <c r="Q481" t="str">
        <f>VLOOKUP(C481, Lookups!$A$2:$D$10, 2, FALSE())</f>
        <v>TechSupply Corp</v>
      </c>
      <c r="R481" t="str">
        <f>_xlfn.XLOOKUP(D481, Lookups!$A$12:$A$51, Lookups!$C$12:$C$51, "Unknown")</f>
        <v>Electronics</v>
      </c>
      <c r="S481" t="str">
        <f>IF(ISBLANK(I481), B481+VLOOKUP(C481, Lookups!$A$2:$D$10, 4, FALSE()), I481)</f>
        <v>2025-01-20</v>
      </c>
      <c r="T481">
        <f t="shared" si="45"/>
        <v>14</v>
      </c>
      <c r="U481" t="str">
        <f t="shared" si="46"/>
        <v>On-Time</v>
      </c>
      <c r="V481">
        <f t="shared" si="47"/>
        <v>0</v>
      </c>
    </row>
    <row r="482" spans="1:22" x14ac:dyDescent="0.45">
      <c r="A482" t="s">
        <v>1183</v>
      </c>
      <c r="B482" t="s">
        <v>268</v>
      </c>
      <c r="C482" t="s">
        <v>37</v>
      </c>
      <c r="D482" t="s">
        <v>83</v>
      </c>
      <c r="E482" t="s">
        <v>16</v>
      </c>
      <c r="F482">
        <v>147</v>
      </c>
      <c r="G482">
        <v>19850</v>
      </c>
      <c r="H482">
        <v>2917950</v>
      </c>
      <c r="I482" t="s">
        <v>805</v>
      </c>
      <c r="J482" t="s">
        <v>353</v>
      </c>
      <c r="K482">
        <v>147</v>
      </c>
      <c r="L482">
        <v>0</v>
      </c>
      <c r="M482" t="s">
        <v>115</v>
      </c>
      <c r="N482" t="str">
        <f t="shared" si="42"/>
        <v>PO-100481</v>
      </c>
      <c r="O482" t="str">
        <f t="shared" si="43"/>
        <v>Delivered</v>
      </c>
      <c r="P482" t="str">
        <f t="shared" si="44"/>
        <v>WH-DEL</v>
      </c>
      <c r="Q482" t="str">
        <f>VLOOKUP(C482, Lookups!$A$2:$D$10, 2, FALSE())</f>
        <v>Premium Desks Ltd</v>
      </c>
      <c r="R482" t="str">
        <f>_xlfn.XLOOKUP(D482, Lookups!$A$12:$A$51, Lookups!$C$12:$C$51, "Unknown")</f>
        <v>Office Furniture</v>
      </c>
      <c r="S482" t="str">
        <f>IF(ISBLANK(I482), B482+VLOOKUP(C482, Lookups!$A$2:$D$10, 4, FALSE()), I482)</f>
        <v>2025-04-25</v>
      </c>
      <c r="T482">
        <f t="shared" si="45"/>
        <v>21</v>
      </c>
      <c r="U482" t="str">
        <f t="shared" si="46"/>
        <v>Late</v>
      </c>
      <c r="V482">
        <f t="shared" si="47"/>
        <v>0</v>
      </c>
    </row>
    <row r="483" spans="1:22" x14ac:dyDescent="0.45">
      <c r="A483" t="s">
        <v>1184</v>
      </c>
      <c r="B483" t="s">
        <v>352</v>
      </c>
      <c r="C483" t="s">
        <v>30</v>
      </c>
      <c r="D483" t="s">
        <v>59</v>
      </c>
      <c r="E483" t="s">
        <v>17</v>
      </c>
      <c r="F483">
        <v>232</v>
      </c>
      <c r="G483">
        <v>48905</v>
      </c>
      <c r="H483">
        <v>11345960</v>
      </c>
      <c r="I483" t="s">
        <v>984</v>
      </c>
      <c r="J483" t="s">
        <v>984</v>
      </c>
      <c r="K483">
        <v>232</v>
      </c>
      <c r="L483">
        <v>0</v>
      </c>
      <c r="M483" t="s">
        <v>115</v>
      </c>
      <c r="N483" t="str">
        <f t="shared" si="42"/>
        <v>PO-100482</v>
      </c>
      <c r="O483" t="str">
        <f t="shared" si="43"/>
        <v>Delivered</v>
      </c>
      <c r="P483" t="str">
        <f t="shared" si="44"/>
        <v>WH-BLR</v>
      </c>
      <c r="Q483" t="str">
        <f>VLOOKUP(C483, Lookups!$A$2:$D$10, 2, FALSE())</f>
        <v>TechSupply Corp</v>
      </c>
      <c r="R483" t="str">
        <f>_xlfn.XLOOKUP(D483, Lookups!$A$12:$A$51, Lookups!$C$12:$C$51, "Unknown")</f>
        <v>Electronics</v>
      </c>
      <c r="S483" t="str">
        <f>IF(ISBLANK(I483), B483+VLOOKUP(C483, Lookups!$A$2:$D$10, 4, FALSE()), I483)</f>
        <v>2025-05-08</v>
      </c>
      <c r="T483">
        <f t="shared" si="45"/>
        <v>14</v>
      </c>
      <c r="U483" t="str">
        <f t="shared" si="46"/>
        <v>On-Time</v>
      </c>
      <c r="V483">
        <f t="shared" si="47"/>
        <v>0</v>
      </c>
    </row>
    <row r="484" spans="1:22" x14ac:dyDescent="0.45">
      <c r="A484" t="s">
        <v>1185</v>
      </c>
      <c r="B484" t="s">
        <v>409</v>
      </c>
      <c r="C484" t="s">
        <v>36</v>
      </c>
      <c r="D484" t="s">
        <v>63</v>
      </c>
      <c r="E484" t="s">
        <v>16</v>
      </c>
      <c r="F484">
        <v>152</v>
      </c>
      <c r="G484">
        <v>71062</v>
      </c>
      <c r="H484">
        <v>10801424</v>
      </c>
      <c r="I484" t="s">
        <v>457</v>
      </c>
      <c r="J484" t="s">
        <v>214</v>
      </c>
      <c r="K484">
        <v>152</v>
      </c>
      <c r="L484">
        <v>0</v>
      </c>
      <c r="M484" t="s">
        <v>115</v>
      </c>
      <c r="N484" t="str">
        <f t="shared" si="42"/>
        <v>PO-100483</v>
      </c>
      <c r="O484" t="str">
        <f t="shared" si="43"/>
        <v>Delivered</v>
      </c>
      <c r="P484" t="str">
        <f t="shared" si="44"/>
        <v>WH-DEL</v>
      </c>
      <c r="Q484" t="str">
        <f>VLOOKUP(C484, Lookups!$A$2:$D$10, 2, FALSE())</f>
        <v>NextGen Hardware</v>
      </c>
      <c r="R484" t="str">
        <f>_xlfn.XLOOKUP(D484, Lookups!$A$12:$A$51, Lookups!$C$12:$C$51, "Unknown")</f>
        <v>Electronics</v>
      </c>
      <c r="S484" t="str">
        <f>IF(ISBLANK(I484), B484+VLOOKUP(C484, Lookups!$A$2:$D$10, 4, FALSE()), I484)</f>
        <v>2025-06-25</v>
      </c>
      <c r="T484">
        <f t="shared" si="45"/>
        <v>26</v>
      </c>
      <c r="U484" t="str">
        <f t="shared" si="46"/>
        <v>Late</v>
      </c>
      <c r="V484">
        <f t="shared" si="47"/>
        <v>0</v>
      </c>
    </row>
    <row r="485" spans="1:22" x14ac:dyDescent="0.45">
      <c r="A485" t="s">
        <v>1186</v>
      </c>
      <c r="B485" t="s">
        <v>832</v>
      </c>
      <c r="C485" t="s">
        <v>31</v>
      </c>
      <c r="D485" t="s">
        <v>85</v>
      </c>
      <c r="E485" t="s">
        <v>16</v>
      </c>
      <c r="F485">
        <v>101</v>
      </c>
      <c r="G485">
        <v>16501</v>
      </c>
      <c r="H485">
        <v>1666601</v>
      </c>
      <c r="I485" t="s">
        <v>636</v>
      </c>
      <c r="J485" t="s">
        <v>1187</v>
      </c>
      <c r="K485">
        <v>67</v>
      </c>
      <c r="L485">
        <v>0</v>
      </c>
      <c r="M485" t="s">
        <v>115</v>
      </c>
      <c r="N485" t="str">
        <f t="shared" si="42"/>
        <v>PO-100484</v>
      </c>
      <c r="O485" t="str">
        <f t="shared" si="43"/>
        <v>Delivered</v>
      </c>
      <c r="P485" t="str">
        <f t="shared" si="44"/>
        <v>WH-DEL</v>
      </c>
      <c r="Q485" t="str">
        <f>VLOOKUP(C485, Lookups!$A$2:$D$10, 2, FALSE())</f>
        <v>Global Networks</v>
      </c>
      <c r="R485" t="str">
        <f>_xlfn.XLOOKUP(D485, Lookups!$A$12:$A$51, Lookups!$C$12:$C$51, "Unknown")</f>
        <v>Networking</v>
      </c>
      <c r="S485" t="str">
        <f>IF(ISBLANK(I485), B485+VLOOKUP(C485, Lookups!$A$2:$D$10, 4, FALSE()), I485)</f>
        <v>2025-06-30</v>
      </c>
      <c r="T485">
        <f t="shared" si="45"/>
        <v>22</v>
      </c>
      <c r="U485" t="str">
        <f t="shared" si="46"/>
        <v>Late</v>
      </c>
      <c r="V485">
        <f t="shared" si="47"/>
        <v>0</v>
      </c>
    </row>
    <row r="486" spans="1:22" x14ac:dyDescent="0.45">
      <c r="A486" t="s">
        <v>1188</v>
      </c>
      <c r="B486" t="s">
        <v>420</v>
      </c>
      <c r="C486" t="s">
        <v>37</v>
      </c>
      <c r="D486" t="s">
        <v>69</v>
      </c>
      <c r="E486" t="s">
        <v>18</v>
      </c>
      <c r="F486">
        <v>164</v>
      </c>
      <c r="G486">
        <v>13231</v>
      </c>
      <c r="H486">
        <v>2169884</v>
      </c>
      <c r="I486" t="s">
        <v>143</v>
      </c>
      <c r="J486" t="s">
        <v>143</v>
      </c>
      <c r="K486">
        <v>164</v>
      </c>
      <c r="L486">
        <v>0</v>
      </c>
      <c r="M486" t="s">
        <v>115</v>
      </c>
      <c r="N486" t="str">
        <f t="shared" si="42"/>
        <v>PO-100485</v>
      </c>
      <c r="O486" t="str">
        <f t="shared" si="43"/>
        <v>Delivered</v>
      </c>
      <c r="P486" t="str">
        <f t="shared" si="44"/>
        <v>WH-PUN</v>
      </c>
      <c r="Q486" t="str">
        <f>VLOOKUP(C486, Lookups!$A$2:$D$10, 2, FALSE())</f>
        <v>Premium Desks Ltd</v>
      </c>
      <c r="R486" t="str">
        <f>_xlfn.XLOOKUP(D486, Lookups!$A$12:$A$51, Lookups!$C$12:$C$51, "Unknown")</f>
        <v>Office Furniture</v>
      </c>
      <c r="S486" t="str">
        <f>IF(ISBLANK(I486), B486+VLOOKUP(C486, Lookups!$A$2:$D$10, 4, FALSE()), I486)</f>
        <v>2026-08-03</v>
      </c>
      <c r="T486">
        <f t="shared" si="45"/>
        <v>12</v>
      </c>
      <c r="U486" t="str">
        <f t="shared" si="46"/>
        <v>On-Time</v>
      </c>
      <c r="V486">
        <f t="shared" si="47"/>
        <v>0</v>
      </c>
    </row>
    <row r="487" spans="1:22" x14ac:dyDescent="0.45">
      <c r="A487" t="s">
        <v>1189</v>
      </c>
      <c r="B487" t="s">
        <v>1190</v>
      </c>
      <c r="C487" t="s">
        <v>32</v>
      </c>
      <c r="D487" t="s">
        <v>67</v>
      </c>
      <c r="E487" t="s">
        <v>17</v>
      </c>
      <c r="F487">
        <v>180</v>
      </c>
      <c r="G487">
        <v>1553</v>
      </c>
      <c r="H487">
        <v>279540</v>
      </c>
      <c r="I487" t="s">
        <v>1191</v>
      </c>
      <c r="J487" t="s">
        <v>831</v>
      </c>
      <c r="K487">
        <v>180</v>
      </c>
      <c r="L487">
        <v>0</v>
      </c>
      <c r="M487" t="s">
        <v>115</v>
      </c>
      <c r="N487" t="str">
        <f t="shared" si="42"/>
        <v>PO-100486</v>
      </c>
      <c r="O487" t="str">
        <f t="shared" si="43"/>
        <v>Delivered</v>
      </c>
      <c r="P487" t="str">
        <f t="shared" si="44"/>
        <v>WH-BLR</v>
      </c>
      <c r="Q487" t="str">
        <f>VLOOKUP(C487, Lookups!$A$2:$D$10, 2, FALSE())</f>
        <v>OfficeDepot Pro</v>
      </c>
      <c r="R487" t="str">
        <f>_xlfn.XLOOKUP(D487, Lookups!$A$12:$A$51, Lookups!$C$12:$C$51, "Unknown")</f>
        <v>Peripherals</v>
      </c>
      <c r="S487" t="str">
        <f>IF(ISBLANK(I487), B487+VLOOKUP(C487, Lookups!$A$2:$D$10, 4, FALSE()), I487)</f>
        <v>2025-05-06</v>
      </c>
      <c r="T487">
        <f t="shared" si="45"/>
        <v>22</v>
      </c>
      <c r="U487" t="str">
        <f t="shared" si="46"/>
        <v>Late</v>
      </c>
      <c r="V487">
        <f t="shared" si="47"/>
        <v>0</v>
      </c>
    </row>
    <row r="488" spans="1:22" x14ac:dyDescent="0.45">
      <c r="A488" t="s">
        <v>1192</v>
      </c>
      <c r="B488" t="s">
        <v>544</v>
      </c>
      <c r="C488" t="s">
        <v>34</v>
      </c>
      <c r="D488" t="s">
        <v>80</v>
      </c>
      <c r="E488" t="s">
        <v>16</v>
      </c>
      <c r="F488">
        <v>52</v>
      </c>
      <c r="G488">
        <v>19090</v>
      </c>
      <c r="H488">
        <v>992680</v>
      </c>
      <c r="I488" t="s">
        <v>639</v>
      </c>
      <c r="J488" t="s">
        <v>639</v>
      </c>
      <c r="K488">
        <v>52</v>
      </c>
      <c r="L488">
        <v>4</v>
      </c>
      <c r="M488" t="s">
        <v>927</v>
      </c>
      <c r="N488" t="str">
        <f t="shared" si="42"/>
        <v>PO-100487</v>
      </c>
      <c r="O488" t="str">
        <f t="shared" si="43"/>
        <v>Delivered</v>
      </c>
      <c r="P488" t="str">
        <f t="shared" si="44"/>
        <v>WH-DEL</v>
      </c>
      <c r="Q488" t="str">
        <f>VLOOKUP(C488, Lookups!$A$2:$D$10, 2, FALSE())</f>
        <v>FastElectronics</v>
      </c>
      <c r="R488" t="str">
        <f>_xlfn.XLOOKUP(D488, Lookups!$A$12:$A$51, Lookups!$C$12:$C$51, "Unknown")</f>
        <v>Networking</v>
      </c>
      <c r="S488" t="str">
        <f>IF(ISBLANK(I488), B488+VLOOKUP(C488, Lookups!$A$2:$D$10, 4, FALSE()), I488)</f>
        <v>2025-12-11</v>
      </c>
      <c r="T488">
        <f t="shared" si="45"/>
        <v>18</v>
      </c>
      <c r="U488" t="str">
        <f t="shared" si="46"/>
        <v>On-Time</v>
      </c>
      <c r="V488">
        <f t="shared" si="47"/>
        <v>7.6923076923076927E-2</v>
      </c>
    </row>
    <row r="489" spans="1:22" x14ac:dyDescent="0.45">
      <c r="A489" t="s">
        <v>1193</v>
      </c>
      <c r="B489" t="s">
        <v>871</v>
      </c>
      <c r="C489" t="s">
        <v>30</v>
      </c>
      <c r="D489" t="s">
        <v>59</v>
      </c>
      <c r="E489" t="s">
        <v>17</v>
      </c>
      <c r="F489">
        <v>135</v>
      </c>
      <c r="G489">
        <v>48905</v>
      </c>
      <c r="H489">
        <v>6602175</v>
      </c>
      <c r="I489" t="s">
        <v>231</v>
      </c>
      <c r="J489" t="s">
        <v>231</v>
      </c>
      <c r="K489">
        <v>135</v>
      </c>
      <c r="L489">
        <v>0</v>
      </c>
      <c r="M489" t="s">
        <v>115</v>
      </c>
      <c r="N489" t="str">
        <f t="shared" si="42"/>
        <v>PO-100488</v>
      </c>
      <c r="O489" t="str">
        <f t="shared" si="43"/>
        <v>Delivered</v>
      </c>
      <c r="P489" t="str">
        <f t="shared" si="44"/>
        <v>WH-BLR</v>
      </c>
      <c r="Q489" t="str">
        <f>VLOOKUP(C489, Lookups!$A$2:$D$10, 2, FALSE())</f>
        <v>TechSupply Corp</v>
      </c>
      <c r="R489" t="str">
        <f>_xlfn.XLOOKUP(D489, Lookups!$A$12:$A$51, Lookups!$C$12:$C$51, "Unknown")</f>
        <v>Electronics</v>
      </c>
      <c r="S489" t="str">
        <f>IF(ISBLANK(I489), B489+VLOOKUP(C489, Lookups!$A$2:$D$10, 4, FALSE()), I489)</f>
        <v>2025-11-07</v>
      </c>
      <c r="T489">
        <f t="shared" si="45"/>
        <v>14</v>
      </c>
      <c r="U489" t="str">
        <f t="shared" si="46"/>
        <v>On-Time</v>
      </c>
      <c r="V489">
        <f t="shared" si="47"/>
        <v>0</v>
      </c>
    </row>
    <row r="490" spans="1:22" x14ac:dyDescent="0.45">
      <c r="A490" t="s">
        <v>1194</v>
      </c>
      <c r="B490" t="s">
        <v>293</v>
      </c>
      <c r="C490" t="s">
        <v>30</v>
      </c>
      <c r="D490" t="s">
        <v>53</v>
      </c>
      <c r="E490" t="s">
        <v>16</v>
      </c>
      <c r="F490">
        <v>247</v>
      </c>
      <c r="G490">
        <v>81048</v>
      </c>
      <c r="H490">
        <v>20018856</v>
      </c>
      <c r="I490" t="s">
        <v>403</v>
      </c>
      <c r="J490" t="s">
        <v>403</v>
      </c>
      <c r="K490">
        <v>161</v>
      </c>
      <c r="L490">
        <v>0</v>
      </c>
      <c r="M490" t="s">
        <v>115</v>
      </c>
      <c r="N490" t="str">
        <f t="shared" si="42"/>
        <v>PO-100489</v>
      </c>
      <c r="O490" t="str">
        <f t="shared" si="43"/>
        <v>Delivered</v>
      </c>
      <c r="P490" t="str">
        <f t="shared" si="44"/>
        <v>WH-DEL</v>
      </c>
      <c r="Q490" t="str">
        <f>VLOOKUP(C490, Lookups!$A$2:$D$10, 2, FALSE())</f>
        <v>TechSupply Corp</v>
      </c>
      <c r="R490" t="str">
        <f>_xlfn.XLOOKUP(D490, Lookups!$A$12:$A$51, Lookups!$C$12:$C$51, "Unknown")</f>
        <v>Electronics</v>
      </c>
      <c r="S490" t="str">
        <f>IF(ISBLANK(I490), B490+VLOOKUP(C490, Lookups!$A$2:$D$10, 4, FALSE()), I490)</f>
        <v>2025-09-18</v>
      </c>
      <c r="T490">
        <f t="shared" si="45"/>
        <v>14</v>
      </c>
      <c r="U490" t="str">
        <f t="shared" si="46"/>
        <v>On-Time</v>
      </c>
      <c r="V490">
        <f t="shared" si="47"/>
        <v>0</v>
      </c>
    </row>
    <row r="491" spans="1:22" x14ac:dyDescent="0.45">
      <c r="A491" t="s">
        <v>1195</v>
      </c>
      <c r="B491" t="s">
        <v>200</v>
      </c>
      <c r="C491" t="s">
        <v>34</v>
      </c>
      <c r="D491" t="s">
        <v>73</v>
      </c>
      <c r="E491" t="s">
        <v>16</v>
      </c>
      <c r="F491">
        <v>87</v>
      </c>
      <c r="G491">
        <v>58396</v>
      </c>
      <c r="H491">
        <v>5080452</v>
      </c>
      <c r="I491" t="s">
        <v>890</v>
      </c>
      <c r="J491" t="s">
        <v>1006</v>
      </c>
      <c r="K491">
        <v>87</v>
      </c>
      <c r="L491">
        <v>0</v>
      </c>
      <c r="M491" t="s">
        <v>115</v>
      </c>
      <c r="N491" t="str">
        <f t="shared" si="42"/>
        <v>PO-100490</v>
      </c>
      <c r="O491" t="str">
        <f t="shared" si="43"/>
        <v>Delivered</v>
      </c>
      <c r="P491" t="str">
        <f t="shared" si="44"/>
        <v>WH-DEL</v>
      </c>
      <c r="Q491" t="str">
        <f>VLOOKUP(C491, Lookups!$A$2:$D$10, 2, FALSE())</f>
        <v>FastElectronics</v>
      </c>
      <c r="R491" t="str">
        <f>_xlfn.XLOOKUP(D491, Lookups!$A$12:$A$51, Lookups!$C$12:$C$51, "Unknown")</f>
        <v>Electronics</v>
      </c>
      <c r="S491" t="str">
        <f>IF(ISBLANK(I491), B491+VLOOKUP(C491, Lookups!$A$2:$D$10, 4, FALSE()), I491)</f>
        <v>2025-11-09</v>
      </c>
      <c r="T491">
        <f t="shared" si="45"/>
        <v>25</v>
      </c>
      <c r="U491" t="str">
        <f t="shared" si="46"/>
        <v>Late</v>
      </c>
      <c r="V491">
        <f t="shared" si="47"/>
        <v>0</v>
      </c>
    </row>
    <row r="492" spans="1:22" x14ac:dyDescent="0.45">
      <c r="A492" t="s">
        <v>1196</v>
      </c>
      <c r="B492" t="s">
        <v>530</v>
      </c>
      <c r="C492" t="s">
        <v>34</v>
      </c>
      <c r="D492" t="s">
        <v>58</v>
      </c>
      <c r="E492" t="s">
        <v>17</v>
      </c>
      <c r="F492">
        <v>83</v>
      </c>
      <c r="G492">
        <v>100302</v>
      </c>
      <c r="H492">
        <v>8325066</v>
      </c>
      <c r="I492" t="s">
        <v>484</v>
      </c>
      <c r="J492" t="s">
        <v>510</v>
      </c>
      <c r="K492">
        <v>83</v>
      </c>
      <c r="L492">
        <v>0</v>
      </c>
      <c r="M492" t="s">
        <v>115</v>
      </c>
      <c r="N492" t="str">
        <f t="shared" si="42"/>
        <v>PO-100491</v>
      </c>
      <c r="O492" t="str">
        <f t="shared" si="43"/>
        <v>Delivered</v>
      </c>
      <c r="P492" t="str">
        <f t="shared" si="44"/>
        <v>WH-BLR</v>
      </c>
      <c r="Q492" t="str">
        <f>VLOOKUP(C492, Lookups!$A$2:$D$10, 2, FALSE())</f>
        <v>FastElectronics</v>
      </c>
      <c r="R492" t="str">
        <f>_xlfn.XLOOKUP(D492, Lookups!$A$12:$A$51, Lookups!$C$12:$C$51, "Unknown")</f>
        <v>Electronics</v>
      </c>
      <c r="S492" t="str">
        <f>IF(ISBLANK(I492), B492+VLOOKUP(C492, Lookups!$A$2:$D$10, 4, FALSE()), I492)</f>
        <v>2026-06-25</v>
      </c>
      <c r="T492">
        <f t="shared" si="45"/>
        <v>19</v>
      </c>
      <c r="U492" t="str">
        <f t="shared" si="46"/>
        <v>Late</v>
      </c>
      <c r="V492">
        <f t="shared" si="47"/>
        <v>0</v>
      </c>
    </row>
    <row r="493" spans="1:22" x14ac:dyDescent="0.45">
      <c r="A493" t="s">
        <v>1197</v>
      </c>
      <c r="B493" t="s">
        <v>663</v>
      </c>
      <c r="C493" t="s">
        <v>35</v>
      </c>
      <c r="D493" t="s">
        <v>60</v>
      </c>
      <c r="E493" t="s">
        <v>15</v>
      </c>
      <c r="F493">
        <v>54</v>
      </c>
      <c r="G493">
        <v>3291</v>
      </c>
      <c r="H493">
        <v>177714</v>
      </c>
      <c r="I493" t="s">
        <v>1198</v>
      </c>
      <c r="J493" t="s">
        <v>281</v>
      </c>
      <c r="K493">
        <v>54</v>
      </c>
      <c r="L493">
        <v>0</v>
      </c>
      <c r="M493" t="s">
        <v>115</v>
      </c>
      <c r="N493" t="str">
        <f t="shared" si="42"/>
        <v>PO-100492</v>
      </c>
      <c r="O493" t="str">
        <f t="shared" si="43"/>
        <v>Delivered</v>
      </c>
      <c r="P493" t="str">
        <f t="shared" si="44"/>
        <v>WH-BOM</v>
      </c>
      <c r="Q493" t="str">
        <f>VLOOKUP(C493, Lookups!$A$2:$D$10, 2, FALSE())</f>
        <v>Peripheral Source</v>
      </c>
      <c r="R493" t="str">
        <f>_xlfn.XLOOKUP(D493, Lookups!$A$12:$A$51, Lookups!$C$12:$C$51, "Unknown")</f>
        <v>Peripherals</v>
      </c>
      <c r="S493" t="str">
        <f>IF(ISBLANK(I493), B493+VLOOKUP(C493, Lookups!$A$2:$D$10, 4, FALSE()), I493)</f>
        <v>2026-10-16</v>
      </c>
      <c r="T493">
        <f t="shared" si="45"/>
        <v>20</v>
      </c>
      <c r="U493" t="str">
        <f t="shared" si="46"/>
        <v>Late</v>
      </c>
      <c r="V493">
        <f t="shared" si="47"/>
        <v>0</v>
      </c>
    </row>
    <row r="494" spans="1:22" x14ac:dyDescent="0.45">
      <c r="A494" t="s">
        <v>1199</v>
      </c>
      <c r="B494" t="s">
        <v>292</v>
      </c>
      <c r="C494" t="s">
        <v>30</v>
      </c>
      <c r="D494" t="s">
        <v>53</v>
      </c>
      <c r="E494" t="s">
        <v>18</v>
      </c>
      <c r="F494">
        <v>66</v>
      </c>
      <c r="G494">
        <v>81048</v>
      </c>
      <c r="H494">
        <v>5349168</v>
      </c>
      <c r="I494" t="s">
        <v>598</v>
      </c>
      <c r="J494" t="s">
        <v>1200</v>
      </c>
      <c r="K494">
        <v>66</v>
      </c>
      <c r="L494">
        <v>0</v>
      </c>
      <c r="M494" t="s">
        <v>115</v>
      </c>
      <c r="N494" t="str">
        <f t="shared" si="42"/>
        <v>PO-100493</v>
      </c>
      <c r="O494" t="str">
        <f t="shared" si="43"/>
        <v>Delivered</v>
      </c>
      <c r="P494" t="str">
        <f t="shared" si="44"/>
        <v>WH-PUN</v>
      </c>
      <c r="Q494" t="str">
        <f>VLOOKUP(C494, Lookups!$A$2:$D$10, 2, FALSE())</f>
        <v>TechSupply Corp</v>
      </c>
      <c r="R494" t="str">
        <f>_xlfn.XLOOKUP(D494, Lookups!$A$12:$A$51, Lookups!$C$12:$C$51, "Unknown")</f>
        <v>Electronics</v>
      </c>
      <c r="S494" t="str">
        <f>IF(ISBLANK(I494), B494+VLOOKUP(C494, Lookups!$A$2:$D$10, 4, FALSE()), I494)</f>
        <v>2025-08-31</v>
      </c>
      <c r="T494">
        <f t="shared" si="45"/>
        <v>15</v>
      </c>
      <c r="U494" t="str">
        <f t="shared" si="46"/>
        <v>Late</v>
      </c>
      <c r="V494">
        <f t="shared" si="47"/>
        <v>0</v>
      </c>
    </row>
    <row r="495" spans="1:22" x14ac:dyDescent="0.45">
      <c r="A495" t="s">
        <v>1201</v>
      </c>
      <c r="B495" t="s">
        <v>1202</v>
      </c>
      <c r="C495" t="s">
        <v>31</v>
      </c>
      <c r="D495" t="s">
        <v>66</v>
      </c>
      <c r="E495" t="s">
        <v>18</v>
      </c>
      <c r="F495">
        <v>152</v>
      </c>
      <c r="G495">
        <v>29719</v>
      </c>
      <c r="H495">
        <v>4517288</v>
      </c>
      <c r="I495" t="s">
        <v>379</v>
      </c>
      <c r="J495" t="s">
        <v>379</v>
      </c>
      <c r="K495">
        <v>152</v>
      </c>
      <c r="L495">
        <v>0</v>
      </c>
      <c r="M495" t="s">
        <v>115</v>
      </c>
      <c r="N495" t="str">
        <f t="shared" si="42"/>
        <v>PO-100494</v>
      </c>
      <c r="O495" t="str">
        <f t="shared" si="43"/>
        <v>Delivered</v>
      </c>
      <c r="P495" t="str">
        <f t="shared" si="44"/>
        <v>WH-PUN</v>
      </c>
      <c r="Q495" t="str">
        <f>VLOOKUP(C495, Lookups!$A$2:$D$10, 2, FALSE())</f>
        <v>Global Networks</v>
      </c>
      <c r="R495" t="str">
        <f>_xlfn.XLOOKUP(D495, Lookups!$A$12:$A$51, Lookups!$C$12:$C$51, "Unknown")</f>
        <v>Networking</v>
      </c>
      <c r="S495" t="str">
        <f>IF(ISBLANK(I495), B495+VLOOKUP(C495, Lookups!$A$2:$D$10, 4, FALSE()), I495)</f>
        <v>2025-02-16</v>
      </c>
      <c r="T495">
        <f t="shared" si="45"/>
        <v>21</v>
      </c>
      <c r="U495" t="str">
        <f t="shared" si="46"/>
        <v>On-Time</v>
      </c>
      <c r="V495">
        <f t="shared" si="47"/>
        <v>0</v>
      </c>
    </row>
    <row r="496" spans="1:22" x14ac:dyDescent="0.45">
      <c r="A496" t="s">
        <v>1203</v>
      </c>
      <c r="B496" t="s">
        <v>921</v>
      </c>
      <c r="C496" t="s">
        <v>35</v>
      </c>
      <c r="D496" t="s">
        <v>91</v>
      </c>
      <c r="E496" t="s">
        <v>18</v>
      </c>
      <c r="F496">
        <v>74</v>
      </c>
      <c r="G496">
        <v>6707</v>
      </c>
      <c r="H496">
        <v>496318</v>
      </c>
      <c r="I496" t="s">
        <v>1126</v>
      </c>
      <c r="J496" t="s">
        <v>1126</v>
      </c>
      <c r="K496">
        <v>74</v>
      </c>
      <c r="L496">
        <v>0</v>
      </c>
      <c r="M496" t="s">
        <v>115</v>
      </c>
      <c r="N496" t="str">
        <f t="shared" si="42"/>
        <v>PO-100495</v>
      </c>
      <c r="O496" t="str">
        <f t="shared" si="43"/>
        <v>Delivered</v>
      </c>
      <c r="P496" t="str">
        <f t="shared" si="44"/>
        <v>WH-PUN</v>
      </c>
      <c r="Q496" t="str">
        <f>VLOOKUP(C496, Lookups!$A$2:$D$10, 2, FALSE())</f>
        <v>Peripheral Source</v>
      </c>
      <c r="R496" t="str">
        <f>_xlfn.XLOOKUP(D496, Lookups!$A$12:$A$51, Lookups!$C$12:$C$51, "Unknown")</f>
        <v>Peripherals</v>
      </c>
      <c r="S496" t="str">
        <f>IF(ISBLANK(I496), B496+VLOOKUP(C496, Lookups!$A$2:$D$10, 4, FALSE()), I496)</f>
        <v>2026-11-18</v>
      </c>
      <c r="T496">
        <f t="shared" si="45"/>
        <v>10</v>
      </c>
      <c r="U496" t="str">
        <f t="shared" si="46"/>
        <v>On-Time</v>
      </c>
      <c r="V496">
        <f t="shared" si="47"/>
        <v>0</v>
      </c>
    </row>
    <row r="497" spans="1:22" x14ac:dyDescent="0.45">
      <c r="A497" t="s">
        <v>1204</v>
      </c>
      <c r="B497" t="s">
        <v>455</v>
      </c>
      <c r="C497" t="s">
        <v>30</v>
      </c>
      <c r="D497" t="s">
        <v>52</v>
      </c>
      <c r="E497" t="s">
        <v>17</v>
      </c>
      <c r="F497">
        <v>218</v>
      </c>
      <c r="G497">
        <v>59592</v>
      </c>
      <c r="H497">
        <v>12991056</v>
      </c>
      <c r="I497" t="s">
        <v>133</v>
      </c>
      <c r="J497" t="s">
        <v>999</v>
      </c>
      <c r="K497">
        <v>218</v>
      </c>
      <c r="L497">
        <v>0</v>
      </c>
      <c r="M497" t="s">
        <v>115</v>
      </c>
      <c r="N497" t="str">
        <f t="shared" si="42"/>
        <v>PO-100496</v>
      </c>
      <c r="O497" t="str">
        <f t="shared" si="43"/>
        <v>Delivered</v>
      </c>
      <c r="P497" t="str">
        <f t="shared" si="44"/>
        <v>WH-BLR</v>
      </c>
      <c r="Q497" t="str">
        <f>VLOOKUP(C497, Lookups!$A$2:$D$10, 2, FALSE())</f>
        <v>TechSupply Corp</v>
      </c>
      <c r="R497" t="str">
        <f>_xlfn.XLOOKUP(D497, Lookups!$A$12:$A$51, Lookups!$C$12:$C$51, "Unknown")</f>
        <v>Electronics</v>
      </c>
      <c r="S497" t="str">
        <f>IF(ISBLANK(I497), B497+VLOOKUP(C497, Lookups!$A$2:$D$10, 4, FALSE()), I497)</f>
        <v>2026-08-27</v>
      </c>
      <c r="T497">
        <f t="shared" si="45"/>
        <v>15</v>
      </c>
      <c r="U497" t="str">
        <f t="shared" si="46"/>
        <v>Late</v>
      </c>
      <c r="V497">
        <f t="shared" si="47"/>
        <v>0</v>
      </c>
    </row>
    <row r="498" spans="1:22" x14ac:dyDescent="0.45">
      <c r="A498" t="s">
        <v>1205</v>
      </c>
      <c r="B498" t="s">
        <v>508</v>
      </c>
      <c r="C498" t="s">
        <v>33</v>
      </c>
      <c r="D498" t="s">
        <v>89</v>
      </c>
      <c r="E498" t="s">
        <v>17</v>
      </c>
      <c r="F498">
        <v>188</v>
      </c>
      <c r="G498">
        <v>11309</v>
      </c>
      <c r="H498">
        <v>2126092</v>
      </c>
      <c r="I498" t="s">
        <v>128</v>
      </c>
      <c r="J498" t="s">
        <v>1206</v>
      </c>
      <c r="K498">
        <v>188</v>
      </c>
      <c r="L498">
        <v>0</v>
      </c>
      <c r="M498" t="s">
        <v>115</v>
      </c>
      <c r="N498" t="str">
        <f t="shared" si="42"/>
        <v>PO-100497</v>
      </c>
      <c r="O498" t="str">
        <f t="shared" si="43"/>
        <v>Delivered</v>
      </c>
      <c r="P498" t="str">
        <f t="shared" si="44"/>
        <v>WH-BLR</v>
      </c>
      <c r="Q498" t="str">
        <f>VLOOKUP(C498, Lookups!$A$2:$D$10, 2, FALSE())</f>
        <v>MegaFurnish</v>
      </c>
      <c r="R498" t="str">
        <f>_xlfn.XLOOKUP(D498, Lookups!$A$12:$A$51, Lookups!$C$12:$C$51, "Unknown")</f>
        <v>Office Furniture</v>
      </c>
      <c r="S498" t="str">
        <f>IF(ISBLANK(I498), B498+VLOOKUP(C498, Lookups!$A$2:$D$10, 4, FALSE()), I498)</f>
        <v>2026-02-16</v>
      </c>
      <c r="T498">
        <f t="shared" si="45"/>
        <v>31</v>
      </c>
      <c r="U498" t="str">
        <f t="shared" si="46"/>
        <v>Late</v>
      </c>
      <c r="V498">
        <f t="shared" si="47"/>
        <v>0</v>
      </c>
    </row>
    <row r="499" spans="1:22" x14ac:dyDescent="0.45">
      <c r="A499" t="s">
        <v>1207</v>
      </c>
      <c r="B499" t="s">
        <v>1208</v>
      </c>
      <c r="C499" t="s">
        <v>37</v>
      </c>
      <c r="D499" t="s">
        <v>78</v>
      </c>
      <c r="E499" t="s">
        <v>18</v>
      </c>
      <c r="F499">
        <v>155</v>
      </c>
      <c r="G499">
        <v>9423</v>
      </c>
      <c r="H499">
        <v>1460565</v>
      </c>
      <c r="I499" t="s">
        <v>726</v>
      </c>
      <c r="J499" t="s">
        <v>1209</v>
      </c>
      <c r="K499">
        <v>155</v>
      </c>
      <c r="L499">
        <v>0</v>
      </c>
      <c r="M499" t="s">
        <v>115</v>
      </c>
      <c r="N499" t="str">
        <f t="shared" si="42"/>
        <v>PO-100498</v>
      </c>
      <c r="O499" t="str">
        <f t="shared" si="43"/>
        <v>Delivered</v>
      </c>
      <c r="P499" t="str">
        <f t="shared" si="44"/>
        <v>WH-PUN</v>
      </c>
      <c r="Q499" t="str">
        <f>VLOOKUP(C499, Lookups!$A$2:$D$10, 2, FALSE())</f>
        <v>Premium Desks Ltd</v>
      </c>
      <c r="R499" t="str">
        <f>_xlfn.XLOOKUP(D499, Lookups!$A$12:$A$51, Lookups!$C$12:$C$51, "Unknown")</f>
        <v>Office Furniture</v>
      </c>
      <c r="S499" t="str">
        <f>IF(ISBLANK(I499), B499+VLOOKUP(C499, Lookups!$A$2:$D$10, 4, FALSE()), I499)</f>
        <v>2025-01-13</v>
      </c>
      <c r="T499">
        <f t="shared" si="45"/>
        <v>13</v>
      </c>
      <c r="U499" t="str">
        <f t="shared" si="46"/>
        <v>Late</v>
      </c>
      <c r="V499">
        <f t="shared" si="47"/>
        <v>0</v>
      </c>
    </row>
    <row r="500" spans="1:22" x14ac:dyDescent="0.45">
      <c r="A500" t="s">
        <v>1210</v>
      </c>
      <c r="B500" t="s">
        <v>556</v>
      </c>
      <c r="C500" t="s">
        <v>30</v>
      </c>
      <c r="D500" t="s">
        <v>86</v>
      </c>
      <c r="E500" t="s">
        <v>18</v>
      </c>
      <c r="F500">
        <v>13</v>
      </c>
      <c r="G500">
        <v>74871</v>
      </c>
      <c r="H500">
        <v>973323</v>
      </c>
      <c r="I500" t="s">
        <v>1211</v>
      </c>
      <c r="J500" t="s">
        <v>1211</v>
      </c>
      <c r="K500">
        <v>13</v>
      </c>
      <c r="L500">
        <v>0</v>
      </c>
      <c r="M500" t="s">
        <v>115</v>
      </c>
      <c r="N500" t="str">
        <f t="shared" si="42"/>
        <v>PO-100499</v>
      </c>
      <c r="O500" t="str">
        <f t="shared" si="43"/>
        <v>Delivered</v>
      </c>
      <c r="P500" t="str">
        <f t="shared" si="44"/>
        <v>WH-PUN</v>
      </c>
      <c r="Q500" t="str">
        <f>VLOOKUP(C500, Lookups!$A$2:$D$10, 2, FALSE())</f>
        <v>TechSupply Corp</v>
      </c>
      <c r="R500" t="str">
        <f>_xlfn.XLOOKUP(D500, Lookups!$A$12:$A$51, Lookups!$C$12:$C$51, "Unknown")</f>
        <v>Electronics</v>
      </c>
      <c r="S500" t="str">
        <f>IF(ISBLANK(I500), B500+VLOOKUP(C500, Lookups!$A$2:$D$10, 4, FALSE()), I500)</f>
        <v>2026-09-29</v>
      </c>
      <c r="T500">
        <f t="shared" si="45"/>
        <v>14</v>
      </c>
      <c r="U500" t="str">
        <f t="shared" si="46"/>
        <v>On-Time</v>
      </c>
      <c r="V500">
        <f t="shared" si="47"/>
        <v>0</v>
      </c>
    </row>
    <row r="501" spans="1:22" x14ac:dyDescent="0.45">
      <c r="A501" t="s">
        <v>1212</v>
      </c>
      <c r="B501" t="s">
        <v>293</v>
      </c>
      <c r="C501" t="s">
        <v>31</v>
      </c>
      <c r="D501" t="s">
        <v>66</v>
      </c>
      <c r="E501" t="s">
        <v>18</v>
      </c>
      <c r="F501">
        <v>203</v>
      </c>
      <c r="G501">
        <v>29719</v>
      </c>
      <c r="H501">
        <v>6032957</v>
      </c>
      <c r="I501" t="s">
        <v>1129</v>
      </c>
      <c r="J501" t="s">
        <v>138</v>
      </c>
      <c r="K501">
        <v>203</v>
      </c>
      <c r="L501">
        <v>0</v>
      </c>
      <c r="M501" t="s">
        <v>115</v>
      </c>
      <c r="N501" t="str">
        <f t="shared" si="42"/>
        <v>PO-100500</v>
      </c>
      <c r="O501" t="str">
        <f t="shared" si="43"/>
        <v>Delivered</v>
      </c>
      <c r="P501" t="str">
        <f t="shared" si="44"/>
        <v>WH-PUN</v>
      </c>
      <c r="Q501" t="str">
        <f>VLOOKUP(C501, Lookups!$A$2:$D$10, 2, FALSE())</f>
        <v>Global Networks</v>
      </c>
      <c r="R501" t="str">
        <f>_xlfn.XLOOKUP(D501, Lookups!$A$12:$A$51, Lookups!$C$12:$C$51, "Unknown")</f>
        <v>Networking</v>
      </c>
      <c r="S501" t="str">
        <f>IF(ISBLANK(I501), B501+VLOOKUP(C501, Lookups!$A$2:$D$10, 4, FALSE()), I501)</f>
        <v>2025-09-25</v>
      </c>
      <c r="T501">
        <f t="shared" si="45"/>
        <v>22</v>
      </c>
      <c r="U501" t="str">
        <f t="shared" si="46"/>
        <v>Late</v>
      </c>
      <c r="V501">
        <f t="shared" si="47"/>
        <v>0</v>
      </c>
    </row>
    <row r="502" spans="1:22" x14ac:dyDescent="0.45">
      <c r="A502" t="s">
        <v>1213</v>
      </c>
      <c r="B502" t="s">
        <v>552</v>
      </c>
      <c r="C502" t="s">
        <v>30</v>
      </c>
      <c r="D502" t="s">
        <v>61</v>
      </c>
      <c r="E502" t="s">
        <v>18</v>
      </c>
      <c r="F502">
        <v>116</v>
      </c>
      <c r="G502">
        <v>111237</v>
      </c>
      <c r="H502">
        <v>12903492</v>
      </c>
      <c r="I502" t="s">
        <v>947</v>
      </c>
      <c r="J502" t="s">
        <v>639</v>
      </c>
      <c r="K502">
        <v>116</v>
      </c>
      <c r="L502">
        <v>0</v>
      </c>
      <c r="M502" t="s">
        <v>115</v>
      </c>
      <c r="N502" t="str">
        <f t="shared" si="42"/>
        <v>PO-100501</v>
      </c>
      <c r="O502" t="str">
        <f t="shared" si="43"/>
        <v>Delivered</v>
      </c>
      <c r="P502" t="str">
        <f t="shared" si="44"/>
        <v>WH-PUN</v>
      </c>
      <c r="Q502" t="str">
        <f>VLOOKUP(C502, Lookups!$A$2:$D$10, 2, FALSE())</f>
        <v>TechSupply Corp</v>
      </c>
      <c r="R502" t="str">
        <f>_xlfn.XLOOKUP(D502, Lookups!$A$12:$A$51, Lookups!$C$12:$C$51, "Unknown")</f>
        <v>Electronics</v>
      </c>
      <c r="S502" t="str">
        <f>IF(ISBLANK(I502), B502+VLOOKUP(C502, Lookups!$A$2:$D$10, 4, FALSE()), I502)</f>
        <v>2025-12-06</v>
      </c>
      <c r="T502">
        <f t="shared" si="45"/>
        <v>19</v>
      </c>
      <c r="U502" t="str">
        <f t="shared" si="46"/>
        <v>Late</v>
      </c>
      <c r="V502">
        <f t="shared" si="47"/>
        <v>0</v>
      </c>
    </row>
    <row r="503" spans="1:22" x14ac:dyDescent="0.45">
      <c r="A503" t="s">
        <v>1214</v>
      </c>
      <c r="B503" t="s">
        <v>471</v>
      </c>
      <c r="C503" t="s">
        <v>33</v>
      </c>
      <c r="D503" t="s">
        <v>89</v>
      </c>
      <c r="E503" t="s">
        <v>15</v>
      </c>
      <c r="F503">
        <v>45</v>
      </c>
      <c r="G503">
        <v>11309</v>
      </c>
      <c r="H503">
        <v>508905</v>
      </c>
      <c r="I503" t="s">
        <v>545</v>
      </c>
      <c r="J503" t="s">
        <v>545</v>
      </c>
      <c r="K503">
        <v>45</v>
      </c>
      <c r="L503">
        <v>0</v>
      </c>
      <c r="M503" t="s">
        <v>115</v>
      </c>
      <c r="N503" t="str">
        <f t="shared" si="42"/>
        <v>PO-100502</v>
      </c>
      <c r="O503" t="str">
        <f t="shared" si="43"/>
        <v>Delivered</v>
      </c>
      <c r="P503" t="str">
        <f t="shared" si="44"/>
        <v>WH-BOM</v>
      </c>
      <c r="Q503" t="str">
        <f>VLOOKUP(C503, Lookups!$A$2:$D$10, 2, FALSE())</f>
        <v>MegaFurnish</v>
      </c>
      <c r="R503" t="str">
        <f>_xlfn.XLOOKUP(D503, Lookups!$A$12:$A$51, Lookups!$C$12:$C$51, "Unknown")</f>
        <v>Office Furniture</v>
      </c>
      <c r="S503" t="str">
        <f>IF(ISBLANK(I503), B503+VLOOKUP(C503, Lookups!$A$2:$D$10, 4, FALSE()), I503)</f>
        <v>2025-12-03</v>
      </c>
      <c r="T503">
        <f t="shared" si="45"/>
        <v>30</v>
      </c>
      <c r="U503" t="str">
        <f t="shared" si="46"/>
        <v>On-Time</v>
      </c>
      <c r="V503">
        <f t="shared" si="47"/>
        <v>0</v>
      </c>
    </row>
    <row r="504" spans="1:22" x14ac:dyDescent="0.45">
      <c r="A504" t="s">
        <v>1215</v>
      </c>
      <c r="B504" t="s">
        <v>815</v>
      </c>
      <c r="C504" t="s">
        <v>35</v>
      </c>
      <c r="D504" t="s">
        <v>91</v>
      </c>
      <c r="E504" t="s">
        <v>16</v>
      </c>
      <c r="F504">
        <v>173</v>
      </c>
      <c r="G504">
        <v>6707</v>
      </c>
      <c r="H504">
        <v>1160311</v>
      </c>
      <c r="I504" t="s">
        <v>330</v>
      </c>
      <c r="J504" t="s">
        <v>1216</v>
      </c>
      <c r="K504">
        <v>173</v>
      </c>
      <c r="L504">
        <v>0</v>
      </c>
      <c r="M504" t="s">
        <v>115</v>
      </c>
      <c r="N504" t="str">
        <f t="shared" si="42"/>
        <v>PO-100503</v>
      </c>
      <c r="O504" t="str">
        <f t="shared" si="43"/>
        <v>Delivered</v>
      </c>
      <c r="P504" t="str">
        <f t="shared" si="44"/>
        <v>WH-DEL</v>
      </c>
      <c r="Q504" t="str">
        <f>VLOOKUP(C504, Lookups!$A$2:$D$10, 2, FALSE())</f>
        <v>Peripheral Source</v>
      </c>
      <c r="R504" t="str">
        <f>_xlfn.XLOOKUP(D504, Lookups!$A$12:$A$51, Lookups!$C$12:$C$51, "Unknown")</f>
        <v>Peripherals</v>
      </c>
      <c r="S504" t="str">
        <f>IF(ISBLANK(I504), B504+VLOOKUP(C504, Lookups!$A$2:$D$10, 4, FALSE()), I504)</f>
        <v>2026-02-23</v>
      </c>
      <c r="T504">
        <f t="shared" si="45"/>
        <v>11</v>
      </c>
      <c r="U504" t="str">
        <f t="shared" si="46"/>
        <v>Late</v>
      </c>
      <c r="V504">
        <f t="shared" si="47"/>
        <v>0</v>
      </c>
    </row>
    <row r="505" spans="1:22" x14ac:dyDescent="0.45">
      <c r="A505" t="s">
        <v>1217</v>
      </c>
      <c r="B505" t="s">
        <v>958</v>
      </c>
      <c r="C505" t="s">
        <v>36</v>
      </c>
      <c r="D505" t="s">
        <v>63</v>
      </c>
      <c r="E505" t="s">
        <v>17</v>
      </c>
      <c r="F505">
        <v>215</v>
      </c>
      <c r="G505">
        <v>71062</v>
      </c>
      <c r="H505">
        <v>15278330</v>
      </c>
      <c r="I505" t="s">
        <v>1218</v>
      </c>
      <c r="J505" t="s">
        <v>1218</v>
      </c>
      <c r="K505">
        <v>215</v>
      </c>
      <c r="L505">
        <v>0</v>
      </c>
      <c r="M505" t="s">
        <v>115</v>
      </c>
      <c r="N505" t="str">
        <f t="shared" si="42"/>
        <v>PO-100504</v>
      </c>
      <c r="O505" t="str">
        <f t="shared" si="43"/>
        <v>Delivered</v>
      </c>
      <c r="P505" t="str">
        <f t="shared" si="44"/>
        <v>WH-BLR</v>
      </c>
      <c r="Q505" t="str">
        <f>VLOOKUP(C505, Lookups!$A$2:$D$10, 2, FALSE())</f>
        <v>NextGen Hardware</v>
      </c>
      <c r="R505" t="str">
        <f>_xlfn.XLOOKUP(D505, Lookups!$A$12:$A$51, Lookups!$C$12:$C$51, "Unknown")</f>
        <v>Electronics</v>
      </c>
      <c r="S505" t="str">
        <f>IF(ISBLANK(I505), B505+VLOOKUP(C505, Lookups!$A$2:$D$10, 4, FALSE()), I505)</f>
        <v>2026-06-19</v>
      </c>
      <c r="T505">
        <f t="shared" si="45"/>
        <v>24</v>
      </c>
      <c r="U505" t="str">
        <f t="shared" si="46"/>
        <v>On-Time</v>
      </c>
      <c r="V505">
        <f t="shared" si="47"/>
        <v>0</v>
      </c>
    </row>
    <row r="506" spans="1:22" x14ac:dyDescent="0.45">
      <c r="A506" t="s">
        <v>1219</v>
      </c>
      <c r="B506" t="s">
        <v>293</v>
      </c>
      <c r="C506" t="s">
        <v>30</v>
      </c>
      <c r="D506" t="s">
        <v>61</v>
      </c>
      <c r="E506" t="s">
        <v>17</v>
      </c>
      <c r="F506">
        <v>54</v>
      </c>
      <c r="G506">
        <v>111237</v>
      </c>
      <c r="H506">
        <v>6006798</v>
      </c>
      <c r="I506" t="s">
        <v>403</v>
      </c>
      <c r="J506" t="s">
        <v>1114</v>
      </c>
      <c r="K506">
        <v>54</v>
      </c>
      <c r="L506">
        <v>0</v>
      </c>
      <c r="M506" t="s">
        <v>115</v>
      </c>
      <c r="N506" t="str">
        <f t="shared" si="42"/>
        <v>PO-100505</v>
      </c>
      <c r="O506" t="str">
        <f t="shared" si="43"/>
        <v>Delivered</v>
      </c>
      <c r="P506" t="str">
        <f t="shared" si="44"/>
        <v>WH-BLR</v>
      </c>
      <c r="Q506" t="str">
        <f>VLOOKUP(C506, Lookups!$A$2:$D$10, 2, FALSE())</f>
        <v>TechSupply Corp</v>
      </c>
      <c r="R506" t="str">
        <f>_xlfn.XLOOKUP(D506, Lookups!$A$12:$A$51, Lookups!$C$12:$C$51, "Unknown")</f>
        <v>Electronics</v>
      </c>
      <c r="S506" t="str">
        <f>IF(ISBLANK(I506), B506+VLOOKUP(C506, Lookups!$A$2:$D$10, 4, FALSE()), I506)</f>
        <v>2025-09-18</v>
      </c>
      <c r="T506">
        <f t="shared" si="45"/>
        <v>10</v>
      </c>
      <c r="U506" t="str">
        <f t="shared" si="46"/>
        <v>On-Time</v>
      </c>
      <c r="V506">
        <f t="shared" si="47"/>
        <v>0</v>
      </c>
    </row>
    <row r="507" spans="1:22" x14ac:dyDescent="0.45">
      <c r="A507" t="s">
        <v>1220</v>
      </c>
      <c r="B507" t="s">
        <v>587</v>
      </c>
      <c r="C507" t="s">
        <v>35</v>
      </c>
      <c r="D507" t="s">
        <v>60</v>
      </c>
      <c r="E507" t="s">
        <v>17</v>
      </c>
      <c r="F507">
        <v>38</v>
      </c>
      <c r="G507">
        <v>3291</v>
      </c>
      <c r="H507">
        <v>125058</v>
      </c>
      <c r="I507" t="s">
        <v>963</v>
      </c>
      <c r="J507" t="s">
        <v>1221</v>
      </c>
      <c r="K507">
        <v>38</v>
      </c>
      <c r="L507">
        <v>0</v>
      </c>
      <c r="M507" t="s">
        <v>115</v>
      </c>
      <c r="N507" t="str">
        <f t="shared" si="42"/>
        <v>PO-100506</v>
      </c>
      <c r="O507" t="str">
        <f t="shared" si="43"/>
        <v>Delivered</v>
      </c>
      <c r="P507" t="str">
        <f t="shared" si="44"/>
        <v>WH-BLR</v>
      </c>
      <c r="Q507" t="str">
        <f>VLOOKUP(C507, Lookups!$A$2:$D$10, 2, FALSE())</f>
        <v>Peripheral Source</v>
      </c>
      <c r="R507" t="str">
        <f>_xlfn.XLOOKUP(D507, Lookups!$A$12:$A$51, Lookups!$C$12:$C$51, "Unknown")</f>
        <v>Peripherals</v>
      </c>
      <c r="S507" t="str">
        <f>IF(ISBLANK(I507), B507+VLOOKUP(C507, Lookups!$A$2:$D$10, 4, FALSE()), I507)</f>
        <v>2026-04-21</v>
      </c>
      <c r="T507">
        <f t="shared" si="45"/>
        <v>11</v>
      </c>
      <c r="U507" t="str">
        <f t="shared" si="46"/>
        <v>Late</v>
      </c>
      <c r="V507">
        <f t="shared" si="47"/>
        <v>0</v>
      </c>
    </row>
    <row r="508" spans="1:22" x14ac:dyDescent="0.45">
      <c r="A508" t="s">
        <v>1222</v>
      </c>
      <c r="B508" t="s">
        <v>794</v>
      </c>
      <c r="C508" t="s">
        <v>34</v>
      </c>
      <c r="D508" t="s">
        <v>58</v>
      </c>
      <c r="E508" t="s">
        <v>17</v>
      </c>
      <c r="F508">
        <v>146</v>
      </c>
      <c r="G508">
        <v>100302</v>
      </c>
      <c r="H508">
        <v>14644092</v>
      </c>
      <c r="I508" t="s">
        <v>869</v>
      </c>
      <c r="J508" t="s">
        <v>1223</v>
      </c>
      <c r="K508">
        <v>146</v>
      </c>
      <c r="L508">
        <v>0</v>
      </c>
      <c r="M508" t="s">
        <v>115</v>
      </c>
      <c r="N508" t="str">
        <f t="shared" si="42"/>
        <v>PO-100507</v>
      </c>
      <c r="O508" t="str">
        <f t="shared" si="43"/>
        <v>Delivered</v>
      </c>
      <c r="P508" t="str">
        <f t="shared" si="44"/>
        <v>WH-BLR</v>
      </c>
      <c r="Q508" t="str">
        <f>VLOOKUP(C508, Lookups!$A$2:$D$10, 2, FALSE())</f>
        <v>FastElectronics</v>
      </c>
      <c r="R508" t="str">
        <f>_xlfn.XLOOKUP(D508, Lookups!$A$12:$A$51, Lookups!$C$12:$C$51, "Unknown")</f>
        <v>Electronics</v>
      </c>
      <c r="S508" t="str">
        <f>IF(ISBLANK(I508), B508+VLOOKUP(C508, Lookups!$A$2:$D$10, 4, FALSE()), I508)</f>
        <v>2026-09-25</v>
      </c>
      <c r="T508">
        <f t="shared" si="45"/>
        <v>19</v>
      </c>
      <c r="U508" t="str">
        <f t="shared" si="46"/>
        <v>Late</v>
      </c>
      <c r="V508">
        <f t="shared" si="47"/>
        <v>0</v>
      </c>
    </row>
    <row r="509" spans="1:22" x14ac:dyDescent="0.45">
      <c r="A509" t="s">
        <v>1224</v>
      </c>
      <c r="B509" t="s">
        <v>1051</v>
      </c>
      <c r="C509" t="s">
        <v>34</v>
      </c>
      <c r="D509" t="s">
        <v>76</v>
      </c>
      <c r="E509" t="s">
        <v>16</v>
      </c>
      <c r="F509">
        <v>223</v>
      </c>
      <c r="G509">
        <v>26270</v>
      </c>
      <c r="H509">
        <v>5858210</v>
      </c>
      <c r="I509" t="s">
        <v>633</v>
      </c>
      <c r="J509" t="s">
        <v>1225</v>
      </c>
      <c r="K509">
        <v>146</v>
      </c>
      <c r="L509">
        <v>0</v>
      </c>
      <c r="M509" t="s">
        <v>115</v>
      </c>
      <c r="N509" t="str">
        <f t="shared" si="42"/>
        <v>PO-100508</v>
      </c>
      <c r="O509" t="str">
        <f t="shared" si="43"/>
        <v>Delivered</v>
      </c>
      <c r="P509" t="str">
        <f t="shared" si="44"/>
        <v>WH-DEL</v>
      </c>
      <c r="Q509" t="str">
        <f>VLOOKUP(C509, Lookups!$A$2:$D$10, 2, FALSE())</f>
        <v>FastElectronics</v>
      </c>
      <c r="R509" t="str">
        <f>_xlfn.XLOOKUP(D509, Lookups!$A$12:$A$51, Lookups!$C$12:$C$51, "Unknown")</f>
        <v>Networking</v>
      </c>
      <c r="S509" t="str">
        <f>IF(ISBLANK(I509), B509+VLOOKUP(C509, Lookups!$A$2:$D$10, 4, FALSE()), I509)</f>
        <v>2025-02-17</v>
      </c>
      <c r="T509">
        <f t="shared" si="45"/>
        <v>19</v>
      </c>
      <c r="U509" t="str">
        <f t="shared" si="46"/>
        <v>Late</v>
      </c>
      <c r="V509">
        <f t="shared" si="47"/>
        <v>0</v>
      </c>
    </row>
    <row r="510" spans="1:22" x14ac:dyDescent="0.45">
      <c r="A510" t="s">
        <v>1226</v>
      </c>
      <c r="B510" t="s">
        <v>204</v>
      </c>
      <c r="C510" t="s">
        <v>36</v>
      </c>
      <c r="D510" t="s">
        <v>55</v>
      </c>
      <c r="E510" t="s">
        <v>16</v>
      </c>
      <c r="F510">
        <v>205</v>
      </c>
      <c r="G510">
        <v>58434</v>
      </c>
      <c r="H510">
        <v>11978970</v>
      </c>
      <c r="I510" t="s">
        <v>1227</v>
      </c>
      <c r="J510" t="s">
        <v>573</v>
      </c>
      <c r="K510">
        <v>205</v>
      </c>
      <c r="L510">
        <v>0</v>
      </c>
      <c r="M510" t="s">
        <v>115</v>
      </c>
      <c r="N510" t="str">
        <f t="shared" si="42"/>
        <v>PO-100509</v>
      </c>
      <c r="O510" t="str">
        <f t="shared" si="43"/>
        <v>Delivered</v>
      </c>
      <c r="P510" t="str">
        <f t="shared" si="44"/>
        <v>WH-DEL</v>
      </c>
      <c r="Q510" t="str">
        <f>VLOOKUP(C510, Lookups!$A$2:$D$10, 2, FALSE())</f>
        <v>NextGen Hardware</v>
      </c>
      <c r="R510" t="str">
        <f>_xlfn.XLOOKUP(D510, Lookups!$A$12:$A$51, Lookups!$C$12:$C$51, "Unknown")</f>
        <v>Electronics</v>
      </c>
      <c r="S510" t="str">
        <f>IF(ISBLANK(I510), B510+VLOOKUP(C510, Lookups!$A$2:$D$10, 4, FALSE()), I510)</f>
        <v>2026-05-03</v>
      </c>
      <c r="T510">
        <f t="shared" si="45"/>
        <v>21</v>
      </c>
      <c r="U510" t="str">
        <f t="shared" si="46"/>
        <v>On-Time</v>
      </c>
      <c r="V510">
        <f t="shared" si="47"/>
        <v>0</v>
      </c>
    </row>
    <row r="511" spans="1:22" x14ac:dyDescent="0.45">
      <c r="A511" t="s">
        <v>1228</v>
      </c>
      <c r="B511" t="s">
        <v>794</v>
      </c>
      <c r="C511" t="s">
        <v>35</v>
      </c>
      <c r="D511" t="s">
        <v>70</v>
      </c>
      <c r="E511" t="s">
        <v>17</v>
      </c>
      <c r="F511">
        <v>56</v>
      </c>
      <c r="G511">
        <v>4287</v>
      </c>
      <c r="H511">
        <v>240072</v>
      </c>
      <c r="I511" t="s">
        <v>795</v>
      </c>
      <c r="J511" t="s">
        <v>795</v>
      </c>
      <c r="K511">
        <v>56</v>
      </c>
      <c r="L511">
        <v>0</v>
      </c>
      <c r="M511" t="s">
        <v>115</v>
      </c>
      <c r="N511" t="str">
        <f t="shared" si="42"/>
        <v>PO-100510</v>
      </c>
      <c r="O511" t="str">
        <f t="shared" si="43"/>
        <v>Delivered</v>
      </c>
      <c r="P511" t="str">
        <f t="shared" si="44"/>
        <v>WH-BLR</v>
      </c>
      <c r="Q511" t="str">
        <f>VLOOKUP(C511, Lookups!$A$2:$D$10, 2, FALSE())</f>
        <v>Peripheral Source</v>
      </c>
      <c r="R511" t="str">
        <f>_xlfn.XLOOKUP(D511, Lookups!$A$12:$A$51, Lookups!$C$12:$C$51, "Unknown")</f>
        <v>Peripherals</v>
      </c>
      <c r="S511" t="str">
        <f>IF(ISBLANK(I511), B511+VLOOKUP(C511, Lookups!$A$2:$D$10, 4, FALSE()), I511)</f>
        <v>2026-09-17</v>
      </c>
      <c r="T511">
        <f t="shared" si="45"/>
        <v>10</v>
      </c>
      <c r="U511" t="str">
        <f t="shared" si="46"/>
        <v>On-Time</v>
      </c>
      <c r="V511">
        <f t="shared" si="47"/>
        <v>0</v>
      </c>
    </row>
    <row r="512" spans="1:22" x14ac:dyDescent="0.45">
      <c r="A512" t="s">
        <v>1229</v>
      </c>
      <c r="B512" t="s">
        <v>518</v>
      </c>
      <c r="C512" t="s">
        <v>31</v>
      </c>
      <c r="D512" t="s">
        <v>85</v>
      </c>
      <c r="E512" t="s">
        <v>18</v>
      </c>
      <c r="F512">
        <v>67</v>
      </c>
      <c r="G512">
        <v>16501</v>
      </c>
      <c r="H512">
        <v>1105567</v>
      </c>
      <c r="I512" t="s">
        <v>162</v>
      </c>
      <c r="J512" t="s">
        <v>240</v>
      </c>
      <c r="K512">
        <v>67</v>
      </c>
      <c r="L512">
        <v>0</v>
      </c>
      <c r="M512" t="s">
        <v>115</v>
      </c>
      <c r="N512" t="str">
        <f t="shared" si="42"/>
        <v>PO-100511</v>
      </c>
      <c r="O512" t="str">
        <f t="shared" si="43"/>
        <v>Delivered</v>
      </c>
      <c r="P512" t="str">
        <f t="shared" si="44"/>
        <v>WH-PUN</v>
      </c>
      <c r="Q512" t="str">
        <f>VLOOKUP(C512, Lookups!$A$2:$D$10, 2, FALSE())</f>
        <v>Global Networks</v>
      </c>
      <c r="R512" t="str">
        <f>_xlfn.XLOOKUP(D512, Lookups!$A$12:$A$51, Lookups!$C$12:$C$51, "Unknown")</f>
        <v>Networking</v>
      </c>
      <c r="S512" t="str">
        <f>IF(ISBLANK(I512), B512+VLOOKUP(C512, Lookups!$A$2:$D$10, 4, FALSE()), I512)</f>
        <v>2025-06-13</v>
      </c>
      <c r="T512">
        <f t="shared" si="45"/>
        <v>23</v>
      </c>
      <c r="U512" t="str">
        <f t="shared" si="46"/>
        <v>Late</v>
      </c>
      <c r="V512">
        <f t="shared" si="47"/>
        <v>0</v>
      </c>
    </row>
    <row r="513" spans="1:22" x14ac:dyDescent="0.45">
      <c r="A513" t="s">
        <v>1230</v>
      </c>
      <c r="B513" t="s">
        <v>361</v>
      </c>
      <c r="C513" t="s">
        <v>31</v>
      </c>
      <c r="D513" t="s">
        <v>77</v>
      </c>
      <c r="E513" t="s">
        <v>16</v>
      </c>
      <c r="F513">
        <v>241</v>
      </c>
      <c r="G513">
        <v>23667</v>
      </c>
      <c r="H513">
        <v>5703747</v>
      </c>
      <c r="I513" t="s">
        <v>444</v>
      </c>
      <c r="J513" t="s">
        <v>444</v>
      </c>
      <c r="K513">
        <v>241</v>
      </c>
      <c r="L513">
        <v>0</v>
      </c>
      <c r="M513" t="s">
        <v>166</v>
      </c>
      <c r="N513" t="str">
        <f t="shared" si="42"/>
        <v>PO-100512</v>
      </c>
      <c r="O513" t="str">
        <f t="shared" si="43"/>
        <v>Delivered</v>
      </c>
      <c r="P513" t="str">
        <f t="shared" si="44"/>
        <v>WH-DEL</v>
      </c>
      <c r="Q513" t="str">
        <f>VLOOKUP(C513, Lookups!$A$2:$D$10, 2, FALSE())</f>
        <v>Global Networks</v>
      </c>
      <c r="R513" t="str">
        <f>_xlfn.XLOOKUP(D513, Lookups!$A$12:$A$51, Lookups!$C$12:$C$51, "Unknown")</f>
        <v>Networking</v>
      </c>
      <c r="S513" t="str">
        <f>IF(ISBLANK(I513), B513+VLOOKUP(C513, Lookups!$A$2:$D$10, 4, FALSE()), I513)</f>
        <v>2026-04-12</v>
      </c>
      <c r="T513">
        <f t="shared" si="45"/>
        <v>21</v>
      </c>
      <c r="U513" t="str">
        <f t="shared" si="46"/>
        <v>On-Time</v>
      </c>
      <c r="V513">
        <f t="shared" si="47"/>
        <v>0</v>
      </c>
    </row>
    <row r="514" spans="1:22" x14ac:dyDescent="0.45">
      <c r="A514" t="s">
        <v>1231</v>
      </c>
      <c r="B514" t="s">
        <v>155</v>
      </c>
      <c r="C514" t="s">
        <v>36</v>
      </c>
      <c r="D514" t="s">
        <v>62</v>
      </c>
      <c r="E514" t="s">
        <v>16</v>
      </c>
      <c r="F514">
        <v>222</v>
      </c>
      <c r="G514">
        <v>48478</v>
      </c>
      <c r="H514">
        <v>10762116</v>
      </c>
      <c r="I514" t="s">
        <v>544</v>
      </c>
      <c r="J514" t="s">
        <v>446</v>
      </c>
      <c r="K514">
        <v>170</v>
      </c>
      <c r="L514">
        <v>0</v>
      </c>
      <c r="M514" t="s">
        <v>115</v>
      </c>
      <c r="N514" t="str">
        <f t="shared" ref="N514:N577" si="48">TRIM(A514)</f>
        <v>PO-100513</v>
      </c>
      <c r="O514" t="str">
        <f t="shared" ref="O514:O577" si="49">PROPER(TRIM(M514))</f>
        <v>Delivered</v>
      </c>
      <c r="P514" t="str">
        <f t="shared" ref="P514:P577" si="50">TRIM(E514)</f>
        <v>WH-DEL</v>
      </c>
      <c r="Q514" t="str">
        <f>VLOOKUP(C514, Lookups!$A$2:$D$10, 2, FALSE())</f>
        <v>NextGen Hardware</v>
      </c>
      <c r="R514" t="str">
        <f>_xlfn.XLOOKUP(D514, Lookups!$A$12:$A$51, Lookups!$C$12:$C$51, "Unknown")</f>
        <v>Electronics</v>
      </c>
      <c r="S514" t="str">
        <f>IF(ISBLANK(I514), B514+VLOOKUP(C514, Lookups!$A$2:$D$10, 4, FALSE()), I514)</f>
        <v>2025-11-23</v>
      </c>
      <c r="T514">
        <f t="shared" ref="T514:T577" si="51">IF(ISBLANK(J514), "", J514-B514)</f>
        <v>30</v>
      </c>
      <c r="U514" t="str">
        <f t="shared" ref="U514:U577" si="52">IF(O514="Open", "Open", IF(J514&gt;S514, "Late", "On-Time"))</f>
        <v>Late</v>
      </c>
      <c r="V514">
        <f t="shared" ref="V514:V577" si="53">IF(K514&gt;0, L514/K514, 0)</f>
        <v>0</v>
      </c>
    </row>
    <row r="515" spans="1:22" x14ac:dyDescent="0.45">
      <c r="A515" t="s">
        <v>1232</v>
      </c>
      <c r="B515" t="s">
        <v>1187</v>
      </c>
      <c r="C515" t="s">
        <v>30</v>
      </c>
      <c r="D515" t="s">
        <v>59</v>
      </c>
      <c r="E515" t="s">
        <v>17</v>
      </c>
      <c r="F515">
        <v>185</v>
      </c>
      <c r="G515">
        <v>48905</v>
      </c>
      <c r="H515">
        <v>9047425</v>
      </c>
      <c r="I515" t="s">
        <v>469</v>
      </c>
      <c r="J515" t="s">
        <v>469</v>
      </c>
      <c r="K515">
        <v>185</v>
      </c>
      <c r="L515">
        <v>0</v>
      </c>
      <c r="M515" t="s">
        <v>115</v>
      </c>
      <c r="N515" t="str">
        <f t="shared" si="48"/>
        <v>PO-100514</v>
      </c>
      <c r="O515" t="str">
        <f t="shared" si="49"/>
        <v>Delivered</v>
      </c>
      <c r="P515" t="str">
        <f t="shared" si="50"/>
        <v>WH-BLR</v>
      </c>
      <c r="Q515" t="str">
        <f>VLOOKUP(C515, Lookups!$A$2:$D$10, 2, FALSE())</f>
        <v>TechSupply Corp</v>
      </c>
      <c r="R515" t="str">
        <f>_xlfn.XLOOKUP(D515, Lookups!$A$12:$A$51, Lookups!$C$12:$C$51, "Unknown")</f>
        <v>Electronics</v>
      </c>
      <c r="S515" t="str">
        <f>IF(ISBLANK(I515), B515+VLOOKUP(C515, Lookups!$A$2:$D$10, 4, FALSE()), I515)</f>
        <v>2025-07-15</v>
      </c>
      <c r="T515">
        <f t="shared" si="51"/>
        <v>14</v>
      </c>
      <c r="U515" t="str">
        <f t="shared" si="52"/>
        <v>On-Time</v>
      </c>
      <c r="V515">
        <f t="shared" si="53"/>
        <v>0</v>
      </c>
    </row>
    <row r="516" spans="1:22" x14ac:dyDescent="0.45">
      <c r="A516" t="s">
        <v>1233</v>
      </c>
      <c r="B516" t="s">
        <v>234</v>
      </c>
      <c r="C516" t="s">
        <v>30</v>
      </c>
      <c r="D516" t="s">
        <v>82</v>
      </c>
      <c r="E516" t="s">
        <v>15</v>
      </c>
      <c r="F516">
        <v>111</v>
      </c>
      <c r="G516">
        <v>83427</v>
      </c>
      <c r="H516">
        <v>9260397</v>
      </c>
      <c r="I516" t="s">
        <v>292</v>
      </c>
      <c r="J516" t="s">
        <v>1069</v>
      </c>
      <c r="K516">
        <v>111</v>
      </c>
      <c r="L516">
        <v>0</v>
      </c>
      <c r="M516" t="s">
        <v>115</v>
      </c>
      <c r="N516" t="str">
        <f t="shared" si="48"/>
        <v>PO-100515</v>
      </c>
      <c r="O516" t="str">
        <f t="shared" si="49"/>
        <v>Delivered</v>
      </c>
      <c r="P516" t="str">
        <f t="shared" si="50"/>
        <v>WH-BOM</v>
      </c>
      <c r="Q516" t="str">
        <f>VLOOKUP(C516, Lookups!$A$2:$D$10, 2, FALSE())</f>
        <v>TechSupply Corp</v>
      </c>
      <c r="R516" t="str">
        <f>_xlfn.XLOOKUP(D516, Lookups!$A$12:$A$51, Lookups!$C$12:$C$51, "Unknown")</f>
        <v>Electronics</v>
      </c>
      <c r="S516" t="str">
        <f>IF(ISBLANK(I516), B516+VLOOKUP(C516, Lookups!$A$2:$D$10, 4, FALSE()), I516)</f>
        <v>2025-08-17</v>
      </c>
      <c r="T516">
        <f t="shared" si="51"/>
        <v>11</v>
      </c>
      <c r="U516" t="str">
        <f t="shared" si="52"/>
        <v>On-Time</v>
      </c>
      <c r="V516">
        <f t="shared" si="53"/>
        <v>0</v>
      </c>
    </row>
    <row r="517" spans="1:22" x14ac:dyDescent="0.45">
      <c r="A517" t="s">
        <v>1234</v>
      </c>
      <c r="B517" t="s">
        <v>1235</v>
      </c>
      <c r="C517" t="s">
        <v>30</v>
      </c>
      <c r="D517" t="s">
        <v>59</v>
      </c>
      <c r="E517" t="s">
        <v>16</v>
      </c>
      <c r="F517">
        <v>160</v>
      </c>
      <c r="G517">
        <v>48905</v>
      </c>
      <c r="H517">
        <v>7824800</v>
      </c>
      <c r="I517" t="s">
        <v>1236</v>
      </c>
      <c r="J517" t="s">
        <v>895</v>
      </c>
      <c r="K517">
        <v>160</v>
      </c>
      <c r="L517">
        <v>0</v>
      </c>
      <c r="M517" t="s">
        <v>115</v>
      </c>
      <c r="N517" t="str">
        <f t="shared" si="48"/>
        <v>PO-100516</v>
      </c>
      <c r="O517" t="str">
        <f t="shared" si="49"/>
        <v>Delivered</v>
      </c>
      <c r="P517" t="str">
        <f t="shared" si="50"/>
        <v>WH-DEL</v>
      </c>
      <c r="Q517" t="str">
        <f>VLOOKUP(C517, Lookups!$A$2:$D$10, 2, FALSE())</f>
        <v>TechSupply Corp</v>
      </c>
      <c r="R517" t="str">
        <f>_xlfn.XLOOKUP(D517, Lookups!$A$12:$A$51, Lookups!$C$12:$C$51, "Unknown")</f>
        <v>Electronics</v>
      </c>
      <c r="S517" t="str">
        <f>IF(ISBLANK(I517), B517+VLOOKUP(C517, Lookups!$A$2:$D$10, 4, FALSE()), I517)</f>
        <v>2025-08-23</v>
      </c>
      <c r="T517">
        <f t="shared" si="51"/>
        <v>16</v>
      </c>
      <c r="U517" t="str">
        <f t="shared" si="52"/>
        <v>Late</v>
      </c>
      <c r="V517">
        <f t="shared" si="53"/>
        <v>0</v>
      </c>
    </row>
    <row r="518" spans="1:22" x14ac:dyDescent="0.45">
      <c r="A518" t="s">
        <v>1237</v>
      </c>
      <c r="B518" t="s">
        <v>773</v>
      </c>
      <c r="C518" t="s">
        <v>30</v>
      </c>
      <c r="D518" t="s">
        <v>52</v>
      </c>
      <c r="E518" t="s">
        <v>16</v>
      </c>
      <c r="F518">
        <v>48</v>
      </c>
      <c r="G518">
        <v>59592</v>
      </c>
      <c r="H518">
        <v>2860416</v>
      </c>
      <c r="I518" t="s">
        <v>851</v>
      </c>
      <c r="J518" t="s">
        <v>422</v>
      </c>
      <c r="K518">
        <v>48</v>
      </c>
      <c r="L518">
        <v>5</v>
      </c>
      <c r="M518" t="s">
        <v>115</v>
      </c>
      <c r="N518" t="str">
        <f t="shared" si="48"/>
        <v>PO-100517</v>
      </c>
      <c r="O518" t="str">
        <f t="shared" si="49"/>
        <v>Delivered</v>
      </c>
      <c r="P518" t="str">
        <f t="shared" si="50"/>
        <v>WH-DEL</v>
      </c>
      <c r="Q518" t="str">
        <f>VLOOKUP(C518, Lookups!$A$2:$D$10, 2, FALSE())</f>
        <v>TechSupply Corp</v>
      </c>
      <c r="R518" t="str">
        <f>_xlfn.XLOOKUP(D518, Lookups!$A$12:$A$51, Lookups!$C$12:$C$51, "Unknown")</f>
        <v>Electronics</v>
      </c>
      <c r="S518" t="str">
        <f>IF(ISBLANK(I518), B518+VLOOKUP(C518, Lookups!$A$2:$D$10, 4, FALSE()), I518)</f>
        <v>2026-01-16</v>
      </c>
      <c r="T518">
        <f t="shared" si="51"/>
        <v>17</v>
      </c>
      <c r="U518" t="str">
        <f t="shared" si="52"/>
        <v>Late</v>
      </c>
      <c r="V518">
        <f t="shared" si="53"/>
        <v>0.10416666666666667</v>
      </c>
    </row>
    <row r="519" spans="1:22" x14ac:dyDescent="0.45">
      <c r="A519" t="s">
        <v>1238</v>
      </c>
      <c r="B519" t="s">
        <v>172</v>
      </c>
      <c r="C519" t="s">
        <v>32</v>
      </c>
      <c r="D519" t="s">
        <v>67</v>
      </c>
      <c r="E519" t="s">
        <v>16</v>
      </c>
      <c r="F519">
        <v>105</v>
      </c>
      <c r="G519">
        <v>1553</v>
      </c>
      <c r="H519">
        <v>163065</v>
      </c>
      <c r="I519" t="s">
        <v>728</v>
      </c>
      <c r="J519" t="s">
        <v>875</v>
      </c>
      <c r="K519">
        <v>105</v>
      </c>
      <c r="L519">
        <v>0</v>
      </c>
      <c r="M519" t="s">
        <v>115</v>
      </c>
      <c r="N519" t="str">
        <f t="shared" si="48"/>
        <v>PO-100518</v>
      </c>
      <c r="O519" t="str">
        <f t="shared" si="49"/>
        <v>Delivered</v>
      </c>
      <c r="P519" t="str">
        <f t="shared" si="50"/>
        <v>WH-DEL</v>
      </c>
      <c r="Q519" t="str">
        <f>VLOOKUP(C519, Lookups!$A$2:$D$10, 2, FALSE())</f>
        <v>OfficeDepot Pro</v>
      </c>
      <c r="R519" t="str">
        <f>_xlfn.XLOOKUP(D519, Lookups!$A$12:$A$51, Lookups!$C$12:$C$51, "Unknown")</f>
        <v>Peripherals</v>
      </c>
      <c r="S519" t="str">
        <f>IF(ISBLANK(I519), B519+VLOOKUP(C519, Lookups!$A$2:$D$10, 4, FALSE()), I519)</f>
        <v>2025-09-10</v>
      </c>
      <c r="T519">
        <f t="shared" si="51"/>
        <v>8</v>
      </c>
      <c r="U519" t="str">
        <f t="shared" si="52"/>
        <v>Late</v>
      </c>
      <c r="V519">
        <f t="shared" si="53"/>
        <v>0</v>
      </c>
    </row>
    <row r="520" spans="1:22" x14ac:dyDescent="0.45">
      <c r="A520" t="s">
        <v>1239</v>
      </c>
      <c r="B520" t="s">
        <v>741</v>
      </c>
      <c r="C520" t="s">
        <v>30</v>
      </c>
      <c r="D520" t="s">
        <v>52</v>
      </c>
      <c r="E520" t="s">
        <v>15</v>
      </c>
      <c r="F520">
        <v>175</v>
      </c>
      <c r="G520">
        <v>59592</v>
      </c>
      <c r="H520">
        <v>10428600</v>
      </c>
      <c r="I520" t="s">
        <v>497</v>
      </c>
      <c r="J520" t="s">
        <v>1142</v>
      </c>
      <c r="K520">
        <v>175</v>
      </c>
      <c r="L520">
        <v>0</v>
      </c>
      <c r="M520" t="s">
        <v>115</v>
      </c>
      <c r="N520" t="str">
        <f t="shared" si="48"/>
        <v>PO-100519</v>
      </c>
      <c r="O520" t="str">
        <f t="shared" si="49"/>
        <v>Delivered</v>
      </c>
      <c r="P520" t="str">
        <f t="shared" si="50"/>
        <v>WH-BOM</v>
      </c>
      <c r="Q520" t="str">
        <f>VLOOKUP(C520, Lookups!$A$2:$D$10, 2, FALSE())</f>
        <v>TechSupply Corp</v>
      </c>
      <c r="R520" t="str">
        <f>_xlfn.XLOOKUP(D520, Lookups!$A$12:$A$51, Lookups!$C$12:$C$51, "Unknown")</f>
        <v>Electronics</v>
      </c>
      <c r="S520" t="str">
        <f>IF(ISBLANK(I520), B520+VLOOKUP(C520, Lookups!$A$2:$D$10, 4, FALSE()), I520)</f>
        <v>2025-03-19</v>
      </c>
      <c r="T520">
        <f t="shared" si="51"/>
        <v>27</v>
      </c>
      <c r="U520" t="str">
        <f t="shared" si="52"/>
        <v>Late</v>
      </c>
      <c r="V520">
        <f t="shared" si="53"/>
        <v>0</v>
      </c>
    </row>
    <row r="521" spans="1:22" x14ac:dyDescent="0.45">
      <c r="A521" t="s">
        <v>1240</v>
      </c>
      <c r="B521" t="s">
        <v>276</v>
      </c>
      <c r="C521" t="s">
        <v>34</v>
      </c>
      <c r="D521" t="s">
        <v>76</v>
      </c>
      <c r="E521" t="s">
        <v>16</v>
      </c>
      <c r="F521">
        <v>57</v>
      </c>
      <c r="G521">
        <v>26270</v>
      </c>
      <c r="H521">
        <v>1497390</v>
      </c>
      <c r="I521" t="s">
        <v>983</v>
      </c>
      <c r="J521" t="s">
        <v>1241</v>
      </c>
      <c r="K521">
        <v>57</v>
      </c>
      <c r="L521">
        <v>0</v>
      </c>
      <c r="M521" t="s">
        <v>115</v>
      </c>
      <c r="N521" t="str">
        <f t="shared" si="48"/>
        <v>PO-100520</v>
      </c>
      <c r="O521" t="str">
        <f t="shared" si="49"/>
        <v>Delivered</v>
      </c>
      <c r="P521" t="str">
        <f t="shared" si="50"/>
        <v>WH-DEL</v>
      </c>
      <c r="Q521" t="str">
        <f>VLOOKUP(C521, Lookups!$A$2:$D$10, 2, FALSE())</f>
        <v>FastElectronics</v>
      </c>
      <c r="R521" t="str">
        <f>_xlfn.XLOOKUP(D521, Lookups!$A$12:$A$51, Lookups!$C$12:$C$51, "Unknown")</f>
        <v>Networking</v>
      </c>
      <c r="S521" t="str">
        <f>IF(ISBLANK(I521), B521+VLOOKUP(C521, Lookups!$A$2:$D$10, 4, FALSE()), I521)</f>
        <v>2025-04-30</v>
      </c>
      <c r="T521">
        <f t="shared" si="51"/>
        <v>19</v>
      </c>
      <c r="U521" t="str">
        <f t="shared" si="52"/>
        <v>Late</v>
      </c>
      <c r="V521">
        <f t="shared" si="53"/>
        <v>0</v>
      </c>
    </row>
    <row r="522" spans="1:22" x14ac:dyDescent="0.45">
      <c r="A522" t="s">
        <v>1242</v>
      </c>
      <c r="B522" t="s">
        <v>529</v>
      </c>
      <c r="C522" t="s">
        <v>31</v>
      </c>
      <c r="D522" t="s">
        <v>56</v>
      </c>
      <c r="E522" t="s">
        <v>17</v>
      </c>
      <c r="F522">
        <v>100</v>
      </c>
      <c r="G522">
        <v>39270</v>
      </c>
      <c r="H522">
        <v>3927000</v>
      </c>
      <c r="I522" t="s">
        <v>375</v>
      </c>
      <c r="J522" t="s">
        <v>1177</v>
      </c>
      <c r="K522">
        <v>78</v>
      </c>
      <c r="L522">
        <v>0</v>
      </c>
      <c r="M522" t="s">
        <v>115</v>
      </c>
      <c r="N522" t="str">
        <f t="shared" si="48"/>
        <v>PO-100521</v>
      </c>
      <c r="O522" t="str">
        <f t="shared" si="49"/>
        <v>Delivered</v>
      </c>
      <c r="P522" t="str">
        <f t="shared" si="50"/>
        <v>WH-BLR</v>
      </c>
      <c r="Q522" t="str">
        <f>VLOOKUP(C522, Lookups!$A$2:$D$10, 2, FALSE())</f>
        <v>Global Networks</v>
      </c>
      <c r="R522" t="str">
        <f>_xlfn.XLOOKUP(D522, Lookups!$A$12:$A$51, Lookups!$C$12:$C$51, "Unknown")</f>
        <v>Networking</v>
      </c>
      <c r="S522" t="str">
        <f>IF(ISBLANK(I522), B522+VLOOKUP(C522, Lookups!$A$2:$D$10, 4, FALSE()), I522)</f>
        <v>2026-06-10</v>
      </c>
      <c r="T522">
        <f t="shared" si="51"/>
        <v>22</v>
      </c>
      <c r="U522" t="str">
        <f t="shared" si="52"/>
        <v>Late</v>
      </c>
      <c r="V522">
        <f t="shared" si="53"/>
        <v>0</v>
      </c>
    </row>
    <row r="523" spans="1:22" x14ac:dyDescent="0.45">
      <c r="A523" t="s">
        <v>1243</v>
      </c>
      <c r="B523" t="s">
        <v>1211</v>
      </c>
      <c r="C523" t="s">
        <v>30</v>
      </c>
      <c r="D523" t="s">
        <v>61</v>
      </c>
      <c r="E523" t="s">
        <v>16</v>
      </c>
      <c r="F523">
        <v>10</v>
      </c>
      <c r="G523">
        <v>111237</v>
      </c>
      <c r="H523">
        <v>1112370</v>
      </c>
      <c r="I523" t="s">
        <v>981</v>
      </c>
      <c r="J523" t="s">
        <v>1111</v>
      </c>
      <c r="K523">
        <v>10</v>
      </c>
      <c r="L523">
        <v>0</v>
      </c>
      <c r="M523" t="s">
        <v>115</v>
      </c>
      <c r="N523" t="str">
        <f t="shared" si="48"/>
        <v>PO-100522</v>
      </c>
      <c r="O523" t="str">
        <f t="shared" si="49"/>
        <v>Delivered</v>
      </c>
      <c r="P523" t="str">
        <f t="shared" si="50"/>
        <v>WH-DEL</v>
      </c>
      <c r="Q523" t="str">
        <f>VLOOKUP(C523, Lookups!$A$2:$D$10, 2, FALSE())</f>
        <v>TechSupply Corp</v>
      </c>
      <c r="R523" t="str">
        <f>_xlfn.XLOOKUP(D523, Lookups!$A$12:$A$51, Lookups!$C$12:$C$51, "Unknown")</f>
        <v>Electronics</v>
      </c>
      <c r="S523" t="str">
        <f>IF(ISBLANK(I523), B523+VLOOKUP(C523, Lookups!$A$2:$D$10, 4, FALSE()), I523)</f>
        <v>2026-10-13</v>
      </c>
      <c r="T523">
        <f t="shared" si="51"/>
        <v>15</v>
      </c>
      <c r="U523" t="str">
        <f t="shared" si="52"/>
        <v>Late</v>
      </c>
      <c r="V523">
        <f t="shared" si="53"/>
        <v>0</v>
      </c>
    </row>
    <row r="524" spans="1:22" x14ac:dyDescent="0.45">
      <c r="A524" t="s">
        <v>1244</v>
      </c>
      <c r="B524" t="s">
        <v>168</v>
      </c>
      <c r="C524" t="s">
        <v>31</v>
      </c>
      <c r="D524" t="s">
        <v>66</v>
      </c>
      <c r="E524" t="s">
        <v>15</v>
      </c>
      <c r="F524">
        <v>108</v>
      </c>
      <c r="G524">
        <v>29719</v>
      </c>
      <c r="H524">
        <v>3209652</v>
      </c>
      <c r="I524" t="s">
        <v>473</v>
      </c>
      <c r="J524" t="s">
        <v>791</v>
      </c>
      <c r="K524">
        <v>108</v>
      </c>
      <c r="L524">
        <v>0</v>
      </c>
      <c r="M524" t="s">
        <v>115</v>
      </c>
      <c r="N524" t="str">
        <f t="shared" si="48"/>
        <v>PO-100523</v>
      </c>
      <c r="O524" t="str">
        <f t="shared" si="49"/>
        <v>Delivered</v>
      </c>
      <c r="P524" t="str">
        <f t="shared" si="50"/>
        <v>WH-BOM</v>
      </c>
      <c r="Q524" t="str">
        <f>VLOOKUP(C524, Lookups!$A$2:$D$10, 2, FALSE())</f>
        <v>Global Networks</v>
      </c>
      <c r="R524" t="str">
        <f>_xlfn.XLOOKUP(D524, Lookups!$A$12:$A$51, Lookups!$C$12:$C$51, "Unknown")</f>
        <v>Networking</v>
      </c>
      <c r="S524" t="str">
        <f>IF(ISBLANK(I524), B524+VLOOKUP(C524, Lookups!$A$2:$D$10, 4, FALSE()), I524)</f>
        <v>2025-06-10</v>
      </c>
      <c r="T524">
        <f t="shared" si="51"/>
        <v>22</v>
      </c>
      <c r="U524" t="str">
        <f t="shared" si="52"/>
        <v>Late</v>
      </c>
      <c r="V524">
        <f t="shared" si="53"/>
        <v>0</v>
      </c>
    </row>
    <row r="525" spans="1:22" x14ac:dyDescent="0.45">
      <c r="A525" t="s">
        <v>1245</v>
      </c>
      <c r="B525" t="s">
        <v>497</v>
      </c>
      <c r="C525" t="s">
        <v>35</v>
      </c>
      <c r="D525" t="s">
        <v>70</v>
      </c>
      <c r="E525" t="s">
        <v>17</v>
      </c>
      <c r="F525">
        <v>106</v>
      </c>
      <c r="G525">
        <v>4287</v>
      </c>
      <c r="H525">
        <v>454422</v>
      </c>
      <c r="I525" t="s">
        <v>478</v>
      </c>
      <c r="J525" t="s">
        <v>1158</v>
      </c>
      <c r="K525">
        <v>106</v>
      </c>
      <c r="L525">
        <v>0</v>
      </c>
      <c r="M525" t="s">
        <v>115</v>
      </c>
      <c r="N525" t="str">
        <f t="shared" si="48"/>
        <v>PO-100524</v>
      </c>
      <c r="O525" t="str">
        <f t="shared" si="49"/>
        <v>Delivered</v>
      </c>
      <c r="P525" t="str">
        <f t="shared" si="50"/>
        <v>WH-BLR</v>
      </c>
      <c r="Q525" t="str">
        <f>VLOOKUP(C525, Lookups!$A$2:$D$10, 2, FALSE())</f>
        <v>Peripheral Source</v>
      </c>
      <c r="R525" t="str">
        <f>_xlfn.XLOOKUP(D525, Lookups!$A$12:$A$51, Lookups!$C$12:$C$51, "Unknown")</f>
        <v>Peripherals</v>
      </c>
      <c r="S525" t="str">
        <f>IF(ISBLANK(I525), B525+VLOOKUP(C525, Lookups!$A$2:$D$10, 4, FALSE()), I525)</f>
        <v>2025-03-29</v>
      </c>
      <c r="T525">
        <f t="shared" si="51"/>
        <v>11</v>
      </c>
      <c r="U525" t="str">
        <f t="shared" si="52"/>
        <v>Late</v>
      </c>
      <c r="V525">
        <f t="shared" si="53"/>
        <v>0</v>
      </c>
    </row>
    <row r="526" spans="1:22" x14ac:dyDescent="0.45">
      <c r="A526" t="s">
        <v>1246</v>
      </c>
      <c r="B526" t="s">
        <v>1247</v>
      </c>
      <c r="C526" t="s">
        <v>35</v>
      </c>
      <c r="D526" t="s">
        <v>91</v>
      </c>
      <c r="E526" t="s">
        <v>17</v>
      </c>
      <c r="F526">
        <v>203</v>
      </c>
      <c r="G526">
        <v>6707</v>
      </c>
      <c r="H526">
        <v>1361521</v>
      </c>
      <c r="I526" t="s">
        <v>277</v>
      </c>
      <c r="J526" t="s">
        <v>277</v>
      </c>
      <c r="K526">
        <v>203</v>
      </c>
      <c r="L526">
        <v>0</v>
      </c>
      <c r="M526" t="s">
        <v>115</v>
      </c>
      <c r="N526" t="str">
        <f t="shared" si="48"/>
        <v>PO-100525</v>
      </c>
      <c r="O526" t="str">
        <f t="shared" si="49"/>
        <v>Delivered</v>
      </c>
      <c r="P526" t="str">
        <f t="shared" si="50"/>
        <v>WH-BLR</v>
      </c>
      <c r="Q526" t="str">
        <f>VLOOKUP(C526, Lookups!$A$2:$D$10, 2, FALSE())</f>
        <v>Peripheral Source</v>
      </c>
      <c r="R526" t="str">
        <f>_xlfn.XLOOKUP(D526, Lookups!$A$12:$A$51, Lookups!$C$12:$C$51, "Unknown")</f>
        <v>Peripherals</v>
      </c>
      <c r="S526" t="str">
        <f>IF(ISBLANK(I526), B526+VLOOKUP(C526, Lookups!$A$2:$D$10, 4, FALSE()), I526)</f>
        <v>2025-05-12</v>
      </c>
      <c r="T526">
        <f t="shared" si="51"/>
        <v>10</v>
      </c>
      <c r="U526" t="str">
        <f t="shared" si="52"/>
        <v>On-Time</v>
      </c>
      <c r="V526">
        <f t="shared" si="53"/>
        <v>0</v>
      </c>
    </row>
    <row r="527" spans="1:22" x14ac:dyDescent="0.45">
      <c r="A527" t="s">
        <v>1248</v>
      </c>
      <c r="B527" t="s">
        <v>958</v>
      </c>
      <c r="C527" t="s">
        <v>37</v>
      </c>
      <c r="D527" t="s">
        <v>79</v>
      </c>
      <c r="E527" t="s">
        <v>18</v>
      </c>
      <c r="F527">
        <v>192</v>
      </c>
      <c r="G527">
        <v>23054</v>
      </c>
      <c r="H527">
        <v>4426368</v>
      </c>
      <c r="I527" t="s">
        <v>530</v>
      </c>
      <c r="J527" t="s">
        <v>530</v>
      </c>
      <c r="K527">
        <v>192</v>
      </c>
      <c r="L527">
        <v>0</v>
      </c>
      <c r="M527" t="s">
        <v>115</v>
      </c>
      <c r="N527" t="str">
        <f t="shared" si="48"/>
        <v>PO-100526</v>
      </c>
      <c r="O527" t="str">
        <f t="shared" si="49"/>
        <v>Delivered</v>
      </c>
      <c r="P527" t="str">
        <f t="shared" si="50"/>
        <v>WH-PUN</v>
      </c>
      <c r="Q527" t="str">
        <f>VLOOKUP(C527, Lookups!$A$2:$D$10, 2, FALSE())</f>
        <v>Premium Desks Ltd</v>
      </c>
      <c r="R527" t="str">
        <f>_xlfn.XLOOKUP(D527, Lookups!$A$12:$A$51, Lookups!$C$12:$C$51, "Unknown")</f>
        <v>Office Furniture</v>
      </c>
      <c r="S527" t="str">
        <f>IF(ISBLANK(I527), B527+VLOOKUP(C527, Lookups!$A$2:$D$10, 4, FALSE()), I527)</f>
        <v>2026-06-07</v>
      </c>
      <c r="T527">
        <f t="shared" si="51"/>
        <v>12</v>
      </c>
      <c r="U527" t="str">
        <f t="shared" si="52"/>
        <v>On-Time</v>
      </c>
      <c r="V527">
        <f t="shared" si="53"/>
        <v>0</v>
      </c>
    </row>
    <row r="528" spans="1:22" x14ac:dyDescent="0.45">
      <c r="A528" t="s">
        <v>1249</v>
      </c>
      <c r="B528" t="s">
        <v>281</v>
      </c>
      <c r="C528" t="s">
        <v>37</v>
      </c>
      <c r="D528" t="s">
        <v>78</v>
      </c>
      <c r="E528" t="s">
        <v>15</v>
      </c>
      <c r="F528">
        <v>42</v>
      </c>
      <c r="G528">
        <v>9423</v>
      </c>
      <c r="H528">
        <v>395766</v>
      </c>
      <c r="I528" t="s">
        <v>615</v>
      </c>
      <c r="J528" t="s">
        <v>1126</v>
      </c>
      <c r="K528">
        <v>42</v>
      </c>
      <c r="L528">
        <v>0</v>
      </c>
      <c r="M528" t="s">
        <v>115</v>
      </c>
      <c r="N528" t="str">
        <f t="shared" si="48"/>
        <v>PO-100527</v>
      </c>
      <c r="O528" t="str">
        <f t="shared" si="49"/>
        <v>Delivered</v>
      </c>
      <c r="P528" t="str">
        <f t="shared" si="50"/>
        <v>WH-BOM</v>
      </c>
      <c r="Q528" t="str">
        <f>VLOOKUP(C528, Lookups!$A$2:$D$10, 2, FALSE())</f>
        <v>Premium Desks Ltd</v>
      </c>
      <c r="R528" t="str">
        <f>_xlfn.XLOOKUP(D528, Lookups!$A$12:$A$51, Lookups!$C$12:$C$51, "Unknown")</f>
        <v>Office Furniture</v>
      </c>
      <c r="S528" t="str">
        <f>IF(ISBLANK(I528), B528+VLOOKUP(C528, Lookups!$A$2:$D$10, 4, FALSE()), I528)</f>
        <v>2026-11-07</v>
      </c>
      <c r="T528">
        <f t="shared" si="51"/>
        <v>23</v>
      </c>
      <c r="U528" t="str">
        <f t="shared" si="52"/>
        <v>Late</v>
      </c>
      <c r="V528">
        <f t="shared" si="53"/>
        <v>0</v>
      </c>
    </row>
    <row r="529" spans="1:22" x14ac:dyDescent="0.45">
      <c r="A529" t="s">
        <v>1250</v>
      </c>
      <c r="B529" t="s">
        <v>281</v>
      </c>
      <c r="C529" t="s">
        <v>35</v>
      </c>
      <c r="D529" t="s">
        <v>72</v>
      </c>
      <c r="E529" t="s">
        <v>18</v>
      </c>
      <c r="F529">
        <v>150</v>
      </c>
      <c r="G529">
        <v>7754</v>
      </c>
      <c r="H529">
        <v>1163100</v>
      </c>
      <c r="I529" t="s">
        <v>158</v>
      </c>
      <c r="J529" t="s">
        <v>1024</v>
      </c>
      <c r="K529">
        <v>82</v>
      </c>
      <c r="L529">
        <v>0</v>
      </c>
      <c r="M529" t="s">
        <v>115</v>
      </c>
      <c r="N529" t="str">
        <f t="shared" si="48"/>
        <v>PO-100528</v>
      </c>
      <c r="O529" t="str">
        <f t="shared" si="49"/>
        <v>Delivered</v>
      </c>
      <c r="P529" t="str">
        <f t="shared" si="50"/>
        <v>WH-PUN</v>
      </c>
      <c r="Q529" t="str">
        <f>VLOOKUP(C529, Lookups!$A$2:$D$10, 2, FALSE())</f>
        <v>Peripheral Source</v>
      </c>
      <c r="R529" t="str">
        <f>_xlfn.XLOOKUP(D529, Lookups!$A$12:$A$51, Lookups!$C$12:$C$51, "Unknown")</f>
        <v>Peripherals</v>
      </c>
      <c r="S529" t="str">
        <f>IF(ISBLANK(I529), B529+VLOOKUP(C529, Lookups!$A$2:$D$10, 4, FALSE()), I529)</f>
        <v>2026-11-05</v>
      </c>
      <c r="T529">
        <f t="shared" si="51"/>
        <v>22</v>
      </c>
      <c r="U529" t="str">
        <f t="shared" si="52"/>
        <v>Late</v>
      </c>
      <c r="V529">
        <f t="shared" si="53"/>
        <v>0</v>
      </c>
    </row>
    <row r="530" spans="1:22" x14ac:dyDescent="0.45">
      <c r="A530" t="s">
        <v>1251</v>
      </c>
      <c r="B530" t="s">
        <v>568</v>
      </c>
      <c r="C530" t="s">
        <v>31</v>
      </c>
      <c r="D530" t="s">
        <v>56</v>
      </c>
      <c r="E530" t="s">
        <v>15</v>
      </c>
      <c r="F530">
        <v>110</v>
      </c>
      <c r="G530">
        <v>39270</v>
      </c>
      <c r="H530">
        <v>4319700</v>
      </c>
      <c r="I530" t="s">
        <v>978</v>
      </c>
      <c r="J530" t="s">
        <v>1252</v>
      </c>
      <c r="K530">
        <v>95</v>
      </c>
      <c r="L530">
        <v>0</v>
      </c>
      <c r="M530" t="s">
        <v>115</v>
      </c>
      <c r="N530" t="str">
        <f t="shared" si="48"/>
        <v>PO-100529</v>
      </c>
      <c r="O530" t="str">
        <f t="shared" si="49"/>
        <v>Delivered</v>
      </c>
      <c r="P530" t="str">
        <f t="shared" si="50"/>
        <v>WH-BOM</v>
      </c>
      <c r="Q530" t="str">
        <f>VLOOKUP(C530, Lookups!$A$2:$D$10, 2, FALSE())</f>
        <v>Global Networks</v>
      </c>
      <c r="R530" t="str">
        <f>_xlfn.XLOOKUP(D530, Lookups!$A$12:$A$51, Lookups!$C$12:$C$51, "Unknown")</f>
        <v>Networking</v>
      </c>
      <c r="S530" t="str">
        <f>IF(ISBLANK(I530), B530+VLOOKUP(C530, Lookups!$A$2:$D$10, 4, FALSE()), I530)</f>
        <v>2025-09-30</v>
      </c>
      <c r="T530">
        <f t="shared" si="51"/>
        <v>22</v>
      </c>
      <c r="U530" t="str">
        <f t="shared" si="52"/>
        <v>Late</v>
      </c>
      <c r="V530">
        <f t="shared" si="53"/>
        <v>0</v>
      </c>
    </row>
    <row r="531" spans="1:22" x14ac:dyDescent="0.45">
      <c r="A531" t="s">
        <v>1253</v>
      </c>
      <c r="B531" t="s">
        <v>1254</v>
      </c>
      <c r="C531" t="s">
        <v>37</v>
      </c>
      <c r="D531" t="s">
        <v>79</v>
      </c>
      <c r="E531" t="s">
        <v>16</v>
      </c>
      <c r="F531">
        <v>95</v>
      </c>
      <c r="G531">
        <v>23054</v>
      </c>
      <c r="H531">
        <v>2190130</v>
      </c>
      <c r="I531" t="s">
        <v>157</v>
      </c>
      <c r="J531" t="s">
        <v>157</v>
      </c>
      <c r="K531">
        <v>95</v>
      </c>
      <c r="L531">
        <v>0</v>
      </c>
      <c r="M531" t="s">
        <v>115</v>
      </c>
      <c r="N531" t="str">
        <f t="shared" si="48"/>
        <v>PO-100530</v>
      </c>
      <c r="O531" t="str">
        <f t="shared" si="49"/>
        <v>Delivered</v>
      </c>
      <c r="P531" t="str">
        <f t="shared" si="50"/>
        <v>WH-DEL</v>
      </c>
      <c r="Q531" t="str">
        <f>VLOOKUP(C531, Lookups!$A$2:$D$10, 2, FALSE())</f>
        <v>Premium Desks Ltd</v>
      </c>
      <c r="R531" t="str">
        <f>_xlfn.XLOOKUP(D531, Lookups!$A$12:$A$51, Lookups!$C$12:$C$51, "Unknown")</f>
        <v>Office Furniture</v>
      </c>
      <c r="S531" t="str">
        <f>IF(ISBLANK(I531), B531+VLOOKUP(C531, Lookups!$A$2:$D$10, 4, FALSE()), I531)</f>
        <v>2026-10-22</v>
      </c>
      <c r="T531">
        <f t="shared" si="51"/>
        <v>12</v>
      </c>
      <c r="U531" t="str">
        <f t="shared" si="52"/>
        <v>On-Time</v>
      </c>
      <c r="V531">
        <f t="shared" si="53"/>
        <v>0</v>
      </c>
    </row>
    <row r="532" spans="1:22" x14ac:dyDescent="0.45">
      <c r="A532" t="s">
        <v>1255</v>
      </c>
      <c r="B532" t="s">
        <v>527</v>
      </c>
      <c r="C532" t="s">
        <v>34</v>
      </c>
      <c r="D532" t="s">
        <v>74</v>
      </c>
      <c r="E532" t="s">
        <v>16</v>
      </c>
      <c r="F532">
        <v>28</v>
      </c>
      <c r="G532">
        <v>94797</v>
      </c>
      <c r="H532">
        <v>2654316</v>
      </c>
      <c r="I532" t="s">
        <v>1065</v>
      </c>
      <c r="J532" t="s">
        <v>1066</v>
      </c>
      <c r="K532">
        <v>28</v>
      </c>
      <c r="L532">
        <v>0</v>
      </c>
      <c r="M532" t="s">
        <v>115</v>
      </c>
      <c r="N532" t="str">
        <f t="shared" si="48"/>
        <v>PO-100531</v>
      </c>
      <c r="O532" t="str">
        <f t="shared" si="49"/>
        <v>Delivered</v>
      </c>
      <c r="P532" t="str">
        <f t="shared" si="50"/>
        <v>WH-DEL</v>
      </c>
      <c r="Q532" t="str">
        <f>VLOOKUP(C532, Lookups!$A$2:$D$10, 2, FALSE())</f>
        <v>FastElectronics</v>
      </c>
      <c r="R532" t="str">
        <f>_xlfn.XLOOKUP(D532, Lookups!$A$12:$A$51, Lookups!$C$12:$C$51, "Unknown")</f>
        <v>Electronics</v>
      </c>
      <c r="S532" t="str">
        <f>IF(ISBLANK(I532), B532+VLOOKUP(C532, Lookups!$A$2:$D$10, 4, FALSE()), I532)</f>
        <v>2026-07-25</v>
      </c>
      <c r="T532">
        <f t="shared" si="51"/>
        <v>19</v>
      </c>
      <c r="U532" t="str">
        <f t="shared" si="52"/>
        <v>Late</v>
      </c>
      <c r="V532">
        <f t="shared" si="53"/>
        <v>0</v>
      </c>
    </row>
    <row r="533" spans="1:22" x14ac:dyDescent="0.45">
      <c r="A533" t="s">
        <v>1256</v>
      </c>
      <c r="B533" t="s">
        <v>889</v>
      </c>
      <c r="C533" t="s">
        <v>32</v>
      </c>
      <c r="D533" t="s">
        <v>84</v>
      </c>
      <c r="E533" t="s">
        <v>17</v>
      </c>
      <c r="F533">
        <v>116</v>
      </c>
      <c r="G533">
        <v>7271</v>
      </c>
      <c r="H533">
        <v>843436</v>
      </c>
      <c r="I533" t="s">
        <v>610</v>
      </c>
      <c r="J533" t="s">
        <v>404</v>
      </c>
      <c r="K533">
        <v>76</v>
      </c>
      <c r="L533">
        <v>0</v>
      </c>
      <c r="M533" t="s">
        <v>115</v>
      </c>
      <c r="N533" t="str">
        <f t="shared" si="48"/>
        <v>PO-100532</v>
      </c>
      <c r="O533" t="str">
        <f t="shared" si="49"/>
        <v>Delivered</v>
      </c>
      <c r="P533" t="str">
        <f t="shared" si="50"/>
        <v>WH-BLR</v>
      </c>
      <c r="Q533" t="str">
        <f>VLOOKUP(C533, Lookups!$A$2:$D$10, 2, FALSE())</f>
        <v>OfficeDepot Pro</v>
      </c>
      <c r="R533" t="str">
        <f>_xlfn.XLOOKUP(D533, Lookups!$A$12:$A$51, Lookups!$C$12:$C$51, "Unknown")</f>
        <v>Peripherals</v>
      </c>
      <c r="S533" t="str">
        <f>IF(ISBLANK(I533), B533+VLOOKUP(C533, Lookups!$A$2:$D$10, 4, FALSE()), I533)</f>
        <v>2025-10-26</v>
      </c>
      <c r="T533">
        <f t="shared" si="51"/>
        <v>6</v>
      </c>
      <c r="U533" t="str">
        <f t="shared" si="52"/>
        <v>On-Time</v>
      </c>
      <c r="V533">
        <f t="shared" si="53"/>
        <v>0</v>
      </c>
    </row>
    <row r="534" spans="1:22" x14ac:dyDescent="0.45">
      <c r="A534" t="s">
        <v>1257</v>
      </c>
      <c r="B534" t="s">
        <v>308</v>
      </c>
      <c r="C534" t="s">
        <v>36</v>
      </c>
      <c r="D534" t="s">
        <v>71</v>
      </c>
      <c r="E534" t="s">
        <v>16</v>
      </c>
      <c r="F534">
        <v>15</v>
      </c>
      <c r="G534">
        <v>65379</v>
      </c>
      <c r="H534">
        <v>980685</v>
      </c>
      <c r="I534" t="s">
        <v>646</v>
      </c>
      <c r="J534" t="s">
        <v>750</v>
      </c>
      <c r="K534">
        <v>15</v>
      </c>
      <c r="L534">
        <v>0</v>
      </c>
      <c r="M534" t="s">
        <v>115</v>
      </c>
      <c r="N534" t="str">
        <f t="shared" si="48"/>
        <v>PO-100533</v>
      </c>
      <c r="O534" t="str">
        <f t="shared" si="49"/>
        <v>Delivered</v>
      </c>
      <c r="P534" t="str">
        <f t="shared" si="50"/>
        <v>WH-DEL</v>
      </c>
      <c r="Q534" t="str">
        <f>VLOOKUP(C534, Lookups!$A$2:$D$10, 2, FALSE())</f>
        <v>NextGen Hardware</v>
      </c>
      <c r="R534" t="str">
        <f>_xlfn.XLOOKUP(D534, Lookups!$A$12:$A$51, Lookups!$C$12:$C$51, "Unknown")</f>
        <v>Electronics</v>
      </c>
      <c r="S534" t="str">
        <f>IF(ISBLANK(I534), B534+VLOOKUP(C534, Lookups!$A$2:$D$10, 4, FALSE()), I534)</f>
        <v>2026-10-07</v>
      </c>
      <c r="T534">
        <f t="shared" si="51"/>
        <v>37</v>
      </c>
      <c r="U534" t="str">
        <f t="shared" si="52"/>
        <v>Late</v>
      </c>
      <c r="V534">
        <f t="shared" si="53"/>
        <v>0</v>
      </c>
    </row>
    <row r="535" spans="1:22" x14ac:dyDescent="0.45">
      <c r="A535" t="s">
        <v>1258</v>
      </c>
      <c r="B535" t="s">
        <v>568</v>
      </c>
      <c r="C535" t="s">
        <v>30</v>
      </c>
      <c r="D535" t="s">
        <v>88</v>
      </c>
      <c r="E535" t="s">
        <v>16</v>
      </c>
      <c r="F535">
        <v>233</v>
      </c>
      <c r="G535">
        <v>75512</v>
      </c>
      <c r="H535">
        <v>17594296</v>
      </c>
      <c r="I535" t="s">
        <v>318</v>
      </c>
      <c r="J535" t="s">
        <v>318</v>
      </c>
      <c r="K535">
        <v>233</v>
      </c>
      <c r="L535">
        <v>0</v>
      </c>
      <c r="M535" t="s">
        <v>115</v>
      </c>
      <c r="N535" t="str">
        <f t="shared" si="48"/>
        <v>PO-100534</v>
      </c>
      <c r="O535" t="str">
        <f t="shared" si="49"/>
        <v>Delivered</v>
      </c>
      <c r="P535" t="str">
        <f t="shared" si="50"/>
        <v>WH-DEL</v>
      </c>
      <c r="Q535" t="str">
        <f>VLOOKUP(C535, Lookups!$A$2:$D$10, 2, FALSE())</f>
        <v>TechSupply Corp</v>
      </c>
      <c r="R535" t="str">
        <f>_xlfn.XLOOKUP(D535, Lookups!$A$12:$A$51, Lookups!$C$12:$C$51, "Unknown")</f>
        <v>Electronics</v>
      </c>
      <c r="S535" t="str">
        <f>IF(ISBLANK(I535), B535+VLOOKUP(C535, Lookups!$A$2:$D$10, 4, FALSE()), I535)</f>
        <v>2025-09-23</v>
      </c>
      <c r="T535">
        <f t="shared" si="51"/>
        <v>14</v>
      </c>
      <c r="U535" t="str">
        <f t="shared" si="52"/>
        <v>On-Time</v>
      </c>
      <c r="V535">
        <f t="shared" si="53"/>
        <v>0</v>
      </c>
    </row>
    <row r="536" spans="1:22" x14ac:dyDescent="0.45">
      <c r="A536" t="s">
        <v>1259</v>
      </c>
      <c r="B536" t="s">
        <v>1260</v>
      </c>
      <c r="C536" t="s">
        <v>36</v>
      </c>
      <c r="D536" t="s">
        <v>90</v>
      </c>
      <c r="E536" t="s">
        <v>18</v>
      </c>
      <c r="F536">
        <v>107</v>
      </c>
      <c r="G536">
        <v>81434</v>
      </c>
      <c r="H536">
        <v>8713438</v>
      </c>
      <c r="I536" t="s">
        <v>580</v>
      </c>
      <c r="J536" t="s">
        <v>580</v>
      </c>
      <c r="K536">
        <v>107</v>
      </c>
      <c r="L536">
        <v>0</v>
      </c>
      <c r="M536" t="s">
        <v>115</v>
      </c>
      <c r="N536" t="str">
        <f t="shared" si="48"/>
        <v>PO-100535</v>
      </c>
      <c r="O536" t="str">
        <f t="shared" si="49"/>
        <v>Delivered</v>
      </c>
      <c r="P536" t="str">
        <f t="shared" si="50"/>
        <v>WH-PUN</v>
      </c>
      <c r="Q536" t="str">
        <f>VLOOKUP(C536, Lookups!$A$2:$D$10, 2, FALSE())</f>
        <v>NextGen Hardware</v>
      </c>
      <c r="R536" t="str">
        <f>_xlfn.XLOOKUP(D536, Lookups!$A$12:$A$51, Lookups!$C$12:$C$51, "Unknown")</f>
        <v>Electronics</v>
      </c>
      <c r="S536" t="str">
        <f>IF(ISBLANK(I536), B536+VLOOKUP(C536, Lookups!$A$2:$D$10, 4, FALSE()), I536)</f>
        <v>2026-01-12</v>
      </c>
      <c r="T536">
        <f t="shared" si="51"/>
        <v>24</v>
      </c>
      <c r="U536" t="str">
        <f t="shared" si="52"/>
        <v>On-Time</v>
      </c>
      <c r="V536">
        <f t="shared" si="53"/>
        <v>0</v>
      </c>
    </row>
    <row r="537" spans="1:22" x14ac:dyDescent="0.45">
      <c r="A537" t="s">
        <v>1261</v>
      </c>
      <c r="B537" t="s">
        <v>1026</v>
      </c>
      <c r="C537" t="s">
        <v>34</v>
      </c>
      <c r="D537" t="s">
        <v>68</v>
      </c>
      <c r="E537" t="s">
        <v>15</v>
      </c>
      <c r="F537">
        <v>135</v>
      </c>
      <c r="G537">
        <v>41405</v>
      </c>
      <c r="H537">
        <v>5589675</v>
      </c>
      <c r="I537" t="s">
        <v>419</v>
      </c>
      <c r="J537" t="s">
        <v>419</v>
      </c>
      <c r="K537">
        <v>135</v>
      </c>
      <c r="L537">
        <v>0</v>
      </c>
      <c r="M537" t="s">
        <v>115</v>
      </c>
      <c r="N537" t="str">
        <f t="shared" si="48"/>
        <v>PO-100536</v>
      </c>
      <c r="O537" t="str">
        <f t="shared" si="49"/>
        <v>Delivered</v>
      </c>
      <c r="P537" t="str">
        <f t="shared" si="50"/>
        <v>WH-BOM</v>
      </c>
      <c r="Q537" t="str">
        <f>VLOOKUP(C537, Lookups!$A$2:$D$10, 2, FALSE())</f>
        <v>FastElectronics</v>
      </c>
      <c r="R537" t="str">
        <f>_xlfn.XLOOKUP(D537, Lookups!$A$12:$A$51, Lookups!$C$12:$C$51, "Unknown")</f>
        <v>Networking</v>
      </c>
      <c r="S537" t="str">
        <f>IF(ISBLANK(I537), B537+VLOOKUP(C537, Lookups!$A$2:$D$10, 4, FALSE()), I537)</f>
        <v>2026-07-21</v>
      </c>
      <c r="T537">
        <f t="shared" si="51"/>
        <v>18</v>
      </c>
      <c r="U537" t="str">
        <f t="shared" si="52"/>
        <v>On-Time</v>
      </c>
      <c r="V537">
        <f t="shared" si="53"/>
        <v>0</v>
      </c>
    </row>
    <row r="538" spans="1:22" x14ac:dyDescent="0.45">
      <c r="A538" t="s">
        <v>1262</v>
      </c>
      <c r="B538" t="s">
        <v>447</v>
      </c>
      <c r="C538" t="s">
        <v>30</v>
      </c>
      <c r="D538" t="s">
        <v>88</v>
      </c>
      <c r="E538" t="s">
        <v>15</v>
      </c>
      <c r="F538">
        <v>235</v>
      </c>
      <c r="G538">
        <v>75512</v>
      </c>
      <c r="H538">
        <v>17745320</v>
      </c>
      <c r="I538" t="s">
        <v>1263</v>
      </c>
      <c r="J538" t="s">
        <v>1263</v>
      </c>
      <c r="K538">
        <v>235</v>
      </c>
      <c r="L538">
        <v>0</v>
      </c>
      <c r="M538" t="s">
        <v>115</v>
      </c>
      <c r="N538" t="str">
        <f t="shared" si="48"/>
        <v>PO-100537</v>
      </c>
      <c r="O538" t="str">
        <f t="shared" si="49"/>
        <v>Delivered</v>
      </c>
      <c r="P538" t="str">
        <f t="shared" si="50"/>
        <v>WH-BOM</v>
      </c>
      <c r="Q538" t="str">
        <f>VLOOKUP(C538, Lookups!$A$2:$D$10, 2, FALSE())</f>
        <v>TechSupply Corp</v>
      </c>
      <c r="R538" t="str">
        <f>_xlfn.XLOOKUP(D538, Lookups!$A$12:$A$51, Lookups!$C$12:$C$51, "Unknown")</f>
        <v>Electronics</v>
      </c>
      <c r="S538" t="str">
        <f>IF(ISBLANK(I538), B538+VLOOKUP(C538, Lookups!$A$2:$D$10, 4, FALSE()), I538)</f>
        <v>2025-12-31</v>
      </c>
      <c r="T538">
        <f t="shared" si="51"/>
        <v>14</v>
      </c>
      <c r="U538" t="str">
        <f t="shared" si="52"/>
        <v>On-Time</v>
      </c>
      <c r="V538">
        <f t="shared" si="53"/>
        <v>0</v>
      </c>
    </row>
    <row r="539" spans="1:22" x14ac:dyDescent="0.45">
      <c r="A539" t="s">
        <v>1264</v>
      </c>
      <c r="B539" t="s">
        <v>1265</v>
      </c>
      <c r="C539" t="s">
        <v>34</v>
      </c>
      <c r="D539" t="s">
        <v>58</v>
      </c>
      <c r="E539" t="s">
        <v>17</v>
      </c>
      <c r="F539">
        <v>180</v>
      </c>
      <c r="G539">
        <v>100302</v>
      </c>
      <c r="H539">
        <v>18054360</v>
      </c>
      <c r="I539" t="s">
        <v>805</v>
      </c>
      <c r="J539" t="s">
        <v>583</v>
      </c>
      <c r="K539">
        <v>180</v>
      </c>
      <c r="L539">
        <v>0</v>
      </c>
      <c r="M539" t="s">
        <v>115</v>
      </c>
      <c r="N539" t="str">
        <f t="shared" si="48"/>
        <v>PO-100538</v>
      </c>
      <c r="O539" t="str">
        <f t="shared" si="49"/>
        <v>Delivered</v>
      </c>
      <c r="P539" t="str">
        <f t="shared" si="50"/>
        <v>WH-BLR</v>
      </c>
      <c r="Q539" t="str">
        <f>VLOOKUP(C539, Lookups!$A$2:$D$10, 2, FALSE())</f>
        <v>FastElectronics</v>
      </c>
      <c r="R539" t="str">
        <f>_xlfn.XLOOKUP(D539, Lookups!$A$12:$A$51, Lookups!$C$12:$C$51, "Unknown")</f>
        <v>Electronics</v>
      </c>
      <c r="S539" t="str">
        <f>IF(ISBLANK(I539), B539+VLOOKUP(C539, Lookups!$A$2:$D$10, 4, FALSE()), I539)</f>
        <v>2025-04-25</v>
      </c>
      <c r="T539">
        <f t="shared" si="51"/>
        <v>19</v>
      </c>
      <c r="U539" t="str">
        <f t="shared" si="52"/>
        <v>Late</v>
      </c>
      <c r="V539">
        <f t="shared" si="53"/>
        <v>0</v>
      </c>
    </row>
    <row r="540" spans="1:22" x14ac:dyDescent="0.45">
      <c r="A540" t="s">
        <v>1266</v>
      </c>
      <c r="B540" t="s">
        <v>625</v>
      </c>
      <c r="C540" t="s">
        <v>31</v>
      </c>
      <c r="D540" t="s">
        <v>77</v>
      </c>
      <c r="E540" t="s">
        <v>17</v>
      </c>
      <c r="F540">
        <v>57</v>
      </c>
      <c r="G540">
        <v>23667</v>
      </c>
      <c r="H540">
        <v>1349019</v>
      </c>
      <c r="I540" t="s">
        <v>338</v>
      </c>
      <c r="J540" t="s">
        <v>338</v>
      </c>
      <c r="K540">
        <v>57</v>
      </c>
      <c r="L540">
        <v>0</v>
      </c>
      <c r="M540" t="s">
        <v>115</v>
      </c>
      <c r="N540" t="str">
        <f t="shared" si="48"/>
        <v>PO-100539</v>
      </c>
      <c r="O540" t="str">
        <f t="shared" si="49"/>
        <v>Delivered</v>
      </c>
      <c r="P540" t="str">
        <f t="shared" si="50"/>
        <v>WH-BLR</v>
      </c>
      <c r="Q540" t="str">
        <f>VLOOKUP(C540, Lookups!$A$2:$D$10, 2, FALSE())</f>
        <v>Global Networks</v>
      </c>
      <c r="R540" t="str">
        <f>_xlfn.XLOOKUP(D540, Lookups!$A$12:$A$51, Lookups!$C$12:$C$51, "Unknown")</f>
        <v>Networking</v>
      </c>
      <c r="S540" t="str">
        <f>IF(ISBLANK(I540), B540+VLOOKUP(C540, Lookups!$A$2:$D$10, 4, FALSE()), I540)</f>
        <v>2026-04-05</v>
      </c>
      <c r="T540">
        <f t="shared" si="51"/>
        <v>21</v>
      </c>
      <c r="U540" t="str">
        <f t="shared" si="52"/>
        <v>On-Time</v>
      </c>
      <c r="V540">
        <f t="shared" si="53"/>
        <v>0</v>
      </c>
    </row>
    <row r="541" spans="1:22" x14ac:dyDescent="0.45">
      <c r="A541" t="s">
        <v>1267</v>
      </c>
      <c r="B541" t="s">
        <v>993</v>
      </c>
      <c r="C541" t="s">
        <v>37</v>
      </c>
      <c r="D541" t="s">
        <v>83</v>
      </c>
      <c r="E541" t="s">
        <v>16</v>
      </c>
      <c r="F541">
        <v>81</v>
      </c>
      <c r="G541">
        <v>19850</v>
      </c>
      <c r="H541">
        <v>1607850</v>
      </c>
      <c r="I541" t="s">
        <v>832</v>
      </c>
      <c r="J541" t="s">
        <v>473</v>
      </c>
      <c r="K541">
        <v>81</v>
      </c>
      <c r="L541">
        <v>0</v>
      </c>
      <c r="M541" t="s">
        <v>115</v>
      </c>
      <c r="N541" t="str">
        <f t="shared" si="48"/>
        <v>PO-100540</v>
      </c>
      <c r="O541" t="str">
        <f t="shared" si="49"/>
        <v>Delivered</v>
      </c>
      <c r="P541" t="str">
        <f t="shared" si="50"/>
        <v>WH-DEL</v>
      </c>
      <c r="Q541" t="str">
        <f>VLOOKUP(C541, Lookups!$A$2:$D$10, 2, FALSE())</f>
        <v>Premium Desks Ltd</v>
      </c>
      <c r="R541" t="str">
        <f>_xlfn.XLOOKUP(D541, Lookups!$A$12:$A$51, Lookups!$C$12:$C$51, "Unknown")</f>
        <v>Office Furniture</v>
      </c>
      <c r="S541" t="str">
        <f>IF(ISBLANK(I541), B541+VLOOKUP(C541, Lookups!$A$2:$D$10, 4, FALSE()), I541)</f>
        <v>2025-06-09</v>
      </c>
      <c r="T541">
        <f t="shared" si="51"/>
        <v>13</v>
      </c>
      <c r="U541" t="str">
        <f t="shared" si="52"/>
        <v>Late</v>
      </c>
      <c r="V541">
        <f t="shared" si="53"/>
        <v>0</v>
      </c>
    </row>
    <row r="542" spans="1:22" x14ac:dyDescent="0.45">
      <c r="A542" t="s">
        <v>1268</v>
      </c>
      <c r="B542" t="s">
        <v>784</v>
      </c>
      <c r="C542" t="s">
        <v>37</v>
      </c>
      <c r="D542" t="s">
        <v>83</v>
      </c>
      <c r="E542" t="s">
        <v>17</v>
      </c>
      <c r="F542">
        <v>182</v>
      </c>
      <c r="G542">
        <v>19850</v>
      </c>
      <c r="H542">
        <v>3612700</v>
      </c>
      <c r="I542" t="s">
        <v>145</v>
      </c>
      <c r="J542" t="s">
        <v>1129</v>
      </c>
      <c r="K542">
        <v>182</v>
      </c>
      <c r="L542">
        <v>0</v>
      </c>
      <c r="M542" t="s">
        <v>115</v>
      </c>
      <c r="N542" t="str">
        <f t="shared" si="48"/>
        <v>PO-100541</v>
      </c>
      <c r="O542" t="str">
        <f t="shared" si="49"/>
        <v>Delivered</v>
      </c>
      <c r="P542" t="str">
        <f t="shared" si="50"/>
        <v>WH-BLR</v>
      </c>
      <c r="Q542" t="str">
        <f>VLOOKUP(C542, Lookups!$A$2:$D$10, 2, FALSE())</f>
        <v>Premium Desks Ltd</v>
      </c>
      <c r="R542" t="str">
        <f>_xlfn.XLOOKUP(D542, Lookups!$A$12:$A$51, Lookups!$C$12:$C$51, "Unknown")</f>
        <v>Office Furniture</v>
      </c>
      <c r="S542" t="str">
        <f>IF(ISBLANK(I542), B542+VLOOKUP(C542, Lookups!$A$2:$D$10, 4, FALSE()), I542)</f>
        <v>2025-09-24</v>
      </c>
      <c r="T542">
        <f t="shared" si="51"/>
        <v>13</v>
      </c>
      <c r="U542" t="str">
        <f t="shared" si="52"/>
        <v>Late</v>
      </c>
      <c r="V542">
        <f t="shared" si="53"/>
        <v>0</v>
      </c>
    </row>
    <row r="543" spans="1:22" x14ac:dyDescent="0.45">
      <c r="A543" t="s">
        <v>1269</v>
      </c>
      <c r="B543" t="s">
        <v>145</v>
      </c>
      <c r="C543" t="s">
        <v>31</v>
      </c>
      <c r="D543" t="s">
        <v>85</v>
      </c>
      <c r="E543" t="s">
        <v>18</v>
      </c>
      <c r="F543">
        <v>140</v>
      </c>
      <c r="G543">
        <v>16501</v>
      </c>
      <c r="H543">
        <v>2310140</v>
      </c>
      <c r="I543" t="s">
        <v>320</v>
      </c>
      <c r="J543" t="s">
        <v>199</v>
      </c>
      <c r="K543">
        <v>140</v>
      </c>
      <c r="L543">
        <v>0</v>
      </c>
      <c r="M543" t="s">
        <v>115</v>
      </c>
      <c r="N543" t="str">
        <f t="shared" si="48"/>
        <v>PO-100542</v>
      </c>
      <c r="O543" t="str">
        <f t="shared" si="49"/>
        <v>Delivered</v>
      </c>
      <c r="P543" t="str">
        <f t="shared" si="50"/>
        <v>WH-PUN</v>
      </c>
      <c r="Q543" t="str">
        <f>VLOOKUP(C543, Lookups!$A$2:$D$10, 2, FALSE())</f>
        <v>Global Networks</v>
      </c>
      <c r="R543" t="str">
        <f>_xlfn.XLOOKUP(D543, Lookups!$A$12:$A$51, Lookups!$C$12:$C$51, "Unknown")</f>
        <v>Networking</v>
      </c>
      <c r="S543" t="str">
        <f>IF(ISBLANK(I543), B543+VLOOKUP(C543, Lookups!$A$2:$D$10, 4, FALSE()), I543)</f>
        <v>2025-10-15</v>
      </c>
      <c r="T543">
        <f t="shared" si="51"/>
        <v>22</v>
      </c>
      <c r="U543" t="str">
        <f t="shared" si="52"/>
        <v>Late</v>
      </c>
      <c r="V543">
        <f t="shared" si="53"/>
        <v>0</v>
      </c>
    </row>
    <row r="544" spans="1:22" x14ac:dyDescent="0.45">
      <c r="A544" t="s">
        <v>1270</v>
      </c>
      <c r="B544" t="s">
        <v>334</v>
      </c>
      <c r="C544" t="s">
        <v>35</v>
      </c>
      <c r="D544" t="s">
        <v>70</v>
      </c>
      <c r="E544" t="s">
        <v>17</v>
      </c>
      <c r="F544">
        <v>222</v>
      </c>
      <c r="G544">
        <v>4287</v>
      </c>
      <c r="H544">
        <v>951714</v>
      </c>
      <c r="I544" t="s">
        <v>335</v>
      </c>
      <c r="J544" t="s">
        <v>1271</v>
      </c>
      <c r="K544">
        <v>222</v>
      </c>
      <c r="L544">
        <v>0</v>
      </c>
      <c r="M544" t="s">
        <v>115</v>
      </c>
      <c r="N544" t="str">
        <f t="shared" si="48"/>
        <v>PO-100543</v>
      </c>
      <c r="O544" t="str">
        <f t="shared" si="49"/>
        <v>Delivered</v>
      </c>
      <c r="P544" t="str">
        <f t="shared" si="50"/>
        <v>WH-BLR</v>
      </c>
      <c r="Q544" t="str">
        <f>VLOOKUP(C544, Lookups!$A$2:$D$10, 2, FALSE())</f>
        <v>Peripheral Source</v>
      </c>
      <c r="R544" t="str">
        <f>_xlfn.XLOOKUP(D544, Lookups!$A$12:$A$51, Lookups!$C$12:$C$51, "Unknown")</f>
        <v>Peripherals</v>
      </c>
      <c r="S544" t="str">
        <f>IF(ISBLANK(I544), B544+VLOOKUP(C544, Lookups!$A$2:$D$10, 4, FALSE()), I544)</f>
        <v>2026-08-25</v>
      </c>
      <c r="T544">
        <f t="shared" si="51"/>
        <v>16</v>
      </c>
      <c r="U544" t="str">
        <f t="shared" si="52"/>
        <v>Late</v>
      </c>
      <c r="V544">
        <f t="shared" si="53"/>
        <v>0</v>
      </c>
    </row>
    <row r="545" spans="1:22" x14ac:dyDescent="0.45">
      <c r="A545" t="s">
        <v>1272</v>
      </c>
      <c r="B545" t="s">
        <v>667</v>
      </c>
      <c r="C545" t="s">
        <v>37</v>
      </c>
      <c r="D545" t="s">
        <v>78</v>
      </c>
      <c r="E545" t="s">
        <v>16</v>
      </c>
      <c r="F545">
        <v>155</v>
      </c>
      <c r="G545">
        <v>9423</v>
      </c>
      <c r="H545">
        <v>1460565</v>
      </c>
      <c r="I545" t="s">
        <v>1273</v>
      </c>
      <c r="J545" t="s">
        <v>257</v>
      </c>
      <c r="K545">
        <v>155</v>
      </c>
      <c r="L545">
        <v>0</v>
      </c>
      <c r="M545" t="s">
        <v>115</v>
      </c>
      <c r="N545" t="str">
        <f t="shared" si="48"/>
        <v>PO-100544</v>
      </c>
      <c r="O545" t="str">
        <f t="shared" si="49"/>
        <v>Delivered</v>
      </c>
      <c r="P545" t="str">
        <f t="shared" si="50"/>
        <v>WH-DEL</v>
      </c>
      <c r="Q545" t="str">
        <f>VLOOKUP(C545, Lookups!$A$2:$D$10, 2, FALSE())</f>
        <v>Premium Desks Ltd</v>
      </c>
      <c r="R545" t="str">
        <f>_xlfn.XLOOKUP(D545, Lookups!$A$12:$A$51, Lookups!$C$12:$C$51, "Unknown")</f>
        <v>Office Furniture</v>
      </c>
      <c r="S545" t="str">
        <f>IF(ISBLANK(I545), B545+VLOOKUP(C545, Lookups!$A$2:$D$10, 4, FALSE()), I545)</f>
        <v>2025-01-18</v>
      </c>
      <c r="T545">
        <f t="shared" si="51"/>
        <v>13</v>
      </c>
      <c r="U545" t="str">
        <f t="shared" si="52"/>
        <v>Late</v>
      </c>
      <c r="V545">
        <f t="shared" si="53"/>
        <v>0</v>
      </c>
    </row>
    <row r="546" spans="1:22" x14ac:dyDescent="0.45">
      <c r="A546" t="s">
        <v>1274</v>
      </c>
      <c r="B546" t="s">
        <v>960</v>
      </c>
      <c r="C546" t="s">
        <v>30</v>
      </c>
      <c r="D546" t="s">
        <v>61</v>
      </c>
      <c r="E546" t="s">
        <v>15</v>
      </c>
      <c r="F546">
        <v>231</v>
      </c>
      <c r="G546">
        <v>111237</v>
      </c>
      <c r="H546">
        <v>25695747</v>
      </c>
      <c r="I546" t="s">
        <v>481</v>
      </c>
      <c r="J546" t="s">
        <v>481</v>
      </c>
      <c r="K546">
        <v>231</v>
      </c>
      <c r="L546">
        <v>0</v>
      </c>
      <c r="M546" t="s">
        <v>115</v>
      </c>
      <c r="N546" t="str">
        <f t="shared" si="48"/>
        <v>PO-100545</v>
      </c>
      <c r="O546" t="str">
        <f t="shared" si="49"/>
        <v>Delivered</v>
      </c>
      <c r="P546" t="str">
        <f t="shared" si="50"/>
        <v>WH-BOM</v>
      </c>
      <c r="Q546" t="str">
        <f>VLOOKUP(C546, Lookups!$A$2:$D$10, 2, FALSE())</f>
        <v>TechSupply Corp</v>
      </c>
      <c r="R546" t="str">
        <f>_xlfn.XLOOKUP(D546, Lookups!$A$12:$A$51, Lookups!$C$12:$C$51, "Unknown")</f>
        <v>Electronics</v>
      </c>
      <c r="S546" t="str">
        <f>IF(ISBLANK(I546), B546+VLOOKUP(C546, Lookups!$A$2:$D$10, 4, FALSE()), I546)</f>
        <v>2025-05-07</v>
      </c>
      <c r="T546">
        <f t="shared" si="51"/>
        <v>14</v>
      </c>
      <c r="U546" t="str">
        <f t="shared" si="52"/>
        <v>On-Time</v>
      </c>
      <c r="V546">
        <f t="shared" si="53"/>
        <v>0</v>
      </c>
    </row>
    <row r="547" spans="1:22" x14ac:dyDescent="0.45">
      <c r="A547" t="s">
        <v>1275</v>
      </c>
      <c r="B547" t="s">
        <v>529</v>
      </c>
      <c r="C547" t="s">
        <v>36</v>
      </c>
      <c r="D547" t="s">
        <v>63</v>
      </c>
      <c r="E547" t="s">
        <v>16</v>
      </c>
      <c r="F547">
        <v>199</v>
      </c>
      <c r="G547">
        <v>71062</v>
      </c>
      <c r="H547">
        <v>14141338</v>
      </c>
      <c r="I547" t="s">
        <v>125</v>
      </c>
      <c r="J547" t="s">
        <v>125</v>
      </c>
      <c r="K547">
        <v>199</v>
      </c>
      <c r="L547">
        <v>0</v>
      </c>
      <c r="M547" t="s">
        <v>115</v>
      </c>
      <c r="N547" t="str">
        <f t="shared" si="48"/>
        <v>PO-100546</v>
      </c>
      <c r="O547" t="str">
        <f t="shared" si="49"/>
        <v>Delivered</v>
      </c>
      <c r="P547" t="str">
        <f t="shared" si="50"/>
        <v>WH-DEL</v>
      </c>
      <c r="Q547" t="str">
        <f>VLOOKUP(C547, Lookups!$A$2:$D$10, 2, FALSE())</f>
        <v>NextGen Hardware</v>
      </c>
      <c r="R547" t="str">
        <f>_xlfn.XLOOKUP(D547, Lookups!$A$12:$A$51, Lookups!$C$12:$C$51, "Unknown")</f>
        <v>Electronics</v>
      </c>
      <c r="S547" t="str">
        <f>IF(ISBLANK(I547), B547+VLOOKUP(C547, Lookups!$A$2:$D$10, 4, FALSE()), I547)</f>
        <v>2026-06-13</v>
      </c>
      <c r="T547">
        <f t="shared" si="51"/>
        <v>24</v>
      </c>
      <c r="U547" t="str">
        <f t="shared" si="52"/>
        <v>On-Time</v>
      </c>
      <c r="V547">
        <f t="shared" si="53"/>
        <v>0</v>
      </c>
    </row>
    <row r="548" spans="1:22" x14ac:dyDescent="0.45">
      <c r="A548" t="s">
        <v>1276</v>
      </c>
      <c r="B548" t="s">
        <v>1235</v>
      </c>
      <c r="C548" t="s">
        <v>34</v>
      </c>
      <c r="D548" t="s">
        <v>68</v>
      </c>
      <c r="E548" t="s">
        <v>17</v>
      </c>
      <c r="F548">
        <v>231</v>
      </c>
      <c r="G548">
        <v>41405</v>
      </c>
      <c r="H548">
        <v>9564555</v>
      </c>
      <c r="I548" t="s">
        <v>235</v>
      </c>
      <c r="J548" t="s">
        <v>598</v>
      </c>
      <c r="K548">
        <v>231</v>
      </c>
      <c r="L548">
        <v>0</v>
      </c>
      <c r="M548" t="s">
        <v>115</v>
      </c>
      <c r="N548" t="str">
        <f t="shared" si="48"/>
        <v>PO-100547</v>
      </c>
      <c r="O548" t="str">
        <f t="shared" si="49"/>
        <v>Delivered</v>
      </c>
      <c r="P548" t="str">
        <f t="shared" si="50"/>
        <v>WH-BLR</v>
      </c>
      <c r="Q548" t="str">
        <f>VLOOKUP(C548, Lookups!$A$2:$D$10, 2, FALSE())</f>
        <v>FastElectronics</v>
      </c>
      <c r="R548" t="str">
        <f>_xlfn.XLOOKUP(D548, Lookups!$A$12:$A$51, Lookups!$C$12:$C$51, "Unknown")</f>
        <v>Networking</v>
      </c>
      <c r="S548" t="str">
        <f>IF(ISBLANK(I548), B548+VLOOKUP(C548, Lookups!$A$2:$D$10, 4, FALSE()), I548)</f>
        <v>2025-08-27</v>
      </c>
      <c r="T548">
        <f t="shared" si="51"/>
        <v>22</v>
      </c>
      <c r="U548" t="str">
        <f t="shared" si="52"/>
        <v>Late</v>
      </c>
      <c r="V548">
        <f t="shared" si="53"/>
        <v>0</v>
      </c>
    </row>
    <row r="549" spans="1:22" x14ac:dyDescent="0.45">
      <c r="A549" t="s">
        <v>1277</v>
      </c>
      <c r="B549" t="s">
        <v>986</v>
      </c>
      <c r="C549" t="s">
        <v>35</v>
      </c>
      <c r="D549" t="s">
        <v>75</v>
      </c>
      <c r="E549" t="s">
        <v>15</v>
      </c>
      <c r="F549">
        <v>57</v>
      </c>
      <c r="G549">
        <v>4440</v>
      </c>
      <c r="H549">
        <v>253080</v>
      </c>
      <c r="I549" t="s">
        <v>672</v>
      </c>
      <c r="J549" t="s">
        <v>674</v>
      </c>
      <c r="K549">
        <v>57</v>
      </c>
      <c r="L549">
        <v>0</v>
      </c>
      <c r="M549" t="s">
        <v>115</v>
      </c>
      <c r="N549" t="str">
        <f t="shared" si="48"/>
        <v>PO-100548</v>
      </c>
      <c r="O549" t="str">
        <f t="shared" si="49"/>
        <v>Delivered</v>
      </c>
      <c r="P549" t="str">
        <f t="shared" si="50"/>
        <v>WH-BOM</v>
      </c>
      <c r="Q549" t="str">
        <f>VLOOKUP(C549, Lookups!$A$2:$D$10, 2, FALSE())</f>
        <v>Peripheral Source</v>
      </c>
      <c r="R549" t="str">
        <f>_xlfn.XLOOKUP(D549, Lookups!$A$12:$A$51, Lookups!$C$12:$C$51, "Unknown")</f>
        <v>Peripherals</v>
      </c>
      <c r="S549" t="str">
        <f>IF(ISBLANK(I549), B549+VLOOKUP(C549, Lookups!$A$2:$D$10, 4, FALSE()), I549)</f>
        <v>2026-11-14</v>
      </c>
      <c r="T549">
        <f t="shared" si="51"/>
        <v>15</v>
      </c>
      <c r="U549" t="str">
        <f t="shared" si="52"/>
        <v>Late</v>
      </c>
      <c r="V549">
        <f t="shared" si="53"/>
        <v>0</v>
      </c>
    </row>
    <row r="550" spans="1:22" x14ac:dyDescent="0.45">
      <c r="A550" t="s">
        <v>1278</v>
      </c>
      <c r="B550" t="s">
        <v>1279</v>
      </c>
      <c r="C550" t="s">
        <v>30</v>
      </c>
      <c r="D550" t="s">
        <v>52</v>
      </c>
      <c r="E550" t="s">
        <v>17</v>
      </c>
      <c r="F550">
        <v>243</v>
      </c>
      <c r="G550">
        <v>59592</v>
      </c>
      <c r="H550">
        <v>14480856</v>
      </c>
      <c r="I550" t="s">
        <v>226</v>
      </c>
      <c r="J550" t="s">
        <v>142</v>
      </c>
      <c r="K550">
        <v>243</v>
      </c>
      <c r="L550">
        <v>0</v>
      </c>
      <c r="M550" t="s">
        <v>115</v>
      </c>
      <c r="N550" t="str">
        <f t="shared" si="48"/>
        <v>PO-100549</v>
      </c>
      <c r="O550" t="str">
        <f t="shared" si="49"/>
        <v>Delivered</v>
      </c>
      <c r="P550" t="str">
        <f t="shared" si="50"/>
        <v>WH-BLR</v>
      </c>
      <c r="Q550" t="str">
        <f>VLOOKUP(C550, Lookups!$A$2:$D$10, 2, FALSE())</f>
        <v>TechSupply Corp</v>
      </c>
      <c r="R550" t="str">
        <f>_xlfn.XLOOKUP(D550, Lookups!$A$12:$A$51, Lookups!$C$12:$C$51, "Unknown")</f>
        <v>Electronics</v>
      </c>
      <c r="S550" t="str">
        <f>IF(ISBLANK(I550), B550+VLOOKUP(C550, Lookups!$A$2:$D$10, 4, FALSE()), I550)</f>
        <v>2026-08-01</v>
      </c>
      <c r="T550">
        <f t="shared" si="51"/>
        <v>15</v>
      </c>
      <c r="U550" t="str">
        <f t="shared" si="52"/>
        <v>Late</v>
      </c>
      <c r="V550">
        <f t="shared" si="53"/>
        <v>0</v>
      </c>
    </row>
    <row r="551" spans="1:22" x14ac:dyDescent="0.45">
      <c r="A551" t="s">
        <v>1280</v>
      </c>
      <c r="B551" t="s">
        <v>831</v>
      </c>
      <c r="C551" t="s">
        <v>35</v>
      </c>
      <c r="D551" t="s">
        <v>75</v>
      </c>
      <c r="E551" t="s">
        <v>15</v>
      </c>
      <c r="F551">
        <v>231</v>
      </c>
      <c r="G551">
        <v>4440</v>
      </c>
      <c r="H551">
        <v>1025640</v>
      </c>
      <c r="I551" t="s">
        <v>1281</v>
      </c>
      <c r="J551" t="s">
        <v>1281</v>
      </c>
      <c r="K551">
        <v>231</v>
      </c>
      <c r="L551">
        <v>0</v>
      </c>
      <c r="M551" t="s">
        <v>115</v>
      </c>
      <c r="N551" t="str">
        <f t="shared" si="48"/>
        <v>PO-100550</v>
      </c>
      <c r="O551" t="str">
        <f t="shared" si="49"/>
        <v>Delivered</v>
      </c>
      <c r="P551" t="str">
        <f t="shared" si="50"/>
        <v>WH-BOM</v>
      </c>
      <c r="Q551" t="str">
        <f>VLOOKUP(C551, Lookups!$A$2:$D$10, 2, FALSE())</f>
        <v>Peripheral Source</v>
      </c>
      <c r="R551" t="str">
        <f>_xlfn.XLOOKUP(D551, Lookups!$A$12:$A$51, Lookups!$C$12:$C$51, "Unknown")</f>
        <v>Peripherals</v>
      </c>
      <c r="S551" t="str">
        <f>IF(ISBLANK(I551), B551+VLOOKUP(C551, Lookups!$A$2:$D$10, 4, FALSE()), I551)</f>
        <v>2025-05-31</v>
      </c>
      <c r="T551">
        <f t="shared" si="51"/>
        <v>10</v>
      </c>
      <c r="U551" t="str">
        <f t="shared" si="52"/>
        <v>On-Time</v>
      </c>
      <c r="V551">
        <f t="shared" si="53"/>
        <v>0</v>
      </c>
    </row>
    <row r="552" spans="1:22" x14ac:dyDescent="0.45">
      <c r="A552" t="s">
        <v>1282</v>
      </c>
      <c r="B552" t="s">
        <v>1112</v>
      </c>
      <c r="C552" t="s">
        <v>35</v>
      </c>
      <c r="D552" t="s">
        <v>91</v>
      </c>
      <c r="E552" t="s">
        <v>16</v>
      </c>
      <c r="F552">
        <v>33</v>
      </c>
      <c r="G552">
        <v>6707</v>
      </c>
      <c r="H552">
        <v>221331</v>
      </c>
      <c r="I552" t="s">
        <v>615</v>
      </c>
      <c r="J552" t="s">
        <v>615</v>
      </c>
      <c r="K552">
        <v>33</v>
      </c>
      <c r="L552">
        <v>0</v>
      </c>
      <c r="M552" t="s">
        <v>115</v>
      </c>
      <c r="N552" t="str">
        <f t="shared" si="48"/>
        <v>PO-100551</v>
      </c>
      <c r="O552" t="str">
        <f t="shared" si="49"/>
        <v>Delivered</v>
      </c>
      <c r="P552" t="str">
        <f t="shared" si="50"/>
        <v>WH-DEL</v>
      </c>
      <c r="Q552" t="str">
        <f>VLOOKUP(C552, Lookups!$A$2:$D$10, 2, FALSE())</f>
        <v>Peripheral Source</v>
      </c>
      <c r="R552" t="str">
        <f>_xlfn.XLOOKUP(D552, Lookups!$A$12:$A$51, Lookups!$C$12:$C$51, "Unknown")</f>
        <v>Peripherals</v>
      </c>
      <c r="S552" t="str">
        <f>IF(ISBLANK(I552), B552+VLOOKUP(C552, Lookups!$A$2:$D$10, 4, FALSE()), I552)</f>
        <v>2026-11-07</v>
      </c>
      <c r="T552">
        <f t="shared" si="51"/>
        <v>10</v>
      </c>
      <c r="U552" t="str">
        <f t="shared" si="52"/>
        <v>On-Time</v>
      </c>
      <c r="V552">
        <f t="shared" si="53"/>
        <v>0</v>
      </c>
    </row>
    <row r="553" spans="1:22" x14ac:dyDescent="0.45">
      <c r="A553" t="s">
        <v>1283</v>
      </c>
      <c r="B553" t="s">
        <v>670</v>
      </c>
      <c r="C553" t="s">
        <v>30</v>
      </c>
      <c r="D553" t="s">
        <v>61</v>
      </c>
      <c r="E553" t="s">
        <v>15</v>
      </c>
      <c r="F553">
        <v>247</v>
      </c>
      <c r="G553">
        <v>111237</v>
      </c>
      <c r="H553">
        <v>27475539</v>
      </c>
      <c r="I553" t="s">
        <v>734</v>
      </c>
      <c r="J553" t="s">
        <v>615</v>
      </c>
      <c r="K553">
        <v>247</v>
      </c>
      <c r="L553">
        <v>0</v>
      </c>
      <c r="M553" t="s">
        <v>115</v>
      </c>
      <c r="N553" t="str">
        <f t="shared" si="48"/>
        <v>PO-100552</v>
      </c>
      <c r="O553" t="str">
        <f t="shared" si="49"/>
        <v>Delivered</v>
      </c>
      <c r="P553" t="str">
        <f t="shared" si="50"/>
        <v>WH-BOM</v>
      </c>
      <c r="Q553" t="str">
        <f>VLOOKUP(C553, Lookups!$A$2:$D$10, 2, FALSE())</f>
        <v>TechSupply Corp</v>
      </c>
      <c r="R553" t="str">
        <f>_xlfn.XLOOKUP(D553, Lookups!$A$12:$A$51, Lookups!$C$12:$C$51, "Unknown")</f>
        <v>Electronics</v>
      </c>
      <c r="S553" t="str">
        <f>IF(ISBLANK(I553), B553+VLOOKUP(C553, Lookups!$A$2:$D$10, 4, FALSE()), I553)</f>
        <v>2026-11-06</v>
      </c>
      <c r="T553">
        <f t="shared" si="51"/>
        <v>15</v>
      </c>
      <c r="U553" t="str">
        <f t="shared" si="52"/>
        <v>Late</v>
      </c>
      <c r="V553">
        <f t="shared" si="53"/>
        <v>0</v>
      </c>
    </row>
    <row r="554" spans="1:22" x14ac:dyDescent="0.45">
      <c r="A554" t="s">
        <v>1284</v>
      </c>
      <c r="B554" t="s">
        <v>873</v>
      </c>
      <c r="C554" t="s">
        <v>37</v>
      </c>
      <c r="D554" t="s">
        <v>83</v>
      </c>
      <c r="E554" t="s">
        <v>18</v>
      </c>
      <c r="F554">
        <v>206</v>
      </c>
      <c r="G554">
        <v>19850</v>
      </c>
      <c r="H554">
        <v>4089100</v>
      </c>
      <c r="I554" t="s">
        <v>1285</v>
      </c>
      <c r="J554" t="s">
        <v>1285</v>
      </c>
      <c r="K554">
        <v>206</v>
      </c>
      <c r="L554">
        <v>0</v>
      </c>
      <c r="M554" t="s">
        <v>115</v>
      </c>
      <c r="N554" t="str">
        <f t="shared" si="48"/>
        <v>PO-100553</v>
      </c>
      <c r="O554" t="str">
        <f t="shared" si="49"/>
        <v>Delivered</v>
      </c>
      <c r="P554" t="str">
        <f t="shared" si="50"/>
        <v>WH-PUN</v>
      </c>
      <c r="Q554" t="str">
        <f>VLOOKUP(C554, Lookups!$A$2:$D$10, 2, FALSE())</f>
        <v>Premium Desks Ltd</v>
      </c>
      <c r="R554" t="str">
        <f>_xlfn.XLOOKUP(D554, Lookups!$A$12:$A$51, Lookups!$C$12:$C$51, "Unknown")</f>
        <v>Office Furniture</v>
      </c>
      <c r="S554" t="str">
        <f>IF(ISBLANK(I554), B554+VLOOKUP(C554, Lookups!$A$2:$D$10, 4, FALSE()), I554)</f>
        <v>2026-02-21</v>
      </c>
      <c r="T554">
        <f t="shared" si="51"/>
        <v>12</v>
      </c>
      <c r="U554" t="str">
        <f t="shared" si="52"/>
        <v>On-Time</v>
      </c>
      <c r="V554">
        <f t="shared" si="53"/>
        <v>0</v>
      </c>
    </row>
    <row r="555" spans="1:22" x14ac:dyDescent="0.45">
      <c r="A555" t="s">
        <v>1286</v>
      </c>
      <c r="B555" t="s">
        <v>272</v>
      </c>
      <c r="C555" t="s">
        <v>35</v>
      </c>
      <c r="D555" t="s">
        <v>60</v>
      </c>
      <c r="E555" t="s">
        <v>18</v>
      </c>
      <c r="F555">
        <v>61</v>
      </c>
      <c r="G555">
        <v>3291</v>
      </c>
      <c r="H555">
        <v>200751</v>
      </c>
      <c r="I555" t="s">
        <v>1236</v>
      </c>
      <c r="J555" t="s">
        <v>834</v>
      </c>
      <c r="K555">
        <v>61</v>
      </c>
      <c r="L555">
        <v>0</v>
      </c>
      <c r="M555" t="s">
        <v>115</v>
      </c>
      <c r="N555" t="str">
        <f t="shared" si="48"/>
        <v>PO-100554</v>
      </c>
      <c r="O555" t="str">
        <f t="shared" si="49"/>
        <v>Delivered</v>
      </c>
      <c r="P555" t="str">
        <f t="shared" si="50"/>
        <v>WH-PUN</v>
      </c>
      <c r="Q555" t="str">
        <f>VLOOKUP(C555, Lookups!$A$2:$D$10, 2, FALSE())</f>
        <v>Peripheral Source</v>
      </c>
      <c r="R555" t="str">
        <f>_xlfn.XLOOKUP(D555, Lookups!$A$12:$A$51, Lookups!$C$12:$C$51, "Unknown")</f>
        <v>Peripherals</v>
      </c>
      <c r="S555" t="str">
        <f>IF(ISBLANK(I555), B555+VLOOKUP(C555, Lookups!$A$2:$D$10, 4, FALSE()), I555)</f>
        <v>2025-08-23</v>
      </c>
      <c r="T555">
        <f t="shared" si="51"/>
        <v>13</v>
      </c>
      <c r="U555" t="str">
        <f t="shared" si="52"/>
        <v>Late</v>
      </c>
      <c r="V555">
        <f t="shared" si="53"/>
        <v>0</v>
      </c>
    </row>
    <row r="556" spans="1:22" x14ac:dyDescent="0.45">
      <c r="A556" t="s">
        <v>1287</v>
      </c>
      <c r="B556" t="s">
        <v>327</v>
      </c>
      <c r="C556" t="s">
        <v>30</v>
      </c>
      <c r="D556" t="s">
        <v>53</v>
      </c>
      <c r="E556" t="s">
        <v>15</v>
      </c>
      <c r="F556">
        <v>238</v>
      </c>
      <c r="G556">
        <v>81048</v>
      </c>
      <c r="H556">
        <v>19289424</v>
      </c>
      <c r="I556" t="s">
        <v>1288</v>
      </c>
      <c r="J556" t="s">
        <v>210</v>
      </c>
      <c r="K556">
        <v>238</v>
      </c>
      <c r="L556">
        <v>0</v>
      </c>
      <c r="M556" t="s">
        <v>166</v>
      </c>
      <c r="N556" t="str">
        <f t="shared" si="48"/>
        <v>PO-100555</v>
      </c>
      <c r="O556" t="str">
        <f t="shared" si="49"/>
        <v>Delivered</v>
      </c>
      <c r="P556" t="str">
        <f t="shared" si="50"/>
        <v>WH-BOM</v>
      </c>
      <c r="Q556" t="str">
        <f>VLOOKUP(C556, Lookups!$A$2:$D$10, 2, FALSE())</f>
        <v>TechSupply Corp</v>
      </c>
      <c r="R556" t="str">
        <f>_xlfn.XLOOKUP(D556, Lookups!$A$12:$A$51, Lookups!$C$12:$C$51, "Unknown")</f>
        <v>Electronics</v>
      </c>
      <c r="S556" t="str">
        <f>IF(ISBLANK(I556), B556+VLOOKUP(C556, Lookups!$A$2:$D$10, 4, FALSE()), I556)</f>
        <v>2025-06-19</v>
      </c>
      <c r="T556">
        <f t="shared" si="51"/>
        <v>15</v>
      </c>
      <c r="U556" t="str">
        <f t="shared" si="52"/>
        <v>Late</v>
      </c>
      <c r="V556">
        <f t="shared" si="53"/>
        <v>0</v>
      </c>
    </row>
    <row r="557" spans="1:22" x14ac:dyDescent="0.45">
      <c r="A557" t="s">
        <v>1289</v>
      </c>
      <c r="B557" t="s">
        <v>127</v>
      </c>
      <c r="C557" t="s">
        <v>34</v>
      </c>
      <c r="D557" t="s">
        <v>68</v>
      </c>
      <c r="E557" t="s">
        <v>16</v>
      </c>
      <c r="F557">
        <v>62</v>
      </c>
      <c r="G557">
        <v>41405</v>
      </c>
      <c r="H557">
        <v>2567110</v>
      </c>
      <c r="I557" t="s">
        <v>839</v>
      </c>
      <c r="J557" t="s">
        <v>839</v>
      </c>
      <c r="K557">
        <v>62</v>
      </c>
      <c r="L557">
        <v>0</v>
      </c>
      <c r="M557" t="s">
        <v>115</v>
      </c>
      <c r="N557" t="str">
        <f t="shared" si="48"/>
        <v>PO-100556</v>
      </c>
      <c r="O557" t="str">
        <f t="shared" si="49"/>
        <v>Delivered</v>
      </c>
      <c r="P557" t="str">
        <f t="shared" si="50"/>
        <v>WH-DEL</v>
      </c>
      <c r="Q557" t="str">
        <f>VLOOKUP(C557, Lookups!$A$2:$D$10, 2, FALSE())</f>
        <v>FastElectronics</v>
      </c>
      <c r="R557" t="str">
        <f>_xlfn.XLOOKUP(D557, Lookups!$A$12:$A$51, Lookups!$C$12:$C$51, "Unknown")</f>
        <v>Networking</v>
      </c>
      <c r="S557" t="str">
        <f>IF(ISBLANK(I557), B557+VLOOKUP(C557, Lookups!$A$2:$D$10, 4, FALSE()), I557)</f>
        <v>2026-02-20</v>
      </c>
      <c r="T557">
        <f t="shared" si="51"/>
        <v>18</v>
      </c>
      <c r="U557" t="str">
        <f t="shared" si="52"/>
        <v>On-Time</v>
      </c>
      <c r="V557">
        <f t="shared" si="53"/>
        <v>0</v>
      </c>
    </row>
    <row r="558" spans="1:22" x14ac:dyDescent="0.45">
      <c r="A558" t="s">
        <v>1290</v>
      </c>
      <c r="B558" t="s">
        <v>1122</v>
      </c>
      <c r="C558" t="s">
        <v>34</v>
      </c>
      <c r="D558" t="s">
        <v>76</v>
      </c>
      <c r="E558" t="s">
        <v>15</v>
      </c>
      <c r="F558">
        <v>212</v>
      </c>
      <c r="G558">
        <v>26270</v>
      </c>
      <c r="H558">
        <v>5569240</v>
      </c>
      <c r="I558" t="s">
        <v>555</v>
      </c>
      <c r="J558" t="s">
        <v>135</v>
      </c>
      <c r="K558">
        <v>212</v>
      </c>
      <c r="L558">
        <v>0</v>
      </c>
      <c r="M558" t="s">
        <v>115</v>
      </c>
      <c r="N558" t="str">
        <f t="shared" si="48"/>
        <v>PO-100557</v>
      </c>
      <c r="O558" t="str">
        <f t="shared" si="49"/>
        <v>Delivered</v>
      </c>
      <c r="P558" t="str">
        <f t="shared" si="50"/>
        <v>WH-BOM</v>
      </c>
      <c r="Q558" t="str">
        <f>VLOOKUP(C558, Lookups!$A$2:$D$10, 2, FALSE())</f>
        <v>FastElectronics</v>
      </c>
      <c r="R558" t="str">
        <f>_xlfn.XLOOKUP(D558, Lookups!$A$12:$A$51, Lookups!$C$12:$C$51, "Unknown")</f>
        <v>Networking</v>
      </c>
      <c r="S558" t="str">
        <f>IF(ISBLANK(I558), B558+VLOOKUP(C558, Lookups!$A$2:$D$10, 4, FALSE()), I558)</f>
        <v>2026-09-01</v>
      </c>
      <c r="T558">
        <f t="shared" si="51"/>
        <v>19</v>
      </c>
      <c r="U558" t="str">
        <f t="shared" si="52"/>
        <v>Late</v>
      </c>
      <c r="V558">
        <f t="shared" si="53"/>
        <v>0</v>
      </c>
    </row>
    <row r="559" spans="1:22" x14ac:dyDescent="0.45">
      <c r="A559" t="s">
        <v>1291</v>
      </c>
      <c r="B559" t="s">
        <v>478</v>
      </c>
      <c r="C559" t="s">
        <v>35</v>
      </c>
      <c r="D559" t="s">
        <v>65</v>
      </c>
      <c r="E559" t="s">
        <v>18</v>
      </c>
      <c r="F559">
        <v>12</v>
      </c>
      <c r="G559">
        <v>4936</v>
      </c>
      <c r="H559">
        <v>59232</v>
      </c>
      <c r="I559" t="s">
        <v>910</v>
      </c>
      <c r="J559" t="s">
        <v>911</v>
      </c>
      <c r="K559">
        <v>12</v>
      </c>
      <c r="L559">
        <v>0</v>
      </c>
      <c r="M559" t="s">
        <v>115</v>
      </c>
      <c r="N559" t="str">
        <f t="shared" si="48"/>
        <v>PO-100558</v>
      </c>
      <c r="O559" t="str">
        <f t="shared" si="49"/>
        <v>Delivered</v>
      </c>
      <c r="P559" t="str">
        <f t="shared" si="50"/>
        <v>WH-PUN</v>
      </c>
      <c r="Q559" t="str">
        <f>VLOOKUP(C559, Lookups!$A$2:$D$10, 2, FALSE())</f>
        <v>Peripheral Source</v>
      </c>
      <c r="R559" t="str">
        <f>_xlfn.XLOOKUP(D559, Lookups!$A$12:$A$51, Lookups!$C$12:$C$51, "Unknown")</f>
        <v>Peripherals</v>
      </c>
      <c r="S559" t="str">
        <f>IF(ISBLANK(I559), B559+VLOOKUP(C559, Lookups!$A$2:$D$10, 4, FALSE()), I559)</f>
        <v>2025-04-08</v>
      </c>
      <c r="T559">
        <f t="shared" si="51"/>
        <v>11</v>
      </c>
      <c r="U559" t="str">
        <f t="shared" si="52"/>
        <v>Late</v>
      </c>
      <c r="V559">
        <f t="shared" si="53"/>
        <v>0</v>
      </c>
    </row>
    <row r="560" spans="1:22" x14ac:dyDescent="0.45">
      <c r="A560" t="s">
        <v>1292</v>
      </c>
      <c r="B560" t="s">
        <v>361</v>
      </c>
      <c r="C560" t="s">
        <v>36</v>
      </c>
      <c r="D560" t="s">
        <v>90</v>
      </c>
      <c r="E560" t="s">
        <v>16</v>
      </c>
      <c r="F560">
        <v>16</v>
      </c>
      <c r="G560">
        <v>81434</v>
      </c>
      <c r="H560">
        <v>1302944</v>
      </c>
      <c r="I560" t="s">
        <v>367</v>
      </c>
      <c r="J560" t="s">
        <v>366</v>
      </c>
      <c r="K560">
        <v>16</v>
      </c>
      <c r="L560">
        <v>0</v>
      </c>
      <c r="M560" t="s">
        <v>115</v>
      </c>
      <c r="N560" t="str">
        <f t="shared" si="48"/>
        <v>PO-100559</v>
      </c>
      <c r="O560" t="str">
        <f t="shared" si="49"/>
        <v>Delivered</v>
      </c>
      <c r="P560" t="str">
        <f t="shared" si="50"/>
        <v>WH-DEL</v>
      </c>
      <c r="Q560" t="str">
        <f>VLOOKUP(C560, Lookups!$A$2:$D$10, 2, FALSE())</f>
        <v>NextGen Hardware</v>
      </c>
      <c r="R560" t="str">
        <f>_xlfn.XLOOKUP(D560, Lookups!$A$12:$A$51, Lookups!$C$12:$C$51, "Unknown")</f>
        <v>Electronics</v>
      </c>
      <c r="S560" t="str">
        <f>IF(ISBLANK(I560), B560+VLOOKUP(C560, Lookups!$A$2:$D$10, 4, FALSE()), I560)</f>
        <v>2026-04-15</v>
      </c>
      <c r="T560">
        <f t="shared" si="51"/>
        <v>25</v>
      </c>
      <c r="U560" t="str">
        <f t="shared" si="52"/>
        <v>Late</v>
      </c>
      <c r="V560">
        <f t="shared" si="53"/>
        <v>0</v>
      </c>
    </row>
    <row r="561" spans="1:22" x14ac:dyDescent="0.45">
      <c r="A561" t="s">
        <v>1293</v>
      </c>
      <c r="B561" t="s">
        <v>561</v>
      </c>
      <c r="C561" t="s">
        <v>30</v>
      </c>
      <c r="D561" t="s">
        <v>59</v>
      </c>
      <c r="E561" t="s">
        <v>16</v>
      </c>
      <c r="F561">
        <v>47</v>
      </c>
      <c r="G561">
        <v>48905</v>
      </c>
      <c r="H561">
        <v>2298535</v>
      </c>
      <c r="I561" t="s">
        <v>566</v>
      </c>
      <c r="J561" t="s">
        <v>476</v>
      </c>
      <c r="K561">
        <v>47</v>
      </c>
      <c r="L561">
        <v>0</v>
      </c>
      <c r="M561" t="s">
        <v>115</v>
      </c>
      <c r="N561" t="str">
        <f t="shared" si="48"/>
        <v>PO-100560</v>
      </c>
      <c r="O561" t="str">
        <f t="shared" si="49"/>
        <v>Delivered</v>
      </c>
      <c r="P561" t="str">
        <f t="shared" si="50"/>
        <v>WH-DEL</v>
      </c>
      <c r="Q561" t="str">
        <f>VLOOKUP(C561, Lookups!$A$2:$D$10, 2, FALSE())</f>
        <v>TechSupply Corp</v>
      </c>
      <c r="R561" t="str">
        <f>_xlfn.XLOOKUP(D561, Lookups!$A$12:$A$51, Lookups!$C$12:$C$51, "Unknown")</f>
        <v>Electronics</v>
      </c>
      <c r="S561" t="str">
        <f>IF(ISBLANK(I561), B561+VLOOKUP(C561, Lookups!$A$2:$D$10, 4, FALSE()), I561)</f>
        <v>2025-03-09</v>
      </c>
      <c r="T561">
        <f t="shared" si="51"/>
        <v>15</v>
      </c>
      <c r="U561" t="str">
        <f t="shared" si="52"/>
        <v>Late</v>
      </c>
      <c r="V561">
        <f t="shared" si="53"/>
        <v>0</v>
      </c>
    </row>
    <row r="562" spans="1:22" x14ac:dyDescent="0.45">
      <c r="A562" t="s">
        <v>1294</v>
      </c>
      <c r="B562" t="s">
        <v>226</v>
      </c>
      <c r="C562" t="s">
        <v>35</v>
      </c>
      <c r="D562" t="s">
        <v>65</v>
      </c>
      <c r="E562" t="s">
        <v>17</v>
      </c>
      <c r="F562">
        <v>22</v>
      </c>
      <c r="G562">
        <v>4936</v>
      </c>
      <c r="H562">
        <v>108592</v>
      </c>
      <c r="I562" t="s">
        <v>1295</v>
      </c>
      <c r="J562" t="s">
        <v>1295</v>
      </c>
      <c r="K562">
        <v>16</v>
      </c>
      <c r="L562">
        <v>0</v>
      </c>
      <c r="M562" t="s">
        <v>115</v>
      </c>
      <c r="N562" t="str">
        <f t="shared" si="48"/>
        <v>PO-100561</v>
      </c>
      <c r="O562" t="str">
        <f t="shared" si="49"/>
        <v>Delivered</v>
      </c>
      <c r="P562" t="str">
        <f t="shared" si="50"/>
        <v>WH-BLR</v>
      </c>
      <c r="Q562" t="str">
        <f>VLOOKUP(C562, Lookups!$A$2:$D$10, 2, FALSE())</f>
        <v>Peripheral Source</v>
      </c>
      <c r="R562" t="str">
        <f>_xlfn.XLOOKUP(D562, Lookups!$A$12:$A$51, Lookups!$C$12:$C$51, "Unknown")</f>
        <v>Peripherals</v>
      </c>
      <c r="S562" t="str">
        <f>IF(ISBLANK(I562), B562+VLOOKUP(C562, Lookups!$A$2:$D$10, 4, FALSE()), I562)</f>
        <v>2026-08-11</v>
      </c>
      <c r="T562">
        <f t="shared" si="51"/>
        <v>10</v>
      </c>
      <c r="U562" t="str">
        <f t="shared" si="52"/>
        <v>On-Time</v>
      </c>
      <c r="V562">
        <f t="shared" si="53"/>
        <v>0</v>
      </c>
    </row>
    <row r="563" spans="1:22" x14ac:dyDescent="0.45">
      <c r="A563" t="s">
        <v>1296</v>
      </c>
      <c r="B563" t="s">
        <v>960</v>
      </c>
      <c r="C563" t="s">
        <v>30</v>
      </c>
      <c r="D563" t="s">
        <v>82</v>
      </c>
      <c r="E563" t="s">
        <v>17</v>
      </c>
      <c r="F563">
        <v>211</v>
      </c>
      <c r="G563">
        <v>83427</v>
      </c>
      <c r="H563">
        <v>17603097</v>
      </c>
      <c r="I563" t="s">
        <v>481</v>
      </c>
      <c r="J563" t="s">
        <v>481</v>
      </c>
      <c r="K563">
        <v>211</v>
      </c>
      <c r="L563">
        <v>31</v>
      </c>
      <c r="M563" t="s">
        <v>115</v>
      </c>
      <c r="N563" t="str">
        <f t="shared" si="48"/>
        <v>PO-100562</v>
      </c>
      <c r="O563" t="str">
        <f t="shared" si="49"/>
        <v>Delivered</v>
      </c>
      <c r="P563" t="str">
        <f t="shared" si="50"/>
        <v>WH-BLR</v>
      </c>
      <c r="Q563" t="str">
        <f>VLOOKUP(C563, Lookups!$A$2:$D$10, 2, FALSE())</f>
        <v>TechSupply Corp</v>
      </c>
      <c r="R563" t="str">
        <f>_xlfn.XLOOKUP(D563, Lookups!$A$12:$A$51, Lookups!$C$12:$C$51, "Unknown")</f>
        <v>Electronics</v>
      </c>
      <c r="S563" t="str">
        <f>IF(ISBLANK(I563), B563+VLOOKUP(C563, Lookups!$A$2:$D$10, 4, FALSE()), I563)</f>
        <v>2025-05-07</v>
      </c>
      <c r="T563">
        <f t="shared" si="51"/>
        <v>14</v>
      </c>
      <c r="U563" t="str">
        <f t="shared" si="52"/>
        <v>On-Time</v>
      </c>
      <c r="V563">
        <f t="shared" si="53"/>
        <v>0.14691943127962084</v>
      </c>
    </row>
    <row r="564" spans="1:22" x14ac:dyDescent="0.45">
      <c r="A564" t="s">
        <v>1297</v>
      </c>
      <c r="B564" t="s">
        <v>288</v>
      </c>
      <c r="C564" t="s">
        <v>32</v>
      </c>
      <c r="D564" t="s">
        <v>84</v>
      </c>
      <c r="E564" t="s">
        <v>15</v>
      </c>
      <c r="F564">
        <v>83</v>
      </c>
      <c r="G564">
        <v>7271</v>
      </c>
      <c r="H564">
        <v>603493</v>
      </c>
      <c r="I564" t="s">
        <v>305</v>
      </c>
      <c r="J564" t="s">
        <v>305</v>
      </c>
      <c r="K564">
        <v>44</v>
      </c>
      <c r="L564">
        <v>0</v>
      </c>
      <c r="M564" t="s">
        <v>115</v>
      </c>
      <c r="N564" t="str">
        <f t="shared" si="48"/>
        <v>PO-100563</v>
      </c>
      <c r="O564" t="str">
        <f t="shared" si="49"/>
        <v>Delivered</v>
      </c>
      <c r="P564" t="str">
        <f t="shared" si="50"/>
        <v>WH-BOM</v>
      </c>
      <c r="Q564" t="str">
        <f>VLOOKUP(C564, Lookups!$A$2:$D$10, 2, FALSE())</f>
        <v>OfficeDepot Pro</v>
      </c>
      <c r="R564" t="str">
        <f>_xlfn.XLOOKUP(D564, Lookups!$A$12:$A$51, Lookups!$C$12:$C$51, "Unknown")</f>
        <v>Peripherals</v>
      </c>
      <c r="S564" t="str">
        <f>IF(ISBLANK(I564), B564+VLOOKUP(C564, Lookups!$A$2:$D$10, 4, FALSE()), I564)</f>
        <v>2026-06-28</v>
      </c>
      <c r="T564">
        <f t="shared" si="51"/>
        <v>7</v>
      </c>
      <c r="U564" t="str">
        <f t="shared" si="52"/>
        <v>On-Time</v>
      </c>
      <c r="V564">
        <f t="shared" si="53"/>
        <v>0</v>
      </c>
    </row>
    <row r="565" spans="1:22" x14ac:dyDescent="0.45">
      <c r="A565" t="s">
        <v>1298</v>
      </c>
      <c r="B565" t="s">
        <v>189</v>
      </c>
      <c r="C565" t="s">
        <v>34</v>
      </c>
      <c r="D565" t="s">
        <v>74</v>
      </c>
      <c r="E565" t="s">
        <v>18</v>
      </c>
      <c r="F565">
        <v>108</v>
      </c>
      <c r="G565">
        <v>94797</v>
      </c>
      <c r="H565">
        <v>10238076</v>
      </c>
      <c r="I565" t="s">
        <v>432</v>
      </c>
      <c r="J565" t="s">
        <v>1168</v>
      </c>
      <c r="K565">
        <v>67</v>
      </c>
      <c r="L565">
        <v>0</v>
      </c>
      <c r="M565" t="s">
        <v>115</v>
      </c>
      <c r="N565" t="str">
        <f t="shared" si="48"/>
        <v>PO-100564</v>
      </c>
      <c r="O565" t="str">
        <f t="shared" si="49"/>
        <v>Delivered</v>
      </c>
      <c r="P565" t="str">
        <f t="shared" si="50"/>
        <v>WH-PUN</v>
      </c>
      <c r="Q565" t="str">
        <f>VLOOKUP(C565, Lookups!$A$2:$D$10, 2, FALSE())</f>
        <v>FastElectronics</v>
      </c>
      <c r="R565" t="str">
        <f>_xlfn.XLOOKUP(D565, Lookups!$A$12:$A$51, Lookups!$C$12:$C$51, "Unknown")</f>
        <v>Electronics</v>
      </c>
      <c r="S565" t="str">
        <f>IF(ISBLANK(I565), B565+VLOOKUP(C565, Lookups!$A$2:$D$10, 4, FALSE()), I565)</f>
        <v>2025-03-25</v>
      </c>
      <c r="T565">
        <f t="shared" si="51"/>
        <v>19</v>
      </c>
      <c r="U565" t="str">
        <f t="shared" si="52"/>
        <v>Late</v>
      </c>
      <c r="V565">
        <f t="shared" si="53"/>
        <v>0</v>
      </c>
    </row>
    <row r="566" spans="1:22" x14ac:dyDescent="0.45">
      <c r="A566" t="s">
        <v>1299</v>
      </c>
      <c r="B566" t="s">
        <v>469</v>
      </c>
      <c r="C566" t="s">
        <v>31</v>
      </c>
      <c r="D566" t="s">
        <v>85</v>
      </c>
      <c r="E566" t="s">
        <v>15</v>
      </c>
      <c r="F566">
        <v>80</v>
      </c>
      <c r="G566">
        <v>16501</v>
      </c>
      <c r="H566">
        <v>1320080</v>
      </c>
      <c r="I566" t="s">
        <v>1300</v>
      </c>
      <c r="J566" t="s">
        <v>1300</v>
      </c>
      <c r="K566">
        <v>80</v>
      </c>
      <c r="L566">
        <v>0</v>
      </c>
      <c r="M566" t="s">
        <v>115</v>
      </c>
      <c r="N566" t="str">
        <f t="shared" si="48"/>
        <v>PO-100565</v>
      </c>
      <c r="O566" t="str">
        <f t="shared" si="49"/>
        <v>Delivered</v>
      </c>
      <c r="P566" t="str">
        <f t="shared" si="50"/>
        <v>WH-BOM</v>
      </c>
      <c r="Q566" t="str">
        <f>VLOOKUP(C566, Lookups!$A$2:$D$10, 2, FALSE())</f>
        <v>Global Networks</v>
      </c>
      <c r="R566" t="str">
        <f>_xlfn.XLOOKUP(D566, Lookups!$A$12:$A$51, Lookups!$C$12:$C$51, "Unknown")</f>
        <v>Networking</v>
      </c>
      <c r="S566" t="str">
        <f>IF(ISBLANK(I566), B566+VLOOKUP(C566, Lookups!$A$2:$D$10, 4, FALSE()), I566)</f>
        <v>2025-08-05</v>
      </c>
      <c r="T566">
        <f t="shared" si="51"/>
        <v>21</v>
      </c>
      <c r="U566" t="str">
        <f t="shared" si="52"/>
        <v>On-Time</v>
      </c>
      <c r="V566">
        <f t="shared" si="53"/>
        <v>0</v>
      </c>
    </row>
    <row r="567" spans="1:22" x14ac:dyDescent="0.45">
      <c r="A567" t="s">
        <v>1301</v>
      </c>
      <c r="B567" t="s">
        <v>1302</v>
      </c>
      <c r="C567" t="s">
        <v>32</v>
      </c>
      <c r="D567" t="s">
        <v>84</v>
      </c>
      <c r="E567" t="s">
        <v>15</v>
      </c>
      <c r="F567">
        <v>60</v>
      </c>
      <c r="G567">
        <v>7271</v>
      </c>
      <c r="H567">
        <v>436260</v>
      </c>
      <c r="I567" t="s">
        <v>537</v>
      </c>
      <c r="J567" t="s">
        <v>261</v>
      </c>
      <c r="K567">
        <v>59</v>
      </c>
      <c r="L567">
        <v>0</v>
      </c>
      <c r="M567" t="s">
        <v>115</v>
      </c>
      <c r="N567" t="str">
        <f t="shared" si="48"/>
        <v>PO-100566</v>
      </c>
      <c r="O567" t="str">
        <f t="shared" si="49"/>
        <v>Delivered</v>
      </c>
      <c r="P567" t="str">
        <f t="shared" si="50"/>
        <v>WH-BOM</v>
      </c>
      <c r="Q567" t="str">
        <f>VLOOKUP(C567, Lookups!$A$2:$D$10, 2, FALSE())</f>
        <v>OfficeDepot Pro</v>
      </c>
      <c r="R567" t="str">
        <f>_xlfn.XLOOKUP(D567, Lookups!$A$12:$A$51, Lookups!$C$12:$C$51, "Unknown")</f>
        <v>Peripherals</v>
      </c>
      <c r="S567" t="str">
        <f>IF(ISBLANK(I567), B567+VLOOKUP(C567, Lookups!$A$2:$D$10, 4, FALSE()), I567)</f>
        <v>2026-01-03</v>
      </c>
      <c r="T567">
        <f t="shared" si="51"/>
        <v>19</v>
      </c>
      <c r="U567" t="str">
        <f t="shared" si="52"/>
        <v>Late</v>
      </c>
      <c r="V567">
        <f t="shared" si="53"/>
        <v>0</v>
      </c>
    </row>
    <row r="568" spans="1:22" x14ac:dyDescent="0.45">
      <c r="A568" t="s">
        <v>1303</v>
      </c>
      <c r="B568" t="s">
        <v>552</v>
      </c>
      <c r="C568" t="s">
        <v>34</v>
      </c>
      <c r="D568" t="s">
        <v>76</v>
      </c>
      <c r="E568" t="s">
        <v>17</v>
      </c>
      <c r="F568">
        <v>124</v>
      </c>
      <c r="G568">
        <v>26270</v>
      </c>
      <c r="H568">
        <v>3257480</v>
      </c>
      <c r="I568" t="s">
        <v>930</v>
      </c>
      <c r="J568" t="s">
        <v>547</v>
      </c>
      <c r="K568">
        <v>124</v>
      </c>
      <c r="L568">
        <v>0</v>
      </c>
      <c r="M568" t="s">
        <v>115</v>
      </c>
      <c r="N568" t="str">
        <f t="shared" si="48"/>
        <v>PO-100567</v>
      </c>
      <c r="O568" t="str">
        <f t="shared" si="49"/>
        <v>Delivered</v>
      </c>
      <c r="P568" t="str">
        <f t="shared" si="50"/>
        <v>WH-BLR</v>
      </c>
      <c r="Q568" t="str">
        <f>VLOOKUP(C568, Lookups!$A$2:$D$10, 2, FALSE())</f>
        <v>FastElectronics</v>
      </c>
      <c r="R568" t="str">
        <f>_xlfn.XLOOKUP(D568, Lookups!$A$12:$A$51, Lookups!$C$12:$C$51, "Unknown")</f>
        <v>Networking</v>
      </c>
      <c r="S568" t="str">
        <f>IF(ISBLANK(I568), B568+VLOOKUP(C568, Lookups!$A$2:$D$10, 4, FALSE()), I568)</f>
        <v>2025-12-10</v>
      </c>
      <c r="T568">
        <f t="shared" si="51"/>
        <v>33</v>
      </c>
      <c r="U568" t="str">
        <f t="shared" si="52"/>
        <v>Late</v>
      </c>
      <c r="V568">
        <f t="shared" si="53"/>
        <v>0</v>
      </c>
    </row>
    <row r="569" spans="1:22" x14ac:dyDescent="0.45">
      <c r="A569" t="s">
        <v>1304</v>
      </c>
      <c r="B569" t="s">
        <v>258</v>
      </c>
      <c r="C569" t="s">
        <v>35</v>
      </c>
      <c r="D569" t="s">
        <v>57</v>
      </c>
      <c r="E569" t="s">
        <v>15</v>
      </c>
      <c r="F569">
        <v>49</v>
      </c>
      <c r="G569">
        <v>2212</v>
      </c>
      <c r="H569">
        <v>108388</v>
      </c>
      <c r="I569" t="s">
        <v>379</v>
      </c>
      <c r="J569" t="s">
        <v>379</v>
      </c>
      <c r="K569">
        <v>49</v>
      </c>
      <c r="L569">
        <v>0</v>
      </c>
      <c r="M569" t="s">
        <v>115</v>
      </c>
      <c r="N569" t="str">
        <f t="shared" si="48"/>
        <v>PO-100568</v>
      </c>
      <c r="O569" t="str">
        <f t="shared" si="49"/>
        <v>Delivered</v>
      </c>
      <c r="P569" t="str">
        <f t="shared" si="50"/>
        <v>WH-BOM</v>
      </c>
      <c r="Q569" t="str">
        <f>VLOOKUP(C569, Lookups!$A$2:$D$10, 2, FALSE())</f>
        <v>Peripheral Source</v>
      </c>
      <c r="R569" t="str">
        <f>_xlfn.XLOOKUP(D569, Lookups!$A$12:$A$51, Lookups!$C$12:$C$51, "Unknown")</f>
        <v>Peripherals</v>
      </c>
      <c r="S569" t="str">
        <f>IF(ISBLANK(I569), B569+VLOOKUP(C569, Lookups!$A$2:$D$10, 4, FALSE()), I569)</f>
        <v>2025-02-16</v>
      </c>
      <c r="T569">
        <f t="shared" si="51"/>
        <v>10</v>
      </c>
      <c r="U569" t="str">
        <f t="shared" si="52"/>
        <v>On-Time</v>
      </c>
      <c r="V569">
        <f t="shared" si="53"/>
        <v>0</v>
      </c>
    </row>
    <row r="570" spans="1:22" x14ac:dyDescent="0.45">
      <c r="A570" t="s">
        <v>1305</v>
      </c>
      <c r="B570" t="s">
        <v>789</v>
      </c>
      <c r="C570" t="s">
        <v>36</v>
      </c>
      <c r="D570" t="s">
        <v>87</v>
      </c>
      <c r="E570" t="s">
        <v>16</v>
      </c>
      <c r="F570">
        <v>133</v>
      </c>
      <c r="G570">
        <v>82930</v>
      </c>
      <c r="H570">
        <v>11029690</v>
      </c>
      <c r="I570" t="s">
        <v>1306</v>
      </c>
      <c r="K570">
        <v>0</v>
      </c>
      <c r="L570">
        <v>0</v>
      </c>
      <c r="M570" t="s">
        <v>297</v>
      </c>
      <c r="N570" t="str">
        <f t="shared" si="48"/>
        <v>PO-100569</v>
      </c>
      <c r="O570" t="str">
        <f t="shared" si="49"/>
        <v>Open</v>
      </c>
      <c r="P570" t="str">
        <f t="shared" si="50"/>
        <v>WH-DEL</v>
      </c>
      <c r="Q570" t="str">
        <f>VLOOKUP(C570, Lookups!$A$2:$D$10, 2, FALSE())</f>
        <v>NextGen Hardware</v>
      </c>
      <c r="R570" t="str">
        <f>_xlfn.XLOOKUP(D570, Lookups!$A$12:$A$51, Lookups!$C$12:$C$51, "Unknown")</f>
        <v>Electronics</v>
      </c>
      <c r="S570" t="str">
        <f>IF(ISBLANK(I570), B570+VLOOKUP(C570, Lookups!$A$2:$D$10, 4, FALSE()), I570)</f>
        <v>2027-01-05</v>
      </c>
      <c r="T570" t="str">
        <f t="shared" si="51"/>
        <v/>
      </c>
      <c r="U570" t="str">
        <f t="shared" si="52"/>
        <v>Open</v>
      </c>
      <c r="V570">
        <f t="shared" si="53"/>
        <v>0</v>
      </c>
    </row>
    <row r="571" spans="1:22" x14ac:dyDescent="0.45">
      <c r="A571" t="s">
        <v>1307</v>
      </c>
      <c r="B571" t="s">
        <v>836</v>
      </c>
      <c r="C571" t="s">
        <v>31</v>
      </c>
      <c r="D571" t="s">
        <v>85</v>
      </c>
      <c r="E571" t="s">
        <v>18</v>
      </c>
      <c r="F571">
        <v>118</v>
      </c>
      <c r="G571">
        <v>16501</v>
      </c>
      <c r="H571">
        <v>1947118</v>
      </c>
      <c r="I571" t="s">
        <v>709</v>
      </c>
      <c r="J571" t="s">
        <v>721</v>
      </c>
      <c r="K571">
        <v>118</v>
      </c>
      <c r="L571">
        <v>0</v>
      </c>
      <c r="M571" t="s">
        <v>115</v>
      </c>
      <c r="N571" t="str">
        <f t="shared" si="48"/>
        <v>PO-100570</v>
      </c>
      <c r="O571" t="str">
        <f t="shared" si="49"/>
        <v>Delivered</v>
      </c>
      <c r="P571" t="str">
        <f t="shared" si="50"/>
        <v>WH-PUN</v>
      </c>
      <c r="Q571" t="str">
        <f>VLOOKUP(C571, Lookups!$A$2:$D$10, 2, FALSE())</f>
        <v>Global Networks</v>
      </c>
      <c r="R571" t="str">
        <f>_xlfn.XLOOKUP(D571, Lookups!$A$12:$A$51, Lookups!$C$12:$C$51, "Unknown")</f>
        <v>Networking</v>
      </c>
      <c r="S571" t="str">
        <f>IF(ISBLANK(I571), B571+VLOOKUP(C571, Lookups!$A$2:$D$10, 4, FALSE()), I571)</f>
        <v>2026-01-31</v>
      </c>
      <c r="T571">
        <f t="shared" si="51"/>
        <v>22</v>
      </c>
      <c r="U571" t="str">
        <f t="shared" si="52"/>
        <v>Late</v>
      </c>
      <c r="V571">
        <f t="shared" si="53"/>
        <v>0</v>
      </c>
    </row>
    <row r="572" spans="1:22" x14ac:dyDescent="0.45">
      <c r="A572" t="s">
        <v>1308</v>
      </c>
      <c r="B572" t="s">
        <v>1003</v>
      </c>
      <c r="C572" t="s">
        <v>34</v>
      </c>
      <c r="D572" t="s">
        <v>76</v>
      </c>
      <c r="E572" t="s">
        <v>18</v>
      </c>
      <c r="F572">
        <v>101</v>
      </c>
      <c r="G572">
        <v>26270</v>
      </c>
      <c r="H572">
        <v>2653270</v>
      </c>
      <c r="I572" t="s">
        <v>798</v>
      </c>
      <c r="J572" t="s">
        <v>798</v>
      </c>
      <c r="K572">
        <v>101</v>
      </c>
      <c r="L572">
        <v>0</v>
      </c>
      <c r="M572" t="s">
        <v>115</v>
      </c>
      <c r="N572" t="str">
        <f t="shared" si="48"/>
        <v>PO-100571</v>
      </c>
      <c r="O572" t="str">
        <f t="shared" si="49"/>
        <v>Delivered</v>
      </c>
      <c r="P572" t="str">
        <f t="shared" si="50"/>
        <v>WH-PUN</v>
      </c>
      <c r="Q572" t="str">
        <f>VLOOKUP(C572, Lookups!$A$2:$D$10, 2, FALSE())</f>
        <v>FastElectronics</v>
      </c>
      <c r="R572" t="str">
        <f>_xlfn.XLOOKUP(D572, Lookups!$A$12:$A$51, Lookups!$C$12:$C$51, "Unknown")</f>
        <v>Networking</v>
      </c>
      <c r="S572" t="str">
        <f>IF(ISBLANK(I572), B572+VLOOKUP(C572, Lookups!$A$2:$D$10, 4, FALSE()), I572)</f>
        <v>2026-05-15</v>
      </c>
      <c r="T572">
        <f t="shared" si="51"/>
        <v>18</v>
      </c>
      <c r="U572" t="str">
        <f t="shared" si="52"/>
        <v>On-Time</v>
      </c>
      <c r="V572">
        <f t="shared" si="53"/>
        <v>0</v>
      </c>
    </row>
    <row r="573" spans="1:22" x14ac:dyDescent="0.45">
      <c r="A573" t="s">
        <v>1309</v>
      </c>
      <c r="B573" t="s">
        <v>566</v>
      </c>
      <c r="C573" t="s">
        <v>30</v>
      </c>
      <c r="D573" t="s">
        <v>82</v>
      </c>
      <c r="E573" t="s">
        <v>15</v>
      </c>
      <c r="F573">
        <v>194</v>
      </c>
      <c r="G573">
        <v>83427</v>
      </c>
      <c r="H573">
        <v>16184838</v>
      </c>
      <c r="I573" t="s">
        <v>1164</v>
      </c>
      <c r="J573" t="s">
        <v>1164</v>
      </c>
      <c r="K573">
        <v>194</v>
      </c>
      <c r="L573">
        <v>0</v>
      </c>
      <c r="M573" t="s">
        <v>115</v>
      </c>
      <c r="N573" t="str">
        <f t="shared" si="48"/>
        <v>PO-100572</v>
      </c>
      <c r="O573" t="str">
        <f t="shared" si="49"/>
        <v>Delivered</v>
      </c>
      <c r="P573" t="str">
        <f t="shared" si="50"/>
        <v>WH-BOM</v>
      </c>
      <c r="Q573" t="str">
        <f>VLOOKUP(C573, Lookups!$A$2:$D$10, 2, FALSE())</f>
        <v>TechSupply Corp</v>
      </c>
      <c r="R573" t="str">
        <f>_xlfn.XLOOKUP(D573, Lookups!$A$12:$A$51, Lookups!$C$12:$C$51, "Unknown")</f>
        <v>Electronics</v>
      </c>
      <c r="S573" t="str">
        <f>IF(ISBLANK(I573), B573+VLOOKUP(C573, Lookups!$A$2:$D$10, 4, FALSE()), I573)</f>
        <v>2025-03-23</v>
      </c>
      <c r="T573">
        <f t="shared" si="51"/>
        <v>14</v>
      </c>
      <c r="U573" t="str">
        <f t="shared" si="52"/>
        <v>On-Time</v>
      </c>
      <c r="V573">
        <f t="shared" si="53"/>
        <v>0</v>
      </c>
    </row>
    <row r="574" spans="1:22" x14ac:dyDescent="0.45">
      <c r="A574" t="s">
        <v>1310</v>
      </c>
      <c r="B574" t="s">
        <v>894</v>
      </c>
      <c r="C574" t="s">
        <v>35</v>
      </c>
      <c r="D574" t="s">
        <v>75</v>
      </c>
      <c r="E574" t="s">
        <v>16</v>
      </c>
      <c r="F574">
        <v>75</v>
      </c>
      <c r="G574">
        <v>4440</v>
      </c>
      <c r="H574">
        <v>333000</v>
      </c>
      <c r="I574" t="s">
        <v>716</v>
      </c>
      <c r="J574" t="s">
        <v>716</v>
      </c>
      <c r="K574">
        <v>75</v>
      </c>
      <c r="L574">
        <v>0</v>
      </c>
      <c r="M574" t="s">
        <v>115</v>
      </c>
      <c r="N574" t="str">
        <f t="shared" si="48"/>
        <v>PO-100573</v>
      </c>
      <c r="O574" t="str">
        <f t="shared" si="49"/>
        <v>Delivered</v>
      </c>
      <c r="P574" t="str">
        <f t="shared" si="50"/>
        <v>WH-DEL</v>
      </c>
      <c r="Q574" t="str">
        <f>VLOOKUP(C574, Lookups!$A$2:$D$10, 2, FALSE())</f>
        <v>Peripheral Source</v>
      </c>
      <c r="R574" t="str">
        <f>_xlfn.XLOOKUP(D574, Lookups!$A$12:$A$51, Lookups!$C$12:$C$51, "Unknown")</f>
        <v>Peripherals</v>
      </c>
      <c r="S574" t="str">
        <f>IF(ISBLANK(I574), B574+VLOOKUP(C574, Lookups!$A$2:$D$10, 4, FALSE()), I574)</f>
        <v>2025-08-11</v>
      </c>
      <c r="T574">
        <f t="shared" si="51"/>
        <v>10</v>
      </c>
      <c r="U574" t="str">
        <f t="shared" si="52"/>
        <v>On-Time</v>
      </c>
      <c r="V574">
        <f t="shared" si="53"/>
        <v>0</v>
      </c>
    </row>
    <row r="575" spans="1:22" x14ac:dyDescent="0.45">
      <c r="A575" t="s">
        <v>1311</v>
      </c>
      <c r="B575" t="s">
        <v>202</v>
      </c>
      <c r="C575" t="s">
        <v>30</v>
      </c>
      <c r="D575" t="s">
        <v>61</v>
      </c>
      <c r="E575" t="s">
        <v>17</v>
      </c>
      <c r="F575">
        <v>73</v>
      </c>
      <c r="G575">
        <v>111237</v>
      </c>
      <c r="H575">
        <v>8120301</v>
      </c>
      <c r="I575" t="s">
        <v>686</v>
      </c>
      <c r="J575" t="s">
        <v>686</v>
      </c>
      <c r="K575">
        <v>73</v>
      </c>
      <c r="L575">
        <v>0</v>
      </c>
      <c r="M575" t="s">
        <v>115</v>
      </c>
      <c r="N575" t="str">
        <f t="shared" si="48"/>
        <v>PO-100574</v>
      </c>
      <c r="O575" t="str">
        <f t="shared" si="49"/>
        <v>Delivered</v>
      </c>
      <c r="P575" t="str">
        <f t="shared" si="50"/>
        <v>WH-BLR</v>
      </c>
      <c r="Q575" t="str">
        <f>VLOOKUP(C575, Lookups!$A$2:$D$10, 2, FALSE())</f>
        <v>TechSupply Corp</v>
      </c>
      <c r="R575" t="str">
        <f>_xlfn.XLOOKUP(D575, Lookups!$A$12:$A$51, Lookups!$C$12:$C$51, "Unknown")</f>
        <v>Electronics</v>
      </c>
      <c r="S575" t="str">
        <f>IF(ISBLANK(I575), B575+VLOOKUP(C575, Lookups!$A$2:$D$10, 4, FALSE()), I575)</f>
        <v>2026-04-10</v>
      </c>
      <c r="T575">
        <f t="shared" si="51"/>
        <v>14</v>
      </c>
      <c r="U575" t="str">
        <f t="shared" si="52"/>
        <v>On-Time</v>
      </c>
      <c r="V575">
        <f t="shared" si="53"/>
        <v>0</v>
      </c>
    </row>
    <row r="576" spans="1:22" x14ac:dyDescent="0.45">
      <c r="A576" t="s">
        <v>1312</v>
      </c>
      <c r="B576" t="s">
        <v>1271</v>
      </c>
      <c r="C576" t="s">
        <v>32</v>
      </c>
      <c r="D576" t="s">
        <v>84</v>
      </c>
      <c r="E576" t="s">
        <v>16</v>
      </c>
      <c r="F576">
        <v>82</v>
      </c>
      <c r="G576">
        <v>7271</v>
      </c>
      <c r="H576">
        <v>596222</v>
      </c>
      <c r="I576" t="s">
        <v>794</v>
      </c>
      <c r="J576" t="s">
        <v>556</v>
      </c>
      <c r="K576">
        <v>82</v>
      </c>
      <c r="L576">
        <v>0</v>
      </c>
      <c r="M576" t="s">
        <v>115</v>
      </c>
      <c r="N576" t="str">
        <f t="shared" si="48"/>
        <v>PO-100575</v>
      </c>
      <c r="O576" t="str">
        <f t="shared" si="49"/>
        <v>Delivered</v>
      </c>
      <c r="P576" t="str">
        <f t="shared" si="50"/>
        <v>WH-DEL</v>
      </c>
      <c r="Q576" t="str">
        <f>VLOOKUP(C576, Lookups!$A$2:$D$10, 2, FALSE())</f>
        <v>OfficeDepot Pro</v>
      </c>
      <c r="R576" t="str">
        <f>_xlfn.XLOOKUP(D576, Lookups!$A$12:$A$51, Lookups!$C$12:$C$51, "Unknown")</f>
        <v>Peripherals</v>
      </c>
      <c r="S576" t="str">
        <f>IF(ISBLANK(I576), B576+VLOOKUP(C576, Lookups!$A$2:$D$10, 4, FALSE()), I576)</f>
        <v>2026-09-07</v>
      </c>
      <c r="T576">
        <f t="shared" si="51"/>
        <v>15</v>
      </c>
      <c r="U576" t="str">
        <f t="shared" si="52"/>
        <v>Late</v>
      </c>
      <c r="V576">
        <f t="shared" si="53"/>
        <v>0</v>
      </c>
    </row>
    <row r="577" spans="1:22" x14ac:dyDescent="0.45">
      <c r="A577" t="s">
        <v>1313</v>
      </c>
      <c r="B577" t="s">
        <v>411</v>
      </c>
      <c r="C577" t="s">
        <v>34</v>
      </c>
      <c r="D577" t="s">
        <v>73</v>
      </c>
      <c r="E577" t="s">
        <v>15</v>
      </c>
      <c r="F577">
        <v>27</v>
      </c>
      <c r="G577">
        <v>58396</v>
      </c>
      <c r="H577">
        <v>1576692</v>
      </c>
      <c r="I577" t="s">
        <v>412</v>
      </c>
      <c r="J577" t="s">
        <v>1314</v>
      </c>
      <c r="K577">
        <v>27</v>
      </c>
      <c r="L577">
        <v>0</v>
      </c>
      <c r="M577" t="s">
        <v>115</v>
      </c>
      <c r="N577" t="str">
        <f t="shared" si="48"/>
        <v>PO-100576</v>
      </c>
      <c r="O577" t="str">
        <f t="shared" si="49"/>
        <v>Delivered</v>
      </c>
      <c r="P577" t="str">
        <f t="shared" si="50"/>
        <v>WH-BOM</v>
      </c>
      <c r="Q577" t="str">
        <f>VLOOKUP(C577, Lookups!$A$2:$D$10, 2, FALSE())</f>
        <v>FastElectronics</v>
      </c>
      <c r="R577" t="str">
        <f>_xlfn.XLOOKUP(D577, Lookups!$A$12:$A$51, Lookups!$C$12:$C$51, "Unknown")</f>
        <v>Electronics</v>
      </c>
      <c r="S577" t="str">
        <f>IF(ISBLANK(I577), B577+VLOOKUP(C577, Lookups!$A$2:$D$10, 4, FALSE()), I577)</f>
        <v>2026-05-27</v>
      </c>
      <c r="T577">
        <f t="shared" si="51"/>
        <v>19</v>
      </c>
      <c r="U577" t="str">
        <f t="shared" si="52"/>
        <v>Late</v>
      </c>
      <c r="V577">
        <f t="shared" si="53"/>
        <v>0</v>
      </c>
    </row>
    <row r="578" spans="1:22" x14ac:dyDescent="0.45">
      <c r="A578" t="s">
        <v>1315</v>
      </c>
      <c r="B578" t="s">
        <v>957</v>
      </c>
      <c r="C578" t="s">
        <v>36</v>
      </c>
      <c r="D578" t="s">
        <v>90</v>
      </c>
      <c r="E578" t="s">
        <v>16</v>
      </c>
      <c r="F578">
        <v>11</v>
      </c>
      <c r="G578">
        <v>81434</v>
      </c>
      <c r="H578">
        <v>895774</v>
      </c>
      <c r="I578" t="s">
        <v>413</v>
      </c>
      <c r="J578" t="s">
        <v>413</v>
      </c>
      <c r="K578">
        <v>11</v>
      </c>
      <c r="L578">
        <v>0</v>
      </c>
      <c r="M578" t="s">
        <v>115</v>
      </c>
      <c r="N578" t="str">
        <f t="shared" ref="N578:N641" si="54">TRIM(A578)</f>
        <v>PO-100577</v>
      </c>
      <c r="O578" t="str">
        <f t="shared" ref="O578:O641" si="55">PROPER(TRIM(M578))</f>
        <v>Delivered</v>
      </c>
      <c r="P578" t="str">
        <f t="shared" ref="P578:P641" si="56">TRIM(E578)</f>
        <v>WH-DEL</v>
      </c>
      <c r="Q578" t="str">
        <f>VLOOKUP(C578, Lookups!$A$2:$D$10, 2, FALSE())</f>
        <v>NextGen Hardware</v>
      </c>
      <c r="R578" t="str">
        <f>_xlfn.XLOOKUP(D578, Lookups!$A$12:$A$51, Lookups!$C$12:$C$51, "Unknown")</f>
        <v>Electronics</v>
      </c>
      <c r="S578" t="str">
        <f>IF(ISBLANK(I578), B578+VLOOKUP(C578, Lookups!$A$2:$D$10, 4, FALSE()), I578)</f>
        <v>2026-06-05</v>
      </c>
      <c r="T578">
        <f t="shared" ref="T578:T641" si="57">IF(ISBLANK(J578), "", J578-B578)</f>
        <v>24</v>
      </c>
      <c r="U578" t="str">
        <f t="shared" ref="U578:U641" si="58">IF(O578="Open", "Open", IF(J578&gt;S578, "Late", "On-Time"))</f>
        <v>On-Time</v>
      </c>
      <c r="V578">
        <f t="shared" ref="V578:V641" si="59">IF(K578&gt;0, L578/K578, 0)</f>
        <v>0</v>
      </c>
    </row>
    <row r="579" spans="1:22" x14ac:dyDescent="0.45">
      <c r="A579" t="s">
        <v>1316</v>
      </c>
      <c r="B579" t="s">
        <v>739</v>
      </c>
      <c r="C579" t="s">
        <v>36</v>
      </c>
      <c r="D579" t="s">
        <v>62</v>
      </c>
      <c r="E579" t="s">
        <v>18</v>
      </c>
      <c r="F579">
        <v>55</v>
      </c>
      <c r="G579">
        <v>48478</v>
      </c>
      <c r="H579">
        <v>2666290</v>
      </c>
      <c r="I579" t="s">
        <v>995</v>
      </c>
      <c r="J579" t="s">
        <v>1236</v>
      </c>
      <c r="K579">
        <v>55</v>
      </c>
      <c r="L579">
        <v>0</v>
      </c>
      <c r="M579" t="s">
        <v>115</v>
      </c>
      <c r="N579" t="str">
        <f t="shared" si="54"/>
        <v>PO-100578</v>
      </c>
      <c r="O579" t="str">
        <f t="shared" si="55"/>
        <v>Delivered</v>
      </c>
      <c r="P579" t="str">
        <f t="shared" si="56"/>
        <v>WH-PUN</v>
      </c>
      <c r="Q579" t="str">
        <f>VLOOKUP(C579, Lookups!$A$2:$D$10, 2, FALSE())</f>
        <v>NextGen Hardware</v>
      </c>
      <c r="R579" t="str">
        <f>_xlfn.XLOOKUP(D579, Lookups!$A$12:$A$51, Lookups!$C$12:$C$51, "Unknown")</f>
        <v>Electronics</v>
      </c>
      <c r="S579" t="str">
        <f>IF(ISBLANK(I579), B579+VLOOKUP(C579, Lookups!$A$2:$D$10, 4, FALSE()), I579)</f>
        <v>2025-08-22</v>
      </c>
      <c r="T579">
        <f t="shared" si="57"/>
        <v>25</v>
      </c>
      <c r="U579" t="str">
        <f t="shared" si="58"/>
        <v>Late</v>
      </c>
      <c r="V579">
        <f t="shared" si="59"/>
        <v>0</v>
      </c>
    </row>
    <row r="580" spans="1:22" x14ac:dyDescent="0.45">
      <c r="A580" t="s">
        <v>1317</v>
      </c>
      <c r="B580" t="s">
        <v>1318</v>
      </c>
      <c r="C580" t="s">
        <v>31</v>
      </c>
      <c r="D580" t="s">
        <v>66</v>
      </c>
      <c r="E580" t="s">
        <v>17</v>
      </c>
      <c r="F580">
        <v>91</v>
      </c>
      <c r="G580">
        <v>29719</v>
      </c>
      <c r="H580">
        <v>2704429</v>
      </c>
      <c r="I580" t="s">
        <v>743</v>
      </c>
      <c r="J580" t="s">
        <v>693</v>
      </c>
      <c r="K580">
        <v>91</v>
      </c>
      <c r="L580">
        <v>0</v>
      </c>
      <c r="M580" t="s">
        <v>115</v>
      </c>
      <c r="N580" t="str">
        <f t="shared" si="54"/>
        <v>PO-100579</v>
      </c>
      <c r="O580" t="str">
        <f t="shared" si="55"/>
        <v>Delivered</v>
      </c>
      <c r="P580" t="str">
        <f t="shared" si="56"/>
        <v>WH-BLR</v>
      </c>
      <c r="Q580" t="str">
        <f>VLOOKUP(C580, Lookups!$A$2:$D$10, 2, FALSE())</f>
        <v>Global Networks</v>
      </c>
      <c r="R580" t="str">
        <f>_xlfn.XLOOKUP(D580, Lookups!$A$12:$A$51, Lookups!$C$12:$C$51, "Unknown")</f>
        <v>Networking</v>
      </c>
      <c r="S580" t="str">
        <f>IF(ISBLANK(I580), B580+VLOOKUP(C580, Lookups!$A$2:$D$10, 4, FALSE()), I580)</f>
        <v>2026-11-15</v>
      </c>
      <c r="T580">
        <f t="shared" si="57"/>
        <v>28</v>
      </c>
      <c r="U580" t="str">
        <f t="shared" si="58"/>
        <v>Late</v>
      </c>
      <c r="V580">
        <f t="shared" si="59"/>
        <v>0</v>
      </c>
    </row>
    <row r="581" spans="1:22" x14ac:dyDescent="0.45">
      <c r="A581" t="s">
        <v>1319</v>
      </c>
      <c r="B581" t="s">
        <v>732</v>
      </c>
      <c r="C581" t="s">
        <v>35</v>
      </c>
      <c r="D581" t="s">
        <v>72</v>
      </c>
      <c r="E581" t="s">
        <v>16</v>
      </c>
      <c r="F581">
        <v>233</v>
      </c>
      <c r="G581">
        <v>7754</v>
      </c>
      <c r="H581">
        <v>1806682</v>
      </c>
      <c r="I581" t="s">
        <v>215</v>
      </c>
      <c r="J581" t="s">
        <v>880</v>
      </c>
      <c r="K581">
        <v>233</v>
      </c>
      <c r="L581">
        <v>0</v>
      </c>
      <c r="M581" t="s">
        <v>115</v>
      </c>
      <c r="N581" t="str">
        <f t="shared" si="54"/>
        <v>PO-100580</v>
      </c>
      <c r="O581" t="str">
        <f t="shared" si="55"/>
        <v>Delivered</v>
      </c>
      <c r="P581" t="str">
        <f t="shared" si="56"/>
        <v>WH-DEL</v>
      </c>
      <c r="Q581" t="str">
        <f>VLOOKUP(C581, Lookups!$A$2:$D$10, 2, FALSE())</f>
        <v>Peripheral Source</v>
      </c>
      <c r="R581" t="str">
        <f>_xlfn.XLOOKUP(D581, Lookups!$A$12:$A$51, Lookups!$C$12:$C$51, "Unknown")</f>
        <v>Peripherals</v>
      </c>
      <c r="S581" t="str">
        <f>IF(ISBLANK(I581), B581+VLOOKUP(C581, Lookups!$A$2:$D$10, 4, FALSE()), I581)</f>
        <v>2025-06-28</v>
      </c>
      <c r="T581">
        <f t="shared" si="57"/>
        <v>11</v>
      </c>
      <c r="U581" t="str">
        <f t="shared" si="58"/>
        <v>Late</v>
      </c>
      <c r="V581">
        <f t="shared" si="59"/>
        <v>0</v>
      </c>
    </row>
    <row r="582" spans="1:22" x14ac:dyDescent="0.45">
      <c r="A582" t="s">
        <v>1320</v>
      </c>
      <c r="B582" t="s">
        <v>1321</v>
      </c>
      <c r="C582" t="s">
        <v>30</v>
      </c>
      <c r="D582" t="s">
        <v>86</v>
      </c>
      <c r="E582" t="s">
        <v>18</v>
      </c>
      <c r="F582">
        <v>219</v>
      </c>
      <c r="G582">
        <v>74871</v>
      </c>
      <c r="H582">
        <v>16396749</v>
      </c>
      <c r="I582" t="s">
        <v>257</v>
      </c>
      <c r="J582" t="s">
        <v>965</v>
      </c>
      <c r="K582">
        <v>219</v>
      </c>
      <c r="L582">
        <v>0</v>
      </c>
      <c r="M582" t="s">
        <v>115</v>
      </c>
      <c r="N582" t="str">
        <f t="shared" si="54"/>
        <v>PO-100581</v>
      </c>
      <c r="O582" t="str">
        <f t="shared" si="55"/>
        <v>Delivered</v>
      </c>
      <c r="P582" t="str">
        <f t="shared" si="56"/>
        <v>WH-PUN</v>
      </c>
      <c r="Q582" t="str">
        <f>VLOOKUP(C582, Lookups!$A$2:$D$10, 2, FALSE())</f>
        <v>TechSupply Corp</v>
      </c>
      <c r="R582" t="str">
        <f>_xlfn.XLOOKUP(D582, Lookups!$A$12:$A$51, Lookups!$C$12:$C$51, "Unknown")</f>
        <v>Electronics</v>
      </c>
      <c r="S582" t="str">
        <f>IF(ISBLANK(I582), B582+VLOOKUP(C582, Lookups!$A$2:$D$10, 4, FALSE()), I582)</f>
        <v>2025-01-19</v>
      </c>
      <c r="T582">
        <f t="shared" si="57"/>
        <v>10</v>
      </c>
      <c r="U582" t="str">
        <f t="shared" si="58"/>
        <v>On-Time</v>
      </c>
      <c r="V582">
        <f t="shared" si="59"/>
        <v>0</v>
      </c>
    </row>
    <row r="583" spans="1:22" x14ac:dyDescent="0.45">
      <c r="A583" t="s">
        <v>1322</v>
      </c>
      <c r="B583" t="s">
        <v>688</v>
      </c>
      <c r="C583" t="s">
        <v>35</v>
      </c>
      <c r="D583" t="s">
        <v>60</v>
      </c>
      <c r="E583" t="s">
        <v>15</v>
      </c>
      <c r="F583">
        <v>173</v>
      </c>
      <c r="G583">
        <v>3291</v>
      </c>
      <c r="H583">
        <v>569343</v>
      </c>
      <c r="I583" t="s">
        <v>411</v>
      </c>
      <c r="J583" t="s">
        <v>411</v>
      </c>
      <c r="K583">
        <v>173</v>
      </c>
      <c r="L583">
        <v>0</v>
      </c>
      <c r="M583" t="s">
        <v>115</v>
      </c>
      <c r="N583" t="str">
        <f t="shared" si="54"/>
        <v>PO-100582</v>
      </c>
      <c r="O583" t="str">
        <f t="shared" si="55"/>
        <v>Delivered</v>
      </c>
      <c r="P583" t="str">
        <f t="shared" si="56"/>
        <v>WH-BOM</v>
      </c>
      <c r="Q583" t="str">
        <f>VLOOKUP(C583, Lookups!$A$2:$D$10, 2, FALSE())</f>
        <v>Peripheral Source</v>
      </c>
      <c r="R583" t="str">
        <f>_xlfn.XLOOKUP(D583, Lookups!$A$12:$A$51, Lookups!$C$12:$C$51, "Unknown")</f>
        <v>Peripherals</v>
      </c>
      <c r="S583" t="str">
        <f>IF(ISBLANK(I583), B583+VLOOKUP(C583, Lookups!$A$2:$D$10, 4, FALSE()), I583)</f>
        <v>2026-05-09</v>
      </c>
      <c r="T583">
        <f t="shared" si="57"/>
        <v>10</v>
      </c>
      <c r="U583" t="str">
        <f t="shared" si="58"/>
        <v>On-Time</v>
      </c>
      <c r="V583">
        <f t="shared" si="59"/>
        <v>0</v>
      </c>
    </row>
    <row r="584" spans="1:22" x14ac:dyDescent="0.45">
      <c r="A584" t="s">
        <v>1323</v>
      </c>
      <c r="B584" t="s">
        <v>210</v>
      </c>
      <c r="C584" t="s">
        <v>30</v>
      </c>
      <c r="D584" t="s">
        <v>82</v>
      </c>
      <c r="E584" t="s">
        <v>18</v>
      </c>
      <c r="F584">
        <v>130</v>
      </c>
      <c r="G584">
        <v>83427</v>
      </c>
      <c r="H584">
        <v>10845510</v>
      </c>
      <c r="I584" t="s">
        <v>1133</v>
      </c>
      <c r="J584" t="s">
        <v>1133</v>
      </c>
      <c r="K584">
        <v>130</v>
      </c>
      <c r="L584">
        <v>0</v>
      </c>
      <c r="M584" t="s">
        <v>115</v>
      </c>
      <c r="N584" t="str">
        <f t="shared" si="54"/>
        <v>PO-100583</v>
      </c>
      <c r="O584" t="str">
        <f t="shared" si="55"/>
        <v>Delivered</v>
      </c>
      <c r="P584" t="str">
        <f t="shared" si="56"/>
        <v>WH-PUN</v>
      </c>
      <c r="Q584" t="str">
        <f>VLOOKUP(C584, Lookups!$A$2:$D$10, 2, FALSE())</f>
        <v>TechSupply Corp</v>
      </c>
      <c r="R584" t="str">
        <f>_xlfn.XLOOKUP(D584, Lookups!$A$12:$A$51, Lookups!$C$12:$C$51, "Unknown")</f>
        <v>Electronics</v>
      </c>
      <c r="S584" t="str">
        <f>IF(ISBLANK(I584), B584+VLOOKUP(C584, Lookups!$A$2:$D$10, 4, FALSE()), I584)</f>
        <v>2025-07-04</v>
      </c>
      <c r="T584">
        <f t="shared" si="57"/>
        <v>14</v>
      </c>
      <c r="U584" t="str">
        <f t="shared" si="58"/>
        <v>On-Time</v>
      </c>
      <c r="V584">
        <f t="shared" si="59"/>
        <v>0</v>
      </c>
    </row>
    <row r="585" spans="1:22" x14ac:dyDescent="0.45">
      <c r="A585" t="s">
        <v>1324</v>
      </c>
      <c r="B585" t="s">
        <v>1077</v>
      </c>
      <c r="C585" t="s">
        <v>35</v>
      </c>
      <c r="D585" t="s">
        <v>60</v>
      </c>
      <c r="E585" t="s">
        <v>17</v>
      </c>
      <c r="F585">
        <v>42</v>
      </c>
      <c r="G585">
        <v>3291</v>
      </c>
      <c r="H585">
        <v>138222</v>
      </c>
      <c r="I585" t="s">
        <v>1005</v>
      </c>
      <c r="J585" t="s">
        <v>231</v>
      </c>
      <c r="K585">
        <v>42</v>
      </c>
      <c r="L585">
        <v>0</v>
      </c>
      <c r="M585" t="s">
        <v>115</v>
      </c>
      <c r="N585" t="str">
        <f t="shared" si="54"/>
        <v>PO-100584</v>
      </c>
      <c r="O585" t="str">
        <f t="shared" si="55"/>
        <v>Delivered</v>
      </c>
      <c r="P585" t="str">
        <f t="shared" si="56"/>
        <v>WH-BLR</v>
      </c>
      <c r="Q585" t="str">
        <f>VLOOKUP(C585, Lookups!$A$2:$D$10, 2, FALSE())</f>
        <v>Peripheral Source</v>
      </c>
      <c r="R585" t="str">
        <f>_xlfn.XLOOKUP(D585, Lookups!$A$12:$A$51, Lookups!$C$12:$C$51, "Unknown")</f>
        <v>Peripherals</v>
      </c>
      <c r="S585" t="str">
        <f>IF(ISBLANK(I585), B585+VLOOKUP(C585, Lookups!$A$2:$D$10, 4, FALSE()), I585)</f>
        <v>2025-11-06</v>
      </c>
      <c r="T585">
        <f t="shared" si="57"/>
        <v>11</v>
      </c>
      <c r="U585" t="str">
        <f t="shared" si="58"/>
        <v>Late</v>
      </c>
      <c r="V585">
        <f t="shared" si="59"/>
        <v>0</v>
      </c>
    </row>
    <row r="586" spans="1:22" x14ac:dyDescent="0.45">
      <c r="A586" t="s">
        <v>1325</v>
      </c>
      <c r="B586" t="s">
        <v>1326</v>
      </c>
      <c r="C586" t="s">
        <v>30</v>
      </c>
      <c r="D586" t="s">
        <v>52</v>
      </c>
      <c r="E586" t="s">
        <v>15</v>
      </c>
      <c r="F586">
        <v>12</v>
      </c>
      <c r="G586">
        <v>59592</v>
      </c>
      <c r="H586">
        <v>715104</v>
      </c>
      <c r="I586" t="s">
        <v>1327</v>
      </c>
      <c r="J586" t="s">
        <v>1327</v>
      </c>
      <c r="K586">
        <v>12</v>
      </c>
      <c r="L586">
        <v>0</v>
      </c>
      <c r="M586" t="s">
        <v>115</v>
      </c>
      <c r="N586" t="str">
        <f t="shared" si="54"/>
        <v>PO-100585</v>
      </c>
      <c r="O586" t="str">
        <f t="shared" si="55"/>
        <v>Delivered</v>
      </c>
      <c r="P586" t="str">
        <f t="shared" si="56"/>
        <v>WH-BOM</v>
      </c>
      <c r="Q586" t="str">
        <f>VLOOKUP(C586, Lookups!$A$2:$D$10, 2, FALSE())</f>
        <v>TechSupply Corp</v>
      </c>
      <c r="R586" t="str">
        <f>_xlfn.XLOOKUP(D586, Lookups!$A$12:$A$51, Lookups!$C$12:$C$51, "Unknown")</f>
        <v>Electronics</v>
      </c>
      <c r="S586" t="str">
        <f>IF(ISBLANK(I586), B586+VLOOKUP(C586, Lookups!$A$2:$D$10, 4, FALSE()), I586)</f>
        <v>2025-08-06</v>
      </c>
      <c r="T586">
        <f t="shared" si="57"/>
        <v>14</v>
      </c>
      <c r="U586" t="str">
        <f t="shared" si="58"/>
        <v>On-Time</v>
      </c>
      <c r="V586">
        <f t="shared" si="59"/>
        <v>0</v>
      </c>
    </row>
    <row r="587" spans="1:22" x14ac:dyDescent="0.45">
      <c r="A587" t="s">
        <v>1328</v>
      </c>
      <c r="B587" t="s">
        <v>1329</v>
      </c>
      <c r="C587" t="s">
        <v>37</v>
      </c>
      <c r="D587" t="s">
        <v>69</v>
      </c>
      <c r="E587" t="s">
        <v>16</v>
      </c>
      <c r="F587">
        <v>59</v>
      </c>
      <c r="G587">
        <v>13231</v>
      </c>
      <c r="H587">
        <v>780629</v>
      </c>
      <c r="I587" t="s">
        <v>328</v>
      </c>
      <c r="J587" t="s">
        <v>169</v>
      </c>
      <c r="K587">
        <v>59</v>
      </c>
      <c r="L587">
        <v>0</v>
      </c>
      <c r="M587" t="s">
        <v>115</v>
      </c>
      <c r="N587" t="str">
        <f t="shared" si="54"/>
        <v>PO-100586</v>
      </c>
      <c r="O587" t="str">
        <f t="shared" si="55"/>
        <v>Delivered</v>
      </c>
      <c r="P587" t="str">
        <f t="shared" si="56"/>
        <v>WH-DEL</v>
      </c>
      <c r="Q587" t="str">
        <f>VLOOKUP(C587, Lookups!$A$2:$D$10, 2, FALSE())</f>
        <v>Premium Desks Ltd</v>
      </c>
      <c r="R587" t="str">
        <f>_xlfn.XLOOKUP(D587, Lookups!$A$12:$A$51, Lookups!$C$12:$C$51, "Unknown")</f>
        <v>Office Furniture</v>
      </c>
      <c r="S587" t="str">
        <f>IF(ISBLANK(I587), B587+VLOOKUP(C587, Lookups!$A$2:$D$10, 4, FALSE()), I587)</f>
        <v>2025-06-06</v>
      </c>
      <c r="T587">
        <f t="shared" si="57"/>
        <v>13</v>
      </c>
      <c r="U587" t="str">
        <f t="shared" si="58"/>
        <v>Late</v>
      </c>
      <c r="V587">
        <f t="shared" si="59"/>
        <v>0</v>
      </c>
    </row>
    <row r="588" spans="1:22" x14ac:dyDescent="0.45">
      <c r="A588" t="s">
        <v>1330</v>
      </c>
      <c r="B588" t="s">
        <v>561</v>
      </c>
      <c r="C588" t="s">
        <v>34</v>
      </c>
      <c r="D588" t="s">
        <v>74</v>
      </c>
      <c r="E588" t="s">
        <v>18</v>
      </c>
      <c r="F588">
        <v>227</v>
      </c>
      <c r="G588">
        <v>94797</v>
      </c>
      <c r="H588">
        <v>21518919</v>
      </c>
      <c r="I588" t="s">
        <v>595</v>
      </c>
      <c r="J588" t="s">
        <v>1331</v>
      </c>
      <c r="K588">
        <v>227</v>
      </c>
      <c r="L588">
        <v>0</v>
      </c>
      <c r="M588" t="s">
        <v>115</v>
      </c>
      <c r="N588" t="str">
        <f t="shared" si="54"/>
        <v>PO-100587</v>
      </c>
      <c r="O588" t="str">
        <f t="shared" si="55"/>
        <v>Delivered</v>
      </c>
      <c r="P588" t="str">
        <f t="shared" si="56"/>
        <v>WH-PUN</v>
      </c>
      <c r="Q588" t="str">
        <f>VLOOKUP(C588, Lookups!$A$2:$D$10, 2, FALSE())</f>
        <v>FastElectronics</v>
      </c>
      <c r="R588" t="str">
        <f>_xlfn.XLOOKUP(D588, Lookups!$A$12:$A$51, Lookups!$C$12:$C$51, "Unknown")</f>
        <v>Electronics</v>
      </c>
      <c r="S588" t="str">
        <f>IF(ISBLANK(I588), B588+VLOOKUP(C588, Lookups!$A$2:$D$10, 4, FALSE()), I588)</f>
        <v>2025-03-13</v>
      </c>
      <c r="T588">
        <f t="shared" si="57"/>
        <v>19</v>
      </c>
      <c r="U588" t="str">
        <f t="shared" si="58"/>
        <v>Late</v>
      </c>
      <c r="V588">
        <f t="shared" si="59"/>
        <v>0</v>
      </c>
    </row>
    <row r="589" spans="1:22" x14ac:dyDescent="0.45">
      <c r="A589" t="s">
        <v>1332</v>
      </c>
      <c r="B589" t="s">
        <v>1223</v>
      </c>
      <c r="C589" t="s">
        <v>37</v>
      </c>
      <c r="D589" t="s">
        <v>79</v>
      </c>
      <c r="E589" t="s">
        <v>15</v>
      </c>
      <c r="F589">
        <v>183</v>
      </c>
      <c r="G589">
        <v>23054</v>
      </c>
      <c r="H589">
        <v>4218882</v>
      </c>
      <c r="I589" t="s">
        <v>280</v>
      </c>
      <c r="J589" t="s">
        <v>180</v>
      </c>
      <c r="K589">
        <v>183</v>
      </c>
      <c r="L589">
        <v>0</v>
      </c>
      <c r="M589" t="s">
        <v>115</v>
      </c>
      <c r="N589" t="str">
        <f t="shared" si="54"/>
        <v>PO-100588</v>
      </c>
      <c r="O589" t="str">
        <f t="shared" si="55"/>
        <v>Delivered</v>
      </c>
      <c r="P589" t="str">
        <f t="shared" si="56"/>
        <v>WH-BOM</v>
      </c>
      <c r="Q589" t="str">
        <f>VLOOKUP(C589, Lookups!$A$2:$D$10, 2, FALSE())</f>
        <v>Premium Desks Ltd</v>
      </c>
      <c r="R589" t="str">
        <f>_xlfn.XLOOKUP(D589, Lookups!$A$12:$A$51, Lookups!$C$12:$C$51, "Unknown")</f>
        <v>Office Furniture</v>
      </c>
      <c r="S589" t="str">
        <f>IF(ISBLANK(I589), B589+VLOOKUP(C589, Lookups!$A$2:$D$10, 4, FALSE()), I589)</f>
        <v>2026-10-08</v>
      </c>
      <c r="T589">
        <f t="shared" si="57"/>
        <v>13</v>
      </c>
      <c r="U589" t="str">
        <f t="shared" si="58"/>
        <v>Late</v>
      </c>
      <c r="V589">
        <f t="shared" si="59"/>
        <v>0</v>
      </c>
    </row>
    <row r="590" spans="1:22" x14ac:dyDescent="0.45">
      <c r="A590" t="s">
        <v>1333</v>
      </c>
      <c r="B590" t="s">
        <v>795</v>
      </c>
      <c r="C590" t="s">
        <v>37</v>
      </c>
      <c r="D590" t="s">
        <v>79</v>
      </c>
      <c r="E590" t="s">
        <v>17</v>
      </c>
      <c r="F590">
        <v>207</v>
      </c>
      <c r="G590">
        <v>23054</v>
      </c>
      <c r="H590">
        <v>4772178</v>
      </c>
      <c r="I590" t="s">
        <v>1211</v>
      </c>
      <c r="J590" t="s">
        <v>658</v>
      </c>
      <c r="K590">
        <v>207</v>
      </c>
      <c r="L590">
        <v>20</v>
      </c>
      <c r="M590" t="s">
        <v>115</v>
      </c>
      <c r="N590" t="str">
        <f t="shared" si="54"/>
        <v>PO-100589</v>
      </c>
      <c r="O590" t="str">
        <f t="shared" si="55"/>
        <v>Delivered</v>
      </c>
      <c r="P590" t="str">
        <f t="shared" si="56"/>
        <v>WH-BLR</v>
      </c>
      <c r="Q590" t="str">
        <f>VLOOKUP(C590, Lookups!$A$2:$D$10, 2, FALSE())</f>
        <v>Premium Desks Ltd</v>
      </c>
      <c r="R590" t="str">
        <f>_xlfn.XLOOKUP(D590, Lookups!$A$12:$A$51, Lookups!$C$12:$C$51, "Unknown")</f>
        <v>Office Furniture</v>
      </c>
      <c r="S590" t="str">
        <f>IF(ISBLANK(I590), B590+VLOOKUP(C590, Lookups!$A$2:$D$10, 4, FALSE()), I590)</f>
        <v>2026-09-29</v>
      </c>
      <c r="T590">
        <f t="shared" si="57"/>
        <v>13</v>
      </c>
      <c r="U590" t="str">
        <f t="shared" si="58"/>
        <v>Late</v>
      </c>
      <c r="V590">
        <f t="shared" si="59"/>
        <v>9.6618357487922704E-2</v>
      </c>
    </row>
    <row r="591" spans="1:22" x14ac:dyDescent="0.45">
      <c r="A591" t="s">
        <v>1334</v>
      </c>
      <c r="B591" t="s">
        <v>780</v>
      </c>
      <c r="C591" t="s">
        <v>34</v>
      </c>
      <c r="D591" t="s">
        <v>76</v>
      </c>
      <c r="E591" t="s">
        <v>16</v>
      </c>
      <c r="F591">
        <v>59</v>
      </c>
      <c r="G591">
        <v>26270</v>
      </c>
      <c r="H591">
        <v>1549930</v>
      </c>
      <c r="I591" t="s">
        <v>1335</v>
      </c>
      <c r="K591">
        <v>0</v>
      </c>
      <c r="L591">
        <v>0</v>
      </c>
      <c r="M591" t="s">
        <v>297</v>
      </c>
      <c r="N591" t="str">
        <f t="shared" si="54"/>
        <v>PO-100590</v>
      </c>
      <c r="O591" t="str">
        <f t="shared" si="55"/>
        <v>Open</v>
      </c>
      <c r="P591" t="str">
        <f t="shared" si="56"/>
        <v>WH-DEL</v>
      </c>
      <c r="Q591" t="str">
        <f>VLOOKUP(C591, Lookups!$A$2:$D$10, 2, FALSE())</f>
        <v>FastElectronics</v>
      </c>
      <c r="R591" t="str">
        <f>_xlfn.XLOOKUP(D591, Lookups!$A$12:$A$51, Lookups!$C$12:$C$51, "Unknown")</f>
        <v>Networking</v>
      </c>
      <c r="S591" t="str">
        <f>IF(ISBLANK(I591), B591+VLOOKUP(C591, Lookups!$A$2:$D$10, 4, FALSE()), I591)</f>
        <v>2026-12-17</v>
      </c>
      <c r="T591" t="str">
        <f t="shared" si="57"/>
        <v/>
      </c>
      <c r="U591" t="str">
        <f t="shared" si="58"/>
        <v>Open</v>
      </c>
      <c r="V591">
        <f t="shared" si="59"/>
        <v>0</v>
      </c>
    </row>
    <row r="592" spans="1:22" x14ac:dyDescent="0.45">
      <c r="A592" t="s">
        <v>1336</v>
      </c>
      <c r="B592" t="s">
        <v>1337</v>
      </c>
      <c r="C592" t="s">
        <v>35</v>
      </c>
      <c r="D592" t="s">
        <v>75</v>
      </c>
      <c r="E592" t="s">
        <v>16</v>
      </c>
      <c r="F592">
        <v>51</v>
      </c>
      <c r="G592">
        <v>4440</v>
      </c>
      <c r="H592">
        <v>226440</v>
      </c>
      <c r="I592" t="s">
        <v>1338</v>
      </c>
      <c r="J592" t="s">
        <v>118</v>
      </c>
      <c r="K592">
        <v>51</v>
      </c>
      <c r="L592">
        <v>0</v>
      </c>
      <c r="M592" t="s">
        <v>115</v>
      </c>
      <c r="N592" t="str">
        <f t="shared" si="54"/>
        <v>PO-100591</v>
      </c>
      <c r="O592" t="str">
        <f t="shared" si="55"/>
        <v>Delivered</v>
      </c>
      <c r="P592" t="str">
        <f t="shared" si="56"/>
        <v>WH-DEL</v>
      </c>
      <c r="Q592" t="str">
        <f>VLOOKUP(C592, Lookups!$A$2:$D$10, 2, FALSE())</f>
        <v>Peripheral Source</v>
      </c>
      <c r="R592" t="str">
        <f>_xlfn.XLOOKUP(D592, Lookups!$A$12:$A$51, Lookups!$C$12:$C$51, "Unknown")</f>
        <v>Peripherals</v>
      </c>
      <c r="S592" t="str">
        <f>IF(ISBLANK(I592), B592+VLOOKUP(C592, Lookups!$A$2:$D$10, 4, FALSE()), I592)</f>
        <v>2026-10-02</v>
      </c>
      <c r="T592">
        <f t="shared" si="57"/>
        <v>11</v>
      </c>
      <c r="U592" t="str">
        <f t="shared" si="58"/>
        <v>Late</v>
      </c>
      <c r="V592">
        <f t="shared" si="59"/>
        <v>0</v>
      </c>
    </row>
    <row r="593" spans="1:22" x14ac:dyDescent="0.45">
      <c r="A593" t="s">
        <v>1339</v>
      </c>
      <c r="B593" t="s">
        <v>538</v>
      </c>
      <c r="C593" t="s">
        <v>35</v>
      </c>
      <c r="D593" t="s">
        <v>75</v>
      </c>
      <c r="E593" t="s">
        <v>16</v>
      </c>
      <c r="F593">
        <v>209</v>
      </c>
      <c r="G593">
        <v>4440</v>
      </c>
      <c r="H593">
        <v>927960</v>
      </c>
      <c r="I593" t="s">
        <v>342</v>
      </c>
      <c r="J593" t="s">
        <v>342</v>
      </c>
      <c r="K593">
        <v>209</v>
      </c>
      <c r="L593">
        <v>0</v>
      </c>
      <c r="M593" t="s">
        <v>115</v>
      </c>
      <c r="N593" t="str">
        <f t="shared" si="54"/>
        <v>PO-100592</v>
      </c>
      <c r="O593" t="str">
        <f t="shared" si="55"/>
        <v>Delivered</v>
      </c>
      <c r="P593" t="str">
        <f t="shared" si="56"/>
        <v>WH-DEL</v>
      </c>
      <c r="Q593" t="str">
        <f>VLOOKUP(C593, Lookups!$A$2:$D$10, 2, FALSE())</f>
        <v>Peripheral Source</v>
      </c>
      <c r="R593" t="str">
        <f>_xlfn.XLOOKUP(D593, Lookups!$A$12:$A$51, Lookups!$C$12:$C$51, "Unknown")</f>
        <v>Peripherals</v>
      </c>
      <c r="S593" t="str">
        <f>IF(ISBLANK(I593), B593+VLOOKUP(C593, Lookups!$A$2:$D$10, 4, FALSE()), I593)</f>
        <v>2026-02-03</v>
      </c>
      <c r="T593">
        <f t="shared" si="57"/>
        <v>10</v>
      </c>
      <c r="U593" t="str">
        <f t="shared" si="58"/>
        <v>On-Time</v>
      </c>
      <c r="V593">
        <f t="shared" si="59"/>
        <v>0</v>
      </c>
    </row>
    <row r="594" spans="1:22" x14ac:dyDescent="0.45">
      <c r="A594" t="s">
        <v>1340</v>
      </c>
      <c r="B594" t="s">
        <v>1142</v>
      </c>
      <c r="C594" t="s">
        <v>33</v>
      </c>
      <c r="D594" t="s">
        <v>89</v>
      </c>
      <c r="E594" t="s">
        <v>15</v>
      </c>
      <c r="F594">
        <v>204</v>
      </c>
      <c r="G594">
        <v>11309</v>
      </c>
      <c r="H594">
        <v>2307036</v>
      </c>
      <c r="I594" t="s">
        <v>1241</v>
      </c>
      <c r="J594" t="s">
        <v>1241</v>
      </c>
      <c r="K594">
        <v>204</v>
      </c>
      <c r="L594">
        <v>0</v>
      </c>
      <c r="M594" t="s">
        <v>115</v>
      </c>
      <c r="N594" t="str">
        <f t="shared" si="54"/>
        <v>PO-100593</v>
      </c>
      <c r="O594" t="str">
        <f t="shared" si="55"/>
        <v>Delivered</v>
      </c>
      <c r="P594" t="str">
        <f t="shared" si="56"/>
        <v>WH-BOM</v>
      </c>
      <c r="Q594" t="str">
        <f>VLOOKUP(C594, Lookups!$A$2:$D$10, 2, FALSE())</f>
        <v>MegaFurnish</v>
      </c>
      <c r="R594" t="str">
        <f>_xlfn.XLOOKUP(D594, Lookups!$A$12:$A$51, Lookups!$C$12:$C$51, "Unknown")</f>
        <v>Office Furniture</v>
      </c>
      <c r="S594" t="str">
        <f>IF(ISBLANK(I594), B594+VLOOKUP(C594, Lookups!$A$2:$D$10, 4, FALSE()), I594)</f>
        <v>2025-05-01</v>
      </c>
      <c r="T594">
        <f t="shared" si="57"/>
        <v>30</v>
      </c>
      <c r="U594" t="str">
        <f t="shared" si="58"/>
        <v>On-Time</v>
      </c>
      <c r="V594">
        <f t="shared" si="59"/>
        <v>0</v>
      </c>
    </row>
    <row r="595" spans="1:22" x14ac:dyDescent="0.45">
      <c r="A595" t="s">
        <v>1341</v>
      </c>
      <c r="B595" t="s">
        <v>889</v>
      </c>
      <c r="C595" t="s">
        <v>30</v>
      </c>
      <c r="D595" t="s">
        <v>82</v>
      </c>
      <c r="E595" t="s">
        <v>16</v>
      </c>
      <c r="F595">
        <v>117</v>
      </c>
      <c r="G595">
        <v>83427</v>
      </c>
      <c r="H595">
        <v>9760959</v>
      </c>
      <c r="I595" t="s">
        <v>247</v>
      </c>
      <c r="J595" t="s">
        <v>462</v>
      </c>
      <c r="K595">
        <v>117</v>
      </c>
      <c r="L595">
        <v>0</v>
      </c>
      <c r="M595" t="s">
        <v>115</v>
      </c>
      <c r="N595" t="str">
        <f t="shared" si="54"/>
        <v>PO-100594</v>
      </c>
      <c r="O595" t="str">
        <f t="shared" si="55"/>
        <v>Delivered</v>
      </c>
      <c r="P595" t="str">
        <f t="shared" si="56"/>
        <v>WH-DEL</v>
      </c>
      <c r="Q595" t="str">
        <f>VLOOKUP(C595, Lookups!$A$2:$D$10, 2, FALSE())</f>
        <v>TechSupply Corp</v>
      </c>
      <c r="R595" t="str">
        <f>_xlfn.XLOOKUP(D595, Lookups!$A$12:$A$51, Lookups!$C$12:$C$51, "Unknown")</f>
        <v>Electronics</v>
      </c>
      <c r="S595" t="str">
        <f>IF(ISBLANK(I595), B595+VLOOKUP(C595, Lookups!$A$2:$D$10, 4, FALSE()), I595)</f>
        <v>2025-11-02</v>
      </c>
      <c r="T595">
        <f t="shared" si="57"/>
        <v>17</v>
      </c>
      <c r="U595" t="str">
        <f t="shared" si="58"/>
        <v>Late</v>
      </c>
      <c r="V595">
        <f t="shared" si="59"/>
        <v>0</v>
      </c>
    </row>
    <row r="596" spans="1:22" x14ac:dyDescent="0.45">
      <c r="A596" t="s">
        <v>1342</v>
      </c>
      <c r="B596" t="s">
        <v>1343</v>
      </c>
      <c r="C596" t="s">
        <v>30</v>
      </c>
      <c r="D596" t="s">
        <v>59</v>
      </c>
      <c r="E596" t="s">
        <v>15</v>
      </c>
      <c r="F596">
        <v>242</v>
      </c>
      <c r="G596">
        <v>48905</v>
      </c>
      <c r="H596">
        <v>11835010</v>
      </c>
      <c r="I596" t="s">
        <v>794</v>
      </c>
      <c r="J596" t="s">
        <v>794</v>
      </c>
      <c r="K596">
        <v>242</v>
      </c>
      <c r="L596">
        <v>0</v>
      </c>
      <c r="M596" t="s">
        <v>115</v>
      </c>
      <c r="N596" t="str">
        <f t="shared" si="54"/>
        <v>PO-100595</v>
      </c>
      <c r="O596" t="str">
        <f t="shared" si="55"/>
        <v>Delivered</v>
      </c>
      <c r="P596" t="str">
        <f t="shared" si="56"/>
        <v>WH-BOM</v>
      </c>
      <c r="Q596" t="str">
        <f>VLOOKUP(C596, Lookups!$A$2:$D$10, 2, FALSE())</f>
        <v>TechSupply Corp</v>
      </c>
      <c r="R596" t="str">
        <f>_xlfn.XLOOKUP(D596, Lookups!$A$12:$A$51, Lookups!$C$12:$C$51, "Unknown")</f>
        <v>Electronics</v>
      </c>
      <c r="S596" t="str">
        <f>IF(ISBLANK(I596), B596+VLOOKUP(C596, Lookups!$A$2:$D$10, 4, FALSE()), I596)</f>
        <v>2026-09-07</v>
      </c>
      <c r="T596">
        <f t="shared" si="57"/>
        <v>14</v>
      </c>
      <c r="U596" t="str">
        <f t="shared" si="58"/>
        <v>On-Time</v>
      </c>
      <c r="V596">
        <f t="shared" si="59"/>
        <v>0</v>
      </c>
    </row>
    <row r="597" spans="1:22" x14ac:dyDescent="0.45">
      <c r="A597" t="s">
        <v>1344</v>
      </c>
      <c r="B597" t="s">
        <v>1345</v>
      </c>
      <c r="C597" t="s">
        <v>31</v>
      </c>
      <c r="D597" t="s">
        <v>77</v>
      </c>
      <c r="E597" t="s">
        <v>16</v>
      </c>
      <c r="F597">
        <v>117</v>
      </c>
      <c r="G597">
        <v>23667</v>
      </c>
      <c r="H597">
        <v>2769039</v>
      </c>
      <c r="I597" t="s">
        <v>498</v>
      </c>
      <c r="J597" t="s">
        <v>276</v>
      </c>
      <c r="K597">
        <v>83</v>
      </c>
      <c r="L597">
        <v>0</v>
      </c>
      <c r="M597" t="s">
        <v>115</v>
      </c>
      <c r="N597" t="str">
        <f t="shared" si="54"/>
        <v>PO-100596</v>
      </c>
      <c r="O597" t="str">
        <f t="shared" si="55"/>
        <v>Delivered</v>
      </c>
      <c r="P597" t="str">
        <f t="shared" si="56"/>
        <v>WH-DEL</v>
      </c>
      <c r="Q597" t="str">
        <f>VLOOKUP(C597, Lookups!$A$2:$D$10, 2, FALSE())</f>
        <v>Global Networks</v>
      </c>
      <c r="R597" t="str">
        <f>_xlfn.XLOOKUP(D597, Lookups!$A$12:$A$51, Lookups!$C$12:$C$51, "Unknown")</f>
        <v>Networking</v>
      </c>
      <c r="S597" t="str">
        <f>IF(ISBLANK(I597), B597+VLOOKUP(C597, Lookups!$A$2:$D$10, 4, FALSE()), I597)</f>
        <v>2025-04-02</v>
      </c>
      <c r="T597">
        <f t="shared" si="57"/>
        <v>31</v>
      </c>
      <c r="U597" t="str">
        <f t="shared" si="58"/>
        <v>Late</v>
      </c>
      <c r="V597">
        <f t="shared" si="59"/>
        <v>0</v>
      </c>
    </row>
    <row r="598" spans="1:22" x14ac:dyDescent="0.45">
      <c r="A598" t="s">
        <v>1346</v>
      </c>
      <c r="B598" t="s">
        <v>1347</v>
      </c>
      <c r="C598" t="s">
        <v>35</v>
      </c>
      <c r="D598" t="s">
        <v>65</v>
      </c>
      <c r="E598" t="s">
        <v>17</v>
      </c>
      <c r="F598">
        <v>226</v>
      </c>
      <c r="G598">
        <v>4936</v>
      </c>
      <c r="H598">
        <v>1115536</v>
      </c>
      <c r="I598" t="s">
        <v>713</v>
      </c>
      <c r="J598" t="s">
        <v>1348</v>
      </c>
      <c r="K598">
        <v>226</v>
      </c>
      <c r="L598">
        <v>0</v>
      </c>
      <c r="M598" t="s">
        <v>115</v>
      </c>
      <c r="N598" t="str">
        <f t="shared" si="54"/>
        <v>PO-100597</v>
      </c>
      <c r="O598" t="str">
        <f t="shared" si="55"/>
        <v>Delivered</v>
      </c>
      <c r="P598" t="str">
        <f t="shared" si="56"/>
        <v>WH-BLR</v>
      </c>
      <c r="Q598" t="str">
        <f>VLOOKUP(C598, Lookups!$A$2:$D$10, 2, FALSE())</f>
        <v>Peripheral Source</v>
      </c>
      <c r="R598" t="str">
        <f>_xlfn.XLOOKUP(D598, Lookups!$A$12:$A$51, Lookups!$C$12:$C$51, "Unknown")</f>
        <v>Peripherals</v>
      </c>
      <c r="S598" t="str">
        <f>IF(ISBLANK(I598), B598+VLOOKUP(C598, Lookups!$A$2:$D$10, 4, FALSE()), I598)</f>
        <v>2026-08-19</v>
      </c>
      <c r="T598">
        <f t="shared" si="57"/>
        <v>11</v>
      </c>
      <c r="U598" t="str">
        <f t="shared" si="58"/>
        <v>Late</v>
      </c>
      <c r="V598">
        <f t="shared" si="59"/>
        <v>0</v>
      </c>
    </row>
    <row r="599" spans="1:22" x14ac:dyDescent="0.45">
      <c r="A599" t="s">
        <v>1349</v>
      </c>
      <c r="B599" t="s">
        <v>648</v>
      </c>
      <c r="C599" t="s">
        <v>31</v>
      </c>
      <c r="D599" t="s">
        <v>66</v>
      </c>
      <c r="E599" t="s">
        <v>17</v>
      </c>
      <c r="F599">
        <v>83</v>
      </c>
      <c r="G599">
        <v>29719</v>
      </c>
      <c r="H599">
        <v>2466677</v>
      </c>
      <c r="I599" t="s">
        <v>649</v>
      </c>
      <c r="J599" t="s">
        <v>649</v>
      </c>
      <c r="K599">
        <v>83</v>
      </c>
      <c r="L599">
        <v>0</v>
      </c>
      <c r="M599" t="s">
        <v>115</v>
      </c>
      <c r="N599" t="str">
        <f t="shared" si="54"/>
        <v>PO-100598</v>
      </c>
      <c r="O599" t="str">
        <f t="shared" si="55"/>
        <v>Delivered</v>
      </c>
      <c r="P599" t="str">
        <f t="shared" si="56"/>
        <v>WH-BLR</v>
      </c>
      <c r="Q599" t="str">
        <f>VLOOKUP(C599, Lookups!$A$2:$D$10, 2, FALSE())</f>
        <v>Global Networks</v>
      </c>
      <c r="R599" t="str">
        <f>_xlfn.XLOOKUP(D599, Lookups!$A$12:$A$51, Lookups!$C$12:$C$51, "Unknown")</f>
        <v>Networking</v>
      </c>
      <c r="S599" t="str">
        <f>IF(ISBLANK(I599), B599+VLOOKUP(C599, Lookups!$A$2:$D$10, 4, FALSE()), I599)</f>
        <v>2025-08-18</v>
      </c>
      <c r="T599">
        <f t="shared" si="57"/>
        <v>21</v>
      </c>
      <c r="U599" t="str">
        <f t="shared" si="58"/>
        <v>On-Time</v>
      </c>
      <c r="V599">
        <f t="shared" si="59"/>
        <v>0</v>
      </c>
    </row>
    <row r="600" spans="1:22" x14ac:dyDescent="0.45">
      <c r="A600" t="s">
        <v>1350</v>
      </c>
      <c r="B600" t="s">
        <v>794</v>
      </c>
      <c r="C600" t="s">
        <v>36</v>
      </c>
      <c r="D600" t="s">
        <v>63</v>
      </c>
      <c r="E600" t="s">
        <v>15</v>
      </c>
      <c r="F600">
        <v>82</v>
      </c>
      <c r="G600">
        <v>71062</v>
      </c>
      <c r="H600">
        <v>5827084</v>
      </c>
      <c r="I600" t="s">
        <v>659</v>
      </c>
      <c r="J600" t="s">
        <v>1338</v>
      </c>
      <c r="K600">
        <v>82</v>
      </c>
      <c r="L600">
        <v>0</v>
      </c>
      <c r="M600" t="s">
        <v>115</v>
      </c>
      <c r="N600" t="str">
        <f t="shared" si="54"/>
        <v>PO-100599</v>
      </c>
      <c r="O600" t="str">
        <f t="shared" si="55"/>
        <v>Delivered</v>
      </c>
      <c r="P600" t="str">
        <f t="shared" si="56"/>
        <v>WH-BOM</v>
      </c>
      <c r="Q600" t="str">
        <f>VLOOKUP(C600, Lookups!$A$2:$D$10, 2, FALSE())</f>
        <v>NextGen Hardware</v>
      </c>
      <c r="R600" t="str">
        <f>_xlfn.XLOOKUP(D600, Lookups!$A$12:$A$51, Lookups!$C$12:$C$51, "Unknown")</f>
        <v>Electronics</v>
      </c>
      <c r="S600" t="str">
        <f>IF(ISBLANK(I600), B600+VLOOKUP(C600, Lookups!$A$2:$D$10, 4, FALSE()), I600)</f>
        <v>2026-10-01</v>
      </c>
      <c r="T600">
        <f t="shared" si="57"/>
        <v>25</v>
      </c>
      <c r="U600" t="str">
        <f t="shared" si="58"/>
        <v>Late</v>
      </c>
      <c r="V600">
        <f t="shared" si="59"/>
        <v>0</v>
      </c>
    </row>
    <row r="601" spans="1:22" x14ac:dyDescent="0.45">
      <c r="A601" t="s">
        <v>1351</v>
      </c>
      <c r="B601" t="s">
        <v>501</v>
      </c>
      <c r="C601" t="s">
        <v>32</v>
      </c>
      <c r="D601" t="s">
        <v>67</v>
      </c>
      <c r="E601" t="s">
        <v>18</v>
      </c>
      <c r="F601">
        <v>172</v>
      </c>
      <c r="G601">
        <v>1553</v>
      </c>
      <c r="H601">
        <v>267116</v>
      </c>
      <c r="I601" t="s">
        <v>164</v>
      </c>
      <c r="J601" t="s">
        <v>861</v>
      </c>
      <c r="K601">
        <v>172</v>
      </c>
      <c r="L601">
        <v>0</v>
      </c>
      <c r="M601" t="s">
        <v>301</v>
      </c>
      <c r="N601" t="str">
        <f t="shared" si="54"/>
        <v>PO-100600</v>
      </c>
      <c r="O601" t="str">
        <f t="shared" si="55"/>
        <v>Delivered</v>
      </c>
      <c r="P601" t="str">
        <f t="shared" si="56"/>
        <v>WH-PUN</v>
      </c>
      <c r="Q601" t="str">
        <f>VLOOKUP(C601, Lookups!$A$2:$D$10, 2, FALSE())</f>
        <v>OfficeDepot Pro</v>
      </c>
      <c r="R601" t="str">
        <f>_xlfn.XLOOKUP(D601, Lookups!$A$12:$A$51, Lookups!$C$12:$C$51, "Unknown")</f>
        <v>Peripherals</v>
      </c>
      <c r="S601" t="str">
        <f>IF(ISBLANK(I601), B601+VLOOKUP(C601, Lookups!$A$2:$D$10, 4, FALSE()), I601)</f>
        <v>2026-02-05</v>
      </c>
      <c r="T601">
        <f t="shared" si="57"/>
        <v>8</v>
      </c>
      <c r="U601" t="str">
        <f t="shared" si="58"/>
        <v>Late</v>
      </c>
      <c r="V601">
        <f t="shared" si="59"/>
        <v>0</v>
      </c>
    </row>
    <row r="602" spans="1:22" x14ac:dyDescent="0.45">
      <c r="A602" t="s">
        <v>1352</v>
      </c>
      <c r="B602" t="s">
        <v>832</v>
      </c>
      <c r="C602" t="s">
        <v>30</v>
      </c>
      <c r="D602" t="s">
        <v>53</v>
      </c>
      <c r="E602" t="s">
        <v>16</v>
      </c>
      <c r="F602">
        <v>33</v>
      </c>
      <c r="G602">
        <v>81048</v>
      </c>
      <c r="H602">
        <v>2674584</v>
      </c>
      <c r="I602" t="s">
        <v>635</v>
      </c>
      <c r="J602" t="s">
        <v>474</v>
      </c>
      <c r="K602">
        <v>33</v>
      </c>
      <c r="L602">
        <v>0</v>
      </c>
      <c r="M602" t="s">
        <v>115</v>
      </c>
      <c r="N602" t="str">
        <f t="shared" si="54"/>
        <v>PO-100601</v>
      </c>
      <c r="O602" t="str">
        <f t="shared" si="55"/>
        <v>Delivered</v>
      </c>
      <c r="P602" t="str">
        <f t="shared" si="56"/>
        <v>WH-DEL</v>
      </c>
      <c r="Q602" t="str">
        <f>VLOOKUP(C602, Lookups!$A$2:$D$10, 2, FALSE())</f>
        <v>TechSupply Corp</v>
      </c>
      <c r="R602" t="str">
        <f>_xlfn.XLOOKUP(D602, Lookups!$A$12:$A$51, Lookups!$C$12:$C$51, "Unknown")</f>
        <v>Electronics</v>
      </c>
      <c r="S602" t="str">
        <f>IF(ISBLANK(I602), B602+VLOOKUP(C602, Lookups!$A$2:$D$10, 4, FALSE()), I602)</f>
        <v>2025-06-23</v>
      </c>
      <c r="T602">
        <f t="shared" si="57"/>
        <v>15</v>
      </c>
      <c r="U602" t="str">
        <f t="shared" si="58"/>
        <v>Late</v>
      </c>
      <c r="V602">
        <f t="shared" si="59"/>
        <v>0</v>
      </c>
    </row>
    <row r="603" spans="1:22" x14ac:dyDescent="0.45">
      <c r="A603" t="s">
        <v>1353</v>
      </c>
      <c r="B603" t="s">
        <v>502</v>
      </c>
      <c r="C603" t="s">
        <v>37</v>
      </c>
      <c r="D603" t="s">
        <v>79</v>
      </c>
      <c r="E603" t="s">
        <v>17</v>
      </c>
      <c r="F603">
        <v>47</v>
      </c>
      <c r="G603">
        <v>23054</v>
      </c>
      <c r="H603">
        <v>1083538</v>
      </c>
      <c r="I603" t="s">
        <v>1354</v>
      </c>
      <c r="J603" t="s">
        <v>1354</v>
      </c>
      <c r="K603">
        <v>47</v>
      </c>
      <c r="L603">
        <v>0</v>
      </c>
      <c r="M603" t="s">
        <v>115</v>
      </c>
      <c r="N603" t="str">
        <f t="shared" si="54"/>
        <v>PO-100602</v>
      </c>
      <c r="O603" t="str">
        <f t="shared" si="55"/>
        <v>Delivered</v>
      </c>
      <c r="P603" t="str">
        <f t="shared" si="56"/>
        <v>WH-BLR</v>
      </c>
      <c r="Q603" t="str">
        <f>VLOOKUP(C603, Lookups!$A$2:$D$10, 2, FALSE())</f>
        <v>Premium Desks Ltd</v>
      </c>
      <c r="R603" t="str">
        <f>_xlfn.XLOOKUP(D603, Lookups!$A$12:$A$51, Lookups!$C$12:$C$51, "Unknown")</f>
        <v>Office Furniture</v>
      </c>
      <c r="S603" t="str">
        <f>IF(ISBLANK(I603), B603+VLOOKUP(C603, Lookups!$A$2:$D$10, 4, FALSE()), I603)</f>
        <v>2026-03-06</v>
      </c>
      <c r="T603">
        <f t="shared" si="57"/>
        <v>12</v>
      </c>
      <c r="U603" t="str">
        <f t="shared" si="58"/>
        <v>On-Time</v>
      </c>
      <c r="V603">
        <f t="shared" si="59"/>
        <v>0</v>
      </c>
    </row>
    <row r="604" spans="1:22" x14ac:dyDescent="0.45">
      <c r="A604" t="s">
        <v>1355</v>
      </c>
      <c r="B604" t="s">
        <v>729</v>
      </c>
      <c r="C604" t="s">
        <v>33</v>
      </c>
      <c r="D604" t="s">
        <v>89</v>
      </c>
      <c r="E604" t="s">
        <v>16</v>
      </c>
      <c r="F604">
        <v>194</v>
      </c>
      <c r="G604">
        <v>11309</v>
      </c>
      <c r="H604">
        <v>2193946</v>
      </c>
      <c r="I604" t="s">
        <v>154</v>
      </c>
      <c r="J604" t="s">
        <v>154</v>
      </c>
      <c r="K604">
        <v>194</v>
      </c>
      <c r="L604">
        <v>2</v>
      </c>
      <c r="M604" t="s">
        <v>115</v>
      </c>
      <c r="N604" t="str">
        <f t="shared" si="54"/>
        <v>PO-100603</v>
      </c>
      <c r="O604" t="str">
        <f t="shared" si="55"/>
        <v>Delivered</v>
      </c>
      <c r="P604" t="str">
        <f t="shared" si="56"/>
        <v>WH-DEL</v>
      </c>
      <c r="Q604" t="str">
        <f>VLOOKUP(C604, Lookups!$A$2:$D$10, 2, FALSE())</f>
        <v>MegaFurnish</v>
      </c>
      <c r="R604" t="str">
        <f>_xlfn.XLOOKUP(D604, Lookups!$A$12:$A$51, Lookups!$C$12:$C$51, "Unknown")</f>
        <v>Office Furniture</v>
      </c>
      <c r="S604" t="str">
        <f>IF(ISBLANK(I604), B604+VLOOKUP(C604, Lookups!$A$2:$D$10, 4, FALSE()), I604)</f>
        <v>2025-10-28</v>
      </c>
      <c r="T604">
        <f t="shared" si="57"/>
        <v>30</v>
      </c>
      <c r="U604" t="str">
        <f t="shared" si="58"/>
        <v>On-Time</v>
      </c>
      <c r="V604">
        <f t="shared" si="59"/>
        <v>1.0309278350515464E-2</v>
      </c>
    </row>
    <row r="605" spans="1:22" x14ac:dyDescent="0.45">
      <c r="A605" t="s">
        <v>1356</v>
      </c>
      <c r="B605" t="s">
        <v>824</v>
      </c>
      <c r="C605" t="s">
        <v>30</v>
      </c>
      <c r="D605" t="s">
        <v>61</v>
      </c>
      <c r="E605" t="s">
        <v>15</v>
      </c>
      <c r="F605">
        <v>149</v>
      </c>
      <c r="G605">
        <v>111237</v>
      </c>
      <c r="H605">
        <v>16574313</v>
      </c>
      <c r="I605" t="s">
        <v>1357</v>
      </c>
      <c r="K605">
        <v>0</v>
      </c>
      <c r="L605">
        <v>0</v>
      </c>
      <c r="M605" t="s">
        <v>297</v>
      </c>
      <c r="N605" t="str">
        <f t="shared" si="54"/>
        <v>PO-100604</v>
      </c>
      <c r="O605" t="str">
        <f t="shared" si="55"/>
        <v>Open</v>
      </c>
      <c r="P605" t="str">
        <f t="shared" si="56"/>
        <v>WH-BOM</v>
      </c>
      <c r="Q605" t="str">
        <f>VLOOKUP(C605, Lookups!$A$2:$D$10, 2, FALSE())</f>
        <v>TechSupply Corp</v>
      </c>
      <c r="R605" t="str">
        <f>_xlfn.XLOOKUP(D605, Lookups!$A$12:$A$51, Lookups!$C$12:$C$51, "Unknown")</f>
        <v>Electronics</v>
      </c>
      <c r="S605" t="str">
        <f>IF(ISBLANK(I605), B605+VLOOKUP(C605, Lookups!$A$2:$D$10, 4, FALSE()), I605)</f>
        <v>2026-12-21</v>
      </c>
      <c r="T605" t="str">
        <f t="shared" si="57"/>
        <v/>
      </c>
      <c r="U605" t="str">
        <f t="shared" si="58"/>
        <v>Open</v>
      </c>
      <c r="V605">
        <f t="shared" si="59"/>
        <v>0</v>
      </c>
    </row>
    <row r="606" spans="1:22" x14ac:dyDescent="0.45">
      <c r="A606" t="s">
        <v>1358</v>
      </c>
      <c r="B606" t="s">
        <v>672</v>
      </c>
      <c r="C606" t="s">
        <v>34</v>
      </c>
      <c r="D606" t="s">
        <v>76</v>
      </c>
      <c r="E606" t="s">
        <v>15</v>
      </c>
      <c r="F606">
        <v>91</v>
      </c>
      <c r="G606">
        <v>26270</v>
      </c>
      <c r="H606">
        <v>2390570</v>
      </c>
      <c r="I606" t="s">
        <v>1359</v>
      </c>
      <c r="J606" t="s">
        <v>877</v>
      </c>
      <c r="K606">
        <v>91</v>
      </c>
      <c r="L606">
        <v>0</v>
      </c>
      <c r="M606" t="s">
        <v>115</v>
      </c>
      <c r="N606" t="str">
        <f t="shared" si="54"/>
        <v>PO-100605</v>
      </c>
      <c r="O606" t="str">
        <f t="shared" si="55"/>
        <v>Delivered</v>
      </c>
      <c r="P606" t="str">
        <f t="shared" si="56"/>
        <v>WH-BOM</v>
      </c>
      <c r="Q606" t="str">
        <f>VLOOKUP(C606, Lookups!$A$2:$D$10, 2, FALSE())</f>
        <v>FastElectronics</v>
      </c>
      <c r="R606" t="str">
        <f>_xlfn.XLOOKUP(D606, Lookups!$A$12:$A$51, Lookups!$C$12:$C$51, "Unknown")</f>
        <v>Networking</v>
      </c>
      <c r="S606" t="str">
        <f>IF(ISBLANK(I606), B606+VLOOKUP(C606, Lookups!$A$2:$D$10, 4, FALSE()), I606)</f>
        <v>2026-12-02</v>
      </c>
      <c r="T606">
        <f t="shared" si="57"/>
        <v>20</v>
      </c>
      <c r="U606" t="str">
        <f t="shared" si="58"/>
        <v>Late</v>
      </c>
      <c r="V606">
        <f t="shared" si="59"/>
        <v>0</v>
      </c>
    </row>
    <row r="607" spans="1:22" x14ac:dyDescent="0.45">
      <c r="A607" t="s">
        <v>1360</v>
      </c>
      <c r="B607" t="s">
        <v>1068</v>
      </c>
      <c r="C607" t="s">
        <v>30</v>
      </c>
      <c r="D607" t="s">
        <v>61</v>
      </c>
      <c r="E607" t="s">
        <v>18</v>
      </c>
      <c r="F607">
        <v>234</v>
      </c>
      <c r="G607">
        <v>111237</v>
      </c>
      <c r="H607">
        <v>26029458</v>
      </c>
      <c r="I607" t="s">
        <v>171</v>
      </c>
      <c r="J607" t="s">
        <v>236</v>
      </c>
      <c r="K607">
        <v>234</v>
      </c>
      <c r="L607">
        <v>13</v>
      </c>
      <c r="M607" t="s">
        <v>115</v>
      </c>
      <c r="N607" t="str">
        <f t="shared" si="54"/>
        <v>PO-100606</v>
      </c>
      <c r="O607" t="str">
        <f t="shared" si="55"/>
        <v>Delivered</v>
      </c>
      <c r="P607" t="str">
        <f t="shared" si="56"/>
        <v>WH-PUN</v>
      </c>
      <c r="Q607" t="str">
        <f>VLOOKUP(C607, Lookups!$A$2:$D$10, 2, FALSE())</f>
        <v>TechSupply Corp</v>
      </c>
      <c r="R607" t="str">
        <f>_xlfn.XLOOKUP(D607, Lookups!$A$12:$A$51, Lookups!$C$12:$C$51, "Unknown")</f>
        <v>Electronics</v>
      </c>
      <c r="S607" t="str">
        <f>IF(ISBLANK(I607), B607+VLOOKUP(C607, Lookups!$A$2:$D$10, 4, FALSE()), I607)</f>
        <v>2025-08-16</v>
      </c>
      <c r="T607">
        <f t="shared" si="57"/>
        <v>26</v>
      </c>
      <c r="U607" t="str">
        <f t="shared" si="58"/>
        <v>Late</v>
      </c>
      <c r="V607">
        <f t="shared" si="59"/>
        <v>5.5555555555555552E-2</v>
      </c>
    </row>
    <row r="608" spans="1:22" x14ac:dyDescent="0.45">
      <c r="A608" t="s">
        <v>1361</v>
      </c>
      <c r="B608" t="s">
        <v>393</v>
      </c>
      <c r="C608" t="s">
        <v>35</v>
      </c>
      <c r="D608" t="s">
        <v>72</v>
      </c>
      <c r="E608" t="s">
        <v>18</v>
      </c>
      <c r="F608">
        <v>226</v>
      </c>
      <c r="G608">
        <v>7754</v>
      </c>
      <c r="H608">
        <v>1752404</v>
      </c>
      <c r="I608" t="s">
        <v>137</v>
      </c>
      <c r="J608" t="s">
        <v>137</v>
      </c>
      <c r="K608">
        <v>226</v>
      </c>
      <c r="L608">
        <v>0</v>
      </c>
      <c r="M608" t="s">
        <v>115</v>
      </c>
      <c r="N608" t="str">
        <f t="shared" si="54"/>
        <v>PO-100607</v>
      </c>
      <c r="O608" t="str">
        <f t="shared" si="55"/>
        <v>Delivered</v>
      </c>
      <c r="P608" t="str">
        <f t="shared" si="56"/>
        <v>WH-PUN</v>
      </c>
      <c r="Q608" t="str">
        <f>VLOOKUP(C608, Lookups!$A$2:$D$10, 2, FALSE())</f>
        <v>Peripheral Source</v>
      </c>
      <c r="R608" t="str">
        <f>_xlfn.XLOOKUP(D608, Lookups!$A$12:$A$51, Lookups!$C$12:$C$51, "Unknown")</f>
        <v>Peripherals</v>
      </c>
      <c r="S608" t="str">
        <f>IF(ISBLANK(I608), B608+VLOOKUP(C608, Lookups!$A$2:$D$10, 4, FALSE()), I608)</f>
        <v>2025-09-08</v>
      </c>
      <c r="T608">
        <f t="shared" si="57"/>
        <v>10</v>
      </c>
      <c r="U608" t="str">
        <f t="shared" si="58"/>
        <v>On-Time</v>
      </c>
      <c r="V608">
        <f t="shared" si="59"/>
        <v>0</v>
      </c>
    </row>
    <row r="609" spans="1:22" x14ac:dyDescent="0.45">
      <c r="A609" t="s">
        <v>1362</v>
      </c>
      <c r="B609" t="s">
        <v>191</v>
      </c>
      <c r="C609" t="s">
        <v>30</v>
      </c>
      <c r="D609" t="s">
        <v>52</v>
      </c>
      <c r="E609" t="s">
        <v>15</v>
      </c>
      <c r="F609">
        <v>242</v>
      </c>
      <c r="G609">
        <v>59592</v>
      </c>
      <c r="H609">
        <v>14421264</v>
      </c>
      <c r="I609" t="s">
        <v>250</v>
      </c>
      <c r="J609" t="s">
        <v>310</v>
      </c>
      <c r="K609">
        <v>127</v>
      </c>
      <c r="L609">
        <v>0</v>
      </c>
      <c r="M609" t="s">
        <v>115</v>
      </c>
      <c r="N609" t="str">
        <f t="shared" si="54"/>
        <v>PO-100608</v>
      </c>
      <c r="O609" t="str">
        <f t="shared" si="55"/>
        <v>Delivered</v>
      </c>
      <c r="P609" t="str">
        <f t="shared" si="56"/>
        <v>WH-BOM</v>
      </c>
      <c r="Q609" t="str">
        <f>VLOOKUP(C609, Lookups!$A$2:$D$10, 2, FALSE())</f>
        <v>TechSupply Corp</v>
      </c>
      <c r="R609" t="str">
        <f>_xlfn.XLOOKUP(D609, Lookups!$A$12:$A$51, Lookups!$C$12:$C$51, "Unknown")</f>
        <v>Electronics</v>
      </c>
      <c r="S609" t="str">
        <f>IF(ISBLANK(I609), B609+VLOOKUP(C609, Lookups!$A$2:$D$10, 4, FALSE()), I609)</f>
        <v>2025-08-08</v>
      </c>
      <c r="T609">
        <f t="shared" si="57"/>
        <v>27</v>
      </c>
      <c r="U609" t="str">
        <f t="shared" si="58"/>
        <v>Late</v>
      </c>
      <c r="V609">
        <f t="shared" si="59"/>
        <v>0</v>
      </c>
    </row>
    <row r="610" spans="1:22" x14ac:dyDescent="0.45">
      <c r="A610" t="s">
        <v>1363</v>
      </c>
      <c r="B610" t="s">
        <v>135</v>
      </c>
      <c r="C610" t="s">
        <v>33</v>
      </c>
      <c r="D610" t="s">
        <v>89</v>
      </c>
      <c r="E610" t="s">
        <v>16</v>
      </c>
      <c r="F610">
        <v>26</v>
      </c>
      <c r="G610">
        <v>11309</v>
      </c>
      <c r="H610">
        <v>294034</v>
      </c>
      <c r="I610" t="s">
        <v>1338</v>
      </c>
      <c r="J610" t="s">
        <v>1338</v>
      </c>
      <c r="K610">
        <v>26</v>
      </c>
      <c r="L610">
        <v>0</v>
      </c>
      <c r="M610" t="s">
        <v>115</v>
      </c>
      <c r="N610" t="str">
        <f t="shared" si="54"/>
        <v>PO-100609</v>
      </c>
      <c r="O610" t="str">
        <f t="shared" si="55"/>
        <v>Delivered</v>
      </c>
      <c r="P610" t="str">
        <f t="shared" si="56"/>
        <v>WH-DEL</v>
      </c>
      <c r="Q610" t="str">
        <f>VLOOKUP(C610, Lookups!$A$2:$D$10, 2, FALSE())</f>
        <v>MegaFurnish</v>
      </c>
      <c r="R610" t="str">
        <f>_xlfn.XLOOKUP(D610, Lookups!$A$12:$A$51, Lookups!$C$12:$C$51, "Unknown")</f>
        <v>Office Furniture</v>
      </c>
      <c r="S610" t="str">
        <f>IF(ISBLANK(I610), B610+VLOOKUP(C610, Lookups!$A$2:$D$10, 4, FALSE()), I610)</f>
        <v>2026-10-02</v>
      </c>
      <c r="T610">
        <f t="shared" si="57"/>
        <v>30</v>
      </c>
      <c r="U610" t="str">
        <f t="shared" si="58"/>
        <v>On-Time</v>
      </c>
      <c r="V610">
        <f t="shared" si="59"/>
        <v>0</v>
      </c>
    </row>
    <row r="611" spans="1:22" x14ac:dyDescent="0.45">
      <c r="A611" t="s">
        <v>1364</v>
      </c>
      <c r="B611" t="s">
        <v>232</v>
      </c>
      <c r="C611" t="s">
        <v>30</v>
      </c>
      <c r="D611" t="s">
        <v>86</v>
      </c>
      <c r="E611" t="s">
        <v>15</v>
      </c>
      <c r="F611">
        <v>54</v>
      </c>
      <c r="G611">
        <v>74871</v>
      </c>
      <c r="H611">
        <v>4043034</v>
      </c>
      <c r="I611" t="s">
        <v>929</v>
      </c>
      <c r="J611" t="s">
        <v>929</v>
      </c>
      <c r="K611">
        <v>54</v>
      </c>
      <c r="L611">
        <v>0</v>
      </c>
      <c r="M611" t="s">
        <v>115</v>
      </c>
      <c r="N611" t="str">
        <f t="shared" si="54"/>
        <v>PO-100610</v>
      </c>
      <c r="O611" t="str">
        <f t="shared" si="55"/>
        <v>Delivered</v>
      </c>
      <c r="P611" t="str">
        <f t="shared" si="56"/>
        <v>WH-BOM</v>
      </c>
      <c r="Q611" t="str">
        <f>VLOOKUP(C611, Lookups!$A$2:$D$10, 2, FALSE())</f>
        <v>TechSupply Corp</v>
      </c>
      <c r="R611" t="str">
        <f>_xlfn.XLOOKUP(D611, Lookups!$A$12:$A$51, Lookups!$C$12:$C$51, "Unknown")</f>
        <v>Electronics</v>
      </c>
      <c r="S611" t="str">
        <f>IF(ISBLANK(I611), B611+VLOOKUP(C611, Lookups!$A$2:$D$10, 4, FALSE()), I611)</f>
        <v>2025-11-28</v>
      </c>
      <c r="T611">
        <f t="shared" si="57"/>
        <v>14</v>
      </c>
      <c r="U611" t="str">
        <f t="shared" si="58"/>
        <v>On-Time</v>
      </c>
      <c r="V611">
        <f t="shared" si="59"/>
        <v>0</v>
      </c>
    </row>
    <row r="612" spans="1:22" x14ac:dyDescent="0.45">
      <c r="A612" t="s">
        <v>1365</v>
      </c>
      <c r="B612" t="s">
        <v>926</v>
      </c>
      <c r="C612" t="s">
        <v>34</v>
      </c>
      <c r="D612" t="s">
        <v>73</v>
      </c>
      <c r="E612" t="s">
        <v>16</v>
      </c>
      <c r="F612">
        <v>169</v>
      </c>
      <c r="G612">
        <v>58396</v>
      </c>
      <c r="H612">
        <v>9868924</v>
      </c>
      <c r="I612" t="s">
        <v>1168</v>
      </c>
      <c r="J612" t="s">
        <v>1168</v>
      </c>
      <c r="K612">
        <v>117</v>
      </c>
      <c r="L612">
        <v>0</v>
      </c>
      <c r="M612" t="s">
        <v>115</v>
      </c>
      <c r="N612" t="str">
        <f t="shared" si="54"/>
        <v>PO-100611</v>
      </c>
      <c r="O612" t="str">
        <f t="shared" si="55"/>
        <v>Delivered</v>
      </c>
      <c r="P612" t="str">
        <f t="shared" si="56"/>
        <v>WH-DEL</v>
      </c>
      <c r="Q612" t="str">
        <f>VLOOKUP(C612, Lookups!$A$2:$D$10, 2, FALSE())</f>
        <v>FastElectronics</v>
      </c>
      <c r="R612" t="str">
        <f>_xlfn.XLOOKUP(D612, Lookups!$A$12:$A$51, Lookups!$C$12:$C$51, "Unknown")</f>
        <v>Electronics</v>
      </c>
      <c r="S612" t="str">
        <f>IF(ISBLANK(I612), B612+VLOOKUP(C612, Lookups!$A$2:$D$10, 4, FALSE()), I612)</f>
        <v>2025-03-26</v>
      </c>
      <c r="T612">
        <f t="shared" si="57"/>
        <v>18</v>
      </c>
      <c r="U612" t="str">
        <f t="shared" si="58"/>
        <v>On-Time</v>
      </c>
      <c r="V612">
        <f t="shared" si="59"/>
        <v>0</v>
      </c>
    </row>
    <row r="613" spans="1:22" x14ac:dyDescent="0.45">
      <c r="A613" t="s">
        <v>1366</v>
      </c>
      <c r="B613" t="s">
        <v>1367</v>
      </c>
      <c r="C613" t="s">
        <v>34</v>
      </c>
      <c r="D613" t="s">
        <v>80</v>
      </c>
      <c r="E613" t="s">
        <v>18</v>
      </c>
      <c r="F613">
        <v>118</v>
      </c>
      <c r="G613">
        <v>19090</v>
      </c>
      <c r="H613">
        <v>2252620</v>
      </c>
      <c r="I613" t="s">
        <v>692</v>
      </c>
      <c r="J613" t="s">
        <v>1368</v>
      </c>
      <c r="K613">
        <v>118</v>
      </c>
      <c r="L613">
        <v>0</v>
      </c>
      <c r="M613" t="s">
        <v>115</v>
      </c>
      <c r="N613" t="str">
        <f t="shared" si="54"/>
        <v>PO-100612</v>
      </c>
      <c r="O613" t="str">
        <f t="shared" si="55"/>
        <v>Delivered</v>
      </c>
      <c r="P613" t="str">
        <f t="shared" si="56"/>
        <v>WH-PUN</v>
      </c>
      <c r="Q613" t="str">
        <f>VLOOKUP(C613, Lookups!$A$2:$D$10, 2, FALSE())</f>
        <v>FastElectronics</v>
      </c>
      <c r="R613" t="str">
        <f>_xlfn.XLOOKUP(D613, Lookups!$A$12:$A$51, Lookups!$C$12:$C$51, "Unknown")</f>
        <v>Networking</v>
      </c>
      <c r="S613" t="str">
        <f>IF(ISBLANK(I613), B613+VLOOKUP(C613, Lookups!$A$2:$D$10, 4, FALSE()), I613)</f>
        <v>2026-10-29</v>
      </c>
      <c r="T613">
        <f t="shared" si="57"/>
        <v>32</v>
      </c>
      <c r="U613" t="str">
        <f t="shared" si="58"/>
        <v>Late</v>
      </c>
      <c r="V613">
        <f t="shared" si="59"/>
        <v>0</v>
      </c>
    </row>
    <row r="614" spans="1:22" x14ac:dyDescent="0.45">
      <c r="A614" t="s">
        <v>1369</v>
      </c>
      <c r="B614" t="s">
        <v>1370</v>
      </c>
      <c r="C614" t="s">
        <v>30</v>
      </c>
      <c r="D614" t="s">
        <v>53</v>
      </c>
      <c r="E614" t="s">
        <v>15</v>
      </c>
      <c r="F614">
        <v>45</v>
      </c>
      <c r="G614">
        <v>81048</v>
      </c>
      <c r="H614">
        <v>3647160</v>
      </c>
      <c r="I614" t="s">
        <v>986</v>
      </c>
      <c r="J614" t="s">
        <v>158</v>
      </c>
      <c r="K614">
        <v>45</v>
      </c>
      <c r="L614">
        <v>0</v>
      </c>
      <c r="M614" t="s">
        <v>115</v>
      </c>
      <c r="N614" t="str">
        <f t="shared" si="54"/>
        <v>PO-100613</v>
      </c>
      <c r="O614" t="str">
        <f t="shared" si="55"/>
        <v>Delivered</v>
      </c>
      <c r="P614" t="str">
        <f t="shared" si="56"/>
        <v>WH-BOM</v>
      </c>
      <c r="Q614" t="str">
        <f>VLOOKUP(C614, Lookups!$A$2:$D$10, 2, FALSE())</f>
        <v>TechSupply Corp</v>
      </c>
      <c r="R614" t="str">
        <f>_xlfn.XLOOKUP(D614, Lookups!$A$12:$A$51, Lookups!$C$12:$C$51, "Unknown")</f>
        <v>Electronics</v>
      </c>
      <c r="S614" t="str">
        <f>IF(ISBLANK(I614), B614+VLOOKUP(C614, Lookups!$A$2:$D$10, 4, FALSE()), I614)</f>
        <v>2026-11-04</v>
      </c>
      <c r="T614">
        <f t="shared" si="57"/>
        <v>15</v>
      </c>
      <c r="U614" t="str">
        <f t="shared" si="58"/>
        <v>Late</v>
      </c>
      <c r="V614">
        <f t="shared" si="59"/>
        <v>0</v>
      </c>
    </row>
    <row r="615" spans="1:22" x14ac:dyDescent="0.45">
      <c r="A615" t="s">
        <v>1371</v>
      </c>
      <c r="B615" t="s">
        <v>1347</v>
      </c>
      <c r="C615" t="s">
        <v>36</v>
      </c>
      <c r="D615" t="s">
        <v>71</v>
      </c>
      <c r="E615" t="s">
        <v>18</v>
      </c>
      <c r="F615">
        <v>238</v>
      </c>
      <c r="G615">
        <v>65379</v>
      </c>
      <c r="H615">
        <v>15560202</v>
      </c>
      <c r="I615" t="s">
        <v>135</v>
      </c>
      <c r="J615" t="s">
        <v>134</v>
      </c>
      <c r="K615">
        <v>238</v>
      </c>
      <c r="L615">
        <v>0</v>
      </c>
      <c r="M615" t="s">
        <v>115</v>
      </c>
      <c r="N615" t="str">
        <f t="shared" si="54"/>
        <v>PO-100614</v>
      </c>
      <c r="O615" t="str">
        <f t="shared" si="55"/>
        <v>Delivered</v>
      </c>
      <c r="P615" t="str">
        <f t="shared" si="56"/>
        <v>WH-PUN</v>
      </c>
      <c r="Q615" t="str">
        <f>VLOOKUP(C615, Lookups!$A$2:$D$10, 2, FALSE())</f>
        <v>NextGen Hardware</v>
      </c>
      <c r="R615" t="str">
        <f>_xlfn.XLOOKUP(D615, Lookups!$A$12:$A$51, Lookups!$C$12:$C$51, "Unknown")</f>
        <v>Electronics</v>
      </c>
      <c r="S615" t="str">
        <f>IF(ISBLANK(I615), B615+VLOOKUP(C615, Lookups!$A$2:$D$10, 4, FALSE()), I615)</f>
        <v>2026-09-02</v>
      </c>
      <c r="T615">
        <f t="shared" si="57"/>
        <v>25</v>
      </c>
      <c r="U615" t="str">
        <f t="shared" si="58"/>
        <v>Late</v>
      </c>
      <c r="V615">
        <f t="shared" si="59"/>
        <v>0</v>
      </c>
    </row>
    <row r="616" spans="1:22" x14ac:dyDescent="0.45">
      <c r="A616" t="s">
        <v>1372</v>
      </c>
      <c r="B616" t="s">
        <v>752</v>
      </c>
      <c r="C616" t="s">
        <v>31</v>
      </c>
      <c r="D616" t="s">
        <v>66</v>
      </c>
      <c r="E616" t="s">
        <v>15</v>
      </c>
      <c r="F616">
        <v>222</v>
      </c>
      <c r="G616">
        <v>29719</v>
      </c>
      <c r="H616">
        <v>6597618</v>
      </c>
      <c r="I616" t="s">
        <v>580</v>
      </c>
      <c r="J616" t="s">
        <v>580</v>
      </c>
      <c r="K616">
        <v>155</v>
      </c>
      <c r="L616">
        <v>0</v>
      </c>
      <c r="M616" t="s">
        <v>115</v>
      </c>
      <c r="N616" t="str">
        <f t="shared" si="54"/>
        <v>PO-100615</v>
      </c>
      <c r="O616" t="str">
        <f t="shared" si="55"/>
        <v>Delivered</v>
      </c>
      <c r="P616" t="str">
        <f t="shared" si="56"/>
        <v>WH-BOM</v>
      </c>
      <c r="Q616" t="str">
        <f>VLOOKUP(C616, Lookups!$A$2:$D$10, 2, FALSE())</f>
        <v>Global Networks</v>
      </c>
      <c r="R616" t="str">
        <f>_xlfn.XLOOKUP(D616, Lookups!$A$12:$A$51, Lookups!$C$12:$C$51, "Unknown")</f>
        <v>Networking</v>
      </c>
      <c r="S616" t="str">
        <f>IF(ISBLANK(I616), B616+VLOOKUP(C616, Lookups!$A$2:$D$10, 4, FALSE()), I616)</f>
        <v>2026-01-12</v>
      </c>
      <c r="T616">
        <f t="shared" si="57"/>
        <v>21</v>
      </c>
      <c r="U616" t="str">
        <f t="shared" si="58"/>
        <v>On-Time</v>
      </c>
      <c r="V616">
        <f t="shared" si="59"/>
        <v>0</v>
      </c>
    </row>
    <row r="617" spans="1:22" x14ac:dyDescent="0.45">
      <c r="A617" t="s">
        <v>1373</v>
      </c>
      <c r="B617" t="s">
        <v>1327</v>
      </c>
      <c r="C617" t="s">
        <v>32</v>
      </c>
      <c r="D617" t="s">
        <v>67</v>
      </c>
      <c r="E617" t="s">
        <v>15</v>
      </c>
      <c r="F617">
        <v>230</v>
      </c>
      <c r="G617">
        <v>1553</v>
      </c>
      <c r="H617">
        <v>357190</v>
      </c>
      <c r="I617" t="s">
        <v>272</v>
      </c>
      <c r="J617" t="s">
        <v>1069</v>
      </c>
      <c r="K617">
        <v>230</v>
      </c>
      <c r="L617">
        <v>0</v>
      </c>
      <c r="M617" t="s">
        <v>115</v>
      </c>
      <c r="N617" t="str">
        <f t="shared" si="54"/>
        <v>PO-100616</v>
      </c>
      <c r="O617" t="str">
        <f t="shared" si="55"/>
        <v>Delivered</v>
      </c>
      <c r="P617" t="str">
        <f t="shared" si="56"/>
        <v>WH-BOM</v>
      </c>
      <c r="Q617" t="str">
        <f>VLOOKUP(C617, Lookups!$A$2:$D$10, 2, FALSE())</f>
        <v>OfficeDepot Pro</v>
      </c>
      <c r="R617" t="str">
        <f>_xlfn.XLOOKUP(D617, Lookups!$A$12:$A$51, Lookups!$C$12:$C$51, "Unknown")</f>
        <v>Peripherals</v>
      </c>
      <c r="S617" t="str">
        <f>IF(ISBLANK(I617), B617+VLOOKUP(C617, Lookups!$A$2:$D$10, 4, FALSE()), I617)</f>
        <v>2025-08-13</v>
      </c>
      <c r="T617">
        <f t="shared" si="57"/>
        <v>8</v>
      </c>
      <c r="U617" t="str">
        <f t="shared" si="58"/>
        <v>Late</v>
      </c>
      <c r="V617">
        <f t="shared" si="59"/>
        <v>0</v>
      </c>
    </row>
    <row r="618" spans="1:22" x14ac:dyDescent="0.45">
      <c r="A618" t="s">
        <v>1374</v>
      </c>
      <c r="B618" t="s">
        <v>1223</v>
      </c>
      <c r="C618" t="s">
        <v>32</v>
      </c>
      <c r="D618" t="s">
        <v>84</v>
      </c>
      <c r="E618" t="s">
        <v>17</v>
      </c>
      <c r="F618">
        <v>45</v>
      </c>
      <c r="G618">
        <v>7271</v>
      </c>
      <c r="H618">
        <v>327195</v>
      </c>
      <c r="I618" t="s">
        <v>118</v>
      </c>
      <c r="J618" t="s">
        <v>1111</v>
      </c>
      <c r="K618">
        <v>45</v>
      </c>
      <c r="L618">
        <v>0</v>
      </c>
      <c r="M618" t="s">
        <v>115</v>
      </c>
      <c r="N618" t="str">
        <f t="shared" si="54"/>
        <v>PO-100617</v>
      </c>
      <c r="O618" t="str">
        <f t="shared" si="55"/>
        <v>Delivered</v>
      </c>
      <c r="P618" t="str">
        <f t="shared" si="56"/>
        <v>WH-BLR</v>
      </c>
      <c r="Q618" t="str">
        <f>VLOOKUP(C618, Lookups!$A$2:$D$10, 2, FALSE())</f>
        <v>OfficeDepot Pro</v>
      </c>
      <c r="R618" t="str">
        <f>_xlfn.XLOOKUP(D618, Lookups!$A$12:$A$51, Lookups!$C$12:$C$51, "Unknown")</f>
        <v>Peripherals</v>
      </c>
      <c r="S618" t="str">
        <f>IF(ISBLANK(I618), B618+VLOOKUP(C618, Lookups!$A$2:$D$10, 4, FALSE()), I618)</f>
        <v>2026-10-03</v>
      </c>
      <c r="T618">
        <f t="shared" si="57"/>
        <v>18</v>
      </c>
      <c r="U618" t="str">
        <f t="shared" si="58"/>
        <v>Late</v>
      </c>
      <c r="V618">
        <f t="shared" si="59"/>
        <v>0</v>
      </c>
    </row>
    <row r="619" spans="1:22" x14ac:dyDescent="0.45">
      <c r="A619" t="s">
        <v>1375</v>
      </c>
      <c r="B619" t="s">
        <v>971</v>
      </c>
      <c r="C619" t="s">
        <v>37</v>
      </c>
      <c r="D619" t="s">
        <v>79</v>
      </c>
      <c r="E619" t="s">
        <v>16</v>
      </c>
      <c r="F619">
        <v>131</v>
      </c>
      <c r="G619">
        <v>23054</v>
      </c>
      <c r="H619">
        <v>3020074</v>
      </c>
      <c r="I619" t="s">
        <v>327</v>
      </c>
      <c r="J619" t="s">
        <v>328</v>
      </c>
      <c r="K619">
        <v>131</v>
      </c>
      <c r="L619">
        <v>0</v>
      </c>
      <c r="M619" t="s">
        <v>115</v>
      </c>
      <c r="N619" t="str">
        <f t="shared" si="54"/>
        <v>PO-100618</v>
      </c>
      <c r="O619" t="str">
        <f t="shared" si="55"/>
        <v>Delivered</v>
      </c>
      <c r="P619" t="str">
        <f t="shared" si="56"/>
        <v>WH-DEL</v>
      </c>
      <c r="Q619" t="str">
        <f>VLOOKUP(C619, Lookups!$A$2:$D$10, 2, FALSE())</f>
        <v>Premium Desks Ltd</v>
      </c>
      <c r="R619" t="str">
        <f>_xlfn.XLOOKUP(D619, Lookups!$A$12:$A$51, Lookups!$C$12:$C$51, "Unknown")</f>
        <v>Office Furniture</v>
      </c>
      <c r="S619" t="str">
        <f>IF(ISBLANK(I619), B619+VLOOKUP(C619, Lookups!$A$2:$D$10, 4, FALSE()), I619)</f>
        <v>2025-06-05</v>
      </c>
      <c r="T619">
        <f t="shared" si="57"/>
        <v>13</v>
      </c>
      <c r="U619" t="str">
        <f t="shared" si="58"/>
        <v>Late</v>
      </c>
      <c r="V619">
        <f t="shared" si="59"/>
        <v>0</v>
      </c>
    </row>
    <row r="620" spans="1:22" x14ac:dyDescent="0.45">
      <c r="A620" t="s">
        <v>1376</v>
      </c>
      <c r="B620" t="s">
        <v>1377</v>
      </c>
      <c r="C620" t="s">
        <v>31</v>
      </c>
      <c r="D620" t="s">
        <v>77</v>
      </c>
      <c r="E620" t="s">
        <v>18</v>
      </c>
      <c r="F620">
        <v>119</v>
      </c>
      <c r="G620">
        <v>23667</v>
      </c>
      <c r="H620">
        <v>2816373</v>
      </c>
      <c r="I620" t="s">
        <v>984</v>
      </c>
      <c r="J620" t="s">
        <v>984</v>
      </c>
      <c r="K620">
        <v>119</v>
      </c>
      <c r="L620">
        <v>0</v>
      </c>
      <c r="M620" t="s">
        <v>115</v>
      </c>
      <c r="N620" t="str">
        <f t="shared" si="54"/>
        <v>PO-100619</v>
      </c>
      <c r="O620" t="str">
        <f t="shared" si="55"/>
        <v>Delivered</v>
      </c>
      <c r="P620" t="str">
        <f t="shared" si="56"/>
        <v>WH-PUN</v>
      </c>
      <c r="Q620" t="str">
        <f>VLOOKUP(C620, Lookups!$A$2:$D$10, 2, FALSE())</f>
        <v>Global Networks</v>
      </c>
      <c r="R620" t="str">
        <f>_xlfn.XLOOKUP(D620, Lookups!$A$12:$A$51, Lookups!$C$12:$C$51, "Unknown")</f>
        <v>Networking</v>
      </c>
      <c r="S620" t="str">
        <f>IF(ISBLANK(I620), B620+VLOOKUP(C620, Lookups!$A$2:$D$10, 4, FALSE()), I620)</f>
        <v>2025-05-08</v>
      </c>
      <c r="T620">
        <f t="shared" si="57"/>
        <v>21</v>
      </c>
      <c r="U620" t="str">
        <f t="shared" si="58"/>
        <v>On-Time</v>
      </c>
      <c r="V620">
        <f t="shared" si="59"/>
        <v>0</v>
      </c>
    </row>
    <row r="621" spans="1:22" x14ac:dyDescent="0.45">
      <c r="A621" t="s">
        <v>1378</v>
      </c>
      <c r="B621" t="s">
        <v>1019</v>
      </c>
      <c r="C621" t="s">
        <v>31</v>
      </c>
      <c r="D621" t="s">
        <v>85</v>
      </c>
      <c r="E621" t="s">
        <v>16</v>
      </c>
      <c r="F621">
        <v>114</v>
      </c>
      <c r="G621">
        <v>16501</v>
      </c>
      <c r="H621">
        <v>1881114</v>
      </c>
      <c r="I621" t="s">
        <v>525</v>
      </c>
      <c r="J621" t="s">
        <v>1281</v>
      </c>
      <c r="K621">
        <v>114</v>
      </c>
      <c r="L621">
        <v>0</v>
      </c>
      <c r="M621" t="s">
        <v>115</v>
      </c>
      <c r="N621" t="str">
        <f t="shared" si="54"/>
        <v>PO-100620</v>
      </c>
      <c r="O621" t="str">
        <f t="shared" si="55"/>
        <v>Delivered</v>
      </c>
      <c r="P621" t="str">
        <f t="shared" si="56"/>
        <v>WH-DEL</v>
      </c>
      <c r="Q621" t="str">
        <f>VLOOKUP(C621, Lookups!$A$2:$D$10, 2, FALSE())</f>
        <v>Global Networks</v>
      </c>
      <c r="R621" t="str">
        <f>_xlfn.XLOOKUP(D621, Lookups!$A$12:$A$51, Lookups!$C$12:$C$51, "Unknown")</f>
        <v>Networking</v>
      </c>
      <c r="S621" t="str">
        <f>IF(ISBLANK(I621), B621+VLOOKUP(C621, Lookups!$A$2:$D$10, 4, FALSE()), I621)</f>
        <v>2025-05-30</v>
      </c>
      <c r="T621">
        <f t="shared" si="57"/>
        <v>22</v>
      </c>
      <c r="U621" t="str">
        <f t="shared" si="58"/>
        <v>Late</v>
      </c>
      <c r="V621">
        <f t="shared" si="59"/>
        <v>0</v>
      </c>
    </row>
    <row r="622" spans="1:22" x14ac:dyDescent="0.45">
      <c r="A622" t="s">
        <v>1379</v>
      </c>
      <c r="B622" t="s">
        <v>672</v>
      </c>
      <c r="C622" t="s">
        <v>34</v>
      </c>
      <c r="D622" t="s">
        <v>74</v>
      </c>
      <c r="E622" t="s">
        <v>15</v>
      </c>
      <c r="F622">
        <v>32</v>
      </c>
      <c r="G622">
        <v>94797</v>
      </c>
      <c r="H622">
        <v>3033504</v>
      </c>
      <c r="I622" t="s">
        <v>1359</v>
      </c>
      <c r="J622" t="s">
        <v>1170</v>
      </c>
      <c r="K622">
        <v>32</v>
      </c>
      <c r="L622">
        <v>0</v>
      </c>
      <c r="M622" t="s">
        <v>115</v>
      </c>
      <c r="N622" t="str">
        <f t="shared" si="54"/>
        <v>PO-100621</v>
      </c>
      <c r="O622" t="str">
        <f t="shared" si="55"/>
        <v>Delivered</v>
      </c>
      <c r="P622" t="str">
        <f t="shared" si="56"/>
        <v>WH-BOM</v>
      </c>
      <c r="Q622" t="str">
        <f>VLOOKUP(C622, Lookups!$A$2:$D$10, 2, FALSE())</f>
        <v>FastElectronics</v>
      </c>
      <c r="R622" t="str">
        <f>_xlfn.XLOOKUP(D622, Lookups!$A$12:$A$51, Lookups!$C$12:$C$51, "Unknown")</f>
        <v>Electronics</v>
      </c>
      <c r="S622" t="str">
        <f>IF(ISBLANK(I622), B622+VLOOKUP(C622, Lookups!$A$2:$D$10, 4, FALSE()), I622)</f>
        <v>2026-12-02</v>
      </c>
      <c r="T622">
        <f t="shared" si="57"/>
        <v>19</v>
      </c>
      <c r="U622" t="str">
        <f t="shared" si="58"/>
        <v>Late</v>
      </c>
      <c r="V622">
        <f t="shared" si="59"/>
        <v>0</v>
      </c>
    </row>
    <row r="623" spans="1:22" x14ac:dyDescent="0.45">
      <c r="A623" t="s">
        <v>1380</v>
      </c>
      <c r="B623" t="s">
        <v>240</v>
      </c>
      <c r="C623" t="s">
        <v>34</v>
      </c>
      <c r="D623" t="s">
        <v>81</v>
      </c>
      <c r="E623" t="s">
        <v>18</v>
      </c>
      <c r="F623">
        <v>54</v>
      </c>
      <c r="G623">
        <v>55328</v>
      </c>
      <c r="H623">
        <v>2987712</v>
      </c>
      <c r="I623" t="s">
        <v>425</v>
      </c>
      <c r="J623" t="s">
        <v>425</v>
      </c>
      <c r="K623">
        <v>54</v>
      </c>
      <c r="L623">
        <v>0</v>
      </c>
      <c r="M623" t="s">
        <v>115</v>
      </c>
      <c r="N623" t="str">
        <f t="shared" si="54"/>
        <v>PO-100622</v>
      </c>
      <c r="O623" t="str">
        <f t="shared" si="55"/>
        <v>Delivered</v>
      </c>
      <c r="P623" t="str">
        <f t="shared" si="56"/>
        <v>WH-PUN</v>
      </c>
      <c r="Q623" t="str">
        <f>VLOOKUP(C623, Lookups!$A$2:$D$10, 2, FALSE())</f>
        <v>FastElectronics</v>
      </c>
      <c r="R623" t="str">
        <f>_xlfn.XLOOKUP(D623, Lookups!$A$12:$A$51, Lookups!$C$12:$C$51, "Unknown")</f>
        <v>Electronics</v>
      </c>
      <c r="S623" t="str">
        <f>IF(ISBLANK(I623), B623+VLOOKUP(C623, Lookups!$A$2:$D$10, 4, FALSE()), I623)</f>
        <v>2025-07-03</v>
      </c>
      <c r="T623">
        <f t="shared" si="57"/>
        <v>18</v>
      </c>
      <c r="U623" t="str">
        <f t="shared" si="58"/>
        <v>On-Time</v>
      </c>
      <c r="V623">
        <f t="shared" si="59"/>
        <v>0</v>
      </c>
    </row>
    <row r="624" spans="1:22" x14ac:dyDescent="0.45">
      <c r="A624" t="s">
        <v>1381</v>
      </c>
      <c r="B624" t="s">
        <v>124</v>
      </c>
      <c r="C624" t="s">
        <v>32</v>
      </c>
      <c r="D624" t="s">
        <v>84</v>
      </c>
      <c r="E624" t="s">
        <v>15</v>
      </c>
      <c r="F624">
        <v>155</v>
      </c>
      <c r="G624">
        <v>7271</v>
      </c>
      <c r="H624">
        <v>1127005</v>
      </c>
      <c r="I624" t="s">
        <v>1218</v>
      </c>
      <c r="J624" t="s">
        <v>1218</v>
      </c>
      <c r="K624">
        <v>155</v>
      </c>
      <c r="L624">
        <v>0</v>
      </c>
      <c r="M624" t="s">
        <v>115</v>
      </c>
      <c r="N624" t="str">
        <f t="shared" si="54"/>
        <v>PO-100623</v>
      </c>
      <c r="O624" t="str">
        <f t="shared" si="55"/>
        <v>Delivered</v>
      </c>
      <c r="P624" t="str">
        <f t="shared" si="56"/>
        <v>WH-BOM</v>
      </c>
      <c r="Q624" t="str">
        <f>VLOOKUP(C624, Lookups!$A$2:$D$10, 2, FALSE())</f>
        <v>OfficeDepot Pro</v>
      </c>
      <c r="R624" t="str">
        <f>_xlfn.XLOOKUP(D624, Lookups!$A$12:$A$51, Lookups!$C$12:$C$51, "Unknown")</f>
        <v>Peripherals</v>
      </c>
      <c r="S624" t="str">
        <f>IF(ISBLANK(I624), B624+VLOOKUP(C624, Lookups!$A$2:$D$10, 4, FALSE()), I624)</f>
        <v>2026-06-19</v>
      </c>
      <c r="T624">
        <f t="shared" si="57"/>
        <v>7</v>
      </c>
      <c r="U624" t="str">
        <f t="shared" si="58"/>
        <v>On-Time</v>
      </c>
      <c r="V624">
        <f t="shared" si="59"/>
        <v>0</v>
      </c>
    </row>
    <row r="625" spans="1:22" x14ac:dyDescent="0.45">
      <c r="A625" t="s">
        <v>1382</v>
      </c>
      <c r="B625" t="s">
        <v>873</v>
      </c>
      <c r="C625" t="s">
        <v>35</v>
      </c>
      <c r="D625" t="s">
        <v>72</v>
      </c>
      <c r="E625" t="s">
        <v>16</v>
      </c>
      <c r="F625">
        <v>57</v>
      </c>
      <c r="G625">
        <v>7754</v>
      </c>
      <c r="H625">
        <v>441978</v>
      </c>
      <c r="I625" t="s">
        <v>165</v>
      </c>
      <c r="J625" t="s">
        <v>165</v>
      </c>
      <c r="K625">
        <v>57</v>
      </c>
      <c r="L625">
        <v>0</v>
      </c>
      <c r="M625" t="s">
        <v>115</v>
      </c>
      <c r="N625" t="str">
        <f t="shared" si="54"/>
        <v>PO-100624</v>
      </c>
      <c r="O625" t="str">
        <f t="shared" si="55"/>
        <v>Delivered</v>
      </c>
      <c r="P625" t="str">
        <f t="shared" si="56"/>
        <v>WH-DEL</v>
      </c>
      <c r="Q625" t="str">
        <f>VLOOKUP(C625, Lookups!$A$2:$D$10, 2, FALSE())</f>
        <v>Peripheral Source</v>
      </c>
      <c r="R625" t="str">
        <f>_xlfn.XLOOKUP(D625, Lookups!$A$12:$A$51, Lookups!$C$12:$C$51, "Unknown")</f>
        <v>Peripherals</v>
      </c>
      <c r="S625" t="str">
        <f>IF(ISBLANK(I625), B625+VLOOKUP(C625, Lookups!$A$2:$D$10, 4, FALSE()), I625)</f>
        <v>2026-02-19</v>
      </c>
      <c r="T625">
        <f t="shared" si="57"/>
        <v>10</v>
      </c>
      <c r="U625" t="str">
        <f t="shared" si="58"/>
        <v>On-Time</v>
      </c>
      <c r="V625">
        <f t="shared" si="59"/>
        <v>0</v>
      </c>
    </row>
    <row r="626" spans="1:22" x14ac:dyDescent="0.45">
      <c r="A626" t="s">
        <v>1383</v>
      </c>
      <c r="B626" t="s">
        <v>933</v>
      </c>
      <c r="C626" t="s">
        <v>35</v>
      </c>
      <c r="D626" t="s">
        <v>72</v>
      </c>
      <c r="E626" t="s">
        <v>15</v>
      </c>
      <c r="F626">
        <v>44</v>
      </c>
      <c r="G626">
        <v>7754</v>
      </c>
      <c r="H626">
        <v>341176</v>
      </c>
      <c r="I626" t="s">
        <v>593</v>
      </c>
      <c r="J626" t="s">
        <v>394</v>
      </c>
      <c r="K626">
        <v>44</v>
      </c>
      <c r="L626">
        <v>0</v>
      </c>
      <c r="M626" t="s">
        <v>115</v>
      </c>
      <c r="N626" t="str">
        <f t="shared" si="54"/>
        <v>PO-100625</v>
      </c>
      <c r="O626" t="str">
        <f t="shared" si="55"/>
        <v>Delivered</v>
      </c>
      <c r="P626" t="str">
        <f t="shared" si="56"/>
        <v>WH-BOM</v>
      </c>
      <c r="Q626" t="str">
        <f>VLOOKUP(C626, Lookups!$A$2:$D$10, 2, FALSE())</f>
        <v>Peripheral Source</v>
      </c>
      <c r="R626" t="str">
        <f>_xlfn.XLOOKUP(D626, Lookups!$A$12:$A$51, Lookups!$C$12:$C$51, "Unknown")</f>
        <v>Peripherals</v>
      </c>
      <c r="S626" t="str">
        <f>IF(ISBLANK(I626), B626+VLOOKUP(C626, Lookups!$A$2:$D$10, 4, FALSE()), I626)</f>
        <v>2025-09-15</v>
      </c>
      <c r="T626">
        <f t="shared" si="57"/>
        <v>11</v>
      </c>
      <c r="U626" t="str">
        <f t="shared" si="58"/>
        <v>Late</v>
      </c>
      <c r="V626">
        <f t="shared" si="59"/>
        <v>0</v>
      </c>
    </row>
    <row r="627" spans="1:22" x14ac:dyDescent="0.45">
      <c r="A627" t="s">
        <v>1384</v>
      </c>
      <c r="B627" t="s">
        <v>638</v>
      </c>
      <c r="C627" t="s">
        <v>36</v>
      </c>
      <c r="D627" t="s">
        <v>90</v>
      </c>
      <c r="E627" t="s">
        <v>18</v>
      </c>
      <c r="F627">
        <v>107</v>
      </c>
      <c r="G627">
        <v>81434</v>
      </c>
      <c r="H627">
        <v>8713438</v>
      </c>
      <c r="I627" t="s">
        <v>859</v>
      </c>
      <c r="J627" t="s">
        <v>859</v>
      </c>
      <c r="K627">
        <v>107</v>
      </c>
      <c r="L627">
        <v>0</v>
      </c>
      <c r="M627" t="s">
        <v>115</v>
      </c>
      <c r="N627" t="str">
        <f t="shared" si="54"/>
        <v>PO-100626</v>
      </c>
      <c r="O627" t="str">
        <f t="shared" si="55"/>
        <v>Delivered</v>
      </c>
      <c r="P627" t="str">
        <f t="shared" si="56"/>
        <v>WH-PUN</v>
      </c>
      <c r="Q627" t="str">
        <f>VLOOKUP(C627, Lookups!$A$2:$D$10, 2, FALSE())</f>
        <v>NextGen Hardware</v>
      </c>
      <c r="R627" t="str">
        <f>_xlfn.XLOOKUP(D627, Lookups!$A$12:$A$51, Lookups!$C$12:$C$51, "Unknown")</f>
        <v>Electronics</v>
      </c>
      <c r="S627" t="str">
        <f>IF(ISBLANK(I627), B627+VLOOKUP(C627, Lookups!$A$2:$D$10, 4, FALSE()), I627)</f>
        <v>2025-12-21</v>
      </c>
      <c r="T627">
        <f t="shared" si="57"/>
        <v>24</v>
      </c>
      <c r="U627" t="str">
        <f t="shared" si="58"/>
        <v>On-Time</v>
      </c>
      <c r="V627">
        <f t="shared" si="59"/>
        <v>0</v>
      </c>
    </row>
    <row r="628" spans="1:22" x14ac:dyDescent="0.45">
      <c r="A628" t="s">
        <v>1385</v>
      </c>
      <c r="B628" t="s">
        <v>1386</v>
      </c>
      <c r="C628" t="s">
        <v>30</v>
      </c>
      <c r="D628" t="s">
        <v>53</v>
      </c>
      <c r="E628" t="s">
        <v>17</v>
      </c>
      <c r="F628">
        <v>17</v>
      </c>
      <c r="G628">
        <v>81048</v>
      </c>
      <c r="H628">
        <v>1377816</v>
      </c>
      <c r="I628" t="s">
        <v>224</v>
      </c>
      <c r="J628" t="s">
        <v>514</v>
      </c>
      <c r="K628">
        <v>17</v>
      </c>
      <c r="L628">
        <v>0</v>
      </c>
      <c r="M628" t="s">
        <v>115</v>
      </c>
      <c r="N628" t="str">
        <f t="shared" si="54"/>
        <v>PO-100627</v>
      </c>
      <c r="O628" t="str">
        <f t="shared" si="55"/>
        <v>Delivered</v>
      </c>
      <c r="P628" t="str">
        <f t="shared" si="56"/>
        <v>WH-BLR</v>
      </c>
      <c r="Q628" t="str">
        <f>VLOOKUP(C628, Lookups!$A$2:$D$10, 2, FALSE())</f>
        <v>TechSupply Corp</v>
      </c>
      <c r="R628" t="str">
        <f>_xlfn.XLOOKUP(D628, Lookups!$A$12:$A$51, Lookups!$C$12:$C$51, "Unknown")</f>
        <v>Electronics</v>
      </c>
      <c r="S628" t="str">
        <f>IF(ISBLANK(I628), B628+VLOOKUP(C628, Lookups!$A$2:$D$10, 4, FALSE()), I628)</f>
        <v>2026-07-13</v>
      </c>
      <c r="T628">
        <f t="shared" si="57"/>
        <v>15</v>
      </c>
      <c r="U628" t="str">
        <f t="shared" si="58"/>
        <v>Late</v>
      </c>
      <c r="V628">
        <f t="shared" si="59"/>
        <v>0</v>
      </c>
    </row>
    <row r="629" spans="1:22" x14ac:dyDescent="0.45">
      <c r="A629" t="s">
        <v>1387</v>
      </c>
      <c r="B629" t="s">
        <v>721</v>
      </c>
      <c r="C629" t="s">
        <v>34</v>
      </c>
      <c r="D629" t="s">
        <v>73</v>
      </c>
      <c r="E629" t="s">
        <v>18</v>
      </c>
      <c r="F629">
        <v>151</v>
      </c>
      <c r="G629">
        <v>58396</v>
      </c>
      <c r="H629">
        <v>8817796</v>
      </c>
      <c r="I629" t="s">
        <v>165</v>
      </c>
      <c r="J629" t="s">
        <v>165</v>
      </c>
      <c r="K629">
        <v>151</v>
      </c>
      <c r="L629">
        <v>0</v>
      </c>
      <c r="M629" t="s">
        <v>115</v>
      </c>
      <c r="N629" t="str">
        <f t="shared" si="54"/>
        <v>PO-100628</v>
      </c>
      <c r="O629" t="str">
        <f t="shared" si="55"/>
        <v>Delivered</v>
      </c>
      <c r="P629" t="str">
        <f t="shared" si="56"/>
        <v>WH-PUN</v>
      </c>
      <c r="Q629" t="str">
        <f>VLOOKUP(C629, Lookups!$A$2:$D$10, 2, FALSE())</f>
        <v>FastElectronics</v>
      </c>
      <c r="R629" t="str">
        <f>_xlfn.XLOOKUP(D629, Lookups!$A$12:$A$51, Lookups!$C$12:$C$51, "Unknown")</f>
        <v>Electronics</v>
      </c>
      <c r="S629" t="str">
        <f>IF(ISBLANK(I629), B629+VLOOKUP(C629, Lookups!$A$2:$D$10, 4, FALSE()), I629)</f>
        <v>2026-02-19</v>
      </c>
      <c r="T629">
        <f t="shared" si="57"/>
        <v>18</v>
      </c>
      <c r="U629" t="str">
        <f t="shared" si="58"/>
        <v>On-Time</v>
      </c>
      <c r="V629">
        <f t="shared" si="59"/>
        <v>0</v>
      </c>
    </row>
    <row r="630" spans="1:22" x14ac:dyDescent="0.45">
      <c r="A630" t="s">
        <v>1388</v>
      </c>
      <c r="B630" t="s">
        <v>1302</v>
      </c>
      <c r="C630" t="s">
        <v>31</v>
      </c>
      <c r="D630" t="s">
        <v>77</v>
      </c>
      <c r="E630" t="s">
        <v>17</v>
      </c>
      <c r="F630">
        <v>215</v>
      </c>
      <c r="G630">
        <v>23667</v>
      </c>
      <c r="H630">
        <v>5088405</v>
      </c>
      <c r="I630" t="s">
        <v>508</v>
      </c>
      <c r="J630" t="s">
        <v>1389</v>
      </c>
      <c r="K630">
        <v>215</v>
      </c>
      <c r="L630">
        <v>0</v>
      </c>
      <c r="M630" t="s">
        <v>115</v>
      </c>
      <c r="N630" t="str">
        <f t="shared" si="54"/>
        <v>PO-100629</v>
      </c>
      <c r="O630" t="str">
        <f t="shared" si="55"/>
        <v>Delivered</v>
      </c>
      <c r="P630" t="str">
        <f t="shared" si="56"/>
        <v>WH-BLR</v>
      </c>
      <c r="Q630" t="str">
        <f>VLOOKUP(C630, Lookups!$A$2:$D$10, 2, FALSE())</f>
        <v>Global Networks</v>
      </c>
      <c r="R630" t="str">
        <f>_xlfn.XLOOKUP(D630, Lookups!$A$12:$A$51, Lookups!$C$12:$C$51, "Unknown")</f>
        <v>Networking</v>
      </c>
      <c r="S630" t="str">
        <f>IF(ISBLANK(I630), B630+VLOOKUP(C630, Lookups!$A$2:$D$10, 4, FALSE()), I630)</f>
        <v>2026-01-17</v>
      </c>
      <c r="T630">
        <f t="shared" si="57"/>
        <v>31</v>
      </c>
      <c r="U630" t="str">
        <f t="shared" si="58"/>
        <v>Late</v>
      </c>
      <c r="V630">
        <f t="shared" si="59"/>
        <v>0</v>
      </c>
    </row>
    <row r="631" spans="1:22" x14ac:dyDescent="0.45">
      <c r="A631" t="s">
        <v>1390</v>
      </c>
      <c r="B631" t="s">
        <v>651</v>
      </c>
      <c r="C631" t="s">
        <v>31</v>
      </c>
      <c r="D631" t="s">
        <v>85</v>
      </c>
      <c r="E631" t="s">
        <v>18</v>
      </c>
      <c r="F631">
        <v>20</v>
      </c>
      <c r="G631">
        <v>16501</v>
      </c>
      <c r="H631">
        <v>330020</v>
      </c>
      <c r="I631" t="s">
        <v>545</v>
      </c>
      <c r="J631" t="s">
        <v>885</v>
      </c>
      <c r="K631">
        <v>20</v>
      </c>
      <c r="L631">
        <v>3</v>
      </c>
      <c r="M631" t="s">
        <v>115</v>
      </c>
      <c r="N631" t="str">
        <f t="shared" si="54"/>
        <v>PO-100630</v>
      </c>
      <c r="O631" t="str">
        <f t="shared" si="55"/>
        <v>Delivered</v>
      </c>
      <c r="P631" t="str">
        <f t="shared" si="56"/>
        <v>WH-PUN</v>
      </c>
      <c r="Q631" t="str">
        <f>VLOOKUP(C631, Lookups!$A$2:$D$10, 2, FALSE())</f>
        <v>Global Networks</v>
      </c>
      <c r="R631" t="str">
        <f>_xlfn.XLOOKUP(D631, Lookups!$A$12:$A$51, Lookups!$C$12:$C$51, "Unknown")</f>
        <v>Networking</v>
      </c>
      <c r="S631" t="str">
        <f>IF(ISBLANK(I631), B631+VLOOKUP(C631, Lookups!$A$2:$D$10, 4, FALSE()), I631)</f>
        <v>2025-12-03</v>
      </c>
      <c r="T631">
        <f t="shared" si="57"/>
        <v>33</v>
      </c>
      <c r="U631" t="str">
        <f t="shared" si="58"/>
        <v>Late</v>
      </c>
      <c r="V631">
        <f t="shared" si="59"/>
        <v>0.15</v>
      </c>
    </row>
    <row r="632" spans="1:22" x14ac:dyDescent="0.45">
      <c r="A632" t="s">
        <v>1391</v>
      </c>
      <c r="B632" t="s">
        <v>865</v>
      </c>
      <c r="C632" t="s">
        <v>36</v>
      </c>
      <c r="D632" t="s">
        <v>63</v>
      </c>
      <c r="E632" t="s">
        <v>17</v>
      </c>
      <c r="F632">
        <v>79</v>
      </c>
      <c r="G632">
        <v>71062</v>
      </c>
      <c r="H632">
        <v>5613898</v>
      </c>
      <c r="I632" t="s">
        <v>451</v>
      </c>
      <c r="J632" t="s">
        <v>451</v>
      </c>
      <c r="K632">
        <v>79</v>
      </c>
      <c r="L632">
        <v>0</v>
      </c>
      <c r="M632" t="s">
        <v>115</v>
      </c>
      <c r="N632" t="str">
        <f t="shared" si="54"/>
        <v>PO-100631</v>
      </c>
      <c r="O632" t="str">
        <f t="shared" si="55"/>
        <v>Delivered</v>
      </c>
      <c r="P632" t="str">
        <f t="shared" si="56"/>
        <v>WH-BLR</v>
      </c>
      <c r="Q632" t="str">
        <f>VLOOKUP(C632, Lookups!$A$2:$D$10, 2, FALSE())</f>
        <v>NextGen Hardware</v>
      </c>
      <c r="R632" t="str">
        <f>_xlfn.XLOOKUP(D632, Lookups!$A$12:$A$51, Lookups!$C$12:$C$51, "Unknown")</f>
        <v>Electronics</v>
      </c>
      <c r="S632" t="str">
        <f>IF(ISBLANK(I632), B632+VLOOKUP(C632, Lookups!$A$2:$D$10, 4, FALSE()), I632)</f>
        <v>2026-10-04</v>
      </c>
      <c r="T632">
        <f t="shared" si="57"/>
        <v>24</v>
      </c>
      <c r="U632" t="str">
        <f t="shared" si="58"/>
        <v>On-Time</v>
      </c>
      <c r="V632">
        <f t="shared" si="59"/>
        <v>0</v>
      </c>
    </row>
    <row r="633" spans="1:22" x14ac:dyDescent="0.45">
      <c r="A633" t="s">
        <v>1392</v>
      </c>
      <c r="B633" t="s">
        <v>542</v>
      </c>
      <c r="C633" t="s">
        <v>34</v>
      </c>
      <c r="D633" t="s">
        <v>74</v>
      </c>
      <c r="E633" t="s">
        <v>18</v>
      </c>
      <c r="F633">
        <v>22</v>
      </c>
      <c r="G633">
        <v>94797</v>
      </c>
      <c r="H633">
        <v>2085534</v>
      </c>
      <c r="I633" t="s">
        <v>376</v>
      </c>
      <c r="J633" t="s">
        <v>376</v>
      </c>
      <c r="K633">
        <v>22</v>
      </c>
      <c r="L633">
        <v>0</v>
      </c>
      <c r="M633" t="s">
        <v>115</v>
      </c>
      <c r="N633" t="str">
        <f t="shared" si="54"/>
        <v>PO-100632</v>
      </c>
      <c r="O633" t="str">
        <f t="shared" si="55"/>
        <v>Delivered</v>
      </c>
      <c r="P633" t="str">
        <f t="shared" si="56"/>
        <v>WH-PUN</v>
      </c>
      <c r="Q633" t="str">
        <f>VLOOKUP(C633, Lookups!$A$2:$D$10, 2, FALSE())</f>
        <v>FastElectronics</v>
      </c>
      <c r="R633" t="str">
        <f>_xlfn.XLOOKUP(D633, Lookups!$A$12:$A$51, Lookups!$C$12:$C$51, "Unknown")</f>
        <v>Electronics</v>
      </c>
      <c r="S633" t="str">
        <f>IF(ISBLANK(I633), B633+VLOOKUP(C633, Lookups!$A$2:$D$10, 4, FALSE()), I633)</f>
        <v>2026-06-06</v>
      </c>
      <c r="T633">
        <f t="shared" si="57"/>
        <v>18</v>
      </c>
      <c r="U633" t="str">
        <f t="shared" si="58"/>
        <v>On-Time</v>
      </c>
      <c r="V633">
        <f t="shared" si="59"/>
        <v>0</v>
      </c>
    </row>
    <row r="634" spans="1:22" x14ac:dyDescent="0.45">
      <c r="A634" t="s">
        <v>1393</v>
      </c>
      <c r="B634" t="s">
        <v>257</v>
      </c>
      <c r="C634" t="s">
        <v>30</v>
      </c>
      <c r="D634" t="s">
        <v>59</v>
      </c>
      <c r="E634" t="s">
        <v>15</v>
      </c>
      <c r="F634">
        <v>197</v>
      </c>
      <c r="G634">
        <v>48905</v>
      </c>
      <c r="H634">
        <v>9634285</v>
      </c>
      <c r="I634" t="s">
        <v>184</v>
      </c>
      <c r="J634" t="s">
        <v>437</v>
      </c>
      <c r="K634">
        <v>197</v>
      </c>
      <c r="L634">
        <v>17</v>
      </c>
      <c r="M634" t="s">
        <v>115</v>
      </c>
      <c r="N634" t="str">
        <f t="shared" si="54"/>
        <v>PO-100633</v>
      </c>
      <c r="O634" t="str">
        <f t="shared" si="55"/>
        <v>Delivered</v>
      </c>
      <c r="P634" t="str">
        <f t="shared" si="56"/>
        <v>WH-BOM</v>
      </c>
      <c r="Q634" t="str">
        <f>VLOOKUP(C634, Lookups!$A$2:$D$10, 2, FALSE())</f>
        <v>TechSupply Corp</v>
      </c>
      <c r="R634" t="str">
        <f>_xlfn.XLOOKUP(D634, Lookups!$A$12:$A$51, Lookups!$C$12:$C$51, "Unknown")</f>
        <v>Electronics</v>
      </c>
      <c r="S634" t="str">
        <f>IF(ISBLANK(I634), B634+VLOOKUP(C634, Lookups!$A$2:$D$10, 4, FALSE()), I634)</f>
        <v>2025-02-02</v>
      </c>
      <c r="T634">
        <f t="shared" si="57"/>
        <v>15</v>
      </c>
      <c r="U634" t="str">
        <f t="shared" si="58"/>
        <v>Late</v>
      </c>
      <c r="V634">
        <f t="shared" si="59"/>
        <v>8.6294416243654817E-2</v>
      </c>
    </row>
    <row r="635" spans="1:22" x14ac:dyDescent="0.45">
      <c r="A635" t="s">
        <v>1394</v>
      </c>
      <c r="B635" t="s">
        <v>164</v>
      </c>
      <c r="C635" t="s">
        <v>34</v>
      </c>
      <c r="D635" t="s">
        <v>54</v>
      </c>
      <c r="E635" t="s">
        <v>18</v>
      </c>
      <c r="F635">
        <v>80</v>
      </c>
      <c r="G635">
        <v>22314</v>
      </c>
      <c r="H635">
        <v>1785120</v>
      </c>
      <c r="I635" t="s">
        <v>330</v>
      </c>
      <c r="J635" t="s">
        <v>1395</v>
      </c>
      <c r="K635">
        <v>80</v>
      </c>
      <c r="L635">
        <v>0</v>
      </c>
      <c r="M635" t="s">
        <v>115</v>
      </c>
      <c r="N635" t="str">
        <f t="shared" si="54"/>
        <v>PO-100634</v>
      </c>
      <c r="O635" t="str">
        <f t="shared" si="55"/>
        <v>Delivered</v>
      </c>
      <c r="P635" t="str">
        <f t="shared" si="56"/>
        <v>WH-PUN</v>
      </c>
      <c r="Q635" t="str">
        <f>VLOOKUP(C635, Lookups!$A$2:$D$10, 2, FALSE())</f>
        <v>FastElectronics</v>
      </c>
      <c r="R635" t="str">
        <f>_xlfn.XLOOKUP(D635, Lookups!$A$12:$A$51, Lookups!$C$12:$C$51, "Unknown")</f>
        <v>Networking</v>
      </c>
      <c r="S635" t="str">
        <f>IF(ISBLANK(I635), B635+VLOOKUP(C635, Lookups!$A$2:$D$10, 4, FALSE()), I635)</f>
        <v>2026-02-23</v>
      </c>
      <c r="T635">
        <f t="shared" si="57"/>
        <v>32</v>
      </c>
      <c r="U635" t="str">
        <f t="shared" si="58"/>
        <v>Late</v>
      </c>
      <c r="V635">
        <f t="shared" si="59"/>
        <v>0</v>
      </c>
    </row>
    <row r="636" spans="1:22" x14ac:dyDescent="0.45">
      <c r="A636" t="s">
        <v>1396</v>
      </c>
      <c r="B636" t="s">
        <v>1370</v>
      </c>
      <c r="C636" t="s">
        <v>36</v>
      </c>
      <c r="D636" t="s">
        <v>90</v>
      </c>
      <c r="E636" t="s">
        <v>17</v>
      </c>
      <c r="F636">
        <v>48</v>
      </c>
      <c r="G636">
        <v>81434</v>
      </c>
      <c r="H636">
        <v>3908832</v>
      </c>
      <c r="I636" t="s">
        <v>672</v>
      </c>
      <c r="J636" t="s">
        <v>672</v>
      </c>
      <c r="K636">
        <v>48</v>
      </c>
      <c r="L636">
        <v>0</v>
      </c>
      <c r="M636" t="s">
        <v>115</v>
      </c>
      <c r="N636" t="str">
        <f t="shared" si="54"/>
        <v>PO-100635</v>
      </c>
      <c r="O636" t="str">
        <f t="shared" si="55"/>
        <v>Delivered</v>
      </c>
      <c r="P636" t="str">
        <f t="shared" si="56"/>
        <v>WH-BLR</v>
      </c>
      <c r="Q636" t="str">
        <f>VLOOKUP(C636, Lookups!$A$2:$D$10, 2, FALSE())</f>
        <v>NextGen Hardware</v>
      </c>
      <c r="R636" t="str">
        <f>_xlfn.XLOOKUP(D636, Lookups!$A$12:$A$51, Lookups!$C$12:$C$51, "Unknown")</f>
        <v>Electronics</v>
      </c>
      <c r="S636" t="str">
        <f>IF(ISBLANK(I636), B636+VLOOKUP(C636, Lookups!$A$2:$D$10, 4, FALSE()), I636)</f>
        <v>2026-11-14</v>
      </c>
      <c r="T636">
        <f t="shared" si="57"/>
        <v>24</v>
      </c>
      <c r="U636" t="str">
        <f t="shared" si="58"/>
        <v>On-Time</v>
      </c>
      <c r="V636">
        <f t="shared" si="59"/>
        <v>0</v>
      </c>
    </row>
    <row r="637" spans="1:22" x14ac:dyDescent="0.45">
      <c r="A637" t="s">
        <v>1397</v>
      </c>
      <c r="B637" t="s">
        <v>450</v>
      </c>
      <c r="C637" t="s">
        <v>35</v>
      </c>
      <c r="D637" t="s">
        <v>65</v>
      </c>
      <c r="E637" t="s">
        <v>15</v>
      </c>
      <c r="F637">
        <v>172</v>
      </c>
      <c r="G637">
        <v>4936</v>
      </c>
      <c r="H637">
        <v>848992</v>
      </c>
      <c r="I637" t="s">
        <v>1337</v>
      </c>
      <c r="J637" t="s">
        <v>495</v>
      </c>
      <c r="K637">
        <v>172</v>
      </c>
      <c r="L637">
        <v>16</v>
      </c>
      <c r="M637" t="s">
        <v>115</v>
      </c>
      <c r="N637" t="str">
        <f t="shared" si="54"/>
        <v>PO-100636</v>
      </c>
      <c r="O637" t="str">
        <f t="shared" si="55"/>
        <v>Delivered</v>
      </c>
      <c r="P637" t="str">
        <f t="shared" si="56"/>
        <v>WH-BOM</v>
      </c>
      <c r="Q637" t="str">
        <f>VLOOKUP(C637, Lookups!$A$2:$D$10, 2, FALSE())</f>
        <v>Peripheral Source</v>
      </c>
      <c r="R637" t="str">
        <f>_xlfn.XLOOKUP(D637, Lookups!$A$12:$A$51, Lookups!$C$12:$C$51, "Unknown")</f>
        <v>Peripherals</v>
      </c>
      <c r="S637" t="str">
        <f>IF(ISBLANK(I637), B637+VLOOKUP(C637, Lookups!$A$2:$D$10, 4, FALSE()), I637)</f>
        <v>2026-09-22</v>
      </c>
      <c r="T637">
        <f t="shared" si="57"/>
        <v>11</v>
      </c>
      <c r="U637" t="str">
        <f t="shared" si="58"/>
        <v>Late</v>
      </c>
      <c r="V637">
        <f t="shared" si="59"/>
        <v>9.3023255813953487E-2</v>
      </c>
    </row>
    <row r="638" spans="1:22" x14ac:dyDescent="0.45">
      <c r="A638" t="s">
        <v>1398</v>
      </c>
      <c r="B638" t="s">
        <v>1041</v>
      </c>
      <c r="C638" t="s">
        <v>31</v>
      </c>
      <c r="D638" t="s">
        <v>64</v>
      </c>
      <c r="E638" t="s">
        <v>15</v>
      </c>
      <c r="F638">
        <v>250</v>
      </c>
      <c r="G638">
        <v>36295</v>
      </c>
      <c r="H638">
        <v>9073750</v>
      </c>
      <c r="I638" t="s">
        <v>615</v>
      </c>
      <c r="J638" t="s">
        <v>671</v>
      </c>
      <c r="K638">
        <v>250</v>
      </c>
      <c r="L638">
        <v>0</v>
      </c>
      <c r="M638" t="s">
        <v>115</v>
      </c>
      <c r="N638" t="str">
        <f t="shared" si="54"/>
        <v>PO-100637</v>
      </c>
      <c r="O638" t="str">
        <f t="shared" si="55"/>
        <v>Delivered</v>
      </c>
      <c r="P638" t="str">
        <f t="shared" si="56"/>
        <v>WH-BOM</v>
      </c>
      <c r="Q638" t="str">
        <f>VLOOKUP(C638, Lookups!$A$2:$D$10, 2, FALSE())</f>
        <v>Global Networks</v>
      </c>
      <c r="R638" t="str">
        <f>_xlfn.XLOOKUP(D638, Lookups!$A$12:$A$51, Lookups!$C$12:$C$51, "Unknown")</f>
        <v>Networking</v>
      </c>
      <c r="S638" t="str">
        <f>IF(ISBLANK(I638), B638+VLOOKUP(C638, Lookups!$A$2:$D$10, 4, FALSE()), I638)</f>
        <v>2026-11-07</v>
      </c>
      <c r="T638">
        <f t="shared" si="57"/>
        <v>27</v>
      </c>
      <c r="U638" t="str">
        <f t="shared" si="58"/>
        <v>Late</v>
      </c>
      <c r="V638">
        <f t="shared" si="59"/>
        <v>0</v>
      </c>
    </row>
    <row r="639" spans="1:22" x14ac:dyDescent="0.45">
      <c r="A639" t="s">
        <v>1399</v>
      </c>
      <c r="B639" t="s">
        <v>692</v>
      </c>
      <c r="C639" t="s">
        <v>37</v>
      </c>
      <c r="D639" t="s">
        <v>79</v>
      </c>
      <c r="E639" t="s">
        <v>16</v>
      </c>
      <c r="F639">
        <v>76</v>
      </c>
      <c r="G639">
        <v>23054</v>
      </c>
      <c r="H639">
        <v>1752104</v>
      </c>
      <c r="I639" t="s">
        <v>903</v>
      </c>
      <c r="J639" t="s">
        <v>1100</v>
      </c>
      <c r="K639">
        <v>76</v>
      </c>
      <c r="L639">
        <v>0</v>
      </c>
      <c r="M639" t="s">
        <v>115</v>
      </c>
      <c r="N639" t="str">
        <f t="shared" si="54"/>
        <v>PO-100638</v>
      </c>
      <c r="O639" t="str">
        <f t="shared" si="55"/>
        <v>Delivered</v>
      </c>
      <c r="P639" t="str">
        <f t="shared" si="56"/>
        <v>WH-DEL</v>
      </c>
      <c r="Q639" t="str">
        <f>VLOOKUP(C639, Lookups!$A$2:$D$10, 2, FALSE())</f>
        <v>Premium Desks Ltd</v>
      </c>
      <c r="R639" t="str">
        <f>_xlfn.XLOOKUP(D639, Lookups!$A$12:$A$51, Lookups!$C$12:$C$51, "Unknown")</f>
        <v>Office Furniture</v>
      </c>
      <c r="S639" t="str">
        <f>IF(ISBLANK(I639), B639+VLOOKUP(C639, Lookups!$A$2:$D$10, 4, FALSE()), I639)</f>
        <v>2026-11-10</v>
      </c>
      <c r="T639">
        <f t="shared" si="57"/>
        <v>13</v>
      </c>
      <c r="U639" t="str">
        <f t="shared" si="58"/>
        <v>Late</v>
      </c>
      <c r="V639">
        <f t="shared" si="59"/>
        <v>0</v>
      </c>
    </row>
    <row r="640" spans="1:22" x14ac:dyDescent="0.45">
      <c r="A640" t="s">
        <v>1400</v>
      </c>
      <c r="B640" t="s">
        <v>981</v>
      </c>
      <c r="C640" t="s">
        <v>35</v>
      </c>
      <c r="D640" t="s">
        <v>70</v>
      </c>
      <c r="E640" t="s">
        <v>15</v>
      </c>
      <c r="F640">
        <v>188</v>
      </c>
      <c r="G640">
        <v>4287</v>
      </c>
      <c r="H640">
        <v>805956</v>
      </c>
      <c r="I640" t="s">
        <v>670</v>
      </c>
      <c r="J640" t="s">
        <v>1401</v>
      </c>
      <c r="K640">
        <v>188</v>
      </c>
      <c r="L640">
        <v>0</v>
      </c>
      <c r="M640" t="s">
        <v>115</v>
      </c>
      <c r="N640" t="str">
        <f t="shared" si="54"/>
        <v>PO-100639</v>
      </c>
      <c r="O640" t="str">
        <f t="shared" si="55"/>
        <v>Delivered</v>
      </c>
      <c r="P640" t="str">
        <f t="shared" si="56"/>
        <v>WH-BOM</v>
      </c>
      <c r="Q640" t="str">
        <f>VLOOKUP(C640, Lookups!$A$2:$D$10, 2, FALSE())</f>
        <v>Peripheral Source</v>
      </c>
      <c r="R640" t="str">
        <f>_xlfn.XLOOKUP(D640, Lookups!$A$12:$A$51, Lookups!$C$12:$C$51, "Unknown")</f>
        <v>Peripherals</v>
      </c>
      <c r="S640" t="str">
        <f>IF(ISBLANK(I640), B640+VLOOKUP(C640, Lookups!$A$2:$D$10, 4, FALSE()), I640)</f>
        <v>2026-10-23</v>
      </c>
      <c r="T640">
        <f t="shared" si="57"/>
        <v>11</v>
      </c>
      <c r="U640" t="str">
        <f t="shared" si="58"/>
        <v>Late</v>
      </c>
      <c r="V640">
        <f t="shared" si="59"/>
        <v>0</v>
      </c>
    </row>
    <row r="641" spans="1:22" x14ac:dyDescent="0.45">
      <c r="A641" t="s">
        <v>1402</v>
      </c>
      <c r="B641" t="s">
        <v>750</v>
      </c>
      <c r="C641" t="s">
        <v>37</v>
      </c>
      <c r="D641" t="s">
        <v>69</v>
      </c>
      <c r="E641" t="s">
        <v>17</v>
      </c>
      <c r="F641">
        <v>110</v>
      </c>
      <c r="G641">
        <v>13231</v>
      </c>
      <c r="H641">
        <v>1455410</v>
      </c>
      <c r="I641" t="s">
        <v>847</v>
      </c>
      <c r="J641" t="s">
        <v>1403</v>
      </c>
      <c r="K641">
        <v>110</v>
      </c>
      <c r="L641">
        <v>0</v>
      </c>
      <c r="M641" t="s">
        <v>115</v>
      </c>
      <c r="N641" t="str">
        <f t="shared" si="54"/>
        <v>PO-100640</v>
      </c>
      <c r="O641" t="str">
        <f t="shared" si="55"/>
        <v>Delivered</v>
      </c>
      <c r="P641" t="str">
        <f t="shared" si="56"/>
        <v>WH-BLR</v>
      </c>
      <c r="Q641" t="str">
        <f>VLOOKUP(C641, Lookups!$A$2:$D$10, 2, FALSE())</f>
        <v>Premium Desks Ltd</v>
      </c>
      <c r="R641" t="str">
        <f>_xlfn.XLOOKUP(D641, Lookups!$A$12:$A$51, Lookups!$C$12:$C$51, "Unknown")</f>
        <v>Office Furniture</v>
      </c>
      <c r="S641" t="str">
        <f>IF(ISBLANK(I641), B641+VLOOKUP(C641, Lookups!$A$2:$D$10, 4, FALSE()), I641)</f>
        <v>2026-11-01</v>
      </c>
      <c r="T641">
        <f t="shared" si="57"/>
        <v>13</v>
      </c>
      <c r="U641" t="str">
        <f t="shared" si="58"/>
        <v>Late</v>
      </c>
      <c r="V641">
        <f t="shared" si="59"/>
        <v>0</v>
      </c>
    </row>
    <row r="642" spans="1:22" x14ac:dyDescent="0.45">
      <c r="A642" t="s">
        <v>1404</v>
      </c>
      <c r="B642" t="s">
        <v>1405</v>
      </c>
      <c r="C642" t="s">
        <v>34</v>
      </c>
      <c r="D642" t="s">
        <v>68</v>
      </c>
      <c r="E642" t="s">
        <v>15</v>
      </c>
      <c r="F642">
        <v>194</v>
      </c>
      <c r="G642">
        <v>41405</v>
      </c>
      <c r="H642">
        <v>8032570</v>
      </c>
      <c r="I642" t="s">
        <v>375</v>
      </c>
      <c r="J642" t="s">
        <v>1177</v>
      </c>
      <c r="K642">
        <v>194</v>
      </c>
      <c r="L642">
        <v>0</v>
      </c>
      <c r="M642" t="s">
        <v>115</v>
      </c>
      <c r="N642" t="str">
        <f t="shared" ref="N642:N705" si="60">TRIM(A642)</f>
        <v>PO-100641</v>
      </c>
      <c r="O642" t="str">
        <f t="shared" ref="O642:O705" si="61">PROPER(TRIM(M642))</f>
        <v>Delivered</v>
      </c>
      <c r="P642" t="str">
        <f t="shared" ref="P642:P705" si="62">TRIM(E642)</f>
        <v>WH-BOM</v>
      </c>
      <c r="Q642" t="str">
        <f>VLOOKUP(C642, Lookups!$A$2:$D$10, 2, FALSE())</f>
        <v>FastElectronics</v>
      </c>
      <c r="R642" t="str">
        <f>_xlfn.XLOOKUP(D642, Lookups!$A$12:$A$51, Lookups!$C$12:$C$51, "Unknown")</f>
        <v>Networking</v>
      </c>
      <c r="S642" t="str">
        <f>IF(ISBLANK(I642), B642+VLOOKUP(C642, Lookups!$A$2:$D$10, 4, FALSE()), I642)</f>
        <v>2026-06-10</v>
      </c>
      <c r="T642">
        <f t="shared" ref="T642:T705" si="63">IF(ISBLANK(J642), "", J642-B642)</f>
        <v>19</v>
      </c>
      <c r="U642" t="str">
        <f t="shared" ref="U642:U705" si="64">IF(O642="Open", "Open", IF(J642&gt;S642, "Late", "On-Time"))</f>
        <v>Late</v>
      </c>
      <c r="V642">
        <f t="shared" ref="V642:V705" si="65">IF(K642&gt;0, L642/K642, 0)</f>
        <v>0</v>
      </c>
    </row>
    <row r="643" spans="1:22" x14ac:dyDescent="0.45">
      <c r="A643" t="s">
        <v>1406</v>
      </c>
      <c r="B643" t="s">
        <v>1407</v>
      </c>
      <c r="C643" t="s">
        <v>34</v>
      </c>
      <c r="D643" t="s">
        <v>68</v>
      </c>
      <c r="E643" t="s">
        <v>17</v>
      </c>
      <c r="F643">
        <v>66</v>
      </c>
      <c r="G643">
        <v>41405</v>
      </c>
      <c r="H643">
        <v>2732730</v>
      </c>
      <c r="I643" t="s">
        <v>399</v>
      </c>
      <c r="J643" t="s">
        <v>399</v>
      </c>
      <c r="K643">
        <v>66</v>
      </c>
      <c r="L643">
        <v>0</v>
      </c>
      <c r="M643" t="s">
        <v>115</v>
      </c>
      <c r="N643" t="str">
        <f t="shared" si="60"/>
        <v>PO-100642</v>
      </c>
      <c r="O643" t="str">
        <f t="shared" si="61"/>
        <v>Delivered</v>
      </c>
      <c r="P643" t="str">
        <f t="shared" si="62"/>
        <v>WH-BLR</v>
      </c>
      <c r="Q643" t="str">
        <f>VLOOKUP(C643, Lookups!$A$2:$D$10, 2, FALSE())</f>
        <v>FastElectronics</v>
      </c>
      <c r="R643" t="str">
        <f>_xlfn.XLOOKUP(D643, Lookups!$A$12:$A$51, Lookups!$C$12:$C$51, "Unknown")</f>
        <v>Networking</v>
      </c>
      <c r="S643" t="str">
        <f>IF(ISBLANK(I643), B643+VLOOKUP(C643, Lookups!$A$2:$D$10, 4, FALSE()), I643)</f>
        <v>2025-11-26</v>
      </c>
      <c r="T643">
        <f t="shared" si="63"/>
        <v>18</v>
      </c>
      <c r="U643" t="str">
        <f t="shared" si="64"/>
        <v>On-Time</v>
      </c>
      <c r="V643">
        <f t="shared" si="65"/>
        <v>0</v>
      </c>
    </row>
    <row r="644" spans="1:22" x14ac:dyDescent="0.45">
      <c r="A644" t="s">
        <v>1408</v>
      </c>
      <c r="B644" t="s">
        <v>428</v>
      </c>
      <c r="C644" t="s">
        <v>30</v>
      </c>
      <c r="D644" t="s">
        <v>86</v>
      </c>
      <c r="E644" t="s">
        <v>18</v>
      </c>
      <c r="F644">
        <v>100</v>
      </c>
      <c r="G644">
        <v>74871</v>
      </c>
      <c r="H644">
        <v>7487100</v>
      </c>
      <c r="I644" t="s">
        <v>225</v>
      </c>
      <c r="J644" t="s">
        <v>225</v>
      </c>
      <c r="K644">
        <v>100</v>
      </c>
      <c r="L644">
        <v>0</v>
      </c>
      <c r="M644" t="s">
        <v>927</v>
      </c>
      <c r="N644" t="str">
        <f t="shared" si="60"/>
        <v>PO-100643</v>
      </c>
      <c r="O644" t="str">
        <f t="shared" si="61"/>
        <v>Delivered</v>
      </c>
      <c r="P644" t="str">
        <f t="shared" si="62"/>
        <v>WH-PUN</v>
      </c>
      <c r="Q644" t="str">
        <f>VLOOKUP(C644, Lookups!$A$2:$D$10, 2, FALSE())</f>
        <v>TechSupply Corp</v>
      </c>
      <c r="R644" t="str">
        <f>_xlfn.XLOOKUP(D644, Lookups!$A$12:$A$51, Lookups!$C$12:$C$51, "Unknown")</f>
        <v>Electronics</v>
      </c>
      <c r="S644" t="str">
        <f>IF(ISBLANK(I644), B644+VLOOKUP(C644, Lookups!$A$2:$D$10, 4, FALSE()), I644)</f>
        <v>2026-07-31</v>
      </c>
      <c r="T644">
        <f t="shared" si="63"/>
        <v>14</v>
      </c>
      <c r="U644" t="str">
        <f t="shared" si="64"/>
        <v>On-Time</v>
      </c>
      <c r="V644">
        <f t="shared" si="65"/>
        <v>0</v>
      </c>
    </row>
    <row r="645" spans="1:22" x14ac:dyDescent="0.45">
      <c r="A645" t="s">
        <v>1409</v>
      </c>
      <c r="B645" t="s">
        <v>1410</v>
      </c>
      <c r="C645" t="s">
        <v>31</v>
      </c>
      <c r="D645" t="s">
        <v>64</v>
      </c>
      <c r="E645" t="s">
        <v>17</v>
      </c>
      <c r="F645">
        <v>153</v>
      </c>
      <c r="G645">
        <v>36295</v>
      </c>
      <c r="H645">
        <v>5553135</v>
      </c>
      <c r="I645" t="s">
        <v>406</v>
      </c>
      <c r="J645" t="s">
        <v>406</v>
      </c>
      <c r="K645">
        <v>153</v>
      </c>
      <c r="L645">
        <v>0</v>
      </c>
      <c r="M645" t="s">
        <v>115</v>
      </c>
      <c r="N645" t="str">
        <f t="shared" si="60"/>
        <v>PO-100644</v>
      </c>
      <c r="O645" t="str">
        <f t="shared" si="61"/>
        <v>Delivered</v>
      </c>
      <c r="P645" t="str">
        <f t="shared" si="62"/>
        <v>WH-BLR</v>
      </c>
      <c r="Q645" t="str">
        <f>VLOOKUP(C645, Lookups!$A$2:$D$10, 2, FALSE())</f>
        <v>Global Networks</v>
      </c>
      <c r="R645" t="str">
        <f>_xlfn.XLOOKUP(D645, Lookups!$A$12:$A$51, Lookups!$C$12:$C$51, "Unknown")</f>
        <v>Networking</v>
      </c>
      <c r="S645" t="str">
        <f>IF(ISBLANK(I645), B645+VLOOKUP(C645, Lookups!$A$2:$D$10, 4, FALSE()), I645)</f>
        <v>2026-06-24</v>
      </c>
      <c r="T645">
        <f t="shared" si="63"/>
        <v>21</v>
      </c>
      <c r="U645" t="str">
        <f t="shared" si="64"/>
        <v>On-Time</v>
      </c>
      <c r="V645">
        <f t="shared" si="65"/>
        <v>0</v>
      </c>
    </row>
    <row r="646" spans="1:22" x14ac:dyDescent="0.45">
      <c r="A646" t="s">
        <v>1411</v>
      </c>
      <c r="B646" t="s">
        <v>1403</v>
      </c>
      <c r="C646" t="s">
        <v>36</v>
      </c>
      <c r="D646" t="s">
        <v>87</v>
      </c>
      <c r="E646" t="s">
        <v>18</v>
      </c>
      <c r="F646">
        <v>171</v>
      </c>
      <c r="G646">
        <v>82930</v>
      </c>
      <c r="H646">
        <v>14181030</v>
      </c>
      <c r="I646" t="s">
        <v>1148</v>
      </c>
      <c r="J646" t="s">
        <v>877</v>
      </c>
      <c r="K646">
        <v>171</v>
      </c>
      <c r="L646">
        <v>0</v>
      </c>
      <c r="M646" t="s">
        <v>115</v>
      </c>
      <c r="N646" t="str">
        <f t="shared" si="60"/>
        <v>PO-100645</v>
      </c>
      <c r="O646" t="str">
        <f t="shared" si="61"/>
        <v>Delivered</v>
      </c>
      <c r="P646" t="str">
        <f t="shared" si="62"/>
        <v>WH-PUN</v>
      </c>
      <c r="Q646" t="str">
        <f>VLOOKUP(C646, Lookups!$A$2:$D$10, 2, FALSE())</f>
        <v>NextGen Hardware</v>
      </c>
      <c r="R646" t="str">
        <f>_xlfn.XLOOKUP(D646, Lookups!$A$12:$A$51, Lookups!$C$12:$C$51, "Unknown")</f>
        <v>Electronics</v>
      </c>
      <c r="S646" t="str">
        <f>IF(ISBLANK(I646), B646+VLOOKUP(C646, Lookups!$A$2:$D$10, 4, FALSE()), I646)</f>
        <v>2026-11-26</v>
      </c>
      <c r="T646">
        <f t="shared" si="63"/>
        <v>32</v>
      </c>
      <c r="U646" t="str">
        <f t="shared" si="64"/>
        <v>Late</v>
      </c>
      <c r="V646">
        <f t="shared" si="65"/>
        <v>0</v>
      </c>
    </row>
    <row r="647" spans="1:22" x14ac:dyDescent="0.45">
      <c r="A647" t="s">
        <v>1412</v>
      </c>
      <c r="B647" t="s">
        <v>861</v>
      </c>
      <c r="C647" t="s">
        <v>36</v>
      </c>
      <c r="D647" t="s">
        <v>71</v>
      </c>
      <c r="E647" t="s">
        <v>17</v>
      </c>
      <c r="F647">
        <v>71</v>
      </c>
      <c r="G647">
        <v>65379</v>
      </c>
      <c r="H647">
        <v>4641909</v>
      </c>
      <c r="I647" t="s">
        <v>1413</v>
      </c>
      <c r="J647" t="s">
        <v>840</v>
      </c>
      <c r="K647">
        <v>71</v>
      </c>
      <c r="L647">
        <v>0</v>
      </c>
      <c r="M647" t="s">
        <v>115</v>
      </c>
      <c r="N647" t="str">
        <f t="shared" si="60"/>
        <v>PO-100646</v>
      </c>
      <c r="O647" t="str">
        <f t="shared" si="61"/>
        <v>Delivered</v>
      </c>
      <c r="P647" t="str">
        <f t="shared" si="62"/>
        <v>WH-BLR</v>
      </c>
      <c r="Q647" t="str">
        <f>VLOOKUP(C647, Lookups!$A$2:$D$10, 2, FALSE())</f>
        <v>NextGen Hardware</v>
      </c>
      <c r="R647" t="str">
        <f>_xlfn.XLOOKUP(D647, Lookups!$A$12:$A$51, Lookups!$C$12:$C$51, "Unknown")</f>
        <v>Electronics</v>
      </c>
      <c r="S647" t="str">
        <f>IF(ISBLANK(I647), B647+VLOOKUP(C647, Lookups!$A$2:$D$10, 4, FALSE()), I647)</f>
        <v>2026-03-02</v>
      </c>
      <c r="T647">
        <f t="shared" si="63"/>
        <v>39</v>
      </c>
      <c r="U647" t="str">
        <f t="shared" si="64"/>
        <v>Late</v>
      </c>
      <c r="V647">
        <f t="shared" si="65"/>
        <v>0</v>
      </c>
    </row>
    <row r="648" spans="1:22" x14ac:dyDescent="0.45">
      <c r="A648" t="s">
        <v>1414</v>
      </c>
      <c r="B648" t="s">
        <v>1415</v>
      </c>
      <c r="C648" t="s">
        <v>31</v>
      </c>
      <c r="D648" t="s">
        <v>85</v>
      </c>
      <c r="E648" t="s">
        <v>18</v>
      </c>
      <c r="F648">
        <v>11</v>
      </c>
      <c r="G648">
        <v>16501</v>
      </c>
      <c r="H648">
        <v>181511</v>
      </c>
      <c r="I648" t="s">
        <v>1416</v>
      </c>
      <c r="J648" t="s">
        <v>709</v>
      </c>
      <c r="K648">
        <v>11</v>
      </c>
      <c r="L648">
        <v>0</v>
      </c>
      <c r="M648" t="s">
        <v>115</v>
      </c>
      <c r="N648" t="str">
        <f t="shared" si="60"/>
        <v>PO-100647</v>
      </c>
      <c r="O648" t="str">
        <f t="shared" si="61"/>
        <v>Delivered</v>
      </c>
      <c r="P648" t="str">
        <f t="shared" si="62"/>
        <v>WH-PUN</v>
      </c>
      <c r="Q648" t="str">
        <f>VLOOKUP(C648, Lookups!$A$2:$D$10, 2, FALSE())</f>
        <v>Global Networks</v>
      </c>
      <c r="R648" t="str">
        <f>_xlfn.XLOOKUP(D648, Lookups!$A$12:$A$51, Lookups!$C$12:$C$51, "Unknown")</f>
        <v>Networking</v>
      </c>
      <c r="S648" t="str">
        <f>IF(ISBLANK(I648), B648+VLOOKUP(C648, Lookups!$A$2:$D$10, 4, FALSE()), I648)</f>
        <v>2026-01-30</v>
      </c>
      <c r="T648">
        <f t="shared" si="63"/>
        <v>22</v>
      </c>
      <c r="U648" t="str">
        <f t="shared" si="64"/>
        <v>Late</v>
      </c>
      <c r="V648">
        <f t="shared" si="65"/>
        <v>0</v>
      </c>
    </row>
    <row r="649" spans="1:22" x14ac:dyDescent="0.45">
      <c r="A649" t="s">
        <v>1417</v>
      </c>
      <c r="B649" t="s">
        <v>692</v>
      </c>
      <c r="C649" t="s">
        <v>37</v>
      </c>
      <c r="D649" t="s">
        <v>78</v>
      </c>
      <c r="E649" t="s">
        <v>16</v>
      </c>
      <c r="F649">
        <v>178</v>
      </c>
      <c r="G649">
        <v>9423</v>
      </c>
      <c r="H649">
        <v>1677294</v>
      </c>
      <c r="I649" t="s">
        <v>903</v>
      </c>
      <c r="J649" t="s">
        <v>1100</v>
      </c>
      <c r="K649">
        <v>178</v>
      </c>
      <c r="L649">
        <v>0</v>
      </c>
      <c r="M649" t="s">
        <v>115</v>
      </c>
      <c r="N649" t="str">
        <f t="shared" si="60"/>
        <v>PO-100648</v>
      </c>
      <c r="O649" t="str">
        <f t="shared" si="61"/>
        <v>Delivered</v>
      </c>
      <c r="P649" t="str">
        <f t="shared" si="62"/>
        <v>WH-DEL</v>
      </c>
      <c r="Q649" t="str">
        <f>VLOOKUP(C649, Lookups!$A$2:$D$10, 2, FALSE())</f>
        <v>Premium Desks Ltd</v>
      </c>
      <c r="R649" t="str">
        <f>_xlfn.XLOOKUP(D649, Lookups!$A$12:$A$51, Lookups!$C$12:$C$51, "Unknown")</f>
        <v>Office Furniture</v>
      </c>
      <c r="S649" t="str">
        <f>IF(ISBLANK(I649), B649+VLOOKUP(C649, Lookups!$A$2:$D$10, 4, FALSE()), I649)</f>
        <v>2026-11-10</v>
      </c>
      <c r="T649">
        <f t="shared" si="63"/>
        <v>13</v>
      </c>
      <c r="U649" t="str">
        <f t="shared" si="64"/>
        <v>Late</v>
      </c>
      <c r="V649">
        <f t="shared" si="65"/>
        <v>0</v>
      </c>
    </row>
    <row r="650" spans="1:22" x14ac:dyDescent="0.45">
      <c r="A650" t="s">
        <v>1418</v>
      </c>
      <c r="B650" t="s">
        <v>840</v>
      </c>
      <c r="C650" t="s">
        <v>36</v>
      </c>
      <c r="D650" t="s">
        <v>90</v>
      </c>
      <c r="E650" t="s">
        <v>17</v>
      </c>
      <c r="F650">
        <v>231</v>
      </c>
      <c r="G650">
        <v>81434</v>
      </c>
      <c r="H650">
        <v>18811254</v>
      </c>
      <c r="I650" t="s">
        <v>686</v>
      </c>
      <c r="J650" t="s">
        <v>587</v>
      </c>
      <c r="K650">
        <v>207</v>
      </c>
      <c r="L650">
        <v>0</v>
      </c>
      <c r="M650" t="s">
        <v>115</v>
      </c>
      <c r="N650" t="str">
        <f t="shared" si="60"/>
        <v>PO-100649</v>
      </c>
      <c r="O650" t="str">
        <f t="shared" si="61"/>
        <v>Delivered</v>
      </c>
      <c r="P650" t="str">
        <f t="shared" si="62"/>
        <v>WH-BLR</v>
      </c>
      <c r="Q650" t="str">
        <f>VLOOKUP(C650, Lookups!$A$2:$D$10, 2, FALSE())</f>
        <v>NextGen Hardware</v>
      </c>
      <c r="R650" t="str">
        <f>_xlfn.XLOOKUP(D650, Lookups!$A$12:$A$51, Lookups!$C$12:$C$51, "Unknown")</f>
        <v>Electronics</v>
      </c>
      <c r="S650" t="str">
        <f>IF(ISBLANK(I650), B650+VLOOKUP(C650, Lookups!$A$2:$D$10, 4, FALSE()), I650)</f>
        <v>2026-04-10</v>
      </c>
      <c r="T650">
        <f t="shared" si="63"/>
        <v>25</v>
      </c>
      <c r="U650" t="str">
        <f t="shared" si="64"/>
        <v>Late</v>
      </c>
      <c r="V650">
        <f t="shared" si="65"/>
        <v>0</v>
      </c>
    </row>
    <row r="651" spans="1:22" x14ac:dyDescent="0.45">
      <c r="A651" t="s">
        <v>1419</v>
      </c>
      <c r="B651" t="s">
        <v>544</v>
      </c>
      <c r="C651" t="s">
        <v>36</v>
      </c>
      <c r="D651" t="s">
        <v>55</v>
      </c>
      <c r="E651" t="s">
        <v>17</v>
      </c>
      <c r="F651">
        <v>194</v>
      </c>
      <c r="G651">
        <v>58434</v>
      </c>
      <c r="H651">
        <v>11336196</v>
      </c>
      <c r="I651" t="s">
        <v>447</v>
      </c>
      <c r="J651" t="s">
        <v>859</v>
      </c>
      <c r="K651">
        <v>194</v>
      </c>
      <c r="L651">
        <v>0</v>
      </c>
      <c r="M651" t="s">
        <v>115</v>
      </c>
      <c r="N651" t="str">
        <f t="shared" si="60"/>
        <v>PO-100650</v>
      </c>
      <c r="O651" t="str">
        <f t="shared" si="61"/>
        <v>Delivered</v>
      </c>
      <c r="P651" t="str">
        <f t="shared" si="62"/>
        <v>WH-BLR</v>
      </c>
      <c r="Q651" t="str">
        <f>VLOOKUP(C651, Lookups!$A$2:$D$10, 2, FALSE())</f>
        <v>NextGen Hardware</v>
      </c>
      <c r="R651" t="str">
        <f>_xlfn.XLOOKUP(D651, Lookups!$A$12:$A$51, Lookups!$C$12:$C$51, "Unknown")</f>
        <v>Electronics</v>
      </c>
      <c r="S651" t="str">
        <f>IF(ISBLANK(I651), B651+VLOOKUP(C651, Lookups!$A$2:$D$10, 4, FALSE()), I651)</f>
        <v>2025-12-17</v>
      </c>
      <c r="T651">
        <f t="shared" si="63"/>
        <v>28</v>
      </c>
      <c r="U651" t="str">
        <f t="shared" si="64"/>
        <v>Late</v>
      </c>
      <c r="V651">
        <f t="shared" si="65"/>
        <v>0</v>
      </c>
    </row>
    <row r="652" spans="1:22" x14ac:dyDescent="0.45">
      <c r="A652" t="s">
        <v>1420</v>
      </c>
      <c r="B652" t="s">
        <v>1288</v>
      </c>
      <c r="C652" t="s">
        <v>30</v>
      </c>
      <c r="D652" t="s">
        <v>52</v>
      </c>
      <c r="E652" t="s">
        <v>15</v>
      </c>
      <c r="F652">
        <v>127</v>
      </c>
      <c r="G652">
        <v>59592</v>
      </c>
      <c r="H652">
        <v>7568184</v>
      </c>
      <c r="I652" t="s">
        <v>425</v>
      </c>
      <c r="J652" t="s">
        <v>636</v>
      </c>
      <c r="K652">
        <v>127</v>
      </c>
      <c r="L652">
        <v>0</v>
      </c>
      <c r="M652" t="s">
        <v>115</v>
      </c>
      <c r="N652" t="str">
        <f t="shared" si="60"/>
        <v>PO-100651</v>
      </c>
      <c r="O652" t="str">
        <f t="shared" si="61"/>
        <v>Delivered</v>
      </c>
      <c r="P652" t="str">
        <f t="shared" si="62"/>
        <v>WH-BOM</v>
      </c>
      <c r="Q652" t="str">
        <f>VLOOKUP(C652, Lookups!$A$2:$D$10, 2, FALSE())</f>
        <v>TechSupply Corp</v>
      </c>
      <c r="R652" t="str">
        <f>_xlfn.XLOOKUP(D652, Lookups!$A$12:$A$51, Lookups!$C$12:$C$51, "Unknown")</f>
        <v>Electronics</v>
      </c>
      <c r="S652" t="str">
        <f>IF(ISBLANK(I652), B652+VLOOKUP(C652, Lookups!$A$2:$D$10, 4, FALSE()), I652)</f>
        <v>2025-07-03</v>
      </c>
      <c r="T652">
        <f t="shared" si="63"/>
        <v>11</v>
      </c>
      <c r="U652" t="str">
        <f t="shared" si="64"/>
        <v>On-Time</v>
      </c>
      <c r="V652">
        <f t="shared" si="65"/>
        <v>0</v>
      </c>
    </row>
    <row r="653" spans="1:22" x14ac:dyDescent="0.45">
      <c r="A653" t="s">
        <v>1421</v>
      </c>
      <c r="B653" t="s">
        <v>249</v>
      </c>
      <c r="C653" t="s">
        <v>30</v>
      </c>
      <c r="D653" t="s">
        <v>88</v>
      </c>
      <c r="E653" t="s">
        <v>15</v>
      </c>
      <c r="F653">
        <v>188</v>
      </c>
      <c r="G653">
        <v>75512</v>
      </c>
      <c r="H653">
        <v>14196256</v>
      </c>
      <c r="I653" t="s">
        <v>234</v>
      </c>
      <c r="J653" t="s">
        <v>234</v>
      </c>
      <c r="K653">
        <v>188</v>
      </c>
      <c r="L653">
        <v>0</v>
      </c>
      <c r="M653" t="s">
        <v>115</v>
      </c>
      <c r="N653" t="str">
        <f t="shared" si="60"/>
        <v>PO-100652</v>
      </c>
      <c r="O653" t="str">
        <f t="shared" si="61"/>
        <v>Delivered</v>
      </c>
      <c r="P653" t="str">
        <f t="shared" si="62"/>
        <v>WH-BOM</v>
      </c>
      <c r="Q653" t="str">
        <f>VLOOKUP(C653, Lookups!$A$2:$D$10, 2, FALSE())</f>
        <v>TechSupply Corp</v>
      </c>
      <c r="R653" t="str">
        <f>_xlfn.XLOOKUP(D653, Lookups!$A$12:$A$51, Lookups!$C$12:$C$51, "Unknown")</f>
        <v>Electronics</v>
      </c>
      <c r="S653" t="str">
        <f>IF(ISBLANK(I653), B653+VLOOKUP(C653, Lookups!$A$2:$D$10, 4, FALSE()), I653)</f>
        <v>2025-08-03</v>
      </c>
      <c r="T653">
        <f t="shared" si="63"/>
        <v>14</v>
      </c>
      <c r="U653" t="str">
        <f t="shared" si="64"/>
        <v>On-Time</v>
      </c>
      <c r="V653">
        <f t="shared" si="65"/>
        <v>0</v>
      </c>
    </row>
    <row r="654" spans="1:22" x14ac:dyDescent="0.45">
      <c r="A654" t="s">
        <v>1422</v>
      </c>
      <c r="B654" t="s">
        <v>325</v>
      </c>
      <c r="C654" t="s">
        <v>33</v>
      </c>
      <c r="D654" t="s">
        <v>89</v>
      </c>
      <c r="E654" t="s">
        <v>17</v>
      </c>
      <c r="F654">
        <v>79</v>
      </c>
      <c r="G654">
        <v>11309</v>
      </c>
      <c r="H654">
        <v>893411</v>
      </c>
      <c r="I654" t="s">
        <v>457</v>
      </c>
      <c r="J654" t="s">
        <v>487</v>
      </c>
      <c r="K654">
        <v>79</v>
      </c>
      <c r="L654">
        <v>0</v>
      </c>
      <c r="M654" t="s">
        <v>115</v>
      </c>
      <c r="N654" t="str">
        <f t="shared" si="60"/>
        <v>PO-100653</v>
      </c>
      <c r="O654" t="str">
        <f t="shared" si="61"/>
        <v>Delivered</v>
      </c>
      <c r="P654" t="str">
        <f t="shared" si="62"/>
        <v>WH-BLR</v>
      </c>
      <c r="Q654" t="str">
        <f>VLOOKUP(C654, Lookups!$A$2:$D$10, 2, FALSE())</f>
        <v>MegaFurnish</v>
      </c>
      <c r="R654" t="str">
        <f>_xlfn.XLOOKUP(D654, Lookups!$A$12:$A$51, Lookups!$C$12:$C$51, "Unknown")</f>
        <v>Office Furniture</v>
      </c>
      <c r="S654" t="str">
        <f>IF(ISBLANK(I654), B654+VLOOKUP(C654, Lookups!$A$2:$D$10, 4, FALSE()), I654)</f>
        <v>2025-06-25</v>
      </c>
      <c r="T654">
        <f t="shared" si="63"/>
        <v>31</v>
      </c>
      <c r="U654" t="str">
        <f t="shared" si="64"/>
        <v>Late</v>
      </c>
      <c r="V654">
        <f t="shared" si="65"/>
        <v>0</v>
      </c>
    </row>
    <row r="655" spans="1:22" x14ac:dyDescent="0.45">
      <c r="A655" t="s">
        <v>1423</v>
      </c>
      <c r="B655" t="s">
        <v>1321</v>
      </c>
      <c r="C655" t="s">
        <v>32</v>
      </c>
      <c r="D655" t="s">
        <v>67</v>
      </c>
      <c r="E655" t="s">
        <v>15</v>
      </c>
      <c r="F655">
        <v>26</v>
      </c>
      <c r="G655">
        <v>1553</v>
      </c>
      <c r="H655">
        <v>40378</v>
      </c>
      <c r="I655" t="s">
        <v>696</v>
      </c>
      <c r="J655" t="s">
        <v>726</v>
      </c>
      <c r="K655">
        <v>26</v>
      </c>
      <c r="L655">
        <v>0</v>
      </c>
      <c r="M655" t="s">
        <v>115</v>
      </c>
      <c r="N655" t="str">
        <f t="shared" si="60"/>
        <v>PO-100654</v>
      </c>
      <c r="O655" t="str">
        <f t="shared" si="61"/>
        <v>Delivered</v>
      </c>
      <c r="P655" t="str">
        <f t="shared" si="62"/>
        <v>WH-BOM</v>
      </c>
      <c r="Q655" t="str">
        <f>VLOOKUP(C655, Lookups!$A$2:$D$10, 2, FALSE())</f>
        <v>OfficeDepot Pro</v>
      </c>
      <c r="R655" t="str">
        <f>_xlfn.XLOOKUP(D655, Lookups!$A$12:$A$51, Lookups!$C$12:$C$51, "Unknown")</f>
        <v>Peripherals</v>
      </c>
      <c r="S655" t="str">
        <f>IF(ISBLANK(I655), B655+VLOOKUP(C655, Lookups!$A$2:$D$10, 4, FALSE()), I655)</f>
        <v>2025-01-12</v>
      </c>
      <c r="T655">
        <f t="shared" si="63"/>
        <v>8</v>
      </c>
      <c r="U655" t="str">
        <f t="shared" si="64"/>
        <v>Late</v>
      </c>
      <c r="V655">
        <f t="shared" si="65"/>
        <v>0</v>
      </c>
    </row>
    <row r="656" spans="1:22" x14ac:dyDescent="0.45">
      <c r="A656" t="s">
        <v>1424</v>
      </c>
      <c r="B656" t="s">
        <v>579</v>
      </c>
      <c r="C656" t="s">
        <v>34</v>
      </c>
      <c r="D656" t="s">
        <v>54</v>
      </c>
      <c r="E656" t="s">
        <v>16</v>
      </c>
      <c r="F656">
        <v>186</v>
      </c>
      <c r="G656">
        <v>22314</v>
      </c>
      <c r="H656">
        <v>4150404</v>
      </c>
      <c r="I656" t="s">
        <v>851</v>
      </c>
      <c r="J656" t="s">
        <v>851</v>
      </c>
      <c r="K656">
        <v>186</v>
      </c>
      <c r="L656">
        <v>0</v>
      </c>
      <c r="M656" t="s">
        <v>115</v>
      </c>
      <c r="N656" t="str">
        <f t="shared" si="60"/>
        <v>PO-100655</v>
      </c>
      <c r="O656" t="str">
        <f t="shared" si="61"/>
        <v>Delivered</v>
      </c>
      <c r="P656" t="str">
        <f t="shared" si="62"/>
        <v>WH-DEL</v>
      </c>
      <c r="Q656" t="str">
        <f>VLOOKUP(C656, Lookups!$A$2:$D$10, 2, FALSE())</f>
        <v>FastElectronics</v>
      </c>
      <c r="R656" t="str">
        <f>_xlfn.XLOOKUP(D656, Lookups!$A$12:$A$51, Lookups!$C$12:$C$51, "Unknown")</f>
        <v>Networking</v>
      </c>
      <c r="S656" t="str">
        <f>IF(ISBLANK(I656), B656+VLOOKUP(C656, Lookups!$A$2:$D$10, 4, FALSE()), I656)</f>
        <v>2026-01-16</v>
      </c>
      <c r="T656">
        <f t="shared" si="63"/>
        <v>18</v>
      </c>
      <c r="U656" t="str">
        <f t="shared" si="64"/>
        <v>On-Time</v>
      </c>
      <c r="V656">
        <f t="shared" si="65"/>
        <v>0</v>
      </c>
    </row>
    <row r="657" spans="1:22" x14ac:dyDescent="0.45">
      <c r="A657" t="s">
        <v>1425</v>
      </c>
      <c r="B657" t="s">
        <v>158</v>
      </c>
      <c r="C657" t="s">
        <v>36</v>
      </c>
      <c r="D657" t="s">
        <v>63</v>
      </c>
      <c r="E657" t="s">
        <v>15</v>
      </c>
      <c r="F657">
        <v>89</v>
      </c>
      <c r="G657">
        <v>71062</v>
      </c>
      <c r="H657">
        <v>6324518</v>
      </c>
      <c r="I657" t="s">
        <v>780</v>
      </c>
      <c r="J657" t="s">
        <v>1148</v>
      </c>
      <c r="K657">
        <v>89</v>
      </c>
      <c r="L657">
        <v>0</v>
      </c>
      <c r="M657" t="s">
        <v>115</v>
      </c>
      <c r="N657" t="str">
        <f t="shared" si="60"/>
        <v>PO-100656</v>
      </c>
      <c r="O657" t="str">
        <f t="shared" si="61"/>
        <v>Delivered</v>
      </c>
      <c r="P657" t="str">
        <f t="shared" si="62"/>
        <v>WH-BOM</v>
      </c>
      <c r="Q657" t="str">
        <f>VLOOKUP(C657, Lookups!$A$2:$D$10, 2, FALSE())</f>
        <v>NextGen Hardware</v>
      </c>
      <c r="R657" t="str">
        <f>_xlfn.XLOOKUP(D657, Lookups!$A$12:$A$51, Lookups!$C$12:$C$51, "Unknown")</f>
        <v>Electronics</v>
      </c>
      <c r="S657" t="str">
        <f>IF(ISBLANK(I657), B657+VLOOKUP(C657, Lookups!$A$2:$D$10, 4, FALSE()), I657)</f>
        <v>2026-11-29</v>
      </c>
      <c r="T657">
        <f t="shared" si="63"/>
        <v>21</v>
      </c>
      <c r="U657" t="str">
        <f t="shared" si="64"/>
        <v>On-Time</v>
      </c>
      <c r="V657">
        <f t="shared" si="65"/>
        <v>0</v>
      </c>
    </row>
    <row r="658" spans="1:22" x14ac:dyDescent="0.45">
      <c r="A658" t="s">
        <v>1426</v>
      </c>
      <c r="B658" t="s">
        <v>963</v>
      </c>
      <c r="C658" t="s">
        <v>36</v>
      </c>
      <c r="D658" t="s">
        <v>90</v>
      </c>
      <c r="E658" t="s">
        <v>17</v>
      </c>
      <c r="F658">
        <v>207</v>
      </c>
      <c r="G658">
        <v>81434</v>
      </c>
      <c r="H658">
        <v>16856838</v>
      </c>
      <c r="I658" t="s">
        <v>798</v>
      </c>
      <c r="J658" t="s">
        <v>798</v>
      </c>
      <c r="K658">
        <v>207</v>
      </c>
      <c r="L658">
        <v>0</v>
      </c>
      <c r="M658" t="s">
        <v>115</v>
      </c>
      <c r="N658" t="str">
        <f t="shared" si="60"/>
        <v>PO-100657</v>
      </c>
      <c r="O658" t="str">
        <f t="shared" si="61"/>
        <v>Delivered</v>
      </c>
      <c r="P658" t="str">
        <f t="shared" si="62"/>
        <v>WH-BLR</v>
      </c>
      <c r="Q658" t="str">
        <f>VLOOKUP(C658, Lookups!$A$2:$D$10, 2, FALSE())</f>
        <v>NextGen Hardware</v>
      </c>
      <c r="R658" t="str">
        <f>_xlfn.XLOOKUP(D658, Lookups!$A$12:$A$51, Lookups!$C$12:$C$51, "Unknown")</f>
        <v>Electronics</v>
      </c>
      <c r="S658" t="str">
        <f>IF(ISBLANK(I658), B658+VLOOKUP(C658, Lookups!$A$2:$D$10, 4, FALSE()), I658)</f>
        <v>2026-05-15</v>
      </c>
      <c r="T658">
        <f t="shared" si="63"/>
        <v>24</v>
      </c>
      <c r="U658" t="str">
        <f t="shared" si="64"/>
        <v>On-Time</v>
      </c>
      <c r="V658">
        <f t="shared" si="65"/>
        <v>0</v>
      </c>
    </row>
    <row r="659" spans="1:22" x14ac:dyDescent="0.45">
      <c r="A659" t="s">
        <v>1427</v>
      </c>
      <c r="B659" t="s">
        <v>1428</v>
      </c>
      <c r="C659" t="s">
        <v>34</v>
      </c>
      <c r="D659" t="s">
        <v>73</v>
      </c>
      <c r="E659" t="s">
        <v>16</v>
      </c>
      <c r="F659">
        <v>30</v>
      </c>
      <c r="G659">
        <v>58396</v>
      </c>
      <c r="H659">
        <v>1751880</v>
      </c>
      <c r="I659" t="s">
        <v>1198</v>
      </c>
      <c r="J659" t="s">
        <v>1198</v>
      </c>
      <c r="K659">
        <v>30</v>
      </c>
      <c r="L659">
        <v>0</v>
      </c>
      <c r="M659" t="s">
        <v>115</v>
      </c>
      <c r="N659" t="str">
        <f t="shared" si="60"/>
        <v>PO-100658</v>
      </c>
      <c r="O659" t="str">
        <f t="shared" si="61"/>
        <v>Delivered</v>
      </c>
      <c r="P659" t="str">
        <f t="shared" si="62"/>
        <v>WH-DEL</v>
      </c>
      <c r="Q659" t="str">
        <f>VLOOKUP(C659, Lookups!$A$2:$D$10, 2, FALSE())</f>
        <v>FastElectronics</v>
      </c>
      <c r="R659" t="str">
        <f>_xlfn.XLOOKUP(D659, Lookups!$A$12:$A$51, Lookups!$C$12:$C$51, "Unknown")</f>
        <v>Electronics</v>
      </c>
      <c r="S659" t="str">
        <f>IF(ISBLANK(I659), B659+VLOOKUP(C659, Lookups!$A$2:$D$10, 4, FALSE()), I659)</f>
        <v>2026-10-16</v>
      </c>
      <c r="T659">
        <f t="shared" si="63"/>
        <v>18</v>
      </c>
      <c r="U659" t="str">
        <f t="shared" si="64"/>
        <v>On-Time</v>
      </c>
      <c r="V659">
        <f t="shared" si="65"/>
        <v>0</v>
      </c>
    </row>
    <row r="660" spans="1:22" x14ac:dyDescent="0.45">
      <c r="A660" t="s">
        <v>1429</v>
      </c>
      <c r="B660" t="s">
        <v>1430</v>
      </c>
      <c r="C660" t="s">
        <v>30</v>
      </c>
      <c r="D660" t="s">
        <v>88</v>
      </c>
      <c r="E660" t="s">
        <v>15</v>
      </c>
      <c r="F660">
        <v>80</v>
      </c>
      <c r="G660">
        <v>75512</v>
      </c>
      <c r="H660">
        <v>6040960</v>
      </c>
      <c r="I660" t="s">
        <v>837</v>
      </c>
      <c r="J660" t="s">
        <v>837</v>
      </c>
      <c r="K660">
        <v>80</v>
      </c>
      <c r="L660">
        <v>0</v>
      </c>
      <c r="M660" t="s">
        <v>115</v>
      </c>
      <c r="N660" t="str">
        <f t="shared" si="60"/>
        <v>PO-100659</v>
      </c>
      <c r="O660" t="str">
        <f t="shared" si="61"/>
        <v>Delivered</v>
      </c>
      <c r="P660" t="str">
        <f t="shared" si="62"/>
        <v>WH-BOM</v>
      </c>
      <c r="Q660" t="str">
        <f>VLOOKUP(C660, Lookups!$A$2:$D$10, 2, FALSE())</f>
        <v>TechSupply Corp</v>
      </c>
      <c r="R660" t="str">
        <f>_xlfn.XLOOKUP(D660, Lookups!$A$12:$A$51, Lookups!$C$12:$C$51, "Unknown")</f>
        <v>Electronics</v>
      </c>
      <c r="S660" t="str">
        <f>IF(ISBLANK(I660), B660+VLOOKUP(C660, Lookups!$A$2:$D$10, 4, FALSE()), I660)</f>
        <v>2026-01-11</v>
      </c>
      <c r="T660">
        <f t="shared" si="63"/>
        <v>14</v>
      </c>
      <c r="U660" t="str">
        <f t="shared" si="64"/>
        <v>On-Time</v>
      </c>
      <c r="V660">
        <f t="shared" si="65"/>
        <v>0</v>
      </c>
    </row>
    <row r="661" spans="1:22" x14ac:dyDescent="0.45">
      <c r="A661" t="s">
        <v>1431</v>
      </c>
      <c r="B661" t="s">
        <v>855</v>
      </c>
      <c r="C661" t="s">
        <v>34</v>
      </c>
      <c r="D661" t="s">
        <v>68</v>
      </c>
      <c r="E661" t="s">
        <v>16</v>
      </c>
      <c r="F661">
        <v>151</v>
      </c>
      <c r="G661">
        <v>41405</v>
      </c>
      <c r="H661">
        <v>6252155</v>
      </c>
      <c r="I661" t="s">
        <v>1432</v>
      </c>
      <c r="J661" t="s">
        <v>1433</v>
      </c>
      <c r="K661">
        <v>151</v>
      </c>
      <c r="L661">
        <v>0</v>
      </c>
      <c r="M661" t="s">
        <v>115</v>
      </c>
      <c r="N661" t="str">
        <f t="shared" si="60"/>
        <v>PO-100660</v>
      </c>
      <c r="O661" t="str">
        <f t="shared" si="61"/>
        <v>Delivered</v>
      </c>
      <c r="P661" t="str">
        <f t="shared" si="62"/>
        <v>WH-DEL</v>
      </c>
      <c r="Q661" t="str">
        <f>VLOOKUP(C661, Lookups!$A$2:$D$10, 2, FALSE())</f>
        <v>FastElectronics</v>
      </c>
      <c r="R661" t="str">
        <f>_xlfn.XLOOKUP(D661, Lookups!$A$12:$A$51, Lookups!$C$12:$C$51, "Unknown")</f>
        <v>Networking</v>
      </c>
      <c r="S661" t="str">
        <f>IF(ISBLANK(I661), B661+VLOOKUP(C661, Lookups!$A$2:$D$10, 4, FALSE()), I661)</f>
        <v>2026-05-05</v>
      </c>
      <c r="T661">
        <f t="shared" si="63"/>
        <v>19</v>
      </c>
      <c r="U661" t="str">
        <f t="shared" si="64"/>
        <v>Late</v>
      </c>
      <c r="V661">
        <f t="shared" si="65"/>
        <v>0</v>
      </c>
    </row>
    <row r="662" spans="1:22" x14ac:dyDescent="0.45">
      <c r="A662" t="s">
        <v>1434</v>
      </c>
      <c r="B662" t="s">
        <v>1260</v>
      </c>
      <c r="C662" t="s">
        <v>30</v>
      </c>
      <c r="D662" t="s">
        <v>59</v>
      </c>
      <c r="E662" t="s">
        <v>15</v>
      </c>
      <c r="F662">
        <v>144</v>
      </c>
      <c r="G662">
        <v>48905</v>
      </c>
      <c r="H662">
        <v>7042320</v>
      </c>
      <c r="I662" t="s">
        <v>773</v>
      </c>
      <c r="J662" t="s">
        <v>773</v>
      </c>
      <c r="K662">
        <v>144</v>
      </c>
      <c r="L662">
        <v>0</v>
      </c>
      <c r="M662" t="s">
        <v>115</v>
      </c>
      <c r="N662" t="str">
        <f t="shared" si="60"/>
        <v>PO-100661</v>
      </c>
      <c r="O662" t="str">
        <f t="shared" si="61"/>
        <v>Delivered</v>
      </c>
      <c r="P662" t="str">
        <f t="shared" si="62"/>
        <v>WH-BOM</v>
      </c>
      <c r="Q662" t="str">
        <f>VLOOKUP(C662, Lookups!$A$2:$D$10, 2, FALSE())</f>
        <v>TechSupply Corp</v>
      </c>
      <c r="R662" t="str">
        <f>_xlfn.XLOOKUP(D662, Lookups!$A$12:$A$51, Lookups!$C$12:$C$51, "Unknown")</f>
        <v>Electronics</v>
      </c>
      <c r="S662" t="str">
        <f>IF(ISBLANK(I662), B662+VLOOKUP(C662, Lookups!$A$2:$D$10, 4, FALSE()), I662)</f>
        <v>2026-01-02</v>
      </c>
      <c r="T662">
        <f t="shared" si="63"/>
        <v>14</v>
      </c>
      <c r="U662" t="str">
        <f t="shared" si="64"/>
        <v>On-Time</v>
      </c>
      <c r="V662">
        <f t="shared" si="65"/>
        <v>0</v>
      </c>
    </row>
    <row r="663" spans="1:22" x14ac:dyDescent="0.45">
      <c r="A663" t="s">
        <v>1435</v>
      </c>
      <c r="B663" t="s">
        <v>744</v>
      </c>
      <c r="C663" t="s">
        <v>34</v>
      </c>
      <c r="D663" t="s">
        <v>74</v>
      </c>
      <c r="E663" t="s">
        <v>17</v>
      </c>
      <c r="F663">
        <v>84</v>
      </c>
      <c r="G663">
        <v>94797</v>
      </c>
      <c r="H663">
        <v>7962948</v>
      </c>
      <c r="I663" t="s">
        <v>801</v>
      </c>
      <c r="K663">
        <v>0</v>
      </c>
      <c r="L663">
        <v>0</v>
      </c>
      <c r="M663" t="s">
        <v>297</v>
      </c>
      <c r="N663" t="str">
        <f t="shared" si="60"/>
        <v>PO-100662</v>
      </c>
      <c r="O663" t="str">
        <f t="shared" si="61"/>
        <v>Open</v>
      </c>
      <c r="P663" t="str">
        <f t="shared" si="62"/>
        <v>WH-BLR</v>
      </c>
      <c r="Q663" t="str">
        <f>VLOOKUP(C663, Lookups!$A$2:$D$10, 2, FALSE())</f>
        <v>FastElectronics</v>
      </c>
      <c r="R663" t="str">
        <f>_xlfn.XLOOKUP(D663, Lookups!$A$12:$A$51, Lookups!$C$12:$C$51, "Unknown")</f>
        <v>Electronics</v>
      </c>
      <c r="S663" t="str">
        <f>IF(ISBLANK(I663), B663+VLOOKUP(C663, Lookups!$A$2:$D$10, 4, FALSE()), I663)</f>
        <v>2026-12-13</v>
      </c>
      <c r="T663" t="str">
        <f t="shared" si="63"/>
        <v/>
      </c>
      <c r="U663" t="str">
        <f t="shared" si="64"/>
        <v>Open</v>
      </c>
      <c r="V663">
        <f t="shared" si="65"/>
        <v>0</v>
      </c>
    </row>
    <row r="664" spans="1:22" x14ac:dyDescent="0.45">
      <c r="A664" t="s">
        <v>1436</v>
      </c>
      <c r="B664" t="s">
        <v>387</v>
      </c>
      <c r="C664" t="s">
        <v>34</v>
      </c>
      <c r="D664" t="s">
        <v>54</v>
      </c>
      <c r="E664" t="s">
        <v>15</v>
      </c>
      <c r="F664">
        <v>159</v>
      </c>
      <c r="G664">
        <v>22314</v>
      </c>
      <c r="H664">
        <v>3547926</v>
      </c>
      <c r="I664" t="s">
        <v>338</v>
      </c>
      <c r="J664" t="s">
        <v>338</v>
      </c>
      <c r="K664">
        <v>117</v>
      </c>
      <c r="L664">
        <v>0</v>
      </c>
      <c r="M664" t="s">
        <v>115</v>
      </c>
      <c r="N664" t="str">
        <f t="shared" si="60"/>
        <v>PO-100663</v>
      </c>
      <c r="O664" t="str">
        <f t="shared" si="61"/>
        <v>Delivered</v>
      </c>
      <c r="P664" t="str">
        <f t="shared" si="62"/>
        <v>WH-BOM</v>
      </c>
      <c r="Q664" t="str">
        <f>VLOOKUP(C664, Lookups!$A$2:$D$10, 2, FALSE())</f>
        <v>FastElectronics</v>
      </c>
      <c r="R664" t="str">
        <f>_xlfn.XLOOKUP(D664, Lookups!$A$12:$A$51, Lookups!$C$12:$C$51, "Unknown")</f>
        <v>Networking</v>
      </c>
      <c r="S664" t="str">
        <f>IF(ISBLANK(I664), B664+VLOOKUP(C664, Lookups!$A$2:$D$10, 4, FALSE()), I664)</f>
        <v>2026-04-05</v>
      </c>
      <c r="T664">
        <f t="shared" si="63"/>
        <v>18</v>
      </c>
      <c r="U664" t="str">
        <f t="shared" si="64"/>
        <v>On-Time</v>
      </c>
      <c r="V664">
        <f t="shared" si="65"/>
        <v>0</v>
      </c>
    </row>
    <row r="665" spans="1:22" x14ac:dyDescent="0.45">
      <c r="A665" t="s">
        <v>1437</v>
      </c>
      <c r="B665" t="s">
        <v>773</v>
      </c>
      <c r="C665" t="s">
        <v>35</v>
      </c>
      <c r="D665" t="s">
        <v>72</v>
      </c>
      <c r="E665" t="s">
        <v>16</v>
      </c>
      <c r="F665">
        <v>186</v>
      </c>
      <c r="G665">
        <v>7754</v>
      </c>
      <c r="H665">
        <v>1442244</v>
      </c>
      <c r="I665" t="s">
        <v>580</v>
      </c>
      <c r="J665" t="s">
        <v>580</v>
      </c>
      <c r="K665">
        <v>186</v>
      </c>
      <c r="L665">
        <v>0</v>
      </c>
      <c r="M665" t="s">
        <v>115</v>
      </c>
      <c r="N665" t="str">
        <f t="shared" si="60"/>
        <v>PO-100664</v>
      </c>
      <c r="O665" t="str">
        <f t="shared" si="61"/>
        <v>Delivered</v>
      </c>
      <c r="P665" t="str">
        <f t="shared" si="62"/>
        <v>WH-DEL</v>
      </c>
      <c r="Q665" t="str">
        <f>VLOOKUP(C665, Lookups!$A$2:$D$10, 2, FALSE())</f>
        <v>Peripheral Source</v>
      </c>
      <c r="R665" t="str">
        <f>_xlfn.XLOOKUP(D665, Lookups!$A$12:$A$51, Lookups!$C$12:$C$51, "Unknown")</f>
        <v>Peripherals</v>
      </c>
      <c r="S665" t="str">
        <f>IF(ISBLANK(I665), B665+VLOOKUP(C665, Lookups!$A$2:$D$10, 4, FALSE()), I665)</f>
        <v>2026-01-12</v>
      </c>
      <c r="T665">
        <f t="shared" si="63"/>
        <v>10</v>
      </c>
      <c r="U665" t="str">
        <f t="shared" si="64"/>
        <v>On-Time</v>
      </c>
      <c r="V665">
        <f t="shared" si="65"/>
        <v>0</v>
      </c>
    </row>
    <row r="666" spans="1:22" x14ac:dyDescent="0.45">
      <c r="A666" t="s">
        <v>1438</v>
      </c>
      <c r="B666" t="s">
        <v>574</v>
      </c>
      <c r="C666" t="s">
        <v>36</v>
      </c>
      <c r="D666" t="s">
        <v>63</v>
      </c>
      <c r="E666" t="s">
        <v>15</v>
      </c>
      <c r="F666">
        <v>116</v>
      </c>
      <c r="G666">
        <v>71062</v>
      </c>
      <c r="H666">
        <v>8243192</v>
      </c>
      <c r="I666" t="s">
        <v>724</v>
      </c>
      <c r="J666" t="s">
        <v>724</v>
      </c>
      <c r="K666">
        <v>116</v>
      </c>
      <c r="L666">
        <v>0</v>
      </c>
      <c r="M666" t="s">
        <v>115</v>
      </c>
      <c r="N666" t="str">
        <f t="shared" si="60"/>
        <v>PO-100665</v>
      </c>
      <c r="O666" t="str">
        <f t="shared" si="61"/>
        <v>Delivered</v>
      </c>
      <c r="P666" t="str">
        <f t="shared" si="62"/>
        <v>WH-BOM</v>
      </c>
      <c r="Q666" t="str">
        <f>VLOOKUP(C666, Lookups!$A$2:$D$10, 2, FALSE())</f>
        <v>NextGen Hardware</v>
      </c>
      <c r="R666" t="str">
        <f>_xlfn.XLOOKUP(D666, Lookups!$A$12:$A$51, Lookups!$C$12:$C$51, "Unknown")</f>
        <v>Electronics</v>
      </c>
      <c r="S666" t="str">
        <f>IF(ISBLANK(I666), B666+VLOOKUP(C666, Lookups!$A$2:$D$10, 4, FALSE()), I666)</f>
        <v>2026-05-25</v>
      </c>
      <c r="T666">
        <f t="shared" si="63"/>
        <v>24</v>
      </c>
      <c r="U666" t="str">
        <f t="shared" si="64"/>
        <v>On-Time</v>
      </c>
      <c r="V666">
        <f t="shared" si="65"/>
        <v>0</v>
      </c>
    </row>
    <row r="667" spans="1:22" x14ac:dyDescent="0.45">
      <c r="A667" t="s">
        <v>1439</v>
      </c>
      <c r="B667" t="s">
        <v>971</v>
      </c>
      <c r="C667" t="s">
        <v>35</v>
      </c>
      <c r="D667" t="s">
        <v>57</v>
      </c>
      <c r="E667" t="s">
        <v>17</v>
      </c>
      <c r="F667">
        <v>222</v>
      </c>
      <c r="G667">
        <v>2212</v>
      </c>
      <c r="H667">
        <v>491064</v>
      </c>
      <c r="I667" t="s">
        <v>1440</v>
      </c>
      <c r="J667" t="s">
        <v>238</v>
      </c>
      <c r="K667">
        <v>222</v>
      </c>
      <c r="L667">
        <v>0</v>
      </c>
      <c r="M667" t="s">
        <v>115</v>
      </c>
      <c r="N667" t="str">
        <f t="shared" si="60"/>
        <v>PO-100666</v>
      </c>
      <c r="O667" t="str">
        <f t="shared" si="61"/>
        <v>Delivered</v>
      </c>
      <c r="P667" t="str">
        <f t="shared" si="62"/>
        <v>WH-BLR</v>
      </c>
      <c r="Q667" t="str">
        <f>VLOOKUP(C667, Lookups!$A$2:$D$10, 2, FALSE())</f>
        <v>Peripheral Source</v>
      </c>
      <c r="R667" t="str">
        <f>_xlfn.XLOOKUP(D667, Lookups!$A$12:$A$51, Lookups!$C$12:$C$51, "Unknown")</f>
        <v>Peripherals</v>
      </c>
      <c r="S667" t="str">
        <f>IF(ISBLANK(I667), B667+VLOOKUP(C667, Lookups!$A$2:$D$10, 4, FALSE()), I667)</f>
        <v>2025-06-03</v>
      </c>
      <c r="T667">
        <f t="shared" si="63"/>
        <v>11</v>
      </c>
      <c r="U667" t="str">
        <f t="shared" si="64"/>
        <v>Late</v>
      </c>
      <c r="V667">
        <f t="shared" si="65"/>
        <v>0</v>
      </c>
    </row>
    <row r="668" spans="1:22" x14ac:dyDescent="0.45">
      <c r="A668" t="s">
        <v>1441</v>
      </c>
      <c r="B668" t="s">
        <v>210</v>
      </c>
      <c r="C668" t="s">
        <v>37</v>
      </c>
      <c r="D668" t="s">
        <v>79</v>
      </c>
      <c r="E668" t="s">
        <v>17</v>
      </c>
      <c r="F668">
        <v>236</v>
      </c>
      <c r="G668">
        <v>23054</v>
      </c>
      <c r="H668">
        <v>5440744</v>
      </c>
      <c r="I668" t="s">
        <v>1442</v>
      </c>
      <c r="J668" t="s">
        <v>491</v>
      </c>
      <c r="K668">
        <v>236</v>
      </c>
      <c r="L668">
        <v>0</v>
      </c>
      <c r="M668" t="s">
        <v>115</v>
      </c>
      <c r="N668" t="str">
        <f t="shared" si="60"/>
        <v>PO-100667</v>
      </c>
      <c r="O668" t="str">
        <f t="shared" si="61"/>
        <v>Delivered</v>
      </c>
      <c r="P668" t="str">
        <f t="shared" si="62"/>
        <v>WH-BLR</v>
      </c>
      <c r="Q668" t="str">
        <f>VLOOKUP(C668, Lookups!$A$2:$D$10, 2, FALSE())</f>
        <v>Premium Desks Ltd</v>
      </c>
      <c r="R668" t="str">
        <f>_xlfn.XLOOKUP(D668, Lookups!$A$12:$A$51, Lookups!$C$12:$C$51, "Unknown")</f>
        <v>Office Furniture</v>
      </c>
      <c r="S668" t="str">
        <f>IF(ISBLANK(I668), B668+VLOOKUP(C668, Lookups!$A$2:$D$10, 4, FALSE()), I668)</f>
        <v>2025-07-02</v>
      </c>
      <c r="T668">
        <f t="shared" si="63"/>
        <v>26</v>
      </c>
      <c r="U668" t="str">
        <f t="shared" si="64"/>
        <v>Late</v>
      </c>
      <c r="V668">
        <f t="shared" si="65"/>
        <v>0</v>
      </c>
    </row>
    <row r="669" spans="1:22" x14ac:dyDescent="0.45">
      <c r="A669" t="s">
        <v>1443</v>
      </c>
      <c r="B669" t="s">
        <v>304</v>
      </c>
      <c r="C669" t="s">
        <v>30</v>
      </c>
      <c r="D669" t="s">
        <v>59</v>
      </c>
      <c r="E669" t="s">
        <v>18</v>
      </c>
      <c r="F669">
        <v>110</v>
      </c>
      <c r="G669">
        <v>48905</v>
      </c>
      <c r="H669">
        <v>5379550</v>
      </c>
      <c r="I669" t="s">
        <v>527</v>
      </c>
      <c r="J669" t="s">
        <v>1279</v>
      </c>
      <c r="K669">
        <v>110</v>
      </c>
      <c r="L669">
        <v>8</v>
      </c>
      <c r="M669" t="s">
        <v>115</v>
      </c>
      <c r="N669" t="str">
        <f t="shared" si="60"/>
        <v>PO-100668</v>
      </c>
      <c r="O669" t="str">
        <f t="shared" si="61"/>
        <v>Delivered</v>
      </c>
      <c r="P669" t="str">
        <f t="shared" si="62"/>
        <v>WH-PUN</v>
      </c>
      <c r="Q669" t="str">
        <f>VLOOKUP(C669, Lookups!$A$2:$D$10, 2, FALSE())</f>
        <v>TechSupply Corp</v>
      </c>
      <c r="R669" t="str">
        <f>_xlfn.XLOOKUP(D669, Lookups!$A$12:$A$51, Lookups!$C$12:$C$51, "Unknown")</f>
        <v>Electronics</v>
      </c>
      <c r="S669" t="str">
        <f>IF(ISBLANK(I669), B669+VLOOKUP(C669, Lookups!$A$2:$D$10, 4, FALSE()), I669)</f>
        <v>2026-07-07</v>
      </c>
      <c r="T669">
        <f t="shared" si="63"/>
        <v>25</v>
      </c>
      <c r="U669" t="str">
        <f t="shared" si="64"/>
        <v>Late</v>
      </c>
      <c r="V669">
        <f t="shared" si="65"/>
        <v>7.2727272727272724E-2</v>
      </c>
    </row>
    <row r="670" spans="1:22" x14ac:dyDescent="0.45">
      <c r="A670" t="s">
        <v>1444</v>
      </c>
      <c r="B670" t="s">
        <v>396</v>
      </c>
      <c r="C670" t="s">
        <v>36</v>
      </c>
      <c r="D670" t="s">
        <v>90</v>
      </c>
      <c r="E670" t="s">
        <v>18</v>
      </c>
      <c r="F670">
        <v>71</v>
      </c>
      <c r="G670">
        <v>81434</v>
      </c>
      <c r="H670">
        <v>5781814</v>
      </c>
      <c r="I670" t="s">
        <v>269</v>
      </c>
      <c r="J670" t="s">
        <v>354</v>
      </c>
      <c r="K670">
        <v>71</v>
      </c>
      <c r="L670">
        <v>0</v>
      </c>
      <c r="M670" t="s">
        <v>115</v>
      </c>
      <c r="N670" t="str">
        <f t="shared" si="60"/>
        <v>PO-100669</v>
      </c>
      <c r="O670" t="str">
        <f t="shared" si="61"/>
        <v>Delivered</v>
      </c>
      <c r="P670" t="str">
        <f t="shared" si="62"/>
        <v>WH-PUN</v>
      </c>
      <c r="Q670" t="str">
        <f>VLOOKUP(C670, Lookups!$A$2:$D$10, 2, FALSE())</f>
        <v>NextGen Hardware</v>
      </c>
      <c r="R670" t="str">
        <f>_xlfn.XLOOKUP(D670, Lookups!$A$12:$A$51, Lookups!$C$12:$C$51, "Unknown")</f>
        <v>Electronics</v>
      </c>
      <c r="S670" t="str">
        <f>IF(ISBLANK(I670), B670+VLOOKUP(C670, Lookups!$A$2:$D$10, 4, FALSE()), I670)</f>
        <v>2025-04-20</v>
      </c>
      <c r="T670">
        <f t="shared" si="63"/>
        <v>39</v>
      </c>
      <c r="U670" t="str">
        <f t="shared" si="64"/>
        <v>Late</v>
      </c>
      <c r="V670">
        <f t="shared" si="65"/>
        <v>0</v>
      </c>
    </row>
    <row r="671" spans="1:22" x14ac:dyDescent="0.45">
      <c r="A671" t="s">
        <v>1445</v>
      </c>
      <c r="B671" t="s">
        <v>639</v>
      </c>
      <c r="C671" t="s">
        <v>31</v>
      </c>
      <c r="D671" t="s">
        <v>56</v>
      </c>
      <c r="E671" t="s">
        <v>18</v>
      </c>
      <c r="F671">
        <v>200</v>
      </c>
      <c r="G671">
        <v>39270</v>
      </c>
      <c r="H671">
        <v>7854000</v>
      </c>
      <c r="I671" t="s">
        <v>772</v>
      </c>
      <c r="J671" t="s">
        <v>772</v>
      </c>
      <c r="K671">
        <v>200</v>
      </c>
      <c r="L671">
        <v>11</v>
      </c>
      <c r="M671" t="s">
        <v>115</v>
      </c>
      <c r="N671" t="str">
        <f t="shared" si="60"/>
        <v>PO-100670</v>
      </c>
      <c r="O671" t="str">
        <f t="shared" si="61"/>
        <v>Delivered</v>
      </c>
      <c r="P671" t="str">
        <f t="shared" si="62"/>
        <v>WH-PUN</v>
      </c>
      <c r="Q671" t="str">
        <f>VLOOKUP(C671, Lookups!$A$2:$D$10, 2, FALSE())</f>
        <v>Global Networks</v>
      </c>
      <c r="R671" t="str">
        <f>_xlfn.XLOOKUP(D671, Lookups!$A$12:$A$51, Lookups!$C$12:$C$51, "Unknown")</f>
        <v>Networking</v>
      </c>
      <c r="S671" t="str">
        <f>IF(ISBLANK(I671), B671+VLOOKUP(C671, Lookups!$A$2:$D$10, 4, FALSE()), I671)</f>
        <v>2026-01-01</v>
      </c>
      <c r="T671">
        <f t="shared" si="63"/>
        <v>21</v>
      </c>
      <c r="U671" t="str">
        <f t="shared" si="64"/>
        <v>On-Time</v>
      </c>
      <c r="V671">
        <f t="shared" si="65"/>
        <v>5.5E-2</v>
      </c>
    </row>
    <row r="672" spans="1:22" x14ac:dyDescent="0.45">
      <c r="A672" t="s">
        <v>1446</v>
      </c>
      <c r="B672" t="s">
        <v>495</v>
      </c>
      <c r="C672" t="s">
        <v>33</v>
      </c>
      <c r="D672" t="s">
        <v>89</v>
      </c>
      <c r="E672" t="s">
        <v>16</v>
      </c>
      <c r="F672">
        <v>244</v>
      </c>
      <c r="G672">
        <v>11309</v>
      </c>
      <c r="H672">
        <v>2759396</v>
      </c>
      <c r="I672" t="s">
        <v>670</v>
      </c>
      <c r="J672" t="s">
        <v>1401</v>
      </c>
      <c r="K672">
        <v>244</v>
      </c>
      <c r="L672">
        <v>0</v>
      </c>
      <c r="M672" t="s">
        <v>115</v>
      </c>
      <c r="N672" t="str">
        <f t="shared" si="60"/>
        <v>PO-100671</v>
      </c>
      <c r="O672" t="str">
        <f t="shared" si="61"/>
        <v>Delivered</v>
      </c>
      <c r="P672" t="str">
        <f t="shared" si="62"/>
        <v>WH-DEL</v>
      </c>
      <c r="Q672" t="str">
        <f>VLOOKUP(C672, Lookups!$A$2:$D$10, 2, FALSE())</f>
        <v>MegaFurnish</v>
      </c>
      <c r="R672" t="str">
        <f>_xlfn.XLOOKUP(D672, Lookups!$A$12:$A$51, Lookups!$C$12:$C$51, "Unknown")</f>
        <v>Office Furniture</v>
      </c>
      <c r="S672" t="str">
        <f>IF(ISBLANK(I672), B672+VLOOKUP(C672, Lookups!$A$2:$D$10, 4, FALSE()), I672)</f>
        <v>2026-10-23</v>
      </c>
      <c r="T672">
        <f t="shared" si="63"/>
        <v>31</v>
      </c>
      <c r="U672" t="str">
        <f t="shared" si="64"/>
        <v>Late</v>
      </c>
      <c r="V672">
        <f t="shared" si="65"/>
        <v>0</v>
      </c>
    </row>
    <row r="673" spans="1:22" x14ac:dyDescent="0.45">
      <c r="A673" t="s">
        <v>1447</v>
      </c>
      <c r="B673" t="s">
        <v>268</v>
      </c>
      <c r="C673" t="s">
        <v>36</v>
      </c>
      <c r="D673" t="s">
        <v>63</v>
      </c>
      <c r="E673" t="s">
        <v>16</v>
      </c>
      <c r="F673">
        <v>81</v>
      </c>
      <c r="G673">
        <v>71062</v>
      </c>
      <c r="H673">
        <v>5756022</v>
      </c>
      <c r="I673" t="s">
        <v>481</v>
      </c>
      <c r="J673" t="s">
        <v>481</v>
      </c>
      <c r="K673">
        <v>81</v>
      </c>
      <c r="L673">
        <v>0</v>
      </c>
      <c r="M673" t="s">
        <v>115</v>
      </c>
      <c r="N673" t="str">
        <f t="shared" si="60"/>
        <v>PO-100672</v>
      </c>
      <c r="O673" t="str">
        <f t="shared" si="61"/>
        <v>Delivered</v>
      </c>
      <c r="P673" t="str">
        <f t="shared" si="62"/>
        <v>WH-DEL</v>
      </c>
      <c r="Q673" t="str">
        <f>VLOOKUP(C673, Lookups!$A$2:$D$10, 2, FALSE())</f>
        <v>NextGen Hardware</v>
      </c>
      <c r="R673" t="str">
        <f>_xlfn.XLOOKUP(D673, Lookups!$A$12:$A$51, Lookups!$C$12:$C$51, "Unknown")</f>
        <v>Electronics</v>
      </c>
      <c r="S673" t="str">
        <f>IF(ISBLANK(I673), B673+VLOOKUP(C673, Lookups!$A$2:$D$10, 4, FALSE()), I673)</f>
        <v>2025-05-07</v>
      </c>
      <c r="T673">
        <f t="shared" si="63"/>
        <v>24</v>
      </c>
      <c r="U673" t="str">
        <f t="shared" si="64"/>
        <v>On-Time</v>
      </c>
      <c r="V673">
        <f t="shared" si="65"/>
        <v>0</v>
      </c>
    </row>
    <row r="674" spans="1:22" x14ac:dyDescent="0.45">
      <c r="A674" t="s">
        <v>1448</v>
      </c>
      <c r="B674" t="s">
        <v>499</v>
      </c>
      <c r="C674" t="s">
        <v>35</v>
      </c>
      <c r="D674" t="s">
        <v>70</v>
      </c>
      <c r="E674" t="s">
        <v>16</v>
      </c>
      <c r="F674">
        <v>24</v>
      </c>
      <c r="G674">
        <v>4287</v>
      </c>
      <c r="H674">
        <v>102888</v>
      </c>
      <c r="I674" t="s">
        <v>268</v>
      </c>
      <c r="J674" t="s">
        <v>352</v>
      </c>
      <c r="K674">
        <v>24</v>
      </c>
      <c r="L674">
        <v>0</v>
      </c>
      <c r="M674" t="s">
        <v>115</v>
      </c>
      <c r="N674" t="str">
        <f t="shared" si="60"/>
        <v>PO-100673</v>
      </c>
      <c r="O674" t="str">
        <f t="shared" si="61"/>
        <v>Delivered</v>
      </c>
      <c r="P674" t="str">
        <f t="shared" si="62"/>
        <v>WH-DEL</v>
      </c>
      <c r="Q674" t="str">
        <f>VLOOKUP(C674, Lookups!$A$2:$D$10, 2, FALSE())</f>
        <v>Peripheral Source</v>
      </c>
      <c r="R674" t="str">
        <f>_xlfn.XLOOKUP(D674, Lookups!$A$12:$A$51, Lookups!$C$12:$C$51, "Unknown")</f>
        <v>Peripherals</v>
      </c>
      <c r="S674" t="str">
        <f>IF(ISBLANK(I674), B674+VLOOKUP(C674, Lookups!$A$2:$D$10, 4, FALSE()), I674)</f>
        <v>2025-04-13</v>
      </c>
      <c r="T674">
        <f t="shared" si="63"/>
        <v>21</v>
      </c>
      <c r="U674" t="str">
        <f t="shared" si="64"/>
        <v>Late</v>
      </c>
      <c r="V674">
        <f t="shared" si="65"/>
        <v>0</v>
      </c>
    </row>
    <row r="675" spans="1:22" x14ac:dyDescent="0.45">
      <c r="A675" t="s">
        <v>1449</v>
      </c>
      <c r="B675" t="s">
        <v>837</v>
      </c>
      <c r="C675" t="s">
        <v>34</v>
      </c>
      <c r="D675" t="s">
        <v>54</v>
      </c>
      <c r="E675" t="s">
        <v>16</v>
      </c>
      <c r="F675">
        <v>151</v>
      </c>
      <c r="G675">
        <v>22314</v>
      </c>
      <c r="H675">
        <v>3369414</v>
      </c>
      <c r="I675" t="s">
        <v>501</v>
      </c>
      <c r="J675" t="s">
        <v>718</v>
      </c>
      <c r="K675">
        <v>151</v>
      </c>
      <c r="L675">
        <v>0</v>
      </c>
      <c r="M675" t="s">
        <v>115</v>
      </c>
      <c r="N675" t="str">
        <f t="shared" si="60"/>
        <v>PO-100674</v>
      </c>
      <c r="O675" t="str">
        <f t="shared" si="61"/>
        <v>Delivered</v>
      </c>
      <c r="P675" t="str">
        <f t="shared" si="62"/>
        <v>WH-DEL</v>
      </c>
      <c r="Q675" t="str">
        <f>VLOOKUP(C675, Lookups!$A$2:$D$10, 2, FALSE())</f>
        <v>FastElectronics</v>
      </c>
      <c r="R675" t="str">
        <f>_xlfn.XLOOKUP(D675, Lookups!$A$12:$A$51, Lookups!$C$12:$C$51, "Unknown")</f>
        <v>Networking</v>
      </c>
      <c r="S675" t="str">
        <f>IF(ISBLANK(I675), B675+VLOOKUP(C675, Lookups!$A$2:$D$10, 4, FALSE()), I675)</f>
        <v>2026-01-29</v>
      </c>
      <c r="T675">
        <f t="shared" si="63"/>
        <v>31</v>
      </c>
      <c r="U675" t="str">
        <f t="shared" si="64"/>
        <v>Late</v>
      </c>
      <c r="V675">
        <f t="shared" si="65"/>
        <v>0</v>
      </c>
    </row>
    <row r="676" spans="1:22" x14ac:dyDescent="0.45">
      <c r="A676" t="s">
        <v>1450</v>
      </c>
      <c r="B676" t="s">
        <v>1451</v>
      </c>
      <c r="C676" t="s">
        <v>30</v>
      </c>
      <c r="D676" t="s">
        <v>82</v>
      </c>
      <c r="E676" t="s">
        <v>17</v>
      </c>
      <c r="F676">
        <v>206</v>
      </c>
      <c r="G676">
        <v>83427</v>
      </c>
      <c r="H676">
        <v>17185962</v>
      </c>
      <c r="I676" t="s">
        <v>525</v>
      </c>
      <c r="J676" t="s">
        <v>1281</v>
      </c>
      <c r="K676">
        <v>206</v>
      </c>
      <c r="L676">
        <v>0</v>
      </c>
      <c r="M676" t="s">
        <v>115</v>
      </c>
      <c r="N676" t="str">
        <f t="shared" si="60"/>
        <v>PO-100675</v>
      </c>
      <c r="O676" t="str">
        <f t="shared" si="61"/>
        <v>Delivered</v>
      </c>
      <c r="P676" t="str">
        <f t="shared" si="62"/>
        <v>WH-BLR</v>
      </c>
      <c r="Q676" t="str">
        <f>VLOOKUP(C676, Lookups!$A$2:$D$10, 2, FALSE())</f>
        <v>TechSupply Corp</v>
      </c>
      <c r="R676" t="str">
        <f>_xlfn.XLOOKUP(D676, Lookups!$A$12:$A$51, Lookups!$C$12:$C$51, "Unknown")</f>
        <v>Electronics</v>
      </c>
      <c r="S676" t="str">
        <f>IF(ISBLANK(I676), B676+VLOOKUP(C676, Lookups!$A$2:$D$10, 4, FALSE()), I676)</f>
        <v>2025-05-30</v>
      </c>
      <c r="T676">
        <f t="shared" si="63"/>
        <v>15</v>
      </c>
      <c r="U676" t="str">
        <f t="shared" si="64"/>
        <v>Late</v>
      </c>
      <c r="V676">
        <f t="shared" si="65"/>
        <v>0</v>
      </c>
    </row>
    <row r="677" spans="1:22" x14ac:dyDescent="0.45">
      <c r="A677" t="s">
        <v>1452</v>
      </c>
      <c r="B677" t="s">
        <v>189</v>
      </c>
      <c r="C677" t="s">
        <v>30</v>
      </c>
      <c r="D677" t="s">
        <v>59</v>
      </c>
      <c r="E677" t="s">
        <v>17</v>
      </c>
      <c r="F677">
        <v>84</v>
      </c>
      <c r="G677">
        <v>48905</v>
      </c>
      <c r="H677">
        <v>4108020</v>
      </c>
      <c r="I677" t="s">
        <v>562</v>
      </c>
      <c r="J677" t="s">
        <v>1092</v>
      </c>
      <c r="K677">
        <v>84</v>
      </c>
      <c r="L677">
        <v>0</v>
      </c>
      <c r="M677" t="s">
        <v>115</v>
      </c>
      <c r="N677" t="str">
        <f t="shared" si="60"/>
        <v>PO-100676</v>
      </c>
      <c r="O677" t="str">
        <f t="shared" si="61"/>
        <v>Delivered</v>
      </c>
      <c r="P677" t="str">
        <f t="shared" si="62"/>
        <v>WH-BLR</v>
      </c>
      <c r="Q677" t="str">
        <f>VLOOKUP(C677, Lookups!$A$2:$D$10, 2, FALSE())</f>
        <v>TechSupply Corp</v>
      </c>
      <c r="R677" t="str">
        <f>_xlfn.XLOOKUP(D677, Lookups!$A$12:$A$51, Lookups!$C$12:$C$51, "Unknown")</f>
        <v>Electronics</v>
      </c>
      <c r="S677" t="str">
        <f>IF(ISBLANK(I677), B677+VLOOKUP(C677, Lookups!$A$2:$D$10, 4, FALSE()), I677)</f>
        <v>2025-03-21</v>
      </c>
      <c r="T677">
        <f t="shared" si="63"/>
        <v>15</v>
      </c>
      <c r="U677" t="str">
        <f t="shared" si="64"/>
        <v>Late</v>
      </c>
      <c r="V677">
        <f t="shared" si="65"/>
        <v>0</v>
      </c>
    </row>
    <row r="678" spans="1:22" x14ac:dyDescent="0.45">
      <c r="A678" t="s">
        <v>1453</v>
      </c>
      <c r="B678" t="s">
        <v>478</v>
      </c>
      <c r="C678" t="s">
        <v>31</v>
      </c>
      <c r="D678" t="s">
        <v>85</v>
      </c>
      <c r="E678" t="s">
        <v>16</v>
      </c>
      <c r="F678">
        <v>175</v>
      </c>
      <c r="G678">
        <v>16501</v>
      </c>
      <c r="H678">
        <v>2887675</v>
      </c>
      <c r="I678" t="s">
        <v>1454</v>
      </c>
      <c r="J678" t="s">
        <v>269</v>
      </c>
      <c r="K678">
        <v>175</v>
      </c>
      <c r="L678">
        <v>0</v>
      </c>
      <c r="M678" t="s">
        <v>115</v>
      </c>
      <c r="N678" t="str">
        <f t="shared" si="60"/>
        <v>PO-100677</v>
      </c>
      <c r="O678" t="str">
        <f t="shared" si="61"/>
        <v>Delivered</v>
      </c>
      <c r="P678" t="str">
        <f t="shared" si="62"/>
        <v>WH-DEL</v>
      </c>
      <c r="Q678" t="str">
        <f>VLOOKUP(C678, Lookups!$A$2:$D$10, 2, FALSE())</f>
        <v>Global Networks</v>
      </c>
      <c r="R678" t="str">
        <f>_xlfn.XLOOKUP(D678, Lookups!$A$12:$A$51, Lookups!$C$12:$C$51, "Unknown")</f>
        <v>Networking</v>
      </c>
      <c r="S678" t="str">
        <f>IF(ISBLANK(I678), B678+VLOOKUP(C678, Lookups!$A$2:$D$10, 4, FALSE()), I678)</f>
        <v>2025-04-19</v>
      </c>
      <c r="T678">
        <f t="shared" si="63"/>
        <v>22</v>
      </c>
      <c r="U678" t="str">
        <f t="shared" si="64"/>
        <v>Late</v>
      </c>
      <c r="V678">
        <f t="shared" si="65"/>
        <v>0</v>
      </c>
    </row>
    <row r="679" spans="1:22" x14ac:dyDescent="0.45">
      <c r="A679" t="s">
        <v>1455</v>
      </c>
      <c r="B679" t="s">
        <v>477</v>
      </c>
      <c r="C679" t="s">
        <v>34</v>
      </c>
      <c r="D679" t="s">
        <v>54</v>
      </c>
      <c r="E679" t="s">
        <v>16</v>
      </c>
      <c r="F679">
        <v>180</v>
      </c>
      <c r="G679">
        <v>22314</v>
      </c>
      <c r="H679">
        <v>4016520</v>
      </c>
      <c r="I679" t="s">
        <v>1456</v>
      </c>
      <c r="J679" t="s">
        <v>571</v>
      </c>
      <c r="K679">
        <v>180</v>
      </c>
      <c r="L679">
        <v>0</v>
      </c>
      <c r="M679" t="s">
        <v>115</v>
      </c>
      <c r="N679" t="str">
        <f t="shared" si="60"/>
        <v>PO-100678</v>
      </c>
      <c r="O679" t="str">
        <f t="shared" si="61"/>
        <v>Delivered</v>
      </c>
      <c r="P679" t="str">
        <f t="shared" si="62"/>
        <v>WH-DEL</v>
      </c>
      <c r="Q679" t="str">
        <f>VLOOKUP(C679, Lookups!$A$2:$D$10, 2, FALSE())</f>
        <v>FastElectronics</v>
      </c>
      <c r="R679" t="str">
        <f>_xlfn.XLOOKUP(D679, Lookups!$A$12:$A$51, Lookups!$C$12:$C$51, "Unknown")</f>
        <v>Networking</v>
      </c>
      <c r="S679" t="str">
        <f>IF(ISBLANK(I679), B679+VLOOKUP(C679, Lookups!$A$2:$D$10, 4, FALSE()), I679)</f>
        <v>2025-04-15</v>
      </c>
      <c r="T679">
        <f t="shared" si="63"/>
        <v>19</v>
      </c>
      <c r="U679" t="str">
        <f t="shared" si="64"/>
        <v>Late</v>
      </c>
      <c r="V679">
        <f t="shared" si="65"/>
        <v>0</v>
      </c>
    </row>
    <row r="680" spans="1:22" x14ac:dyDescent="0.45">
      <c r="A680" t="s">
        <v>1457</v>
      </c>
      <c r="B680" t="s">
        <v>269</v>
      </c>
      <c r="C680" t="s">
        <v>35</v>
      </c>
      <c r="D680" t="s">
        <v>72</v>
      </c>
      <c r="E680" t="s">
        <v>15</v>
      </c>
      <c r="F680">
        <v>114</v>
      </c>
      <c r="G680">
        <v>7754</v>
      </c>
      <c r="H680">
        <v>883956</v>
      </c>
      <c r="I680" t="s">
        <v>983</v>
      </c>
      <c r="J680" t="s">
        <v>506</v>
      </c>
      <c r="K680">
        <v>114</v>
      </c>
      <c r="L680">
        <v>0</v>
      </c>
      <c r="M680" t="s">
        <v>115</v>
      </c>
      <c r="N680" t="str">
        <f t="shared" si="60"/>
        <v>PO-100679</v>
      </c>
      <c r="O680" t="str">
        <f t="shared" si="61"/>
        <v>Delivered</v>
      </c>
      <c r="P680" t="str">
        <f t="shared" si="62"/>
        <v>WH-BOM</v>
      </c>
      <c r="Q680" t="str">
        <f>VLOOKUP(C680, Lookups!$A$2:$D$10, 2, FALSE())</f>
        <v>Peripheral Source</v>
      </c>
      <c r="R680" t="str">
        <f>_xlfn.XLOOKUP(D680, Lookups!$A$12:$A$51, Lookups!$C$12:$C$51, "Unknown")</f>
        <v>Peripherals</v>
      </c>
      <c r="S680" t="str">
        <f>IF(ISBLANK(I680), B680+VLOOKUP(C680, Lookups!$A$2:$D$10, 4, FALSE()), I680)</f>
        <v>2025-04-30</v>
      </c>
      <c r="T680">
        <f t="shared" si="63"/>
        <v>21</v>
      </c>
      <c r="U680" t="str">
        <f t="shared" si="64"/>
        <v>Late</v>
      </c>
      <c r="V680">
        <f t="shared" si="65"/>
        <v>0</v>
      </c>
    </row>
    <row r="681" spans="1:22" x14ac:dyDescent="0.45">
      <c r="A681" t="s">
        <v>1458</v>
      </c>
      <c r="B681" t="s">
        <v>218</v>
      </c>
      <c r="C681" t="s">
        <v>36</v>
      </c>
      <c r="D681" t="s">
        <v>90</v>
      </c>
      <c r="E681" t="s">
        <v>16</v>
      </c>
      <c r="F681">
        <v>109</v>
      </c>
      <c r="G681">
        <v>81434</v>
      </c>
      <c r="H681">
        <v>8876306</v>
      </c>
      <c r="I681" t="s">
        <v>1459</v>
      </c>
      <c r="J681" t="s">
        <v>542</v>
      </c>
      <c r="K681">
        <v>109</v>
      </c>
      <c r="L681">
        <v>0</v>
      </c>
      <c r="M681" t="s">
        <v>115</v>
      </c>
      <c r="N681" t="str">
        <f t="shared" si="60"/>
        <v>PO-100680</v>
      </c>
      <c r="O681" t="str">
        <f t="shared" si="61"/>
        <v>Delivered</v>
      </c>
      <c r="P681" t="str">
        <f t="shared" si="62"/>
        <v>WH-DEL</v>
      </c>
      <c r="Q681" t="str">
        <f>VLOOKUP(C681, Lookups!$A$2:$D$10, 2, FALSE())</f>
        <v>NextGen Hardware</v>
      </c>
      <c r="R681" t="str">
        <f>_xlfn.XLOOKUP(D681, Lookups!$A$12:$A$51, Lookups!$C$12:$C$51, "Unknown")</f>
        <v>Electronics</v>
      </c>
      <c r="S681" t="str">
        <f>IF(ISBLANK(I681), B681+VLOOKUP(C681, Lookups!$A$2:$D$10, 4, FALSE()), I681)</f>
        <v>2026-05-18</v>
      </c>
      <c r="T681">
        <f t="shared" si="63"/>
        <v>25</v>
      </c>
      <c r="U681" t="str">
        <f t="shared" si="64"/>
        <v>Late</v>
      </c>
      <c r="V681">
        <f t="shared" si="65"/>
        <v>0</v>
      </c>
    </row>
    <row r="682" spans="1:22" x14ac:dyDescent="0.45">
      <c r="A682" t="s">
        <v>1460</v>
      </c>
      <c r="B682" t="s">
        <v>1461</v>
      </c>
      <c r="C682" t="s">
        <v>36</v>
      </c>
      <c r="D682" t="s">
        <v>62</v>
      </c>
      <c r="E682" t="s">
        <v>15</v>
      </c>
      <c r="F682">
        <v>225</v>
      </c>
      <c r="G682">
        <v>48478</v>
      </c>
      <c r="H682">
        <v>10907550</v>
      </c>
      <c r="I682" t="s">
        <v>598</v>
      </c>
      <c r="J682" t="s">
        <v>598</v>
      </c>
      <c r="K682">
        <v>225</v>
      </c>
      <c r="L682">
        <v>0</v>
      </c>
      <c r="M682" t="s">
        <v>115</v>
      </c>
      <c r="N682" t="str">
        <f t="shared" si="60"/>
        <v>PO-100681</v>
      </c>
      <c r="O682" t="str">
        <f t="shared" si="61"/>
        <v>Delivered</v>
      </c>
      <c r="P682" t="str">
        <f t="shared" si="62"/>
        <v>WH-BOM</v>
      </c>
      <c r="Q682" t="str">
        <f>VLOOKUP(C682, Lookups!$A$2:$D$10, 2, FALSE())</f>
        <v>NextGen Hardware</v>
      </c>
      <c r="R682" t="str">
        <f>_xlfn.XLOOKUP(D682, Lookups!$A$12:$A$51, Lookups!$C$12:$C$51, "Unknown")</f>
        <v>Electronics</v>
      </c>
      <c r="S682" t="str">
        <f>IF(ISBLANK(I682), B682+VLOOKUP(C682, Lookups!$A$2:$D$10, 4, FALSE()), I682)</f>
        <v>2025-08-31</v>
      </c>
      <c r="T682">
        <f t="shared" si="63"/>
        <v>24</v>
      </c>
      <c r="U682" t="str">
        <f t="shared" si="64"/>
        <v>On-Time</v>
      </c>
      <c r="V682">
        <f t="shared" si="65"/>
        <v>0</v>
      </c>
    </row>
    <row r="683" spans="1:22" x14ac:dyDescent="0.45">
      <c r="A683" t="s">
        <v>1462</v>
      </c>
      <c r="B683" t="s">
        <v>1463</v>
      </c>
      <c r="C683" t="s">
        <v>31</v>
      </c>
      <c r="D683" t="s">
        <v>66</v>
      </c>
      <c r="E683" t="s">
        <v>16</v>
      </c>
      <c r="F683">
        <v>50</v>
      </c>
      <c r="G683">
        <v>29719</v>
      </c>
      <c r="H683">
        <v>1485950</v>
      </c>
      <c r="I683" t="s">
        <v>376</v>
      </c>
      <c r="J683" t="s">
        <v>112</v>
      </c>
      <c r="K683">
        <v>50</v>
      </c>
      <c r="L683">
        <v>0</v>
      </c>
      <c r="M683" t="s">
        <v>115</v>
      </c>
      <c r="N683" t="str">
        <f t="shared" si="60"/>
        <v>PO-100682</v>
      </c>
      <c r="O683" t="str">
        <f t="shared" si="61"/>
        <v>Delivered</v>
      </c>
      <c r="P683" t="str">
        <f t="shared" si="62"/>
        <v>WH-DEL</v>
      </c>
      <c r="Q683" t="str">
        <f>VLOOKUP(C683, Lookups!$A$2:$D$10, 2, FALSE())</f>
        <v>Global Networks</v>
      </c>
      <c r="R683" t="str">
        <f>_xlfn.XLOOKUP(D683, Lookups!$A$12:$A$51, Lookups!$C$12:$C$51, "Unknown")</f>
        <v>Networking</v>
      </c>
      <c r="S683" t="str">
        <f>IF(ISBLANK(I683), B683+VLOOKUP(C683, Lookups!$A$2:$D$10, 4, FALSE()), I683)</f>
        <v>2026-06-06</v>
      </c>
      <c r="T683">
        <f t="shared" si="63"/>
        <v>31</v>
      </c>
      <c r="U683" t="str">
        <f t="shared" si="64"/>
        <v>Late</v>
      </c>
      <c r="V683">
        <f t="shared" si="65"/>
        <v>0</v>
      </c>
    </row>
    <row r="684" spans="1:22" x14ac:dyDescent="0.45">
      <c r="A684" t="s">
        <v>1464</v>
      </c>
      <c r="B684" t="s">
        <v>497</v>
      </c>
      <c r="C684" t="s">
        <v>35</v>
      </c>
      <c r="D684" t="s">
        <v>72</v>
      </c>
      <c r="E684" t="s">
        <v>18</v>
      </c>
      <c r="F684">
        <v>65</v>
      </c>
      <c r="G684">
        <v>7754</v>
      </c>
      <c r="H684">
        <v>504010</v>
      </c>
      <c r="I684" t="s">
        <v>478</v>
      </c>
      <c r="J684" t="s">
        <v>1158</v>
      </c>
      <c r="K684">
        <v>65</v>
      </c>
      <c r="L684">
        <v>0</v>
      </c>
      <c r="M684" t="s">
        <v>115</v>
      </c>
      <c r="N684" t="str">
        <f t="shared" si="60"/>
        <v>PO-100683</v>
      </c>
      <c r="O684" t="str">
        <f t="shared" si="61"/>
        <v>Delivered</v>
      </c>
      <c r="P684" t="str">
        <f t="shared" si="62"/>
        <v>WH-PUN</v>
      </c>
      <c r="Q684" t="str">
        <f>VLOOKUP(C684, Lookups!$A$2:$D$10, 2, FALSE())</f>
        <v>Peripheral Source</v>
      </c>
      <c r="R684" t="str">
        <f>_xlfn.XLOOKUP(D684, Lookups!$A$12:$A$51, Lookups!$C$12:$C$51, "Unknown")</f>
        <v>Peripherals</v>
      </c>
      <c r="S684" t="str">
        <f>IF(ISBLANK(I684), B684+VLOOKUP(C684, Lookups!$A$2:$D$10, 4, FALSE()), I684)</f>
        <v>2025-03-29</v>
      </c>
      <c r="T684">
        <f t="shared" si="63"/>
        <v>11</v>
      </c>
      <c r="U684" t="str">
        <f t="shared" si="64"/>
        <v>Late</v>
      </c>
      <c r="V684">
        <f t="shared" si="65"/>
        <v>0</v>
      </c>
    </row>
    <row r="685" spans="1:22" x14ac:dyDescent="0.45">
      <c r="A685" t="s">
        <v>1465</v>
      </c>
      <c r="B685" t="s">
        <v>489</v>
      </c>
      <c r="C685" t="s">
        <v>34</v>
      </c>
      <c r="D685" t="s">
        <v>74</v>
      </c>
      <c r="E685" t="s">
        <v>16</v>
      </c>
      <c r="F685">
        <v>154</v>
      </c>
      <c r="G685">
        <v>94797</v>
      </c>
      <c r="H685">
        <v>14598738</v>
      </c>
      <c r="I685" t="s">
        <v>266</v>
      </c>
      <c r="J685" t="s">
        <v>379</v>
      </c>
      <c r="K685">
        <v>154</v>
      </c>
      <c r="L685">
        <v>0</v>
      </c>
      <c r="M685" t="s">
        <v>115</v>
      </c>
      <c r="N685" t="str">
        <f t="shared" si="60"/>
        <v>PO-100684</v>
      </c>
      <c r="O685" t="str">
        <f t="shared" si="61"/>
        <v>Delivered</v>
      </c>
      <c r="P685" t="str">
        <f t="shared" si="62"/>
        <v>WH-DEL</v>
      </c>
      <c r="Q685" t="str">
        <f>VLOOKUP(C685, Lookups!$A$2:$D$10, 2, FALSE())</f>
        <v>FastElectronics</v>
      </c>
      <c r="R685" t="str">
        <f>_xlfn.XLOOKUP(D685, Lookups!$A$12:$A$51, Lookups!$C$12:$C$51, "Unknown")</f>
        <v>Electronics</v>
      </c>
      <c r="S685" t="str">
        <f>IF(ISBLANK(I685), B685+VLOOKUP(C685, Lookups!$A$2:$D$10, 4, FALSE()), I685)</f>
        <v>2025-02-15</v>
      </c>
      <c r="T685">
        <f t="shared" si="63"/>
        <v>19</v>
      </c>
      <c r="U685" t="str">
        <f t="shared" si="64"/>
        <v>Late</v>
      </c>
      <c r="V685">
        <f t="shared" si="65"/>
        <v>0</v>
      </c>
    </row>
    <row r="686" spans="1:22" x14ac:dyDescent="0.45">
      <c r="A686" t="s">
        <v>1466</v>
      </c>
      <c r="B686" t="s">
        <v>1077</v>
      </c>
      <c r="C686" t="s">
        <v>34</v>
      </c>
      <c r="D686" t="s">
        <v>74</v>
      </c>
      <c r="E686" t="s">
        <v>15</v>
      </c>
      <c r="F686">
        <v>105</v>
      </c>
      <c r="G686">
        <v>94797</v>
      </c>
      <c r="H686">
        <v>9953685</v>
      </c>
      <c r="I686" t="s">
        <v>232</v>
      </c>
      <c r="J686" t="s">
        <v>232</v>
      </c>
      <c r="K686">
        <v>105</v>
      </c>
      <c r="L686">
        <v>0</v>
      </c>
      <c r="M686" t="s">
        <v>115</v>
      </c>
      <c r="N686" t="str">
        <f t="shared" si="60"/>
        <v>PO-100685</v>
      </c>
      <c r="O686" t="str">
        <f t="shared" si="61"/>
        <v>Delivered</v>
      </c>
      <c r="P686" t="str">
        <f t="shared" si="62"/>
        <v>WH-BOM</v>
      </c>
      <c r="Q686" t="str">
        <f>VLOOKUP(C686, Lookups!$A$2:$D$10, 2, FALSE())</f>
        <v>FastElectronics</v>
      </c>
      <c r="R686" t="str">
        <f>_xlfn.XLOOKUP(D686, Lookups!$A$12:$A$51, Lookups!$C$12:$C$51, "Unknown")</f>
        <v>Electronics</v>
      </c>
      <c r="S686" t="str">
        <f>IF(ISBLANK(I686), B686+VLOOKUP(C686, Lookups!$A$2:$D$10, 4, FALSE()), I686)</f>
        <v>2025-11-14</v>
      </c>
      <c r="T686">
        <f t="shared" si="63"/>
        <v>18</v>
      </c>
      <c r="U686" t="str">
        <f t="shared" si="64"/>
        <v>On-Time</v>
      </c>
      <c r="V686">
        <f t="shared" si="65"/>
        <v>0</v>
      </c>
    </row>
    <row r="687" spans="1:22" x14ac:dyDescent="0.45">
      <c r="A687" t="s">
        <v>1467</v>
      </c>
      <c r="B687" t="s">
        <v>1468</v>
      </c>
      <c r="C687" t="s">
        <v>36</v>
      </c>
      <c r="D687" t="s">
        <v>63</v>
      </c>
      <c r="E687" t="s">
        <v>15</v>
      </c>
      <c r="F687">
        <v>43</v>
      </c>
      <c r="G687">
        <v>71062</v>
      </c>
      <c r="H687">
        <v>3055666</v>
      </c>
      <c r="I687" t="s">
        <v>612</v>
      </c>
      <c r="J687" t="s">
        <v>613</v>
      </c>
      <c r="K687">
        <v>43</v>
      </c>
      <c r="L687">
        <v>0</v>
      </c>
      <c r="M687" t="s">
        <v>115</v>
      </c>
      <c r="N687" t="str">
        <f t="shared" si="60"/>
        <v>PO-100686</v>
      </c>
      <c r="O687" t="str">
        <f t="shared" si="61"/>
        <v>Delivered</v>
      </c>
      <c r="P687" t="str">
        <f t="shared" si="62"/>
        <v>WH-BOM</v>
      </c>
      <c r="Q687" t="str">
        <f>VLOOKUP(C687, Lookups!$A$2:$D$10, 2, FALSE())</f>
        <v>NextGen Hardware</v>
      </c>
      <c r="R687" t="str">
        <f>_xlfn.XLOOKUP(D687, Lookups!$A$12:$A$51, Lookups!$C$12:$C$51, "Unknown")</f>
        <v>Electronics</v>
      </c>
      <c r="S687" t="str">
        <f>IF(ISBLANK(I687), B687+VLOOKUP(C687, Lookups!$A$2:$D$10, 4, FALSE()), I687)</f>
        <v>2025-02-04</v>
      </c>
      <c r="T687">
        <f t="shared" si="63"/>
        <v>25</v>
      </c>
      <c r="U687" t="str">
        <f t="shared" si="64"/>
        <v>Late</v>
      </c>
      <c r="V687">
        <f t="shared" si="65"/>
        <v>0</v>
      </c>
    </row>
    <row r="688" spans="1:22" x14ac:dyDescent="0.45">
      <c r="A688" t="s">
        <v>1469</v>
      </c>
      <c r="B688" t="s">
        <v>175</v>
      </c>
      <c r="C688" t="s">
        <v>37</v>
      </c>
      <c r="D688" t="s">
        <v>83</v>
      </c>
      <c r="E688" t="s">
        <v>15</v>
      </c>
      <c r="F688">
        <v>237</v>
      </c>
      <c r="G688">
        <v>19850</v>
      </c>
      <c r="H688">
        <v>4704450</v>
      </c>
      <c r="I688" t="s">
        <v>1347</v>
      </c>
      <c r="J688" t="s">
        <v>176</v>
      </c>
      <c r="K688">
        <v>237</v>
      </c>
      <c r="L688">
        <v>0</v>
      </c>
      <c r="M688" t="s">
        <v>115</v>
      </c>
      <c r="N688" t="str">
        <f t="shared" si="60"/>
        <v>PO-100687</v>
      </c>
      <c r="O688" t="str">
        <f t="shared" si="61"/>
        <v>Delivered</v>
      </c>
      <c r="P688" t="str">
        <f t="shared" si="62"/>
        <v>WH-BOM</v>
      </c>
      <c r="Q688" t="str">
        <f>VLOOKUP(C688, Lookups!$A$2:$D$10, 2, FALSE())</f>
        <v>Premium Desks Ltd</v>
      </c>
      <c r="R688" t="str">
        <f>_xlfn.XLOOKUP(D688, Lookups!$A$12:$A$51, Lookups!$C$12:$C$51, "Unknown")</f>
        <v>Office Furniture</v>
      </c>
      <c r="S688" t="str">
        <f>IF(ISBLANK(I688), B688+VLOOKUP(C688, Lookups!$A$2:$D$10, 4, FALSE()), I688)</f>
        <v>2026-08-09</v>
      </c>
      <c r="T688">
        <f t="shared" si="63"/>
        <v>10</v>
      </c>
      <c r="U688" t="str">
        <f t="shared" si="64"/>
        <v>On-Time</v>
      </c>
      <c r="V688">
        <f t="shared" si="65"/>
        <v>0</v>
      </c>
    </row>
    <row r="689" spans="1:22" x14ac:dyDescent="0.45">
      <c r="A689" t="s">
        <v>1470</v>
      </c>
      <c r="B689" t="s">
        <v>474</v>
      </c>
      <c r="C689" t="s">
        <v>36</v>
      </c>
      <c r="D689" t="s">
        <v>90</v>
      </c>
      <c r="E689" t="s">
        <v>17</v>
      </c>
      <c r="F689">
        <v>138</v>
      </c>
      <c r="G689">
        <v>81434</v>
      </c>
      <c r="H689">
        <v>11237892</v>
      </c>
      <c r="I689" t="s">
        <v>760</v>
      </c>
      <c r="J689" t="s">
        <v>468</v>
      </c>
      <c r="K689">
        <v>75</v>
      </c>
      <c r="L689">
        <v>0</v>
      </c>
      <c r="M689" t="s">
        <v>115</v>
      </c>
      <c r="N689" t="str">
        <f t="shared" si="60"/>
        <v>PO-100688</v>
      </c>
      <c r="O689" t="str">
        <f t="shared" si="61"/>
        <v>Delivered</v>
      </c>
      <c r="P689" t="str">
        <f t="shared" si="62"/>
        <v>WH-BLR</v>
      </c>
      <c r="Q689" t="str">
        <f>VLOOKUP(C689, Lookups!$A$2:$D$10, 2, FALSE())</f>
        <v>NextGen Hardware</v>
      </c>
      <c r="R689" t="str">
        <f>_xlfn.XLOOKUP(D689, Lookups!$A$12:$A$51, Lookups!$C$12:$C$51, "Unknown")</f>
        <v>Electronics</v>
      </c>
      <c r="S689" t="str">
        <f>IF(ISBLANK(I689), B689+VLOOKUP(C689, Lookups!$A$2:$D$10, 4, FALSE()), I689)</f>
        <v>2025-07-18</v>
      </c>
      <c r="T689">
        <f t="shared" si="63"/>
        <v>25</v>
      </c>
      <c r="U689" t="str">
        <f t="shared" si="64"/>
        <v>Late</v>
      </c>
      <c r="V689">
        <f t="shared" si="65"/>
        <v>0</v>
      </c>
    </row>
    <row r="690" spans="1:22" x14ac:dyDescent="0.45">
      <c r="A690" t="s">
        <v>1471</v>
      </c>
      <c r="B690" t="s">
        <v>450</v>
      </c>
      <c r="C690" t="s">
        <v>35</v>
      </c>
      <c r="D690" t="s">
        <v>65</v>
      </c>
      <c r="E690" t="s">
        <v>17</v>
      </c>
      <c r="F690">
        <v>114</v>
      </c>
      <c r="G690">
        <v>4936</v>
      </c>
      <c r="H690">
        <v>562704</v>
      </c>
      <c r="I690" t="s">
        <v>1337</v>
      </c>
      <c r="J690" t="s">
        <v>495</v>
      </c>
      <c r="K690">
        <v>114</v>
      </c>
      <c r="L690">
        <v>0</v>
      </c>
      <c r="M690" t="s">
        <v>115</v>
      </c>
      <c r="N690" t="str">
        <f t="shared" si="60"/>
        <v>PO-100689</v>
      </c>
      <c r="O690" t="str">
        <f t="shared" si="61"/>
        <v>Delivered</v>
      </c>
      <c r="P690" t="str">
        <f t="shared" si="62"/>
        <v>WH-BLR</v>
      </c>
      <c r="Q690" t="str">
        <f>VLOOKUP(C690, Lookups!$A$2:$D$10, 2, FALSE())</f>
        <v>Peripheral Source</v>
      </c>
      <c r="R690" t="str">
        <f>_xlfn.XLOOKUP(D690, Lookups!$A$12:$A$51, Lookups!$C$12:$C$51, "Unknown")</f>
        <v>Peripherals</v>
      </c>
      <c r="S690" t="str">
        <f>IF(ISBLANK(I690), B690+VLOOKUP(C690, Lookups!$A$2:$D$10, 4, FALSE()), I690)</f>
        <v>2026-09-22</v>
      </c>
      <c r="T690">
        <f t="shared" si="63"/>
        <v>11</v>
      </c>
      <c r="U690" t="str">
        <f t="shared" si="64"/>
        <v>Late</v>
      </c>
      <c r="V690">
        <f t="shared" si="65"/>
        <v>0</v>
      </c>
    </row>
    <row r="691" spans="1:22" x14ac:dyDescent="0.45">
      <c r="A691" t="s">
        <v>1472</v>
      </c>
      <c r="B691" t="s">
        <v>1345</v>
      </c>
      <c r="C691" t="s">
        <v>30</v>
      </c>
      <c r="D691" t="s">
        <v>86</v>
      </c>
      <c r="E691" t="s">
        <v>16</v>
      </c>
      <c r="F691">
        <v>71</v>
      </c>
      <c r="G691">
        <v>74871</v>
      </c>
      <c r="H691">
        <v>5315841</v>
      </c>
      <c r="I691" t="s">
        <v>1168</v>
      </c>
      <c r="J691" t="s">
        <v>1168</v>
      </c>
      <c r="K691">
        <v>50</v>
      </c>
      <c r="L691">
        <v>0</v>
      </c>
      <c r="M691" t="s">
        <v>115</v>
      </c>
      <c r="N691" t="str">
        <f t="shared" si="60"/>
        <v>PO-100690</v>
      </c>
      <c r="O691" t="str">
        <f t="shared" si="61"/>
        <v>Delivered</v>
      </c>
      <c r="P691" t="str">
        <f t="shared" si="62"/>
        <v>WH-DEL</v>
      </c>
      <c r="Q691" t="str">
        <f>VLOOKUP(C691, Lookups!$A$2:$D$10, 2, FALSE())</f>
        <v>TechSupply Corp</v>
      </c>
      <c r="R691" t="str">
        <f>_xlfn.XLOOKUP(D691, Lookups!$A$12:$A$51, Lookups!$C$12:$C$51, "Unknown")</f>
        <v>Electronics</v>
      </c>
      <c r="S691" t="str">
        <f>IF(ISBLANK(I691), B691+VLOOKUP(C691, Lookups!$A$2:$D$10, 4, FALSE()), I691)</f>
        <v>2025-03-26</v>
      </c>
      <c r="T691">
        <f t="shared" si="63"/>
        <v>14</v>
      </c>
      <c r="U691" t="str">
        <f t="shared" si="64"/>
        <v>On-Time</v>
      </c>
      <c r="V691">
        <f t="shared" si="65"/>
        <v>0</v>
      </c>
    </row>
    <row r="692" spans="1:22" x14ac:dyDescent="0.45">
      <c r="A692" t="s">
        <v>1473</v>
      </c>
      <c r="B692" t="s">
        <v>1368</v>
      </c>
      <c r="C692" t="s">
        <v>35</v>
      </c>
      <c r="D692" t="s">
        <v>60</v>
      </c>
      <c r="E692" t="s">
        <v>18</v>
      </c>
      <c r="F692">
        <v>54</v>
      </c>
      <c r="G692">
        <v>3291</v>
      </c>
      <c r="H692">
        <v>177714</v>
      </c>
      <c r="I692" t="s">
        <v>693</v>
      </c>
      <c r="J692" t="s">
        <v>824</v>
      </c>
      <c r="K692">
        <v>54</v>
      </c>
      <c r="L692">
        <v>0</v>
      </c>
      <c r="M692" t="s">
        <v>115</v>
      </c>
      <c r="N692" t="str">
        <f t="shared" si="60"/>
        <v>PO-100691</v>
      </c>
      <c r="O692" t="str">
        <f t="shared" si="61"/>
        <v>Delivered</v>
      </c>
      <c r="P692" t="str">
        <f t="shared" si="62"/>
        <v>WH-PUN</v>
      </c>
      <c r="Q692" t="str">
        <f>VLOOKUP(C692, Lookups!$A$2:$D$10, 2, FALSE())</f>
        <v>Peripheral Source</v>
      </c>
      <c r="R692" t="str">
        <f>_xlfn.XLOOKUP(D692, Lookups!$A$12:$A$51, Lookups!$C$12:$C$51, "Unknown")</f>
        <v>Peripherals</v>
      </c>
      <c r="S692" t="str">
        <f>IF(ISBLANK(I692), B692+VLOOKUP(C692, Lookups!$A$2:$D$10, 4, FALSE()), I692)</f>
        <v>2026-11-22</v>
      </c>
      <c r="T692">
        <f t="shared" si="63"/>
        <v>25</v>
      </c>
      <c r="U692" t="str">
        <f t="shared" si="64"/>
        <v>Late</v>
      </c>
      <c r="V692">
        <f t="shared" si="65"/>
        <v>0</v>
      </c>
    </row>
    <row r="693" spans="1:22" x14ac:dyDescent="0.45">
      <c r="A693" t="s">
        <v>1474</v>
      </c>
      <c r="B693" t="s">
        <v>137</v>
      </c>
      <c r="C693" t="s">
        <v>37</v>
      </c>
      <c r="D693" t="s">
        <v>69</v>
      </c>
      <c r="E693" t="s">
        <v>18</v>
      </c>
      <c r="F693">
        <v>25</v>
      </c>
      <c r="G693">
        <v>13231</v>
      </c>
      <c r="H693">
        <v>330775</v>
      </c>
      <c r="I693" t="s">
        <v>1475</v>
      </c>
      <c r="J693" t="s">
        <v>138</v>
      </c>
      <c r="K693">
        <v>25</v>
      </c>
      <c r="L693">
        <v>1</v>
      </c>
      <c r="M693" t="s">
        <v>115</v>
      </c>
      <c r="N693" t="str">
        <f t="shared" si="60"/>
        <v>PO-100692</v>
      </c>
      <c r="O693" t="str">
        <f t="shared" si="61"/>
        <v>Delivered</v>
      </c>
      <c r="P693" t="str">
        <f t="shared" si="62"/>
        <v>WH-PUN</v>
      </c>
      <c r="Q693" t="str">
        <f>VLOOKUP(C693, Lookups!$A$2:$D$10, 2, FALSE())</f>
        <v>Premium Desks Ltd</v>
      </c>
      <c r="R693" t="str">
        <f>_xlfn.XLOOKUP(D693, Lookups!$A$12:$A$51, Lookups!$C$12:$C$51, "Unknown")</f>
        <v>Office Furniture</v>
      </c>
      <c r="S693" t="str">
        <f>IF(ISBLANK(I693), B693+VLOOKUP(C693, Lookups!$A$2:$D$10, 4, FALSE()), I693)</f>
        <v>2025-09-20</v>
      </c>
      <c r="T693">
        <f t="shared" si="63"/>
        <v>18</v>
      </c>
      <c r="U693" t="str">
        <f t="shared" si="64"/>
        <v>Late</v>
      </c>
      <c r="V693">
        <f t="shared" si="65"/>
        <v>0.04</v>
      </c>
    </row>
    <row r="694" spans="1:22" x14ac:dyDescent="0.45">
      <c r="A694" t="s">
        <v>1476</v>
      </c>
      <c r="B694" t="s">
        <v>1026</v>
      </c>
      <c r="C694" t="s">
        <v>36</v>
      </c>
      <c r="D694" t="s">
        <v>87</v>
      </c>
      <c r="E694" t="s">
        <v>16</v>
      </c>
      <c r="F694">
        <v>102</v>
      </c>
      <c r="G694">
        <v>82930</v>
      </c>
      <c r="H694">
        <v>8458860</v>
      </c>
      <c r="I694" t="s">
        <v>131</v>
      </c>
      <c r="J694" t="s">
        <v>131</v>
      </c>
      <c r="K694">
        <v>86</v>
      </c>
      <c r="L694">
        <v>0</v>
      </c>
      <c r="M694" t="s">
        <v>115</v>
      </c>
      <c r="N694" t="str">
        <f t="shared" si="60"/>
        <v>PO-100693</v>
      </c>
      <c r="O694" t="str">
        <f t="shared" si="61"/>
        <v>Delivered</v>
      </c>
      <c r="P694" t="str">
        <f t="shared" si="62"/>
        <v>WH-DEL</v>
      </c>
      <c r="Q694" t="str">
        <f>VLOOKUP(C694, Lookups!$A$2:$D$10, 2, FALSE())</f>
        <v>NextGen Hardware</v>
      </c>
      <c r="R694" t="str">
        <f>_xlfn.XLOOKUP(D694, Lookups!$A$12:$A$51, Lookups!$C$12:$C$51, "Unknown")</f>
        <v>Electronics</v>
      </c>
      <c r="S694" t="str">
        <f>IF(ISBLANK(I694), B694+VLOOKUP(C694, Lookups!$A$2:$D$10, 4, FALSE()), I694)</f>
        <v>2026-07-27</v>
      </c>
      <c r="T694">
        <f t="shared" si="63"/>
        <v>24</v>
      </c>
      <c r="U694" t="str">
        <f t="shared" si="64"/>
        <v>On-Time</v>
      </c>
      <c r="V694">
        <f t="shared" si="65"/>
        <v>0</v>
      </c>
    </row>
    <row r="695" spans="1:22" x14ac:dyDescent="0.45">
      <c r="A695" t="s">
        <v>1477</v>
      </c>
      <c r="B695" t="s">
        <v>1170</v>
      </c>
      <c r="C695" t="s">
        <v>31</v>
      </c>
      <c r="D695" t="s">
        <v>56</v>
      </c>
      <c r="E695" t="s">
        <v>18</v>
      </c>
      <c r="F695">
        <v>143</v>
      </c>
      <c r="G695">
        <v>39270</v>
      </c>
      <c r="H695">
        <v>5615610</v>
      </c>
      <c r="I695" t="s">
        <v>767</v>
      </c>
      <c r="J695" t="s">
        <v>768</v>
      </c>
      <c r="K695">
        <v>143</v>
      </c>
      <c r="L695">
        <v>0</v>
      </c>
      <c r="M695" t="s">
        <v>115</v>
      </c>
      <c r="N695" t="str">
        <f t="shared" si="60"/>
        <v>PO-100694</v>
      </c>
      <c r="O695" t="str">
        <f t="shared" si="61"/>
        <v>Delivered</v>
      </c>
      <c r="P695" t="str">
        <f t="shared" si="62"/>
        <v>WH-PUN</v>
      </c>
      <c r="Q695" t="str">
        <f>VLOOKUP(C695, Lookups!$A$2:$D$10, 2, FALSE())</f>
        <v>Global Networks</v>
      </c>
      <c r="R695" t="str">
        <f>_xlfn.XLOOKUP(D695, Lookups!$A$12:$A$51, Lookups!$C$12:$C$51, "Unknown")</f>
        <v>Networking</v>
      </c>
      <c r="S695" t="str">
        <f>IF(ISBLANK(I695), B695+VLOOKUP(C695, Lookups!$A$2:$D$10, 4, FALSE()), I695)</f>
        <v>2026-12-24</v>
      </c>
      <c r="T695">
        <f t="shared" si="63"/>
        <v>35</v>
      </c>
      <c r="U695" t="str">
        <f t="shared" si="64"/>
        <v>Late</v>
      </c>
      <c r="V695">
        <f t="shared" si="65"/>
        <v>0</v>
      </c>
    </row>
    <row r="696" spans="1:22" x14ac:dyDescent="0.45">
      <c r="A696" t="s">
        <v>1478</v>
      </c>
      <c r="B696" t="s">
        <v>1200</v>
      </c>
      <c r="C696" t="s">
        <v>30</v>
      </c>
      <c r="D696" t="s">
        <v>86</v>
      </c>
      <c r="E696" t="s">
        <v>15</v>
      </c>
      <c r="F696">
        <v>176</v>
      </c>
      <c r="G696">
        <v>74871</v>
      </c>
      <c r="H696">
        <v>13177296</v>
      </c>
      <c r="I696" t="s">
        <v>593</v>
      </c>
      <c r="J696" t="s">
        <v>394</v>
      </c>
      <c r="K696">
        <v>176</v>
      </c>
      <c r="L696">
        <v>0</v>
      </c>
      <c r="M696" t="s">
        <v>115</v>
      </c>
      <c r="N696" t="str">
        <f t="shared" si="60"/>
        <v>PO-100695</v>
      </c>
      <c r="O696" t="str">
        <f t="shared" si="61"/>
        <v>Delivered</v>
      </c>
      <c r="P696" t="str">
        <f t="shared" si="62"/>
        <v>WH-BOM</v>
      </c>
      <c r="Q696" t="str">
        <f>VLOOKUP(C696, Lookups!$A$2:$D$10, 2, FALSE())</f>
        <v>TechSupply Corp</v>
      </c>
      <c r="R696" t="str">
        <f>_xlfn.XLOOKUP(D696, Lookups!$A$12:$A$51, Lookups!$C$12:$C$51, "Unknown")</f>
        <v>Electronics</v>
      </c>
      <c r="S696" t="str">
        <f>IF(ISBLANK(I696), B696+VLOOKUP(C696, Lookups!$A$2:$D$10, 4, FALSE()), I696)</f>
        <v>2025-09-15</v>
      </c>
      <c r="T696">
        <f t="shared" si="63"/>
        <v>15</v>
      </c>
      <c r="U696" t="str">
        <f t="shared" si="64"/>
        <v>Late</v>
      </c>
      <c r="V696">
        <f t="shared" si="65"/>
        <v>0</v>
      </c>
    </row>
    <row r="697" spans="1:22" x14ac:dyDescent="0.45">
      <c r="A697" t="s">
        <v>1479</v>
      </c>
      <c r="B697" t="s">
        <v>794</v>
      </c>
      <c r="C697" t="s">
        <v>30</v>
      </c>
      <c r="D697" t="s">
        <v>52</v>
      </c>
      <c r="E697" t="s">
        <v>18</v>
      </c>
      <c r="F697">
        <v>201</v>
      </c>
      <c r="G697">
        <v>59592</v>
      </c>
      <c r="H697">
        <v>11977992</v>
      </c>
      <c r="I697" t="s">
        <v>1480</v>
      </c>
      <c r="J697" t="s">
        <v>1337</v>
      </c>
      <c r="K697">
        <v>201</v>
      </c>
      <c r="L697">
        <v>0</v>
      </c>
      <c r="M697" t="s">
        <v>115</v>
      </c>
      <c r="N697" t="str">
        <f t="shared" si="60"/>
        <v>PO-100696</v>
      </c>
      <c r="O697" t="str">
        <f t="shared" si="61"/>
        <v>Delivered</v>
      </c>
      <c r="P697" t="str">
        <f t="shared" si="62"/>
        <v>WH-PUN</v>
      </c>
      <c r="Q697" t="str">
        <f>VLOOKUP(C697, Lookups!$A$2:$D$10, 2, FALSE())</f>
        <v>TechSupply Corp</v>
      </c>
      <c r="R697" t="str">
        <f>_xlfn.XLOOKUP(D697, Lookups!$A$12:$A$51, Lookups!$C$12:$C$51, "Unknown")</f>
        <v>Electronics</v>
      </c>
      <c r="S697" t="str">
        <f>IF(ISBLANK(I697), B697+VLOOKUP(C697, Lookups!$A$2:$D$10, 4, FALSE()), I697)</f>
        <v>2026-09-21</v>
      </c>
      <c r="T697">
        <f t="shared" si="63"/>
        <v>15</v>
      </c>
      <c r="U697" t="str">
        <f t="shared" si="64"/>
        <v>Late</v>
      </c>
      <c r="V697">
        <f t="shared" si="65"/>
        <v>0</v>
      </c>
    </row>
    <row r="698" spans="1:22" x14ac:dyDescent="0.45">
      <c r="A698" t="s">
        <v>1481</v>
      </c>
      <c r="B698" t="s">
        <v>1482</v>
      </c>
      <c r="C698" t="s">
        <v>34</v>
      </c>
      <c r="D698" t="s">
        <v>54</v>
      </c>
      <c r="E698" t="s">
        <v>15</v>
      </c>
      <c r="F698">
        <v>15</v>
      </c>
      <c r="G698">
        <v>22314</v>
      </c>
      <c r="H698">
        <v>334710</v>
      </c>
      <c r="I698" t="s">
        <v>271</v>
      </c>
      <c r="J698" t="s">
        <v>271</v>
      </c>
      <c r="K698">
        <v>15</v>
      </c>
      <c r="L698">
        <v>0</v>
      </c>
      <c r="M698" t="s">
        <v>115</v>
      </c>
      <c r="N698" t="str">
        <f t="shared" si="60"/>
        <v>PO-100697</v>
      </c>
      <c r="O698" t="str">
        <f t="shared" si="61"/>
        <v>Delivered</v>
      </c>
      <c r="P698" t="str">
        <f t="shared" si="62"/>
        <v>WH-BOM</v>
      </c>
      <c r="Q698" t="str">
        <f>VLOOKUP(C698, Lookups!$A$2:$D$10, 2, FALSE())</f>
        <v>FastElectronics</v>
      </c>
      <c r="R698" t="str">
        <f>_xlfn.XLOOKUP(D698, Lookups!$A$12:$A$51, Lookups!$C$12:$C$51, "Unknown")</f>
        <v>Networking</v>
      </c>
      <c r="S698" t="str">
        <f>IF(ISBLANK(I698), B698+VLOOKUP(C698, Lookups!$A$2:$D$10, 4, FALSE()), I698)</f>
        <v>2025-07-26</v>
      </c>
      <c r="T698">
        <f t="shared" si="63"/>
        <v>18</v>
      </c>
      <c r="U698" t="str">
        <f t="shared" si="64"/>
        <v>On-Time</v>
      </c>
      <c r="V698">
        <f t="shared" si="65"/>
        <v>0</v>
      </c>
    </row>
    <row r="699" spans="1:22" x14ac:dyDescent="0.45">
      <c r="A699" t="s">
        <v>1483</v>
      </c>
      <c r="B699" t="s">
        <v>1484</v>
      </c>
      <c r="C699" t="s">
        <v>30</v>
      </c>
      <c r="D699" t="s">
        <v>82</v>
      </c>
      <c r="E699" t="s">
        <v>15</v>
      </c>
      <c r="F699">
        <v>126</v>
      </c>
      <c r="G699">
        <v>83427</v>
      </c>
      <c r="H699">
        <v>10511802</v>
      </c>
      <c r="I699" t="s">
        <v>189</v>
      </c>
      <c r="J699" t="s">
        <v>1345</v>
      </c>
      <c r="K699">
        <v>126</v>
      </c>
      <c r="L699">
        <v>0</v>
      </c>
      <c r="M699" t="s">
        <v>115</v>
      </c>
      <c r="N699" t="str">
        <f t="shared" si="60"/>
        <v>PO-100698</v>
      </c>
      <c r="O699" t="str">
        <f t="shared" si="61"/>
        <v>Delivered</v>
      </c>
      <c r="P699" t="str">
        <f t="shared" si="62"/>
        <v>WH-BOM</v>
      </c>
      <c r="Q699" t="str">
        <f>VLOOKUP(C699, Lookups!$A$2:$D$10, 2, FALSE())</f>
        <v>TechSupply Corp</v>
      </c>
      <c r="R699" t="str">
        <f>_xlfn.XLOOKUP(D699, Lookups!$A$12:$A$51, Lookups!$C$12:$C$51, "Unknown")</f>
        <v>Electronics</v>
      </c>
      <c r="S699" t="str">
        <f>IF(ISBLANK(I699), B699+VLOOKUP(C699, Lookups!$A$2:$D$10, 4, FALSE()), I699)</f>
        <v>2025-03-07</v>
      </c>
      <c r="T699">
        <f t="shared" si="63"/>
        <v>19</v>
      </c>
      <c r="U699" t="str">
        <f t="shared" si="64"/>
        <v>Late</v>
      </c>
      <c r="V699">
        <f t="shared" si="65"/>
        <v>0</v>
      </c>
    </row>
    <row r="700" spans="1:22" x14ac:dyDescent="0.45">
      <c r="A700" t="s">
        <v>1485</v>
      </c>
      <c r="B700" t="s">
        <v>607</v>
      </c>
      <c r="C700" t="s">
        <v>30</v>
      </c>
      <c r="D700" t="s">
        <v>86</v>
      </c>
      <c r="E700" t="s">
        <v>17</v>
      </c>
      <c r="F700">
        <v>36</v>
      </c>
      <c r="G700">
        <v>74871</v>
      </c>
      <c r="H700">
        <v>2695356</v>
      </c>
      <c r="I700" t="s">
        <v>439</v>
      </c>
      <c r="J700" t="s">
        <v>1486</v>
      </c>
      <c r="K700">
        <v>29</v>
      </c>
      <c r="L700">
        <v>0</v>
      </c>
      <c r="M700" t="s">
        <v>115</v>
      </c>
      <c r="N700" t="str">
        <f t="shared" si="60"/>
        <v>PO-100699</v>
      </c>
      <c r="O700" t="str">
        <f t="shared" si="61"/>
        <v>Delivered</v>
      </c>
      <c r="P700" t="str">
        <f t="shared" si="62"/>
        <v>WH-BLR</v>
      </c>
      <c r="Q700" t="str">
        <f>VLOOKUP(C700, Lookups!$A$2:$D$10, 2, FALSE())</f>
        <v>TechSupply Corp</v>
      </c>
      <c r="R700" t="str">
        <f>_xlfn.XLOOKUP(D700, Lookups!$A$12:$A$51, Lookups!$C$12:$C$51, "Unknown")</f>
        <v>Electronics</v>
      </c>
      <c r="S700" t="str">
        <f>IF(ISBLANK(I700), B700+VLOOKUP(C700, Lookups!$A$2:$D$10, 4, FALSE()), I700)</f>
        <v>2025-02-12</v>
      </c>
      <c r="T700">
        <f t="shared" si="63"/>
        <v>13</v>
      </c>
      <c r="U700" t="str">
        <f t="shared" si="64"/>
        <v>On-Time</v>
      </c>
      <c r="V700">
        <f t="shared" si="65"/>
        <v>0</v>
      </c>
    </row>
    <row r="701" spans="1:22" x14ac:dyDescent="0.45">
      <c r="A701" t="s">
        <v>1487</v>
      </c>
      <c r="B701" t="s">
        <v>960</v>
      </c>
      <c r="C701" t="s">
        <v>33</v>
      </c>
      <c r="D701" t="s">
        <v>89</v>
      </c>
      <c r="E701" t="s">
        <v>15</v>
      </c>
      <c r="F701">
        <v>169</v>
      </c>
      <c r="G701">
        <v>11309</v>
      </c>
      <c r="H701">
        <v>1911221</v>
      </c>
      <c r="I701" t="s">
        <v>518</v>
      </c>
      <c r="J701" t="s">
        <v>971</v>
      </c>
      <c r="K701">
        <v>169</v>
      </c>
      <c r="L701">
        <v>0</v>
      </c>
      <c r="M701" t="s">
        <v>115</v>
      </c>
      <c r="N701" t="str">
        <f t="shared" si="60"/>
        <v>PO-100700</v>
      </c>
      <c r="O701" t="str">
        <f t="shared" si="61"/>
        <v>Delivered</v>
      </c>
      <c r="P701" t="str">
        <f t="shared" si="62"/>
        <v>WH-BOM</v>
      </c>
      <c r="Q701" t="str">
        <f>VLOOKUP(C701, Lookups!$A$2:$D$10, 2, FALSE())</f>
        <v>MegaFurnish</v>
      </c>
      <c r="R701" t="str">
        <f>_xlfn.XLOOKUP(D701, Lookups!$A$12:$A$51, Lookups!$C$12:$C$51, "Unknown")</f>
        <v>Office Furniture</v>
      </c>
      <c r="S701" t="str">
        <f>IF(ISBLANK(I701), B701+VLOOKUP(C701, Lookups!$A$2:$D$10, 4, FALSE()), I701)</f>
        <v>2025-05-23</v>
      </c>
      <c r="T701">
        <f t="shared" si="63"/>
        <v>31</v>
      </c>
      <c r="U701" t="str">
        <f t="shared" si="64"/>
        <v>Late</v>
      </c>
      <c r="V701">
        <f t="shared" si="65"/>
        <v>0</v>
      </c>
    </row>
    <row r="702" spans="1:22" x14ac:dyDescent="0.45">
      <c r="A702" t="s">
        <v>1488</v>
      </c>
      <c r="B702" t="s">
        <v>315</v>
      </c>
      <c r="C702" t="s">
        <v>36</v>
      </c>
      <c r="D702" t="s">
        <v>90</v>
      </c>
      <c r="E702" t="s">
        <v>18</v>
      </c>
      <c r="F702">
        <v>46</v>
      </c>
      <c r="G702">
        <v>81434</v>
      </c>
      <c r="H702">
        <v>3745964</v>
      </c>
      <c r="I702" t="s">
        <v>443</v>
      </c>
      <c r="J702" t="s">
        <v>362</v>
      </c>
      <c r="K702">
        <v>46</v>
      </c>
      <c r="L702">
        <v>0</v>
      </c>
      <c r="M702" t="s">
        <v>115</v>
      </c>
      <c r="N702" t="str">
        <f t="shared" si="60"/>
        <v>PO-100701</v>
      </c>
      <c r="O702" t="str">
        <f t="shared" si="61"/>
        <v>Delivered</v>
      </c>
      <c r="P702" t="str">
        <f t="shared" si="62"/>
        <v>WH-PUN</v>
      </c>
      <c r="Q702" t="str">
        <f>VLOOKUP(C702, Lookups!$A$2:$D$10, 2, FALSE())</f>
        <v>NextGen Hardware</v>
      </c>
      <c r="R702" t="str">
        <f>_xlfn.XLOOKUP(D702, Lookups!$A$12:$A$51, Lookups!$C$12:$C$51, "Unknown")</f>
        <v>Electronics</v>
      </c>
      <c r="S702" t="str">
        <f>IF(ISBLANK(I702), B702+VLOOKUP(C702, Lookups!$A$2:$D$10, 4, FALSE()), I702)</f>
        <v>2026-03-31</v>
      </c>
      <c r="T702">
        <f t="shared" si="63"/>
        <v>25</v>
      </c>
      <c r="U702" t="str">
        <f t="shared" si="64"/>
        <v>Late</v>
      </c>
      <c r="V702">
        <f t="shared" si="65"/>
        <v>0</v>
      </c>
    </row>
    <row r="703" spans="1:22" x14ac:dyDescent="0.45">
      <c r="A703" t="s">
        <v>1489</v>
      </c>
      <c r="B703" t="s">
        <v>794</v>
      </c>
      <c r="C703" t="s">
        <v>36</v>
      </c>
      <c r="D703" t="s">
        <v>63</v>
      </c>
      <c r="E703" t="s">
        <v>18</v>
      </c>
      <c r="F703">
        <v>119</v>
      </c>
      <c r="G703">
        <v>71062</v>
      </c>
      <c r="H703">
        <v>8456378</v>
      </c>
      <c r="I703" t="s">
        <v>659</v>
      </c>
      <c r="J703" t="s">
        <v>659</v>
      </c>
      <c r="K703">
        <v>119</v>
      </c>
      <c r="L703">
        <v>0</v>
      </c>
      <c r="M703" t="s">
        <v>115</v>
      </c>
      <c r="N703" t="str">
        <f t="shared" si="60"/>
        <v>PO-100702</v>
      </c>
      <c r="O703" t="str">
        <f t="shared" si="61"/>
        <v>Delivered</v>
      </c>
      <c r="P703" t="str">
        <f t="shared" si="62"/>
        <v>WH-PUN</v>
      </c>
      <c r="Q703" t="str">
        <f>VLOOKUP(C703, Lookups!$A$2:$D$10, 2, FALSE())</f>
        <v>NextGen Hardware</v>
      </c>
      <c r="R703" t="str">
        <f>_xlfn.XLOOKUP(D703, Lookups!$A$12:$A$51, Lookups!$C$12:$C$51, "Unknown")</f>
        <v>Electronics</v>
      </c>
      <c r="S703" t="str">
        <f>IF(ISBLANK(I703), B703+VLOOKUP(C703, Lookups!$A$2:$D$10, 4, FALSE()), I703)</f>
        <v>2026-10-01</v>
      </c>
      <c r="T703">
        <f t="shared" si="63"/>
        <v>24</v>
      </c>
      <c r="U703" t="str">
        <f t="shared" si="64"/>
        <v>On-Time</v>
      </c>
      <c r="V703">
        <f t="shared" si="65"/>
        <v>0</v>
      </c>
    </row>
    <row r="704" spans="1:22" x14ac:dyDescent="0.45">
      <c r="A704" t="s">
        <v>1490</v>
      </c>
      <c r="B704" t="s">
        <v>983</v>
      </c>
      <c r="C704" t="s">
        <v>32</v>
      </c>
      <c r="D704" t="s">
        <v>84</v>
      </c>
      <c r="E704" t="s">
        <v>18</v>
      </c>
      <c r="F704">
        <v>202</v>
      </c>
      <c r="G704">
        <v>7271</v>
      </c>
      <c r="H704">
        <v>1468742</v>
      </c>
      <c r="I704" t="s">
        <v>481</v>
      </c>
      <c r="J704" t="s">
        <v>523</v>
      </c>
      <c r="K704">
        <v>202</v>
      </c>
      <c r="L704">
        <v>0</v>
      </c>
      <c r="M704" t="s">
        <v>115</v>
      </c>
      <c r="N704" t="str">
        <f t="shared" si="60"/>
        <v>PO-100703</v>
      </c>
      <c r="O704" t="str">
        <f t="shared" si="61"/>
        <v>Delivered</v>
      </c>
      <c r="P704" t="str">
        <f t="shared" si="62"/>
        <v>WH-PUN</v>
      </c>
      <c r="Q704" t="str">
        <f>VLOOKUP(C704, Lookups!$A$2:$D$10, 2, FALSE())</f>
        <v>OfficeDepot Pro</v>
      </c>
      <c r="R704" t="str">
        <f>_xlfn.XLOOKUP(D704, Lookups!$A$12:$A$51, Lookups!$C$12:$C$51, "Unknown")</f>
        <v>Peripherals</v>
      </c>
      <c r="S704" t="str">
        <f>IF(ISBLANK(I704), B704+VLOOKUP(C704, Lookups!$A$2:$D$10, 4, FALSE()), I704)</f>
        <v>2025-05-07</v>
      </c>
      <c r="T704">
        <f t="shared" si="63"/>
        <v>15</v>
      </c>
      <c r="U704" t="str">
        <f t="shared" si="64"/>
        <v>Late</v>
      </c>
      <c r="V704">
        <f t="shared" si="65"/>
        <v>0</v>
      </c>
    </row>
    <row r="705" spans="1:22" x14ac:dyDescent="0.45">
      <c r="A705" t="s">
        <v>1491</v>
      </c>
      <c r="B705" t="s">
        <v>269</v>
      </c>
      <c r="C705" t="s">
        <v>35</v>
      </c>
      <c r="D705" t="s">
        <v>60</v>
      </c>
      <c r="E705" t="s">
        <v>18</v>
      </c>
      <c r="F705">
        <v>205</v>
      </c>
      <c r="G705">
        <v>3291</v>
      </c>
      <c r="H705">
        <v>674655</v>
      </c>
      <c r="I705" t="s">
        <v>983</v>
      </c>
      <c r="J705" t="s">
        <v>1241</v>
      </c>
      <c r="K705">
        <v>205</v>
      </c>
      <c r="L705">
        <v>0</v>
      </c>
      <c r="M705" t="s">
        <v>115</v>
      </c>
      <c r="N705" t="str">
        <f t="shared" si="60"/>
        <v>PO-100704</v>
      </c>
      <c r="O705" t="str">
        <f t="shared" si="61"/>
        <v>Delivered</v>
      </c>
      <c r="P705" t="str">
        <f t="shared" si="62"/>
        <v>WH-PUN</v>
      </c>
      <c r="Q705" t="str">
        <f>VLOOKUP(C705, Lookups!$A$2:$D$10, 2, FALSE())</f>
        <v>Peripheral Source</v>
      </c>
      <c r="R705" t="str">
        <f>_xlfn.XLOOKUP(D705, Lookups!$A$12:$A$51, Lookups!$C$12:$C$51, "Unknown")</f>
        <v>Peripherals</v>
      </c>
      <c r="S705" t="str">
        <f>IF(ISBLANK(I705), B705+VLOOKUP(C705, Lookups!$A$2:$D$10, 4, FALSE()), I705)</f>
        <v>2025-04-30</v>
      </c>
      <c r="T705">
        <f t="shared" si="63"/>
        <v>11</v>
      </c>
      <c r="U705" t="str">
        <f t="shared" si="64"/>
        <v>Late</v>
      </c>
      <c r="V705">
        <f t="shared" si="65"/>
        <v>0</v>
      </c>
    </row>
    <row r="706" spans="1:22" x14ac:dyDescent="0.45">
      <c r="A706" t="s">
        <v>1492</v>
      </c>
      <c r="B706" t="s">
        <v>508</v>
      </c>
      <c r="C706" t="s">
        <v>35</v>
      </c>
      <c r="D706" t="s">
        <v>75</v>
      </c>
      <c r="E706" t="s">
        <v>18</v>
      </c>
      <c r="F706">
        <v>63</v>
      </c>
      <c r="G706">
        <v>4440</v>
      </c>
      <c r="H706">
        <v>279720</v>
      </c>
      <c r="I706" t="s">
        <v>1389</v>
      </c>
      <c r="J706" t="s">
        <v>1389</v>
      </c>
      <c r="K706">
        <v>63</v>
      </c>
      <c r="L706">
        <v>0</v>
      </c>
      <c r="M706" t="s">
        <v>115</v>
      </c>
      <c r="N706" t="str">
        <f t="shared" ref="N706:N769" si="66">TRIM(A706)</f>
        <v>PO-100705</v>
      </c>
      <c r="O706" t="str">
        <f t="shared" ref="O706:O769" si="67">PROPER(TRIM(M706))</f>
        <v>Delivered</v>
      </c>
      <c r="P706" t="str">
        <f t="shared" ref="P706:P769" si="68">TRIM(E706)</f>
        <v>WH-PUN</v>
      </c>
      <c r="Q706" t="str">
        <f>VLOOKUP(C706, Lookups!$A$2:$D$10, 2, FALSE())</f>
        <v>Peripheral Source</v>
      </c>
      <c r="R706" t="str">
        <f>_xlfn.XLOOKUP(D706, Lookups!$A$12:$A$51, Lookups!$C$12:$C$51, "Unknown")</f>
        <v>Peripherals</v>
      </c>
      <c r="S706" t="str">
        <f>IF(ISBLANK(I706), B706+VLOOKUP(C706, Lookups!$A$2:$D$10, 4, FALSE()), I706)</f>
        <v>2026-01-27</v>
      </c>
      <c r="T706">
        <f t="shared" ref="T706:T769" si="69">IF(ISBLANK(J706), "", J706-B706)</f>
        <v>10</v>
      </c>
      <c r="U706" t="str">
        <f t="shared" ref="U706:U769" si="70">IF(O706="Open", "Open", IF(J706&gt;S706, "Late", "On-Time"))</f>
        <v>On-Time</v>
      </c>
      <c r="V706">
        <f t="shared" ref="V706:V769" si="71">IF(K706&gt;0, L706/K706, 0)</f>
        <v>0</v>
      </c>
    </row>
    <row r="707" spans="1:22" x14ac:dyDescent="0.45">
      <c r="A707" t="s">
        <v>1493</v>
      </c>
      <c r="B707" t="s">
        <v>1432</v>
      </c>
      <c r="C707" t="s">
        <v>35</v>
      </c>
      <c r="D707" t="s">
        <v>70</v>
      </c>
      <c r="E707" t="s">
        <v>15</v>
      </c>
      <c r="F707">
        <v>52</v>
      </c>
      <c r="G707">
        <v>4287</v>
      </c>
      <c r="H707">
        <v>222924</v>
      </c>
      <c r="I707" t="s">
        <v>798</v>
      </c>
      <c r="J707" t="s">
        <v>798</v>
      </c>
      <c r="K707">
        <v>52</v>
      </c>
      <c r="L707">
        <v>0</v>
      </c>
      <c r="M707" t="s">
        <v>166</v>
      </c>
      <c r="N707" t="str">
        <f t="shared" si="66"/>
        <v>PO-100706</v>
      </c>
      <c r="O707" t="str">
        <f t="shared" si="67"/>
        <v>Delivered</v>
      </c>
      <c r="P707" t="str">
        <f t="shared" si="68"/>
        <v>WH-BOM</v>
      </c>
      <c r="Q707" t="str">
        <f>VLOOKUP(C707, Lookups!$A$2:$D$10, 2, FALSE())</f>
        <v>Peripheral Source</v>
      </c>
      <c r="R707" t="str">
        <f>_xlfn.XLOOKUP(D707, Lookups!$A$12:$A$51, Lookups!$C$12:$C$51, "Unknown")</f>
        <v>Peripherals</v>
      </c>
      <c r="S707" t="str">
        <f>IF(ISBLANK(I707), B707+VLOOKUP(C707, Lookups!$A$2:$D$10, 4, FALSE()), I707)</f>
        <v>2026-05-15</v>
      </c>
      <c r="T707">
        <f t="shared" si="69"/>
        <v>10</v>
      </c>
      <c r="U707" t="str">
        <f t="shared" si="70"/>
        <v>On-Time</v>
      </c>
      <c r="V707">
        <f t="shared" si="71"/>
        <v>0</v>
      </c>
    </row>
    <row r="708" spans="1:22" x14ac:dyDescent="0.45">
      <c r="A708" t="s">
        <v>1494</v>
      </c>
      <c r="B708" t="s">
        <v>1046</v>
      </c>
      <c r="C708" t="s">
        <v>34</v>
      </c>
      <c r="D708" t="s">
        <v>76</v>
      </c>
      <c r="E708" t="s">
        <v>15</v>
      </c>
      <c r="F708">
        <v>87</v>
      </c>
      <c r="G708">
        <v>26270</v>
      </c>
      <c r="H708">
        <v>2285490</v>
      </c>
      <c r="I708" t="s">
        <v>254</v>
      </c>
      <c r="J708" t="s">
        <v>370</v>
      </c>
      <c r="K708">
        <v>87</v>
      </c>
      <c r="L708">
        <v>0</v>
      </c>
      <c r="M708" t="s">
        <v>115</v>
      </c>
      <c r="N708" t="str">
        <f t="shared" si="66"/>
        <v>PO-100707</v>
      </c>
      <c r="O708" t="str">
        <f t="shared" si="67"/>
        <v>Delivered</v>
      </c>
      <c r="P708" t="str">
        <f t="shared" si="68"/>
        <v>WH-BOM</v>
      </c>
      <c r="Q708" t="str">
        <f>VLOOKUP(C708, Lookups!$A$2:$D$10, 2, FALSE())</f>
        <v>FastElectronics</v>
      </c>
      <c r="R708" t="str">
        <f>_xlfn.XLOOKUP(D708, Lookups!$A$12:$A$51, Lookups!$C$12:$C$51, "Unknown")</f>
        <v>Networking</v>
      </c>
      <c r="S708" t="str">
        <f>IF(ISBLANK(I708), B708+VLOOKUP(C708, Lookups!$A$2:$D$10, 4, FALSE()), I708)</f>
        <v>2025-11-10</v>
      </c>
      <c r="T708">
        <f t="shared" si="69"/>
        <v>19</v>
      </c>
      <c r="U708" t="str">
        <f t="shared" si="70"/>
        <v>Late</v>
      </c>
      <c r="V708">
        <f t="shared" si="71"/>
        <v>0</v>
      </c>
    </row>
    <row r="709" spans="1:22" x14ac:dyDescent="0.45">
      <c r="A709" t="s">
        <v>1495</v>
      </c>
      <c r="B709" t="s">
        <v>1496</v>
      </c>
      <c r="C709" t="s">
        <v>35</v>
      </c>
      <c r="D709" t="s">
        <v>65</v>
      </c>
      <c r="E709" t="s">
        <v>16</v>
      </c>
      <c r="F709">
        <v>10</v>
      </c>
      <c r="G709">
        <v>4936</v>
      </c>
      <c r="H709">
        <v>49360</v>
      </c>
      <c r="I709" t="s">
        <v>1497</v>
      </c>
      <c r="J709" t="s">
        <v>1497</v>
      </c>
      <c r="K709">
        <v>8</v>
      </c>
      <c r="L709">
        <v>0</v>
      </c>
      <c r="M709" t="s">
        <v>115</v>
      </c>
      <c r="N709" t="str">
        <f t="shared" si="66"/>
        <v>PO-100708</v>
      </c>
      <c r="O709" t="str">
        <f t="shared" si="67"/>
        <v>Delivered</v>
      </c>
      <c r="P709" t="str">
        <f t="shared" si="68"/>
        <v>WH-DEL</v>
      </c>
      <c r="Q709" t="str">
        <f>VLOOKUP(C709, Lookups!$A$2:$D$10, 2, FALSE())</f>
        <v>Peripheral Source</v>
      </c>
      <c r="R709" t="str">
        <f>_xlfn.XLOOKUP(D709, Lookups!$A$12:$A$51, Lookups!$C$12:$C$51, "Unknown")</f>
        <v>Peripherals</v>
      </c>
      <c r="S709" t="str">
        <f>IF(ISBLANK(I709), B709+VLOOKUP(C709, Lookups!$A$2:$D$10, 4, FALSE()), I709)</f>
        <v>2026-03-21</v>
      </c>
      <c r="T709">
        <f t="shared" si="69"/>
        <v>10</v>
      </c>
      <c r="U709" t="str">
        <f t="shared" si="70"/>
        <v>On-Time</v>
      </c>
      <c r="V709">
        <f t="shared" si="71"/>
        <v>0</v>
      </c>
    </row>
    <row r="710" spans="1:22" x14ac:dyDescent="0.45">
      <c r="A710" t="s">
        <v>1498</v>
      </c>
      <c r="B710" t="s">
        <v>1165</v>
      </c>
      <c r="C710" t="s">
        <v>36</v>
      </c>
      <c r="D710" t="s">
        <v>71</v>
      </c>
      <c r="E710" t="s">
        <v>16</v>
      </c>
      <c r="F710">
        <v>170</v>
      </c>
      <c r="G710">
        <v>65379</v>
      </c>
      <c r="H710">
        <v>11114430</v>
      </c>
      <c r="I710" t="s">
        <v>353</v>
      </c>
      <c r="J710" t="s">
        <v>354</v>
      </c>
      <c r="K710">
        <v>170</v>
      </c>
      <c r="L710">
        <v>0</v>
      </c>
      <c r="M710" t="s">
        <v>115</v>
      </c>
      <c r="N710" t="str">
        <f t="shared" si="66"/>
        <v>PO-100709</v>
      </c>
      <c r="O710" t="str">
        <f t="shared" si="67"/>
        <v>Delivered</v>
      </c>
      <c r="P710" t="str">
        <f t="shared" si="68"/>
        <v>WH-DEL</v>
      </c>
      <c r="Q710" t="str">
        <f>VLOOKUP(C710, Lookups!$A$2:$D$10, 2, FALSE())</f>
        <v>NextGen Hardware</v>
      </c>
      <c r="R710" t="str">
        <f>_xlfn.XLOOKUP(D710, Lookups!$A$12:$A$51, Lookups!$C$12:$C$51, "Unknown")</f>
        <v>Electronics</v>
      </c>
      <c r="S710" t="str">
        <f>IF(ISBLANK(I710), B710+VLOOKUP(C710, Lookups!$A$2:$D$10, 4, FALSE()), I710)</f>
        <v>2025-05-04</v>
      </c>
      <c r="T710">
        <f t="shared" si="69"/>
        <v>25</v>
      </c>
      <c r="U710" t="str">
        <f t="shared" si="70"/>
        <v>Late</v>
      </c>
      <c r="V710">
        <f t="shared" si="71"/>
        <v>0</v>
      </c>
    </row>
    <row r="711" spans="1:22" x14ac:dyDescent="0.45">
      <c r="A711" t="s">
        <v>1499</v>
      </c>
      <c r="B711" t="s">
        <v>583</v>
      </c>
      <c r="C711" t="s">
        <v>36</v>
      </c>
      <c r="D711" t="s">
        <v>90</v>
      </c>
      <c r="E711" t="s">
        <v>18</v>
      </c>
      <c r="F711">
        <v>146</v>
      </c>
      <c r="G711">
        <v>81434</v>
      </c>
      <c r="H711">
        <v>11889364</v>
      </c>
      <c r="I711" t="s">
        <v>168</v>
      </c>
      <c r="J711" t="s">
        <v>168</v>
      </c>
      <c r="K711">
        <v>146</v>
      </c>
      <c r="L711">
        <v>0</v>
      </c>
      <c r="M711" t="s">
        <v>115</v>
      </c>
      <c r="N711" t="str">
        <f t="shared" si="66"/>
        <v>PO-100710</v>
      </c>
      <c r="O711" t="str">
        <f t="shared" si="67"/>
        <v>Delivered</v>
      </c>
      <c r="P711" t="str">
        <f t="shared" si="68"/>
        <v>WH-PUN</v>
      </c>
      <c r="Q711" t="str">
        <f>VLOOKUP(C711, Lookups!$A$2:$D$10, 2, FALSE())</f>
        <v>NextGen Hardware</v>
      </c>
      <c r="R711" t="str">
        <f>_xlfn.XLOOKUP(D711, Lookups!$A$12:$A$51, Lookups!$C$12:$C$51, "Unknown")</f>
        <v>Electronics</v>
      </c>
      <c r="S711" t="str">
        <f>IF(ISBLANK(I711), B711+VLOOKUP(C711, Lookups!$A$2:$D$10, 4, FALSE()), I711)</f>
        <v>2025-05-20</v>
      </c>
      <c r="T711">
        <f t="shared" si="69"/>
        <v>24</v>
      </c>
      <c r="U711" t="str">
        <f t="shared" si="70"/>
        <v>On-Time</v>
      </c>
      <c r="V711">
        <f t="shared" si="71"/>
        <v>0</v>
      </c>
    </row>
    <row r="712" spans="1:22" x14ac:dyDescent="0.45">
      <c r="A712" t="s">
        <v>1500</v>
      </c>
      <c r="B712" t="s">
        <v>1433</v>
      </c>
      <c r="C712" t="s">
        <v>30</v>
      </c>
      <c r="D712" t="s">
        <v>53</v>
      </c>
      <c r="E712" t="s">
        <v>17</v>
      </c>
      <c r="F712">
        <v>109</v>
      </c>
      <c r="G712">
        <v>81048</v>
      </c>
      <c r="H712">
        <v>8834232</v>
      </c>
      <c r="I712" t="s">
        <v>529</v>
      </c>
      <c r="J712" t="s">
        <v>1501</v>
      </c>
      <c r="K712">
        <v>109</v>
      </c>
      <c r="L712">
        <v>0</v>
      </c>
      <c r="M712" t="s">
        <v>115</v>
      </c>
      <c r="N712" t="str">
        <f t="shared" si="66"/>
        <v>PO-100711</v>
      </c>
      <c r="O712" t="str">
        <f t="shared" si="67"/>
        <v>Delivered</v>
      </c>
      <c r="P712" t="str">
        <f t="shared" si="68"/>
        <v>WH-BLR</v>
      </c>
      <c r="Q712" t="str">
        <f>VLOOKUP(C712, Lookups!$A$2:$D$10, 2, FALSE())</f>
        <v>TechSupply Corp</v>
      </c>
      <c r="R712" t="str">
        <f>_xlfn.XLOOKUP(D712, Lookups!$A$12:$A$51, Lookups!$C$12:$C$51, "Unknown")</f>
        <v>Electronics</v>
      </c>
      <c r="S712" t="str">
        <f>IF(ISBLANK(I712), B712+VLOOKUP(C712, Lookups!$A$2:$D$10, 4, FALSE()), I712)</f>
        <v>2026-05-20</v>
      </c>
      <c r="T712">
        <f t="shared" si="69"/>
        <v>15</v>
      </c>
      <c r="U712" t="str">
        <f t="shared" si="70"/>
        <v>Late</v>
      </c>
      <c r="V712">
        <f t="shared" si="71"/>
        <v>0</v>
      </c>
    </row>
    <row r="713" spans="1:22" x14ac:dyDescent="0.45">
      <c r="A713" t="s">
        <v>1502</v>
      </c>
      <c r="B713" t="s">
        <v>466</v>
      </c>
      <c r="C713" t="s">
        <v>35</v>
      </c>
      <c r="D713" t="s">
        <v>65</v>
      </c>
      <c r="E713" t="s">
        <v>18</v>
      </c>
      <c r="F713">
        <v>151</v>
      </c>
      <c r="G713">
        <v>4936</v>
      </c>
      <c r="H713">
        <v>745336</v>
      </c>
      <c r="I713" t="s">
        <v>184</v>
      </c>
      <c r="J713" t="s">
        <v>184</v>
      </c>
      <c r="K713">
        <v>110</v>
      </c>
      <c r="L713">
        <v>0</v>
      </c>
      <c r="M713" t="s">
        <v>115</v>
      </c>
      <c r="N713" t="str">
        <f t="shared" si="66"/>
        <v>PO-100712</v>
      </c>
      <c r="O713" t="str">
        <f t="shared" si="67"/>
        <v>Delivered</v>
      </c>
      <c r="P713" t="str">
        <f t="shared" si="68"/>
        <v>WH-PUN</v>
      </c>
      <c r="Q713" t="str">
        <f>VLOOKUP(C713, Lookups!$A$2:$D$10, 2, FALSE())</f>
        <v>Peripheral Source</v>
      </c>
      <c r="R713" t="str">
        <f>_xlfn.XLOOKUP(D713, Lookups!$A$12:$A$51, Lookups!$C$12:$C$51, "Unknown")</f>
        <v>Peripherals</v>
      </c>
      <c r="S713" t="str">
        <f>IF(ISBLANK(I713), B713+VLOOKUP(C713, Lookups!$A$2:$D$10, 4, FALSE()), I713)</f>
        <v>2025-02-02</v>
      </c>
      <c r="T713">
        <f t="shared" si="69"/>
        <v>10</v>
      </c>
      <c r="U713" t="str">
        <f t="shared" si="70"/>
        <v>On-Time</v>
      </c>
      <c r="V713">
        <f t="shared" si="71"/>
        <v>0</v>
      </c>
    </row>
    <row r="714" spans="1:22" x14ac:dyDescent="0.45">
      <c r="A714" t="s">
        <v>1503</v>
      </c>
      <c r="B714" t="s">
        <v>1048</v>
      </c>
      <c r="C714" t="s">
        <v>36</v>
      </c>
      <c r="D714" t="s">
        <v>90</v>
      </c>
      <c r="E714" t="s">
        <v>16</v>
      </c>
      <c r="F714">
        <v>112</v>
      </c>
      <c r="G714">
        <v>81434</v>
      </c>
      <c r="H714">
        <v>9120608</v>
      </c>
      <c r="I714" t="s">
        <v>530</v>
      </c>
      <c r="J714" t="s">
        <v>530</v>
      </c>
      <c r="K714">
        <v>112</v>
      </c>
      <c r="L714">
        <v>0</v>
      </c>
      <c r="M714" t="s">
        <v>115</v>
      </c>
      <c r="N714" t="str">
        <f t="shared" si="66"/>
        <v>PO-100713</v>
      </c>
      <c r="O714" t="str">
        <f t="shared" si="67"/>
        <v>Delivered</v>
      </c>
      <c r="P714" t="str">
        <f t="shared" si="68"/>
        <v>WH-DEL</v>
      </c>
      <c r="Q714" t="str">
        <f>VLOOKUP(C714, Lookups!$A$2:$D$10, 2, FALSE())</f>
        <v>NextGen Hardware</v>
      </c>
      <c r="R714" t="str">
        <f>_xlfn.XLOOKUP(D714, Lookups!$A$12:$A$51, Lookups!$C$12:$C$51, "Unknown")</f>
        <v>Electronics</v>
      </c>
      <c r="S714" t="str">
        <f>IF(ISBLANK(I714), B714+VLOOKUP(C714, Lookups!$A$2:$D$10, 4, FALSE()), I714)</f>
        <v>2026-06-07</v>
      </c>
      <c r="T714">
        <f t="shared" si="69"/>
        <v>24</v>
      </c>
      <c r="U714" t="str">
        <f t="shared" si="70"/>
        <v>On-Time</v>
      </c>
      <c r="V714">
        <f t="shared" si="71"/>
        <v>0</v>
      </c>
    </row>
    <row r="715" spans="1:22" x14ac:dyDescent="0.45">
      <c r="A715" t="s">
        <v>1504</v>
      </c>
      <c r="B715" t="s">
        <v>242</v>
      </c>
      <c r="C715" t="s">
        <v>30</v>
      </c>
      <c r="D715" t="s">
        <v>61</v>
      </c>
      <c r="E715" t="s">
        <v>15</v>
      </c>
      <c r="F715">
        <v>179</v>
      </c>
      <c r="G715">
        <v>111237</v>
      </c>
      <c r="H715">
        <v>19911423</v>
      </c>
      <c r="I715" t="s">
        <v>468</v>
      </c>
      <c r="J715" t="s">
        <v>249</v>
      </c>
      <c r="K715">
        <v>179</v>
      </c>
      <c r="L715">
        <v>0</v>
      </c>
      <c r="M715" t="s">
        <v>115</v>
      </c>
      <c r="N715" t="str">
        <f t="shared" si="66"/>
        <v>PO-100714</v>
      </c>
      <c r="O715" t="str">
        <f t="shared" si="67"/>
        <v>Delivered</v>
      </c>
      <c r="P715" t="str">
        <f t="shared" si="68"/>
        <v>WH-BOM</v>
      </c>
      <c r="Q715" t="str">
        <f>VLOOKUP(C715, Lookups!$A$2:$D$10, 2, FALSE())</f>
        <v>TechSupply Corp</v>
      </c>
      <c r="R715" t="str">
        <f>_xlfn.XLOOKUP(D715, Lookups!$A$12:$A$51, Lookups!$C$12:$C$51, "Unknown")</f>
        <v>Electronics</v>
      </c>
      <c r="S715" t="str">
        <f>IF(ISBLANK(I715), B715+VLOOKUP(C715, Lookups!$A$2:$D$10, 4, FALSE()), I715)</f>
        <v>2025-07-19</v>
      </c>
      <c r="T715">
        <f t="shared" si="69"/>
        <v>15</v>
      </c>
      <c r="U715" t="str">
        <f t="shared" si="70"/>
        <v>Late</v>
      </c>
      <c r="V715">
        <f t="shared" si="71"/>
        <v>0</v>
      </c>
    </row>
    <row r="716" spans="1:22" x14ac:dyDescent="0.45">
      <c r="A716" t="s">
        <v>1505</v>
      </c>
      <c r="B716" t="s">
        <v>350</v>
      </c>
      <c r="C716" t="s">
        <v>31</v>
      </c>
      <c r="D716" t="s">
        <v>66</v>
      </c>
      <c r="E716" t="s">
        <v>326</v>
      </c>
      <c r="F716">
        <v>26</v>
      </c>
      <c r="G716">
        <v>29719</v>
      </c>
      <c r="H716">
        <v>772694</v>
      </c>
      <c r="I716" t="s">
        <v>1223</v>
      </c>
      <c r="J716" t="s">
        <v>1338</v>
      </c>
      <c r="K716">
        <v>24</v>
      </c>
      <c r="L716">
        <v>0</v>
      </c>
      <c r="M716" t="s">
        <v>115</v>
      </c>
      <c r="N716" t="str">
        <f t="shared" si="66"/>
        <v>PO-100715</v>
      </c>
      <c r="O716" t="str">
        <f t="shared" si="67"/>
        <v>Delivered</v>
      </c>
      <c r="P716" t="str">
        <f t="shared" si="68"/>
        <v>WH-BLR</v>
      </c>
      <c r="Q716" t="str">
        <f>VLOOKUP(C716, Lookups!$A$2:$D$10, 2, FALSE())</f>
        <v>Global Networks</v>
      </c>
      <c r="R716" t="str">
        <f>_xlfn.XLOOKUP(D716, Lookups!$A$12:$A$51, Lookups!$C$12:$C$51, "Unknown")</f>
        <v>Networking</v>
      </c>
      <c r="S716" t="str">
        <f>IF(ISBLANK(I716), B716+VLOOKUP(C716, Lookups!$A$2:$D$10, 4, FALSE()), I716)</f>
        <v>2026-09-26</v>
      </c>
      <c r="T716">
        <f t="shared" si="69"/>
        <v>27</v>
      </c>
      <c r="U716" t="str">
        <f t="shared" si="70"/>
        <v>Late</v>
      </c>
      <c r="V716">
        <f t="shared" si="71"/>
        <v>0</v>
      </c>
    </row>
    <row r="717" spans="1:22" x14ac:dyDescent="0.45">
      <c r="A717" t="s">
        <v>1506</v>
      </c>
      <c r="B717" t="s">
        <v>524</v>
      </c>
      <c r="C717" t="s">
        <v>33</v>
      </c>
      <c r="D717" t="s">
        <v>89</v>
      </c>
      <c r="E717" t="s">
        <v>15</v>
      </c>
      <c r="F717">
        <v>30</v>
      </c>
      <c r="G717">
        <v>11309</v>
      </c>
      <c r="H717">
        <v>339270</v>
      </c>
      <c r="I717" t="s">
        <v>215</v>
      </c>
      <c r="J717" t="s">
        <v>215</v>
      </c>
      <c r="K717">
        <v>30</v>
      </c>
      <c r="L717">
        <v>0</v>
      </c>
      <c r="M717" t="s">
        <v>115</v>
      </c>
      <c r="N717" t="str">
        <f t="shared" si="66"/>
        <v>PO-100716</v>
      </c>
      <c r="O717" t="str">
        <f t="shared" si="67"/>
        <v>Delivered</v>
      </c>
      <c r="P717" t="str">
        <f t="shared" si="68"/>
        <v>WH-BOM</v>
      </c>
      <c r="Q717" t="str">
        <f>VLOOKUP(C717, Lookups!$A$2:$D$10, 2, FALSE())</f>
        <v>MegaFurnish</v>
      </c>
      <c r="R717" t="str">
        <f>_xlfn.XLOOKUP(D717, Lookups!$A$12:$A$51, Lookups!$C$12:$C$51, "Unknown")</f>
        <v>Office Furniture</v>
      </c>
      <c r="S717" t="str">
        <f>IF(ISBLANK(I717), B717+VLOOKUP(C717, Lookups!$A$2:$D$10, 4, FALSE()), I717)</f>
        <v>2025-06-28</v>
      </c>
      <c r="T717">
        <f t="shared" si="69"/>
        <v>30</v>
      </c>
      <c r="U717" t="str">
        <f t="shared" si="70"/>
        <v>On-Time</v>
      </c>
      <c r="V717">
        <f t="shared" si="71"/>
        <v>0</v>
      </c>
    </row>
    <row r="718" spans="1:22" x14ac:dyDescent="0.45">
      <c r="A718" t="s">
        <v>1507</v>
      </c>
      <c r="B718" t="s">
        <v>1095</v>
      </c>
      <c r="C718" t="s">
        <v>30</v>
      </c>
      <c r="D718" t="s">
        <v>59</v>
      </c>
      <c r="E718" t="s">
        <v>16</v>
      </c>
      <c r="F718">
        <v>15</v>
      </c>
      <c r="G718">
        <v>48905</v>
      </c>
      <c r="H718">
        <v>733575</v>
      </c>
      <c r="I718" t="s">
        <v>1501</v>
      </c>
      <c r="J718" t="s">
        <v>1508</v>
      </c>
      <c r="K718">
        <v>15</v>
      </c>
      <c r="L718">
        <v>0</v>
      </c>
      <c r="M718" t="s">
        <v>115</v>
      </c>
      <c r="N718" t="str">
        <f t="shared" si="66"/>
        <v>PO-100717</v>
      </c>
      <c r="O718" t="str">
        <f t="shared" si="67"/>
        <v>Delivered</v>
      </c>
      <c r="P718" t="str">
        <f t="shared" si="68"/>
        <v>WH-DEL</v>
      </c>
      <c r="Q718" t="str">
        <f>VLOOKUP(C718, Lookups!$A$2:$D$10, 2, FALSE())</f>
        <v>TechSupply Corp</v>
      </c>
      <c r="R718" t="str">
        <f>_xlfn.XLOOKUP(D718, Lookups!$A$12:$A$51, Lookups!$C$12:$C$51, "Unknown")</f>
        <v>Electronics</v>
      </c>
      <c r="S718" t="str">
        <f>IF(ISBLANK(I718), B718+VLOOKUP(C718, Lookups!$A$2:$D$10, 4, FALSE()), I718)</f>
        <v>2026-05-21</v>
      </c>
      <c r="T718">
        <f t="shared" si="69"/>
        <v>17</v>
      </c>
      <c r="U718" t="str">
        <f t="shared" si="70"/>
        <v>Late</v>
      </c>
      <c r="V718">
        <f t="shared" si="71"/>
        <v>0</v>
      </c>
    </row>
    <row r="719" spans="1:22" x14ac:dyDescent="0.45">
      <c r="A719" t="s">
        <v>1509</v>
      </c>
      <c r="B719" t="s">
        <v>385</v>
      </c>
      <c r="C719" t="s">
        <v>36</v>
      </c>
      <c r="D719" t="s">
        <v>55</v>
      </c>
      <c r="E719" t="s">
        <v>18</v>
      </c>
      <c r="F719">
        <v>95</v>
      </c>
      <c r="G719">
        <v>58434</v>
      </c>
      <c r="H719">
        <v>5551230</v>
      </c>
      <c r="I719" t="s">
        <v>1496</v>
      </c>
      <c r="J719" t="s">
        <v>337</v>
      </c>
      <c r="K719">
        <v>95</v>
      </c>
      <c r="L719">
        <v>0</v>
      </c>
      <c r="M719" t="s">
        <v>115</v>
      </c>
      <c r="N719" t="str">
        <f t="shared" si="66"/>
        <v>PO-100718</v>
      </c>
      <c r="O719" t="str">
        <f t="shared" si="67"/>
        <v>Delivered</v>
      </c>
      <c r="P719" t="str">
        <f t="shared" si="68"/>
        <v>WH-PUN</v>
      </c>
      <c r="Q719" t="str">
        <f>VLOOKUP(C719, Lookups!$A$2:$D$10, 2, FALSE())</f>
        <v>NextGen Hardware</v>
      </c>
      <c r="R719" t="str">
        <f>_xlfn.XLOOKUP(D719, Lookups!$A$12:$A$51, Lookups!$C$12:$C$51, "Unknown")</f>
        <v>Electronics</v>
      </c>
      <c r="S719" t="str">
        <f>IF(ISBLANK(I719), B719+VLOOKUP(C719, Lookups!$A$2:$D$10, 4, FALSE()), I719)</f>
        <v>2026-03-11</v>
      </c>
      <c r="T719">
        <f t="shared" si="69"/>
        <v>25</v>
      </c>
      <c r="U719" t="str">
        <f t="shared" si="70"/>
        <v>Late</v>
      </c>
      <c r="V719">
        <f t="shared" si="71"/>
        <v>0</v>
      </c>
    </row>
    <row r="720" spans="1:22" x14ac:dyDescent="0.45">
      <c r="A720" t="s">
        <v>1510</v>
      </c>
      <c r="B720" t="s">
        <v>889</v>
      </c>
      <c r="C720" t="s">
        <v>33</v>
      </c>
      <c r="D720" t="s">
        <v>89</v>
      </c>
      <c r="E720" t="s">
        <v>18</v>
      </c>
      <c r="F720">
        <v>169</v>
      </c>
      <c r="G720">
        <v>11309</v>
      </c>
      <c r="H720">
        <v>1911221</v>
      </c>
      <c r="I720" t="s">
        <v>255</v>
      </c>
      <c r="J720" t="s">
        <v>463</v>
      </c>
      <c r="K720">
        <v>169</v>
      </c>
      <c r="L720">
        <v>0</v>
      </c>
      <c r="M720" t="s">
        <v>115</v>
      </c>
      <c r="N720" t="str">
        <f t="shared" si="66"/>
        <v>PO-100719</v>
      </c>
      <c r="O720" t="str">
        <f t="shared" si="67"/>
        <v>Delivered</v>
      </c>
      <c r="P720" t="str">
        <f t="shared" si="68"/>
        <v>WH-PUN</v>
      </c>
      <c r="Q720" t="str">
        <f>VLOOKUP(C720, Lookups!$A$2:$D$10, 2, FALSE())</f>
        <v>MegaFurnish</v>
      </c>
      <c r="R720" t="str">
        <f>_xlfn.XLOOKUP(D720, Lookups!$A$12:$A$51, Lookups!$C$12:$C$51, "Unknown")</f>
        <v>Office Furniture</v>
      </c>
      <c r="S720" t="str">
        <f>IF(ISBLANK(I720), B720+VLOOKUP(C720, Lookups!$A$2:$D$10, 4, FALSE()), I720)</f>
        <v>2025-11-18</v>
      </c>
      <c r="T720">
        <f t="shared" si="69"/>
        <v>31</v>
      </c>
      <c r="U720" t="str">
        <f t="shared" si="70"/>
        <v>Late</v>
      </c>
      <c r="V720">
        <f t="shared" si="71"/>
        <v>0</v>
      </c>
    </row>
    <row r="721" spans="1:22" x14ac:dyDescent="0.45">
      <c r="A721" t="s">
        <v>1511</v>
      </c>
      <c r="B721" t="s">
        <v>269</v>
      </c>
      <c r="C721" t="s">
        <v>37</v>
      </c>
      <c r="D721" t="s">
        <v>83</v>
      </c>
      <c r="E721" t="s">
        <v>15</v>
      </c>
      <c r="F721">
        <v>38</v>
      </c>
      <c r="G721">
        <v>19850</v>
      </c>
      <c r="H721">
        <v>754300</v>
      </c>
      <c r="I721" t="s">
        <v>1247</v>
      </c>
      <c r="J721" t="s">
        <v>961</v>
      </c>
      <c r="K721">
        <v>38</v>
      </c>
      <c r="L721">
        <v>0</v>
      </c>
      <c r="M721" t="s">
        <v>115</v>
      </c>
      <c r="N721" t="str">
        <f t="shared" si="66"/>
        <v>PO-100720</v>
      </c>
      <c r="O721" t="str">
        <f t="shared" si="67"/>
        <v>Delivered</v>
      </c>
      <c r="P721" t="str">
        <f t="shared" si="68"/>
        <v>WH-BOM</v>
      </c>
      <c r="Q721" t="str">
        <f>VLOOKUP(C721, Lookups!$A$2:$D$10, 2, FALSE())</f>
        <v>Premium Desks Ltd</v>
      </c>
      <c r="R721" t="str">
        <f>_xlfn.XLOOKUP(D721, Lookups!$A$12:$A$51, Lookups!$C$12:$C$51, "Unknown")</f>
        <v>Office Furniture</v>
      </c>
      <c r="S721" t="str">
        <f>IF(ISBLANK(I721), B721+VLOOKUP(C721, Lookups!$A$2:$D$10, 4, FALSE()), I721)</f>
        <v>2025-05-02</v>
      </c>
      <c r="T721">
        <f t="shared" si="69"/>
        <v>13</v>
      </c>
      <c r="U721" t="str">
        <f t="shared" si="70"/>
        <v>Late</v>
      </c>
      <c r="V721">
        <f t="shared" si="71"/>
        <v>0</v>
      </c>
    </row>
    <row r="722" spans="1:22" x14ac:dyDescent="0.45">
      <c r="A722" t="s">
        <v>1512</v>
      </c>
      <c r="B722" t="s">
        <v>1263</v>
      </c>
      <c r="C722" t="s">
        <v>31</v>
      </c>
      <c r="D722" t="s">
        <v>85</v>
      </c>
      <c r="E722" t="s">
        <v>15</v>
      </c>
      <c r="F722">
        <v>151</v>
      </c>
      <c r="G722">
        <v>16501</v>
      </c>
      <c r="H722">
        <v>2491651</v>
      </c>
      <c r="I722" t="s">
        <v>358</v>
      </c>
      <c r="J722" t="s">
        <v>358</v>
      </c>
      <c r="K722">
        <v>151</v>
      </c>
      <c r="L722">
        <v>0</v>
      </c>
      <c r="M722" t="s">
        <v>115</v>
      </c>
      <c r="N722" t="str">
        <f t="shared" si="66"/>
        <v>PO-100721</v>
      </c>
      <c r="O722" t="str">
        <f t="shared" si="67"/>
        <v>Delivered</v>
      </c>
      <c r="P722" t="str">
        <f t="shared" si="68"/>
        <v>WH-BOM</v>
      </c>
      <c r="Q722" t="str">
        <f>VLOOKUP(C722, Lookups!$A$2:$D$10, 2, FALSE())</f>
        <v>Global Networks</v>
      </c>
      <c r="R722" t="str">
        <f>_xlfn.XLOOKUP(D722, Lookups!$A$12:$A$51, Lookups!$C$12:$C$51, "Unknown")</f>
        <v>Networking</v>
      </c>
      <c r="S722" t="str">
        <f>IF(ISBLANK(I722), B722+VLOOKUP(C722, Lookups!$A$2:$D$10, 4, FALSE()), I722)</f>
        <v>2026-01-21</v>
      </c>
      <c r="T722">
        <f t="shared" si="69"/>
        <v>21</v>
      </c>
      <c r="U722" t="str">
        <f t="shared" si="70"/>
        <v>On-Time</v>
      </c>
      <c r="V722">
        <f t="shared" si="71"/>
        <v>0</v>
      </c>
    </row>
    <row r="723" spans="1:22" x14ac:dyDescent="0.45">
      <c r="A723" t="s">
        <v>1513</v>
      </c>
      <c r="B723" t="s">
        <v>1514</v>
      </c>
      <c r="C723" t="s">
        <v>37</v>
      </c>
      <c r="D723" t="s">
        <v>79</v>
      </c>
      <c r="E723" t="s">
        <v>15</v>
      </c>
      <c r="F723">
        <v>136</v>
      </c>
      <c r="G723">
        <v>23054</v>
      </c>
      <c r="H723">
        <v>3135344</v>
      </c>
      <c r="I723" t="s">
        <v>697</v>
      </c>
      <c r="J723" t="s">
        <v>940</v>
      </c>
      <c r="K723">
        <v>136</v>
      </c>
      <c r="L723">
        <v>0</v>
      </c>
      <c r="M723" t="s">
        <v>927</v>
      </c>
      <c r="N723" t="str">
        <f t="shared" si="66"/>
        <v>PO-100722</v>
      </c>
      <c r="O723" t="str">
        <f t="shared" si="67"/>
        <v>Delivered</v>
      </c>
      <c r="P723" t="str">
        <f t="shared" si="68"/>
        <v>WH-BOM</v>
      </c>
      <c r="Q723" t="str">
        <f>VLOOKUP(C723, Lookups!$A$2:$D$10, 2, FALSE())</f>
        <v>Premium Desks Ltd</v>
      </c>
      <c r="R723" t="str">
        <f>_xlfn.XLOOKUP(D723, Lookups!$A$12:$A$51, Lookups!$C$12:$C$51, "Unknown")</f>
        <v>Office Furniture</v>
      </c>
      <c r="S723" t="str">
        <f>IF(ISBLANK(I723), B723+VLOOKUP(C723, Lookups!$A$2:$D$10, 4, FALSE()), I723)</f>
        <v>2025-01-22</v>
      </c>
      <c r="T723">
        <f t="shared" si="69"/>
        <v>10</v>
      </c>
      <c r="U723" t="str">
        <f t="shared" si="70"/>
        <v>On-Time</v>
      </c>
      <c r="V723">
        <f t="shared" si="71"/>
        <v>0</v>
      </c>
    </row>
    <row r="724" spans="1:22" x14ac:dyDescent="0.45">
      <c r="A724" t="s">
        <v>1515</v>
      </c>
      <c r="B724" t="s">
        <v>502</v>
      </c>
      <c r="C724" t="s">
        <v>31</v>
      </c>
      <c r="D724" t="s">
        <v>64</v>
      </c>
      <c r="E724" t="s">
        <v>15</v>
      </c>
      <c r="F724">
        <v>53</v>
      </c>
      <c r="G724">
        <v>36295</v>
      </c>
      <c r="H724">
        <v>1923635</v>
      </c>
      <c r="I724" t="s">
        <v>625</v>
      </c>
      <c r="J724" t="s">
        <v>700</v>
      </c>
      <c r="K724">
        <v>53</v>
      </c>
      <c r="L724">
        <v>0</v>
      </c>
      <c r="M724" t="s">
        <v>115</v>
      </c>
      <c r="N724" t="str">
        <f t="shared" si="66"/>
        <v>PO-100723</v>
      </c>
      <c r="O724" t="str">
        <f t="shared" si="67"/>
        <v>Delivered</v>
      </c>
      <c r="P724" t="str">
        <f t="shared" si="68"/>
        <v>WH-BOM</v>
      </c>
      <c r="Q724" t="str">
        <f>VLOOKUP(C724, Lookups!$A$2:$D$10, 2, FALSE())</f>
        <v>Global Networks</v>
      </c>
      <c r="R724" t="str">
        <f>_xlfn.XLOOKUP(D724, Lookups!$A$12:$A$51, Lookups!$C$12:$C$51, "Unknown")</f>
        <v>Networking</v>
      </c>
      <c r="S724" t="str">
        <f>IF(ISBLANK(I724), B724+VLOOKUP(C724, Lookups!$A$2:$D$10, 4, FALSE()), I724)</f>
        <v>2026-03-15</v>
      </c>
      <c r="T724">
        <f t="shared" si="69"/>
        <v>22</v>
      </c>
      <c r="U724" t="str">
        <f t="shared" si="70"/>
        <v>Late</v>
      </c>
      <c r="V724">
        <f t="shared" si="71"/>
        <v>0</v>
      </c>
    </row>
    <row r="725" spans="1:22" x14ac:dyDescent="0.45">
      <c r="A725" t="s">
        <v>1516</v>
      </c>
      <c r="B725" t="s">
        <v>1442</v>
      </c>
      <c r="C725" t="s">
        <v>37</v>
      </c>
      <c r="D725" t="s">
        <v>78</v>
      </c>
      <c r="E725" t="s">
        <v>15</v>
      </c>
      <c r="F725">
        <v>117</v>
      </c>
      <c r="G725">
        <v>9423</v>
      </c>
      <c r="H725">
        <v>1102491</v>
      </c>
      <c r="I725" t="s">
        <v>458</v>
      </c>
      <c r="J725" t="s">
        <v>469</v>
      </c>
      <c r="K725">
        <v>117</v>
      </c>
      <c r="L725">
        <v>0</v>
      </c>
      <c r="M725" t="s">
        <v>115</v>
      </c>
      <c r="N725" t="str">
        <f t="shared" si="66"/>
        <v>PO-100724</v>
      </c>
      <c r="O725" t="str">
        <f t="shared" si="67"/>
        <v>Delivered</v>
      </c>
      <c r="P725" t="str">
        <f t="shared" si="68"/>
        <v>WH-BOM</v>
      </c>
      <c r="Q725" t="str">
        <f>VLOOKUP(C725, Lookups!$A$2:$D$10, 2, FALSE())</f>
        <v>Premium Desks Ltd</v>
      </c>
      <c r="R725" t="str">
        <f>_xlfn.XLOOKUP(D725, Lookups!$A$12:$A$51, Lookups!$C$12:$C$51, "Unknown")</f>
        <v>Office Furniture</v>
      </c>
      <c r="S725" t="str">
        <f>IF(ISBLANK(I725), B725+VLOOKUP(C725, Lookups!$A$2:$D$10, 4, FALSE()), I725)</f>
        <v>2025-07-14</v>
      </c>
      <c r="T725">
        <f t="shared" si="69"/>
        <v>13</v>
      </c>
      <c r="U725" t="str">
        <f t="shared" si="70"/>
        <v>Late</v>
      </c>
      <c r="V725">
        <f t="shared" si="71"/>
        <v>0</v>
      </c>
    </row>
    <row r="726" spans="1:22" x14ac:dyDescent="0.45">
      <c r="A726" t="s">
        <v>1517</v>
      </c>
      <c r="B726" t="s">
        <v>1173</v>
      </c>
      <c r="C726" t="s">
        <v>31</v>
      </c>
      <c r="D726" t="s">
        <v>56</v>
      </c>
      <c r="E726" t="s">
        <v>15</v>
      </c>
      <c r="F726">
        <v>156</v>
      </c>
      <c r="G726">
        <v>39270</v>
      </c>
      <c r="H726">
        <v>6126120</v>
      </c>
      <c r="I726" t="s">
        <v>484</v>
      </c>
      <c r="J726" t="s">
        <v>484</v>
      </c>
      <c r="K726">
        <v>156</v>
      </c>
      <c r="L726">
        <v>0</v>
      </c>
      <c r="M726" t="s">
        <v>115</v>
      </c>
      <c r="N726" t="str">
        <f t="shared" si="66"/>
        <v>PO-100725</v>
      </c>
      <c r="O726" t="str">
        <f t="shared" si="67"/>
        <v>Delivered</v>
      </c>
      <c r="P726" t="str">
        <f t="shared" si="68"/>
        <v>WH-BOM</v>
      </c>
      <c r="Q726" t="str">
        <f>VLOOKUP(C726, Lookups!$A$2:$D$10, 2, FALSE())</f>
        <v>Global Networks</v>
      </c>
      <c r="R726" t="str">
        <f>_xlfn.XLOOKUP(D726, Lookups!$A$12:$A$51, Lookups!$C$12:$C$51, "Unknown")</f>
        <v>Networking</v>
      </c>
      <c r="S726" t="str">
        <f>IF(ISBLANK(I726), B726+VLOOKUP(C726, Lookups!$A$2:$D$10, 4, FALSE()), I726)</f>
        <v>2026-06-25</v>
      </c>
      <c r="T726">
        <f t="shared" si="69"/>
        <v>21</v>
      </c>
      <c r="U726" t="str">
        <f t="shared" si="70"/>
        <v>On-Time</v>
      </c>
      <c r="V726">
        <f t="shared" si="71"/>
        <v>0</v>
      </c>
    </row>
    <row r="727" spans="1:22" x14ac:dyDescent="0.45">
      <c r="A727" t="s">
        <v>1518</v>
      </c>
      <c r="B727" t="s">
        <v>999</v>
      </c>
      <c r="C727" t="s">
        <v>33</v>
      </c>
      <c r="D727" t="s">
        <v>89</v>
      </c>
      <c r="E727" t="s">
        <v>15</v>
      </c>
      <c r="F727">
        <v>110</v>
      </c>
      <c r="G727">
        <v>11309</v>
      </c>
      <c r="H727">
        <v>1243990</v>
      </c>
      <c r="I727" t="s">
        <v>1519</v>
      </c>
      <c r="J727" t="s">
        <v>1519</v>
      </c>
      <c r="K727">
        <v>110</v>
      </c>
      <c r="L727">
        <v>0</v>
      </c>
      <c r="M727" t="s">
        <v>115</v>
      </c>
      <c r="N727" t="str">
        <f t="shared" si="66"/>
        <v>PO-100726</v>
      </c>
      <c r="O727" t="str">
        <f t="shared" si="67"/>
        <v>Delivered</v>
      </c>
      <c r="P727" t="str">
        <f t="shared" si="68"/>
        <v>WH-BOM</v>
      </c>
      <c r="Q727" t="str">
        <f>VLOOKUP(C727, Lookups!$A$2:$D$10, 2, FALSE())</f>
        <v>MegaFurnish</v>
      </c>
      <c r="R727" t="str">
        <f>_xlfn.XLOOKUP(D727, Lookups!$A$12:$A$51, Lookups!$C$12:$C$51, "Unknown")</f>
        <v>Office Furniture</v>
      </c>
      <c r="S727" t="str">
        <f>IF(ISBLANK(I727), B727+VLOOKUP(C727, Lookups!$A$2:$D$10, 4, FALSE()), I727)</f>
        <v>2026-09-27</v>
      </c>
      <c r="T727">
        <f t="shared" si="69"/>
        <v>30</v>
      </c>
      <c r="U727" t="str">
        <f t="shared" si="70"/>
        <v>On-Time</v>
      </c>
      <c r="V727">
        <f t="shared" si="71"/>
        <v>0</v>
      </c>
    </row>
    <row r="728" spans="1:22" x14ac:dyDescent="0.45">
      <c r="A728" t="s">
        <v>1520</v>
      </c>
      <c r="B728" t="s">
        <v>894</v>
      </c>
      <c r="C728" t="s">
        <v>30</v>
      </c>
      <c r="D728" t="s">
        <v>52</v>
      </c>
      <c r="E728" t="s">
        <v>18</v>
      </c>
      <c r="F728">
        <v>29</v>
      </c>
      <c r="G728">
        <v>59592</v>
      </c>
      <c r="H728">
        <v>1728168</v>
      </c>
      <c r="I728" t="s">
        <v>1070</v>
      </c>
      <c r="J728" t="s">
        <v>171</v>
      </c>
      <c r="K728">
        <v>29</v>
      </c>
      <c r="L728">
        <v>0</v>
      </c>
      <c r="M728" t="s">
        <v>115</v>
      </c>
      <c r="N728" t="str">
        <f t="shared" si="66"/>
        <v>PO-100727</v>
      </c>
      <c r="O728" t="str">
        <f t="shared" si="67"/>
        <v>Delivered</v>
      </c>
      <c r="P728" t="str">
        <f t="shared" si="68"/>
        <v>WH-PUN</v>
      </c>
      <c r="Q728" t="str">
        <f>VLOOKUP(C728, Lookups!$A$2:$D$10, 2, FALSE())</f>
        <v>TechSupply Corp</v>
      </c>
      <c r="R728" t="str">
        <f>_xlfn.XLOOKUP(D728, Lookups!$A$12:$A$51, Lookups!$C$12:$C$51, "Unknown")</f>
        <v>Electronics</v>
      </c>
      <c r="S728" t="str">
        <f>IF(ISBLANK(I728), B728+VLOOKUP(C728, Lookups!$A$2:$D$10, 4, FALSE()), I728)</f>
        <v>2025-08-15</v>
      </c>
      <c r="T728">
        <f t="shared" si="69"/>
        <v>15</v>
      </c>
      <c r="U728" t="str">
        <f t="shared" si="70"/>
        <v>Late</v>
      </c>
      <c r="V728">
        <f t="shared" si="71"/>
        <v>0</v>
      </c>
    </row>
    <row r="729" spans="1:22" x14ac:dyDescent="0.45">
      <c r="A729" t="s">
        <v>1521</v>
      </c>
      <c r="B729" t="s">
        <v>653</v>
      </c>
      <c r="C729" t="s">
        <v>36</v>
      </c>
      <c r="D729" t="s">
        <v>62</v>
      </c>
      <c r="E729" t="s">
        <v>15</v>
      </c>
      <c r="F729">
        <v>109</v>
      </c>
      <c r="G729">
        <v>48478</v>
      </c>
      <c r="H729">
        <v>5284102</v>
      </c>
      <c r="I729" t="s">
        <v>768</v>
      </c>
      <c r="K729">
        <v>0</v>
      </c>
      <c r="L729">
        <v>0</v>
      </c>
      <c r="M729" t="s">
        <v>297</v>
      </c>
      <c r="N729" t="str">
        <f t="shared" si="66"/>
        <v>PO-100728</v>
      </c>
      <c r="O729" t="str">
        <f t="shared" si="67"/>
        <v>Open</v>
      </c>
      <c r="P729" t="str">
        <f t="shared" si="68"/>
        <v>WH-BOM</v>
      </c>
      <c r="Q729" t="str">
        <f>VLOOKUP(C729, Lookups!$A$2:$D$10, 2, FALSE())</f>
        <v>NextGen Hardware</v>
      </c>
      <c r="R729" t="str">
        <f>_xlfn.XLOOKUP(D729, Lookups!$A$12:$A$51, Lookups!$C$12:$C$51, "Unknown")</f>
        <v>Electronics</v>
      </c>
      <c r="S729" t="str">
        <f>IF(ISBLANK(I729), B729+VLOOKUP(C729, Lookups!$A$2:$D$10, 4, FALSE()), I729)</f>
        <v>2027-01-07</v>
      </c>
      <c r="T729" t="str">
        <f t="shared" si="69"/>
        <v/>
      </c>
      <c r="U729" t="str">
        <f t="shared" si="70"/>
        <v>Open</v>
      </c>
      <c r="V729">
        <f t="shared" si="71"/>
        <v>0</v>
      </c>
    </row>
    <row r="730" spans="1:22" x14ac:dyDescent="0.45">
      <c r="A730" t="s">
        <v>1522</v>
      </c>
      <c r="B730" t="s">
        <v>353</v>
      </c>
      <c r="C730" t="s">
        <v>32</v>
      </c>
      <c r="D730" t="s">
        <v>67</v>
      </c>
      <c r="E730" t="s">
        <v>15</v>
      </c>
      <c r="F730">
        <v>130</v>
      </c>
      <c r="G730">
        <v>1553</v>
      </c>
      <c r="H730">
        <v>201890</v>
      </c>
      <c r="I730" t="s">
        <v>506</v>
      </c>
      <c r="J730" t="s">
        <v>277</v>
      </c>
      <c r="K730">
        <v>130</v>
      </c>
      <c r="L730">
        <v>2</v>
      </c>
      <c r="M730" t="s">
        <v>115</v>
      </c>
      <c r="N730" t="str">
        <f t="shared" si="66"/>
        <v>PO-100729</v>
      </c>
      <c r="O730" t="str">
        <f t="shared" si="67"/>
        <v>Delivered</v>
      </c>
      <c r="P730" t="str">
        <f t="shared" si="68"/>
        <v>WH-BOM</v>
      </c>
      <c r="Q730" t="str">
        <f>VLOOKUP(C730, Lookups!$A$2:$D$10, 2, FALSE())</f>
        <v>OfficeDepot Pro</v>
      </c>
      <c r="R730" t="str">
        <f>_xlfn.XLOOKUP(D730, Lookups!$A$12:$A$51, Lookups!$C$12:$C$51, "Unknown")</f>
        <v>Peripherals</v>
      </c>
      <c r="S730" t="str">
        <f>IF(ISBLANK(I730), B730+VLOOKUP(C730, Lookups!$A$2:$D$10, 4, FALSE()), I730)</f>
        <v>2025-05-11</v>
      </c>
      <c r="T730">
        <f t="shared" si="69"/>
        <v>8</v>
      </c>
      <c r="U730" t="str">
        <f t="shared" si="70"/>
        <v>Late</v>
      </c>
      <c r="V730">
        <f t="shared" si="71"/>
        <v>1.5384615384615385E-2</v>
      </c>
    </row>
    <row r="731" spans="1:22" x14ac:dyDescent="0.45">
      <c r="A731" t="s">
        <v>1523</v>
      </c>
      <c r="B731" t="s">
        <v>232</v>
      </c>
      <c r="C731" t="s">
        <v>36</v>
      </c>
      <c r="D731" t="s">
        <v>90</v>
      </c>
      <c r="E731" t="s">
        <v>15</v>
      </c>
      <c r="F731">
        <v>72</v>
      </c>
      <c r="G731">
        <v>81434</v>
      </c>
      <c r="H731">
        <v>5863248</v>
      </c>
      <c r="I731" t="s">
        <v>400</v>
      </c>
      <c r="J731" t="s">
        <v>400</v>
      </c>
      <c r="K731">
        <v>72</v>
      </c>
      <c r="L731">
        <v>0</v>
      </c>
      <c r="M731" t="s">
        <v>115</v>
      </c>
      <c r="N731" t="str">
        <f t="shared" si="66"/>
        <v>PO-100730</v>
      </c>
      <c r="O731" t="str">
        <f t="shared" si="67"/>
        <v>Delivered</v>
      </c>
      <c r="P731" t="str">
        <f t="shared" si="68"/>
        <v>WH-BOM</v>
      </c>
      <c r="Q731" t="str">
        <f>VLOOKUP(C731, Lookups!$A$2:$D$10, 2, FALSE())</f>
        <v>NextGen Hardware</v>
      </c>
      <c r="R731" t="str">
        <f>_xlfn.XLOOKUP(D731, Lookups!$A$12:$A$51, Lookups!$C$12:$C$51, "Unknown")</f>
        <v>Electronics</v>
      </c>
      <c r="S731" t="str">
        <f>IF(ISBLANK(I731), B731+VLOOKUP(C731, Lookups!$A$2:$D$10, 4, FALSE()), I731)</f>
        <v>2025-12-08</v>
      </c>
      <c r="T731">
        <f t="shared" si="69"/>
        <v>24</v>
      </c>
      <c r="U731" t="str">
        <f t="shared" si="70"/>
        <v>On-Time</v>
      </c>
      <c r="V731">
        <f t="shared" si="71"/>
        <v>0</v>
      </c>
    </row>
    <row r="732" spans="1:22" x14ac:dyDescent="0.45">
      <c r="A732" t="s">
        <v>1524</v>
      </c>
      <c r="B732" t="s">
        <v>851</v>
      </c>
      <c r="C732" t="s">
        <v>31</v>
      </c>
      <c r="D732" t="s">
        <v>85</v>
      </c>
      <c r="E732" t="s">
        <v>17</v>
      </c>
      <c r="F732">
        <v>138</v>
      </c>
      <c r="G732">
        <v>16501</v>
      </c>
      <c r="H732">
        <v>2277138</v>
      </c>
      <c r="I732" t="s">
        <v>861</v>
      </c>
      <c r="J732" t="s">
        <v>164</v>
      </c>
      <c r="K732">
        <v>138</v>
      </c>
      <c r="L732">
        <v>0</v>
      </c>
      <c r="M732" t="s">
        <v>115</v>
      </c>
      <c r="N732" t="str">
        <f t="shared" si="66"/>
        <v>PO-100731</v>
      </c>
      <c r="O732" t="str">
        <f t="shared" si="67"/>
        <v>Delivered</v>
      </c>
      <c r="P732" t="str">
        <f t="shared" si="68"/>
        <v>WH-BLR</v>
      </c>
      <c r="Q732" t="str">
        <f>VLOOKUP(C732, Lookups!$A$2:$D$10, 2, FALSE())</f>
        <v>Global Networks</v>
      </c>
      <c r="R732" t="str">
        <f>_xlfn.XLOOKUP(D732, Lookups!$A$12:$A$51, Lookups!$C$12:$C$51, "Unknown")</f>
        <v>Networking</v>
      </c>
      <c r="S732" t="str">
        <f>IF(ISBLANK(I732), B732+VLOOKUP(C732, Lookups!$A$2:$D$10, 4, FALSE()), I732)</f>
        <v>2026-02-06</v>
      </c>
      <c r="T732">
        <f t="shared" si="69"/>
        <v>20</v>
      </c>
      <c r="U732" t="str">
        <f t="shared" si="70"/>
        <v>On-Time</v>
      </c>
      <c r="V732">
        <f t="shared" si="71"/>
        <v>0</v>
      </c>
    </row>
    <row r="733" spans="1:22" x14ac:dyDescent="0.45">
      <c r="A733" t="s">
        <v>1525</v>
      </c>
      <c r="B733" t="s">
        <v>393</v>
      </c>
      <c r="C733" t="s">
        <v>36</v>
      </c>
      <c r="D733" t="s">
        <v>90</v>
      </c>
      <c r="E733" t="s">
        <v>15</v>
      </c>
      <c r="F733">
        <v>49</v>
      </c>
      <c r="G733">
        <v>81434</v>
      </c>
      <c r="H733">
        <v>3990266</v>
      </c>
      <c r="I733" t="s">
        <v>198</v>
      </c>
      <c r="J733" t="s">
        <v>318</v>
      </c>
      <c r="K733">
        <v>49</v>
      </c>
      <c r="L733">
        <v>0</v>
      </c>
      <c r="M733" t="s">
        <v>115</v>
      </c>
      <c r="N733" t="str">
        <f t="shared" si="66"/>
        <v>PO-100732</v>
      </c>
      <c r="O733" t="str">
        <f t="shared" si="67"/>
        <v>Delivered</v>
      </c>
      <c r="P733" t="str">
        <f t="shared" si="68"/>
        <v>WH-BOM</v>
      </c>
      <c r="Q733" t="str">
        <f>VLOOKUP(C733, Lookups!$A$2:$D$10, 2, FALSE())</f>
        <v>NextGen Hardware</v>
      </c>
      <c r="R733" t="str">
        <f>_xlfn.XLOOKUP(D733, Lookups!$A$12:$A$51, Lookups!$C$12:$C$51, "Unknown")</f>
        <v>Electronics</v>
      </c>
      <c r="S733" t="str">
        <f>IF(ISBLANK(I733), B733+VLOOKUP(C733, Lookups!$A$2:$D$10, 4, FALSE()), I733)</f>
        <v>2025-09-22</v>
      </c>
      <c r="T733">
        <f t="shared" si="69"/>
        <v>25</v>
      </c>
      <c r="U733" t="str">
        <f t="shared" si="70"/>
        <v>Late</v>
      </c>
      <c r="V733">
        <f t="shared" si="71"/>
        <v>0</v>
      </c>
    </row>
    <row r="734" spans="1:22" x14ac:dyDescent="0.45">
      <c r="A734" t="s">
        <v>1526</v>
      </c>
      <c r="B734" t="s">
        <v>1254</v>
      </c>
      <c r="C734" t="s">
        <v>30</v>
      </c>
      <c r="D734" t="s">
        <v>61</v>
      </c>
      <c r="E734" t="s">
        <v>16</v>
      </c>
      <c r="F734">
        <v>243</v>
      </c>
      <c r="G734">
        <v>111237</v>
      </c>
      <c r="H734">
        <v>27030591</v>
      </c>
      <c r="I734" t="s">
        <v>1401</v>
      </c>
      <c r="J734" t="s">
        <v>1318</v>
      </c>
      <c r="K734">
        <v>243</v>
      </c>
      <c r="L734">
        <v>0</v>
      </c>
      <c r="M734" t="s">
        <v>115</v>
      </c>
      <c r="N734" t="str">
        <f t="shared" si="66"/>
        <v>PO-100733</v>
      </c>
      <c r="O734" t="str">
        <f t="shared" si="67"/>
        <v>Delivered</v>
      </c>
      <c r="P734" t="str">
        <f t="shared" si="68"/>
        <v>WH-DEL</v>
      </c>
      <c r="Q734" t="str">
        <f>VLOOKUP(C734, Lookups!$A$2:$D$10, 2, FALSE())</f>
        <v>TechSupply Corp</v>
      </c>
      <c r="R734" t="str">
        <f>_xlfn.XLOOKUP(D734, Lookups!$A$12:$A$51, Lookups!$C$12:$C$51, "Unknown")</f>
        <v>Electronics</v>
      </c>
      <c r="S734" t="str">
        <f>IF(ISBLANK(I734), B734+VLOOKUP(C734, Lookups!$A$2:$D$10, 4, FALSE()), I734)</f>
        <v>2026-10-24</v>
      </c>
      <c r="T734">
        <f t="shared" si="69"/>
        <v>15</v>
      </c>
      <c r="U734" t="str">
        <f t="shared" si="70"/>
        <v>Late</v>
      </c>
      <c r="V734">
        <f t="shared" si="71"/>
        <v>0</v>
      </c>
    </row>
    <row r="735" spans="1:22" x14ac:dyDescent="0.45">
      <c r="A735" t="s">
        <v>1527</v>
      </c>
      <c r="B735" t="s">
        <v>595</v>
      </c>
      <c r="C735" t="s">
        <v>36</v>
      </c>
      <c r="D735" t="s">
        <v>90</v>
      </c>
      <c r="E735" t="s">
        <v>913</v>
      </c>
      <c r="F735">
        <v>92</v>
      </c>
      <c r="G735">
        <v>81434</v>
      </c>
      <c r="H735">
        <v>7491928</v>
      </c>
      <c r="I735" t="s">
        <v>397</v>
      </c>
      <c r="J735" t="s">
        <v>397</v>
      </c>
      <c r="K735">
        <v>92</v>
      </c>
      <c r="L735">
        <v>0</v>
      </c>
      <c r="M735" t="s">
        <v>115</v>
      </c>
      <c r="N735" t="str">
        <f t="shared" si="66"/>
        <v>PO-100734</v>
      </c>
      <c r="O735" t="str">
        <f t="shared" si="67"/>
        <v>Delivered</v>
      </c>
      <c r="P735" t="str">
        <f t="shared" si="68"/>
        <v>WH-DEL</v>
      </c>
      <c r="Q735" t="str">
        <f>VLOOKUP(C735, Lookups!$A$2:$D$10, 2, FALSE())</f>
        <v>NextGen Hardware</v>
      </c>
      <c r="R735" t="str">
        <f>_xlfn.XLOOKUP(D735, Lookups!$A$12:$A$51, Lookups!$C$12:$C$51, "Unknown")</f>
        <v>Electronics</v>
      </c>
      <c r="S735" t="str">
        <f>IF(ISBLANK(I735), B735+VLOOKUP(C735, Lookups!$A$2:$D$10, 4, FALSE()), I735)</f>
        <v>2025-04-06</v>
      </c>
      <c r="T735">
        <f t="shared" si="69"/>
        <v>24</v>
      </c>
      <c r="U735" t="str">
        <f t="shared" si="70"/>
        <v>On-Time</v>
      </c>
      <c r="V735">
        <f t="shared" si="71"/>
        <v>0</v>
      </c>
    </row>
    <row r="736" spans="1:22" x14ac:dyDescent="0.45">
      <c r="A736" t="s">
        <v>1528</v>
      </c>
      <c r="B736" t="s">
        <v>403</v>
      </c>
      <c r="C736" t="s">
        <v>37</v>
      </c>
      <c r="D736" t="s">
        <v>83</v>
      </c>
      <c r="E736" t="s">
        <v>18</v>
      </c>
      <c r="F736">
        <v>239</v>
      </c>
      <c r="G736">
        <v>19850</v>
      </c>
      <c r="H736">
        <v>4744150</v>
      </c>
      <c r="I736" t="s">
        <v>978</v>
      </c>
      <c r="J736" t="s">
        <v>600</v>
      </c>
      <c r="K736">
        <v>239</v>
      </c>
      <c r="L736">
        <v>0</v>
      </c>
      <c r="M736" t="s">
        <v>115</v>
      </c>
      <c r="N736" t="str">
        <f t="shared" si="66"/>
        <v>PO-100735</v>
      </c>
      <c r="O736" t="str">
        <f t="shared" si="67"/>
        <v>Delivered</v>
      </c>
      <c r="P736" t="str">
        <f t="shared" si="68"/>
        <v>WH-PUN</v>
      </c>
      <c r="Q736" t="str">
        <f>VLOOKUP(C736, Lookups!$A$2:$D$10, 2, FALSE())</f>
        <v>Premium Desks Ltd</v>
      </c>
      <c r="R736" t="str">
        <f>_xlfn.XLOOKUP(D736, Lookups!$A$12:$A$51, Lookups!$C$12:$C$51, "Unknown")</f>
        <v>Office Furniture</v>
      </c>
      <c r="S736" t="str">
        <f>IF(ISBLANK(I736), B736+VLOOKUP(C736, Lookups!$A$2:$D$10, 4, FALSE()), I736)</f>
        <v>2025-09-30</v>
      </c>
      <c r="T736">
        <f t="shared" si="69"/>
        <v>15</v>
      </c>
      <c r="U736" t="str">
        <f t="shared" si="70"/>
        <v>Late</v>
      </c>
      <c r="V736">
        <f t="shared" si="71"/>
        <v>0</v>
      </c>
    </row>
    <row r="737" spans="1:22" x14ac:dyDescent="0.45">
      <c r="A737" t="s">
        <v>1529</v>
      </c>
      <c r="B737" t="s">
        <v>1530</v>
      </c>
      <c r="C737" t="s">
        <v>31</v>
      </c>
      <c r="D737" t="s">
        <v>77</v>
      </c>
      <c r="E737" t="s">
        <v>15</v>
      </c>
      <c r="F737">
        <v>41</v>
      </c>
      <c r="G737">
        <v>23667</v>
      </c>
      <c r="H737">
        <v>970347</v>
      </c>
      <c r="I737" t="s">
        <v>1068</v>
      </c>
      <c r="J737" t="s">
        <v>234</v>
      </c>
      <c r="K737">
        <v>41</v>
      </c>
      <c r="L737">
        <v>0</v>
      </c>
      <c r="M737" t="s">
        <v>115</v>
      </c>
      <c r="N737" t="str">
        <f t="shared" si="66"/>
        <v>PO-100736</v>
      </c>
      <c r="O737" t="str">
        <f t="shared" si="67"/>
        <v>Delivered</v>
      </c>
      <c r="P737" t="str">
        <f t="shared" si="68"/>
        <v>WH-BOM</v>
      </c>
      <c r="Q737" t="str">
        <f>VLOOKUP(C737, Lookups!$A$2:$D$10, 2, FALSE())</f>
        <v>Global Networks</v>
      </c>
      <c r="R737" t="str">
        <f>_xlfn.XLOOKUP(D737, Lookups!$A$12:$A$51, Lookups!$C$12:$C$51, "Unknown")</f>
        <v>Networking</v>
      </c>
      <c r="S737" t="str">
        <f>IF(ISBLANK(I737), B737+VLOOKUP(C737, Lookups!$A$2:$D$10, 4, FALSE()), I737)</f>
        <v>2025-08-02</v>
      </c>
      <c r="T737">
        <f t="shared" si="69"/>
        <v>22</v>
      </c>
      <c r="U737" t="str">
        <f t="shared" si="70"/>
        <v>Late</v>
      </c>
      <c r="V737">
        <f t="shared" si="71"/>
        <v>0</v>
      </c>
    </row>
    <row r="738" spans="1:22" x14ac:dyDescent="0.45">
      <c r="A738" t="s">
        <v>1531</v>
      </c>
      <c r="B738" t="s">
        <v>773</v>
      </c>
      <c r="C738" t="s">
        <v>34</v>
      </c>
      <c r="D738" t="s">
        <v>68</v>
      </c>
      <c r="E738" t="s">
        <v>15</v>
      </c>
      <c r="F738">
        <v>221</v>
      </c>
      <c r="G738">
        <v>41405</v>
      </c>
      <c r="H738">
        <v>9150505</v>
      </c>
      <c r="I738" t="s">
        <v>591</v>
      </c>
      <c r="J738" t="s">
        <v>1079</v>
      </c>
      <c r="K738">
        <v>221</v>
      </c>
      <c r="L738">
        <v>0</v>
      </c>
      <c r="M738" t="s">
        <v>115</v>
      </c>
      <c r="N738" t="str">
        <f t="shared" si="66"/>
        <v>PO-100737</v>
      </c>
      <c r="O738" t="str">
        <f t="shared" si="67"/>
        <v>Delivered</v>
      </c>
      <c r="P738" t="str">
        <f t="shared" si="68"/>
        <v>WH-BOM</v>
      </c>
      <c r="Q738" t="str">
        <f>VLOOKUP(C738, Lookups!$A$2:$D$10, 2, FALSE())</f>
        <v>FastElectronics</v>
      </c>
      <c r="R738" t="str">
        <f>_xlfn.XLOOKUP(D738, Lookups!$A$12:$A$51, Lookups!$C$12:$C$51, "Unknown")</f>
        <v>Networking</v>
      </c>
      <c r="S738" t="str">
        <f>IF(ISBLANK(I738), B738+VLOOKUP(C738, Lookups!$A$2:$D$10, 4, FALSE()), I738)</f>
        <v>2026-01-20</v>
      </c>
      <c r="T738">
        <f t="shared" si="69"/>
        <v>16</v>
      </c>
      <c r="U738" t="str">
        <f t="shared" si="70"/>
        <v>On-Time</v>
      </c>
      <c r="V738">
        <f t="shared" si="71"/>
        <v>0</v>
      </c>
    </row>
    <row r="739" spans="1:22" x14ac:dyDescent="0.45">
      <c r="A739" t="s">
        <v>1532</v>
      </c>
      <c r="B739" t="s">
        <v>342</v>
      </c>
      <c r="C739" t="s">
        <v>35</v>
      </c>
      <c r="D739" t="s">
        <v>65</v>
      </c>
      <c r="E739" t="s">
        <v>15</v>
      </c>
      <c r="F739">
        <v>164</v>
      </c>
      <c r="G739">
        <v>4936</v>
      </c>
      <c r="H739">
        <v>809504</v>
      </c>
      <c r="I739" t="s">
        <v>815</v>
      </c>
      <c r="J739" t="s">
        <v>220</v>
      </c>
      <c r="K739">
        <v>164</v>
      </c>
      <c r="L739">
        <v>0</v>
      </c>
      <c r="M739" t="s">
        <v>115</v>
      </c>
      <c r="N739" t="str">
        <f t="shared" si="66"/>
        <v>PO-100738</v>
      </c>
      <c r="O739" t="str">
        <f t="shared" si="67"/>
        <v>Delivered</v>
      </c>
      <c r="P739" t="str">
        <f t="shared" si="68"/>
        <v>WH-BOM</v>
      </c>
      <c r="Q739" t="str">
        <f>VLOOKUP(C739, Lookups!$A$2:$D$10, 2, FALSE())</f>
        <v>Peripheral Source</v>
      </c>
      <c r="R739" t="str">
        <f>_xlfn.XLOOKUP(D739, Lookups!$A$12:$A$51, Lookups!$C$12:$C$51, "Unknown")</f>
        <v>Peripherals</v>
      </c>
      <c r="S739" t="str">
        <f>IF(ISBLANK(I739), B739+VLOOKUP(C739, Lookups!$A$2:$D$10, 4, FALSE()), I739)</f>
        <v>2026-02-13</v>
      </c>
      <c r="T739">
        <f t="shared" si="69"/>
        <v>11</v>
      </c>
      <c r="U739" t="str">
        <f t="shared" si="70"/>
        <v>Late</v>
      </c>
      <c r="V739">
        <f t="shared" si="71"/>
        <v>0</v>
      </c>
    </row>
    <row r="740" spans="1:22" x14ac:dyDescent="0.45">
      <c r="A740" t="s">
        <v>1533</v>
      </c>
      <c r="B740" t="s">
        <v>937</v>
      </c>
      <c r="C740" t="s">
        <v>35</v>
      </c>
      <c r="D740" t="s">
        <v>91</v>
      </c>
      <c r="E740" t="s">
        <v>15</v>
      </c>
      <c r="F740">
        <v>176</v>
      </c>
      <c r="G740">
        <v>6707</v>
      </c>
      <c r="H740">
        <v>1180432</v>
      </c>
      <c r="I740" t="s">
        <v>752</v>
      </c>
      <c r="J740" t="s">
        <v>753</v>
      </c>
      <c r="K740">
        <v>176</v>
      </c>
      <c r="L740">
        <v>0</v>
      </c>
      <c r="M740" t="s">
        <v>115</v>
      </c>
      <c r="N740" t="str">
        <f t="shared" si="66"/>
        <v>PO-100739</v>
      </c>
      <c r="O740" t="str">
        <f t="shared" si="67"/>
        <v>Delivered</v>
      </c>
      <c r="P740" t="str">
        <f t="shared" si="68"/>
        <v>WH-BOM</v>
      </c>
      <c r="Q740" t="str">
        <f>VLOOKUP(C740, Lookups!$A$2:$D$10, 2, FALSE())</f>
        <v>Peripheral Source</v>
      </c>
      <c r="R740" t="str">
        <f>_xlfn.XLOOKUP(D740, Lookups!$A$12:$A$51, Lookups!$C$12:$C$51, "Unknown")</f>
        <v>Peripherals</v>
      </c>
      <c r="S740" t="str">
        <f>IF(ISBLANK(I740), B740+VLOOKUP(C740, Lookups!$A$2:$D$10, 4, FALSE()), I740)</f>
        <v>2025-12-22</v>
      </c>
      <c r="T740">
        <f t="shared" si="69"/>
        <v>11</v>
      </c>
      <c r="U740" t="str">
        <f t="shared" si="70"/>
        <v>Late</v>
      </c>
      <c r="V740">
        <f t="shared" si="71"/>
        <v>0</v>
      </c>
    </row>
    <row r="741" spans="1:22" x14ac:dyDescent="0.45">
      <c r="A741" t="s">
        <v>1534</v>
      </c>
      <c r="B741" t="s">
        <v>883</v>
      </c>
      <c r="C741" t="s">
        <v>34</v>
      </c>
      <c r="D741" t="s">
        <v>81</v>
      </c>
      <c r="E741" t="s">
        <v>16</v>
      </c>
      <c r="F741">
        <v>171</v>
      </c>
      <c r="G741">
        <v>55328</v>
      </c>
      <c r="H741">
        <v>9461088</v>
      </c>
      <c r="I741" t="s">
        <v>952</v>
      </c>
      <c r="J741" t="s">
        <v>952</v>
      </c>
      <c r="K741">
        <v>171</v>
      </c>
      <c r="L741">
        <v>0</v>
      </c>
      <c r="M741" t="s">
        <v>115</v>
      </c>
      <c r="N741" t="str">
        <f t="shared" si="66"/>
        <v>PO-100740</v>
      </c>
      <c r="O741" t="str">
        <f t="shared" si="67"/>
        <v>Delivered</v>
      </c>
      <c r="P741" t="str">
        <f t="shared" si="68"/>
        <v>WH-DEL</v>
      </c>
      <c r="Q741" t="str">
        <f>VLOOKUP(C741, Lookups!$A$2:$D$10, 2, FALSE())</f>
        <v>FastElectronics</v>
      </c>
      <c r="R741" t="str">
        <f>_xlfn.XLOOKUP(D741, Lookups!$A$12:$A$51, Lookups!$C$12:$C$51, "Unknown")</f>
        <v>Electronics</v>
      </c>
      <c r="S741" t="str">
        <f>IF(ISBLANK(I741), B741+VLOOKUP(C741, Lookups!$A$2:$D$10, 4, FALSE()), I741)</f>
        <v>2026-07-24</v>
      </c>
      <c r="T741">
        <f t="shared" si="69"/>
        <v>18</v>
      </c>
      <c r="U741" t="str">
        <f t="shared" si="70"/>
        <v>On-Time</v>
      </c>
      <c r="V741">
        <f t="shared" si="71"/>
        <v>0</v>
      </c>
    </row>
    <row r="742" spans="1:22" x14ac:dyDescent="0.45">
      <c r="A742" t="s">
        <v>1535</v>
      </c>
      <c r="B742" t="s">
        <v>450</v>
      </c>
      <c r="C742" t="s">
        <v>36</v>
      </c>
      <c r="D742" t="s">
        <v>63</v>
      </c>
      <c r="E742" t="s">
        <v>15</v>
      </c>
      <c r="F742">
        <v>127</v>
      </c>
      <c r="G742">
        <v>71062</v>
      </c>
      <c r="H742">
        <v>9024874</v>
      </c>
      <c r="I742" t="s">
        <v>663</v>
      </c>
      <c r="J742" t="s">
        <v>663</v>
      </c>
      <c r="K742">
        <v>127</v>
      </c>
      <c r="L742">
        <v>0</v>
      </c>
      <c r="M742" t="s">
        <v>115</v>
      </c>
      <c r="N742" t="str">
        <f t="shared" si="66"/>
        <v>PO-100741</v>
      </c>
      <c r="O742" t="str">
        <f t="shared" si="67"/>
        <v>Delivered</v>
      </c>
      <c r="P742" t="str">
        <f t="shared" si="68"/>
        <v>WH-BOM</v>
      </c>
      <c r="Q742" t="str">
        <f>VLOOKUP(C742, Lookups!$A$2:$D$10, 2, FALSE())</f>
        <v>NextGen Hardware</v>
      </c>
      <c r="R742" t="str">
        <f>_xlfn.XLOOKUP(D742, Lookups!$A$12:$A$51, Lookups!$C$12:$C$51, "Unknown")</f>
        <v>Electronics</v>
      </c>
      <c r="S742" t="str">
        <f>IF(ISBLANK(I742), B742+VLOOKUP(C742, Lookups!$A$2:$D$10, 4, FALSE()), I742)</f>
        <v>2026-10-06</v>
      </c>
      <c r="T742">
        <f t="shared" si="69"/>
        <v>24</v>
      </c>
      <c r="U742" t="str">
        <f t="shared" si="70"/>
        <v>On-Time</v>
      </c>
      <c r="V742">
        <f t="shared" si="71"/>
        <v>0</v>
      </c>
    </row>
    <row r="743" spans="1:22" x14ac:dyDescent="0.45">
      <c r="A743" t="s">
        <v>1536</v>
      </c>
      <c r="B743" t="s">
        <v>397</v>
      </c>
      <c r="C743" t="s">
        <v>37</v>
      </c>
      <c r="D743" t="s">
        <v>78</v>
      </c>
      <c r="E743" t="s">
        <v>18</v>
      </c>
      <c r="F743">
        <v>140</v>
      </c>
      <c r="G743">
        <v>9423</v>
      </c>
      <c r="H743">
        <v>1319220</v>
      </c>
      <c r="I743" t="s">
        <v>1537</v>
      </c>
      <c r="J743" t="s">
        <v>960</v>
      </c>
      <c r="K743">
        <v>140</v>
      </c>
      <c r="L743">
        <v>0</v>
      </c>
      <c r="M743" t="s">
        <v>115</v>
      </c>
      <c r="N743" t="str">
        <f t="shared" si="66"/>
        <v>PO-100742</v>
      </c>
      <c r="O743" t="str">
        <f t="shared" si="67"/>
        <v>Delivered</v>
      </c>
      <c r="P743" t="str">
        <f t="shared" si="68"/>
        <v>WH-PUN</v>
      </c>
      <c r="Q743" t="str">
        <f>VLOOKUP(C743, Lookups!$A$2:$D$10, 2, FALSE())</f>
        <v>Premium Desks Ltd</v>
      </c>
      <c r="R743" t="str">
        <f>_xlfn.XLOOKUP(D743, Lookups!$A$12:$A$51, Lookups!$C$12:$C$51, "Unknown")</f>
        <v>Office Furniture</v>
      </c>
      <c r="S743" t="str">
        <f>IF(ISBLANK(I743), B743+VLOOKUP(C743, Lookups!$A$2:$D$10, 4, FALSE()), I743)</f>
        <v>2025-04-18</v>
      </c>
      <c r="T743">
        <f t="shared" si="69"/>
        <v>17</v>
      </c>
      <c r="U743" t="str">
        <f t="shared" si="70"/>
        <v>Late</v>
      </c>
      <c r="V743">
        <f t="shared" si="71"/>
        <v>0</v>
      </c>
    </row>
    <row r="744" spans="1:22" x14ac:dyDescent="0.45">
      <c r="A744" t="s">
        <v>1538</v>
      </c>
      <c r="B744" t="s">
        <v>491</v>
      </c>
      <c r="C744" t="s">
        <v>37</v>
      </c>
      <c r="D744" t="s">
        <v>79</v>
      </c>
      <c r="E744" t="s">
        <v>18</v>
      </c>
      <c r="F744">
        <v>17</v>
      </c>
      <c r="G744">
        <v>23054</v>
      </c>
      <c r="H744">
        <v>391918</v>
      </c>
      <c r="I744" t="s">
        <v>648</v>
      </c>
      <c r="J744" t="s">
        <v>648</v>
      </c>
      <c r="K744">
        <v>17</v>
      </c>
      <c r="L744">
        <v>0</v>
      </c>
      <c r="M744" t="s">
        <v>115</v>
      </c>
      <c r="N744" t="str">
        <f t="shared" si="66"/>
        <v>PO-100743</v>
      </c>
      <c r="O744" t="str">
        <f t="shared" si="67"/>
        <v>Delivered</v>
      </c>
      <c r="P744" t="str">
        <f t="shared" si="68"/>
        <v>WH-PUN</v>
      </c>
      <c r="Q744" t="str">
        <f>VLOOKUP(C744, Lookups!$A$2:$D$10, 2, FALSE())</f>
        <v>Premium Desks Ltd</v>
      </c>
      <c r="R744" t="str">
        <f>_xlfn.XLOOKUP(D744, Lookups!$A$12:$A$51, Lookups!$C$12:$C$51, "Unknown")</f>
        <v>Office Furniture</v>
      </c>
      <c r="S744" t="str">
        <f>IF(ISBLANK(I744), B744+VLOOKUP(C744, Lookups!$A$2:$D$10, 4, FALSE()), I744)</f>
        <v>2025-07-28</v>
      </c>
      <c r="T744">
        <f t="shared" si="69"/>
        <v>12</v>
      </c>
      <c r="U744" t="str">
        <f t="shared" si="70"/>
        <v>On-Time</v>
      </c>
      <c r="V744">
        <f t="shared" si="71"/>
        <v>0</v>
      </c>
    </row>
    <row r="745" spans="1:22" x14ac:dyDescent="0.45">
      <c r="A745" t="s">
        <v>1539</v>
      </c>
      <c r="B745" t="s">
        <v>154</v>
      </c>
      <c r="C745" t="s">
        <v>30</v>
      </c>
      <c r="D745" t="s">
        <v>52</v>
      </c>
      <c r="E745" t="s">
        <v>16</v>
      </c>
      <c r="F745">
        <v>88</v>
      </c>
      <c r="G745">
        <v>59592</v>
      </c>
      <c r="H745">
        <v>5244096</v>
      </c>
      <c r="I745" t="s">
        <v>370</v>
      </c>
      <c r="J745" t="s">
        <v>1087</v>
      </c>
      <c r="K745">
        <v>88</v>
      </c>
      <c r="L745">
        <v>0</v>
      </c>
      <c r="M745" t="s">
        <v>115</v>
      </c>
      <c r="N745" t="str">
        <f t="shared" si="66"/>
        <v>PO-100744</v>
      </c>
      <c r="O745" t="str">
        <f t="shared" si="67"/>
        <v>Delivered</v>
      </c>
      <c r="P745" t="str">
        <f t="shared" si="68"/>
        <v>WH-DEL</v>
      </c>
      <c r="Q745" t="str">
        <f>VLOOKUP(C745, Lookups!$A$2:$D$10, 2, FALSE())</f>
        <v>TechSupply Corp</v>
      </c>
      <c r="R745" t="str">
        <f>_xlfn.XLOOKUP(D745, Lookups!$A$12:$A$51, Lookups!$C$12:$C$51, "Unknown")</f>
        <v>Electronics</v>
      </c>
      <c r="S745" t="str">
        <f>IF(ISBLANK(I745), B745+VLOOKUP(C745, Lookups!$A$2:$D$10, 4, FALSE()), I745)</f>
        <v>2025-11-11</v>
      </c>
      <c r="T745">
        <f t="shared" si="69"/>
        <v>18</v>
      </c>
      <c r="U745" t="str">
        <f t="shared" si="70"/>
        <v>Late</v>
      </c>
      <c r="V745">
        <f t="shared" si="71"/>
        <v>0</v>
      </c>
    </row>
    <row r="746" spans="1:22" x14ac:dyDescent="0.45">
      <c r="A746" t="s">
        <v>1540</v>
      </c>
      <c r="B746" t="s">
        <v>968</v>
      </c>
      <c r="C746" t="s">
        <v>34</v>
      </c>
      <c r="D746" t="s">
        <v>58</v>
      </c>
      <c r="E746" t="s">
        <v>16</v>
      </c>
      <c r="F746">
        <v>217</v>
      </c>
      <c r="G746">
        <v>100302</v>
      </c>
      <c r="H746">
        <v>21765534</v>
      </c>
      <c r="I746" t="s">
        <v>200</v>
      </c>
      <c r="J746" t="s">
        <v>1046</v>
      </c>
      <c r="K746">
        <v>217</v>
      </c>
      <c r="L746">
        <v>0</v>
      </c>
      <c r="M746" t="s">
        <v>115</v>
      </c>
      <c r="N746" t="str">
        <f t="shared" si="66"/>
        <v>PO-100745</v>
      </c>
      <c r="O746" t="str">
        <f t="shared" si="67"/>
        <v>Delivered</v>
      </c>
      <c r="P746" t="str">
        <f t="shared" si="68"/>
        <v>WH-DEL</v>
      </c>
      <c r="Q746" t="str">
        <f>VLOOKUP(C746, Lookups!$A$2:$D$10, 2, FALSE())</f>
        <v>FastElectronics</v>
      </c>
      <c r="R746" t="str">
        <f>_xlfn.XLOOKUP(D746, Lookups!$A$12:$A$51, Lookups!$C$12:$C$51, "Unknown")</f>
        <v>Electronics</v>
      </c>
      <c r="S746" t="str">
        <f>IF(ISBLANK(I746), B746+VLOOKUP(C746, Lookups!$A$2:$D$10, 4, FALSE()), I746)</f>
        <v>2025-10-22</v>
      </c>
      <c r="T746">
        <f t="shared" si="69"/>
        <v>19</v>
      </c>
      <c r="U746" t="str">
        <f t="shared" si="70"/>
        <v>Late</v>
      </c>
      <c r="V746">
        <f t="shared" si="71"/>
        <v>0</v>
      </c>
    </row>
    <row r="747" spans="1:22" x14ac:dyDescent="0.45">
      <c r="A747" t="s">
        <v>1541</v>
      </c>
      <c r="B747" t="s">
        <v>393</v>
      </c>
      <c r="C747" t="s">
        <v>37</v>
      </c>
      <c r="D747" t="s">
        <v>79</v>
      </c>
      <c r="E747" t="s">
        <v>17</v>
      </c>
      <c r="F747">
        <v>88</v>
      </c>
      <c r="G747">
        <v>23054</v>
      </c>
      <c r="H747">
        <v>2028752</v>
      </c>
      <c r="I747" t="s">
        <v>728</v>
      </c>
      <c r="J747" t="s">
        <v>728</v>
      </c>
      <c r="K747">
        <v>88</v>
      </c>
      <c r="L747">
        <v>0</v>
      </c>
      <c r="M747" t="s">
        <v>115</v>
      </c>
      <c r="N747" t="str">
        <f t="shared" si="66"/>
        <v>PO-100746</v>
      </c>
      <c r="O747" t="str">
        <f t="shared" si="67"/>
        <v>Delivered</v>
      </c>
      <c r="P747" t="str">
        <f t="shared" si="68"/>
        <v>WH-BLR</v>
      </c>
      <c r="Q747" t="str">
        <f>VLOOKUP(C747, Lookups!$A$2:$D$10, 2, FALSE())</f>
        <v>Premium Desks Ltd</v>
      </c>
      <c r="R747" t="str">
        <f>_xlfn.XLOOKUP(D747, Lookups!$A$12:$A$51, Lookups!$C$12:$C$51, "Unknown")</f>
        <v>Office Furniture</v>
      </c>
      <c r="S747" t="str">
        <f>IF(ISBLANK(I747), B747+VLOOKUP(C747, Lookups!$A$2:$D$10, 4, FALSE()), I747)</f>
        <v>2025-09-10</v>
      </c>
      <c r="T747">
        <f t="shared" si="69"/>
        <v>12</v>
      </c>
      <c r="U747" t="str">
        <f t="shared" si="70"/>
        <v>On-Time</v>
      </c>
      <c r="V747">
        <f t="shared" si="71"/>
        <v>0</v>
      </c>
    </row>
    <row r="748" spans="1:22" x14ac:dyDescent="0.45">
      <c r="A748" t="s">
        <v>1542</v>
      </c>
      <c r="B748" t="s">
        <v>232</v>
      </c>
      <c r="C748" t="s">
        <v>35</v>
      </c>
      <c r="D748" t="s">
        <v>70</v>
      </c>
      <c r="E748" t="s">
        <v>17</v>
      </c>
      <c r="F748">
        <v>53</v>
      </c>
      <c r="G748">
        <v>4287</v>
      </c>
      <c r="H748">
        <v>227211</v>
      </c>
      <c r="I748" t="s">
        <v>755</v>
      </c>
      <c r="J748" t="s">
        <v>777</v>
      </c>
      <c r="K748">
        <v>53</v>
      </c>
      <c r="L748">
        <v>0</v>
      </c>
      <c r="M748" t="s">
        <v>115</v>
      </c>
      <c r="N748" t="str">
        <f t="shared" si="66"/>
        <v>PO-100747</v>
      </c>
      <c r="O748" t="str">
        <f t="shared" si="67"/>
        <v>Delivered</v>
      </c>
      <c r="P748" t="str">
        <f t="shared" si="68"/>
        <v>WH-BLR</v>
      </c>
      <c r="Q748" t="str">
        <f>VLOOKUP(C748, Lookups!$A$2:$D$10, 2, FALSE())</f>
        <v>Peripheral Source</v>
      </c>
      <c r="R748" t="str">
        <f>_xlfn.XLOOKUP(D748, Lookups!$A$12:$A$51, Lookups!$C$12:$C$51, "Unknown")</f>
        <v>Peripherals</v>
      </c>
      <c r="S748" t="str">
        <f>IF(ISBLANK(I748), B748+VLOOKUP(C748, Lookups!$A$2:$D$10, 4, FALSE()), I748)</f>
        <v>2025-11-24</v>
      </c>
      <c r="T748">
        <f t="shared" si="69"/>
        <v>11</v>
      </c>
      <c r="U748" t="str">
        <f t="shared" si="70"/>
        <v>Late</v>
      </c>
      <c r="V748">
        <f t="shared" si="71"/>
        <v>0</v>
      </c>
    </row>
    <row r="749" spans="1:22" x14ac:dyDescent="0.45">
      <c r="A749" t="s">
        <v>1543</v>
      </c>
      <c r="B749" t="s">
        <v>1544</v>
      </c>
      <c r="C749" t="s">
        <v>36</v>
      </c>
      <c r="D749" t="s">
        <v>62</v>
      </c>
      <c r="E749" t="s">
        <v>17</v>
      </c>
      <c r="F749">
        <v>72</v>
      </c>
      <c r="G749">
        <v>48478</v>
      </c>
      <c r="H749">
        <v>3490416</v>
      </c>
      <c r="I749" t="s">
        <v>188</v>
      </c>
      <c r="J749" t="s">
        <v>185</v>
      </c>
      <c r="K749">
        <v>55</v>
      </c>
      <c r="L749">
        <v>0</v>
      </c>
      <c r="M749" t="s">
        <v>115</v>
      </c>
      <c r="N749" t="str">
        <f t="shared" si="66"/>
        <v>PO-100748</v>
      </c>
      <c r="O749" t="str">
        <f t="shared" si="67"/>
        <v>Delivered</v>
      </c>
      <c r="P749" t="str">
        <f t="shared" si="68"/>
        <v>WH-BLR</v>
      </c>
      <c r="Q749" t="str">
        <f>VLOOKUP(C749, Lookups!$A$2:$D$10, 2, FALSE())</f>
        <v>NextGen Hardware</v>
      </c>
      <c r="R749" t="str">
        <f>_xlfn.XLOOKUP(D749, Lookups!$A$12:$A$51, Lookups!$C$12:$C$51, "Unknown")</f>
        <v>Electronics</v>
      </c>
      <c r="S749" t="str">
        <f>IF(ISBLANK(I749), B749+VLOOKUP(C749, Lookups!$A$2:$D$10, 4, FALSE()), I749)</f>
        <v>2025-02-25</v>
      </c>
      <c r="T749">
        <f t="shared" si="69"/>
        <v>25</v>
      </c>
      <c r="U749" t="str">
        <f t="shared" si="70"/>
        <v>Late</v>
      </c>
      <c r="V749">
        <f t="shared" si="71"/>
        <v>0</v>
      </c>
    </row>
    <row r="750" spans="1:22" x14ac:dyDescent="0.45">
      <c r="A750" t="s">
        <v>1545</v>
      </c>
      <c r="B750" t="s">
        <v>640</v>
      </c>
      <c r="C750" t="s">
        <v>35</v>
      </c>
      <c r="D750" t="s">
        <v>57</v>
      </c>
      <c r="E750" t="s">
        <v>15</v>
      </c>
      <c r="F750">
        <v>181</v>
      </c>
      <c r="G750">
        <v>2212</v>
      </c>
      <c r="H750">
        <v>400372</v>
      </c>
      <c r="I750" t="s">
        <v>775</v>
      </c>
      <c r="J750" t="s">
        <v>590</v>
      </c>
      <c r="K750">
        <v>181</v>
      </c>
      <c r="L750">
        <v>0</v>
      </c>
      <c r="M750" t="s">
        <v>115</v>
      </c>
      <c r="N750" t="str">
        <f t="shared" si="66"/>
        <v>PO-100749</v>
      </c>
      <c r="O750" t="str">
        <f t="shared" si="67"/>
        <v>Delivered</v>
      </c>
      <c r="P750" t="str">
        <f t="shared" si="68"/>
        <v>WH-BOM</v>
      </c>
      <c r="Q750" t="str">
        <f>VLOOKUP(C750, Lookups!$A$2:$D$10, 2, FALSE())</f>
        <v>Peripheral Source</v>
      </c>
      <c r="R750" t="str">
        <f>_xlfn.XLOOKUP(D750, Lookups!$A$12:$A$51, Lookups!$C$12:$C$51, "Unknown")</f>
        <v>Peripherals</v>
      </c>
      <c r="S750" t="str">
        <f>IF(ISBLANK(I750), B750+VLOOKUP(C750, Lookups!$A$2:$D$10, 4, FALSE()), I750)</f>
        <v>2026-01-05</v>
      </c>
      <c r="T750">
        <f t="shared" si="69"/>
        <v>11</v>
      </c>
      <c r="U750" t="str">
        <f t="shared" si="70"/>
        <v>Late</v>
      </c>
      <c r="V750">
        <f t="shared" si="71"/>
        <v>0</v>
      </c>
    </row>
    <row r="751" spans="1:22" x14ac:dyDescent="0.45">
      <c r="A751" t="s">
        <v>1546</v>
      </c>
      <c r="B751" t="s">
        <v>1547</v>
      </c>
      <c r="C751" t="s">
        <v>37</v>
      </c>
      <c r="D751" t="s">
        <v>69</v>
      </c>
      <c r="E751" t="s">
        <v>15</v>
      </c>
      <c r="F751">
        <v>166</v>
      </c>
      <c r="G751">
        <v>13231</v>
      </c>
      <c r="H751">
        <v>2196346</v>
      </c>
      <c r="I751" t="s">
        <v>625</v>
      </c>
      <c r="J751" t="s">
        <v>700</v>
      </c>
      <c r="K751">
        <v>166</v>
      </c>
      <c r="L751">
        <v>0</v>
      </c>
      <c r="M751" t="s">
        <v>115</v>
      </c>
      <c r="N751" t="str">
        <f t="shared" si="66"/>
        <v>PO-100750</v>
      </c>
      <c r="O751" t="str">
        <f t="shared" si="67"/>
        <v>Delivered</v>
      </c>
      <c r="P751" t="str">
        <f t="shared" si="68"/>
        <v>WH-BOM</v>
      </c>
      <c r="Q751" t="str">
        <f>VLOOKUP(C751, Lookups!$A$2:$D$10, 2, FALSE())</f>
        <v>Premium Desks Ltd</v>
      </c>
      <c r="R751" t="str">
        <f>_xlfn.XLOOKUP(D751, Lookups!$A$12:$A$51, Lookups!$C$12:$C$51, "Unknown")</f>
        <v>Office Furniture</v>
      </c>
      <c r="S751" t="str">
        <f>IF(ISBLANK(I751), B751+VLOOKUP(C751, Lookups!$A$2:$D$10, 4, FALSE()), I751)</f>
        <v>2026-03-15</v>
      </c>
      <c r="T751">
        <f t="shared" si="69"/>
        <v>13</v>
      </c>
      <c r="U751" t="str">
        <f t="shared" si="70"/>
        <v>Late</v>
      </c>
      <c r="V751">
        <f t="shared" si="71"/>
        <v>0</v>
      </c>
    </row>
    <row r="752" spans="1:22" x14ac:dyDescent="0.45">
      <c r="A752" t="s">
        <v>1548</v>
      </c>
      <c r="B752" t="s">
        <v>1549</v>
      </c>
      <c r="C752" t="s">
        <v>35</v>
      </c>
      <c r="D752" t="s">
        <v>91</v>
      </c>
      <c r="E752" t="s">
        <v>15</v>
      </c>
      <c r="F752">
        <v>239</v>
      </c>
      <c r="G752">
        <v>6707</v>
      </c>
      <c r="H752">
        <v>1602973</v>
      </c>
      <c r="I752" t="s">
        <v>426</v>
      </c>
      <c r="J752" t="s">
        <v>1326</v>
      </c>
      <c r="K752">
        <v>239</v>
      </c>
      <c r="L752">
        <v>0</v>
      </c>
      <c r="M752" t="s">
        <v>115</v>
      </c>
      <c r="N752" t="str">
        <f t="shared" si="66"/>
        <v>PO-100751</v>
      </c>
      <c r="O752" t="str">
        <f t="shared" si="67"/>
        <v>Delivered</v>
      </c>
      <c r="P752" t="str">
        <f t="shared" si="68"/>
        <v>WH-BOM</v>
      </c>
      <c r="Q752" t="str">
        <f>VLOOKUP(C752, Lookups!$A$2:$D$10, 2, FALSE())</f>
        <v>Peripheral Source</v>
      </c>
      <c r="R752" t="str">
        <f>_xlfn.XLOOKUP(D752, Lookups!$A$12:$A$51, Lookups!$C$12:$C$51, "Unknown")</f>
        <v>Peripherals</v>
      </c>
      <c r="S752" t="str">
        <f>IF(ISBLANK(I752), B752+VLOOKUP(C752, Lookups!$A$2:$D$10, 4, FALSE()), I752)</f>
        <v>2025-07-27</v>
      </c>
      <c r="T752">
        <f t="shared" si="69"/>
        <v>6</v>
      </c>
      <c r="U752" t="str">
        <f t="shared" si="70"/>
        <v>On-Time</v>
      </c>
      <c r="V752">
        <f t="shared" si="71"/>
        <v>0</v>
      </c>
    </row>
    <row r="753" spans="1:22" x14ac:dyDescent="0.45">
      <c r="A753" t="s">
        <v>1550</v>
      </c>
      <c r="B753" t="s">
        <v>1551</v>
      </c>
      <c r="C753" t="s">
        <v>36</v>
      </c>
      <c r="D753" t="s">
        <v>71</v>
      </c>
      <c r="E753" t="s">
        <v>17</v>
      </c>
      <c r="F753">
        <v>33</v>
      </c>
      <c r="G753">
        <v>65379</v>
      </c>
      <c r="H753">
        <v>2157507</v>
      </c>
      <c r="I753" t="s">
        <v>791</v>
      </c>
      <c r="J753" t="s">
        <v>791</v>
      </c>
      <c r="K753">
        <v>33</v>
      </c>
      <c r="L753">
        <v>0</v>
      </c>
      <c r="M753" t="s">
        <v>115</v>
      </c>
      <c r="N753" t="str">
        <f t="shared" si="66"/>
        <v>PO-100752</v>
      </c>
      <c r="O753" t="str">
        <f t="shared" si="67"/>
        <v>Delivered</v>
      </c>
      <c r="P753" t="str">
        <f t="shared" si="68"/>
        <v>WH-BLR</v>
      </c>
      <c r="Q753" t="str">
        <f>VLOOKUP(C753, Lookups!$A$2:$D$10, 2, FALSE())</f>
        <v>NextGen Hardware</v>
      </c>
      <c r="R753" t="str">
        <f>_xlfn.XLOOKUP(D753, Lookups!$A$12:$A$51, Lookups!$C$12:$C$51, "Unknown")</f>
        <v>Electronics</v>
      </c>
      <c r="S753" t="str">
        <f>IF(ISBLANK(I753), B753+VLOOKUP(C753, Lookups!$A$2:$D$10, 4, FALSE()), I753)</f>
        <v>2025-06-11</v>
      </c>
      <c r="T753">
        <f t="shared" si="69"/>
        <v>24</v>
      </c>
      <c r="U753" t="str">
        <f t="shared" si="70"/>
        <v>On-Time</v>
      </c>
      <c r="V753">
        <f t="shared" si="71"/>
        <v>0</v>
      </c>
    </row>
    <row r="754" spans="1:22" x14ac:dyDescent="0.45">
      <c r="A754" t="s">
        <v>1552</v>
      </c>
      <c r="B754" t="s">
        <v>1416</v>
      </c>
      <c r="C754" t="s">
        <v>31</v>
      </c>
      <c r="D754" t="s">
        <v>56</v>
      </c>
      <c r="E754" t="s">
        <v>15</v>
      </c>
      <c r="F754">
        <v>16</v>
      </c>
      <c r="G754">
        <v>39270</v>
      </c>
      <c r="H754">
        <v>628320</v>
      </c>
      <c r="I754" t="s">
        <v>839</v>
      </c>
      <c r="J754" t="s">
        <v>1285</v>
      </c>
      <c r="K754">
        <v>16</v>
      </c>
      <c r="L754">
        <v>0</v>
      </c>
      <c r="M754" t="s">
        <v>115</v>
      </c>
      <c r="N754" t="str">
        <f t="shared" si="66"/>
        <v>PO-100753</v>
      </c>
      <c r="O754" t="str">
        <f t="shared" si="67"/>
        <v>Delivered</v>
      </c>
      <c r="P754" t="str">
        <f t="shared" si="68"/>
        <v>WH-BOM</v>
      </c>
      <c r="Q754" t="str">
        <f>VLOOKUP(C754, Lookups!$A$2:$D$10, 2, FALSE())</f>
        <v>Global Networks</v>
      </c>
      <c r="R754" t="str">
        <f>_xlfn.XLOOKUP(D754, Lookups!$A$12:$A$51, Lookups!$C$12:$C$51, "Unknown")</f>
        <v>Networking</v>
      </c>
      <c r="S754" t="str">
        <f>IF(ISBLANK(I754), B754+VLOOKUP(C754, Lookups!$A$2:$D$10, 4, FALSE()), I754)</f>
        <v>2026-02-20</v>
      </c>
      <c r="T754">
        <f t="shared" si="69"/>
        <v>22</v>
      </c>
      <c r="U754" t="str">
        <f t="shared" si="70"/>
        <v>Late</v>
      </c>
      <c r="V754">
        <f t="shared" si="71"/>
        <v>0</v>
      </c>
    </row>
    <row r="755" spans="1:22" x14ac:dyDescent="0.45">
      <c r="A755" t="s">
        <v>1553</v>
      </c>
      <c r="B755" t="s">
        <v>242</v>
      </c>
      <c r="C755" t="s">
        <v>30</v>
      </c>
      <c r="D755" t="s">
        <v>88</v>
      </c>
      <c r="E755" t="s">
        <v>16</v>
      </c>
      <c r="F755">
        <v>19</v>
      </c>
      <c r="G755">
        <v>75512</v>
      </c>
      <c r="H755">
        <v>1434728</v>
      </c>
      <c r="I755" t="s">
        <v>468</v>
      </c>
      <c r="J755" t="s">
        <v>468</v>
      </c>
      <c r="K755">
        <v>19</v>
      </c>
      <c r="L755">
        <v>0</v>
      </c>
      <c r="M755" t="s">
        <v>115</v>
      </c>
      <c r="N755" t="str">
        <f t="shared" si="66"/>
        <v>PO-100754</v>
      </c>
      <c r="O755" t="str">
        <f t="shared" si="67"/>
        <v>Delivered</v>
      </c>
      <c r="P755" t="str">
        <f t="shared" si="68"/>
        <v>WH-DEL</v>
      </c>
      <c r="Q755" t="str">
        <f>VLOOKUP(C755, Lookups!$A$2:$D$10, 2, FALSE())</f>
        <v>TechSupply Corp</v>
      </c>
      <c r="R755" t="str">
        <f>_xlfn.XLOOKUP(D755, Lookups!$A$12:$A$51, Lookups!$C$12:$C$51, "Unknown")</f>
        <v>Electronics</v>
      </c>
      <c r="S755" t="str">
        <f>IF(ISBLANK(I755), B755+VLOOKUP(C755, Lookups!$A$2:$D$10, 4, FALSE()), I755)</f>
        <v>2025-07-19</v>
      </c>
      <c r="T755">
        <f t="shared" si="69"/>
        <v>14</v>
      </c>
      <c r="U755" t="str">
        <f t="shared" si="70"/>
        <v>On-Time</v>
      </c>
      <c r="V755">
        <f t="shared" si="71"/>
        <v>0</v>
      </c>
    </row>
    <row r="756" spans="1:22" x14ac:dyDescent="0.45">
      <c r="A756" t="s">
        <v>1554</v>
      </c>
      <c r="B756" t="s">
        <v>708</v>
      </c>
      <c r="C756" t="s">
        <v>37</v>
      </c>
      <c r="D756" t="s">
        <v>79</v>
      </c>
      <c r="E756" t="s">
        <v>18</v>
      </c>
      <c r="F756">
        <v>163</v>
      </c>
      <c r="G756">
        <v>23054</v>
      </c>
      <c r="H756">
        <v>3757802</v>
      </c>
      <c r="I756" t="s">
        <v>359</v>
      </c>
      <c r="J756" t="s">
        <v>718</v>
      </c>
      <c r="K756">
        <v>163</v>
      </c>
      <c r="L756">
        <v>0</v>
      </c>
      <c r="M756" t="s">
        <v>115</v>
      </c>
      <c r="N756" t="str">
        <f t="shared" si="66"/>
        <v>PO-100755</v>
      </c>
      <c r="O756" t="str">
        <f t="shared" si="67"/>
        <v>Delivered</v>
      </c>
      <c r="P756" t="str">
        <f t="shared" si="68"/>
        <v>WH-PUN</v>
      </c>
      <c r="Q756" t="str">
        <f>VLOOKUP(C756, Lookups!$A$2:$D$10, 2, FALSE())</f>
        <v>Premium Desks Ltd</v>
      </c>
      <c r="R756" t="str">
        <f>_xlfn.XLOOKUP(D756, Lookups!$A$12:$A$51, Lookups!$C$12:$C$51, "Unknown")</f>
        <v>Office Furniture</v>
      </c>
      <c r="S756" t="str">
        <f>IF(ISBLANK(I756), B756+VLOOKUP(C756, Lookups!$A$2:$D$10, 4, FALSE()), I756)</f>
        <v>2026-02-07</v>
      </c>
      <c r="T756">
        <f t="shared" si="69"/>
        <v>16</v>
      </c>
      <c r="U756" t="str">
        <f t="shared" si="70"/>
        <v>Late</v>
      </c>
      <c r="V756">
        <f t="shared" si="71"/>
        <v>0</v>
      </c>
    </row>
    <row r="757" spans="1:22" x14ac:dyDescent="0.45">
      <c r="A757" t="s">
        <v>1555</v>
      </c>
      <c r="B757" t="s">
        <v>114</v>
      </c>
      <c r="C757" t="s">
        <v>34</v>
      </c>
      <c r="D757" t="s">
        <v>76</v>
      </c>
      <c r="E757" t="s">
        <v>15</v>
      </c>
      <c r="F757">
        <v>155</v>
      </c>
      <c r="G757">
        <v>26270</v>
      </c>
      <c r="H757">
        <v>4071850</v>
      </c>
      <c r="I757" t="s">
        <v>141</v>
      </c>
      <c r="J757" t="s">
        <v>141</v>
      </c>
      <c r="K757">
        <v>155</v>
      </c>
      <c r="L757">
        <v>0</v>
      </c>
      <c r="M757" t="s">
        <v>115</v>
      </c>
      <c r="N757" t="str">
        <f t="shared" si="66"/>
        <v>PO-100756</v>
      </c>
      <c r="O757" t="str">
        <f t="shared" si="67"/>
        <v>Delivered</v>
      </c>
      <c r="P757" t="str">
        <f t="shared" si="68"/>
        <v>WH-BOM</v>
      </c>
      <c r="Q757" t="str">
        <f>VLOOKUP(C757, Lookups!$A$2:$D$10, 2, FALSE())</f>
        <v>FastElectronics</v>
      </c>
      <c r="R757" t="str">
        <f>_xlfn.XLOOKUP(D757, Lookups!$A$12:$A$51, Lookups!$C$12:$C$51, "Unknown")</f>
        <v>Networking</v>
      </c>
      <c r="S757" t="str">
        <f>IF(ISBLANK(I757), B757+VLOOKUP(C757, Lookups!$A$2:$D$10, 4, FALSE()), I757)</f>
        <v>2026-07-23</v>
      </c>
      <c r="T757">
        <f t="shared" si="69"/>
        <v>18</v>
      </c>
      <c r="U757" t="str">
        <f t="shared" si="70"/>
        <v>On-Time</v>
      </c>
      <c r="V757">
        <f t="shared" si="71"/>
        <v>0</v>
      </c>
    </row>
    <row r="758" spans="1:22" x14ac:dyDescent="0.45">
      <c r="A758" t="s">
        <v>1556</v>
      </c>
      <c r="B758" t="s">
        <v>491</v>
      </c>
      <c r="C758" t="s">
        <v>36</v>
      </c>
      <c r="D758" t="s">
        <v>90</v>
      </c>
      <c r="E758" t="s">
        <v>15</v>
      </c>
      <c r="F758">
        <v>223</v>
      </c>
      <c r="G758">
        <v>81434</v>
      </c>
      <c r="H758">
        <v>18159782</v>
      </c>
      <c r="I758" t="s">
        <v>1235</v>
      </c>
      <c r="J758" t="s">
        <v>1235</v>
      </c>
      <c r="K758">
        <v>223</v>
      </c>
      <c r="L758">
        <v>0</v>
      </c>
      <c r="M758" t="s">
        <v>115</v>
      </c>
      <c r="N758" t="str">
        <f t="shared" si="66"/>
        <v>PO-100757</v>
      </c>
      <c r="O758" t="str">
        <f t="shared" si="67"/>
        <v>Delivered</v>
      </c>
      <c r="P758" t="str">
        <f t="shared" si="68"/>
        <v>WH-BOM</v>
      </c>
      <c r="Q758" t="str">
        <f>VLOOKUP(C758, Lookups!$A$2:$D$10, 2, FALSE())</f>
        <v>NextGen Hardware</v>
      </c>
      <c r="R758" t="str">
        <f>_xlfn.XLOOKUP(D758, Lookups!$A$12:$A$51, Lookups!$C$12:$C$51, "Unknown")</f>
        <v>Electronics</v>
      </c>
      <c r="S758" t="str">
        <f>IF(ISBLANK(I758), B758+VLOOKUP(C758, Lookups!$A$2:$D$10, 4, FALSE()), I758)</f>
        <v>2025-08-09</v>
      </c>
      <c r="T758">
        <f t="shared" si="69"/>
        <v>24</v>
      </c>
      <c r="U758" t="str">
        <f t="shared" si="70"/>
        <v>On-Time</v>
      </c>
      <c r="V758">
        <f t="shared" si="71"/>
        <v>0</v>
      </c>
    </row>
    <row r="759" spans="1:22" x14ac:dyDescent="0.45">
      <c r="A759" t="s">
        <v>1557</v>
      </c>
      <c r="B759" t="s">
        <v>320</v>
      </c>
      <c r="C759" t="s">
        <v>30</v>
      </c>
      <c r="D759" t="s">
        <v>61</v>
      </c>
      <c r="E759" t="s">
        <v>17</v>
      </c>
      <c r="F759">
        <v>10</v>
      </c>
      <c r="G759">
        <v>111237</v>
      </c>
      <c r="H759">
        <v>1112370</v>
      </c>
      <c r="I759" t="s">
        <v>988</v>
      </c>
      <c r="J759" t="s">
        <v>988</v>
      </c>
      <c r="K759">
        <v>10</v>
      </c>
      <c r="L759">
        <v>0</v>
      </c>
      <c r="M759" t="s">
        <v>115</v>
      </c>
      <c r="N759" t="str">
        <f t="shared" si="66"/>
        <v>PO-100758</v>
      </c>
      <c r="O759" t="str">
        <f t="shared" si="67"/>
        <v>Delivered</v>
      </c>
      <c r="P759" t="str">
        <f t="shared" si="68"/>
        <v>WH-BLR</v>
      </c>
      <c r="Q759" t="str">
        <f>VLOOKUP(C759, Lookups!$A$2:$D$10, 2, FALSE())</f>
        <v>TechSupply Corp</v>
      </c>
      <c r="R759" t="str">
        <f>_xlfn.XLOOKUP(D759, Lookups!$A$12:$A$51, Lookups!$C$12:$C$51, "Unknown")</f>
        <v>Electronics</v>
      </c>
      <c r="S759" t="str">
        <f>IF(ISBLANK(I759), B759+VLOOKUP(C759, Lookups!$A$2:$D$10, 4, FALSE()), I759)</f>
        <v>2025-10-29</v>
      </c>
      <c r="T759">
        <f t="shared" si="69"/>
        <v>14</v>
      </c>
      <c r="U759" t="str">
        <f t="shared" si="70"/>
        <v>On-Time</v>
      </c>
      <c r="V759">
        <f t="shared" si="71"/>
        <v>0</v>
      </c>
    </row>
    <row r="760" spans="1:22" x14ac:dyDescent="0.45">
      <c r="A760" t="s">
        <v>1558</v>
      </c>
      <c r="B760" t="s">
        <v>1216</v>
      </c>
      <c r="C760" t="s">
        <v>31</v>
      </c>
      <c r="D760" t="s">
        <v>64</v>
      </c>
      <c r="E760" t="s">
        <v>16</v>
      </c>
      <c r="F760">
        <v>216</v>
      </c>
      <c r="G760">
        <v>36295</v>
      </c>
      <c r="H760">
        <v>7839720</v>
      </c>
      <c r="I760" t="s">
        <v>840</v>
      </c>
      <c r="J760" t="s">
        <v>840</v>
      </c>
      <c r="K760">
        <v>216</v>
      </c>
      <c r="L760">
        <v>0</v>
      </c>
      <c r="M760" t="s">
        <v>115</v>
      </c>
      <c r="N760" t="str">
        <f t="shared" si="66"/>
        <v>PO-100759</v>
      </c>
      <c r="O760" t="str">
        <f t="shared" si="67"/>
        <v>Delivered</v>
      </c>
      <c r="P760" t="str">
        <f t="shared" si="68"/>
        <v>WH-DEL</v>
      </c>
      <c r="Q760" t="str">
        <f>VLOOKUP(C760, Lookups!$A$2:$D$10, 2, FALSE())</f>
        <v>Global Networks</v>
      </c>
      <c r="R760" t="str">
        <f>_xlfn.XLOOKUP(D760, Lookups!$A$12:$A$51, Lookups!$C$12:$C$51, "Unknown")</f>
        <v>Networking</v>
      </c>
      <c r="S760" t="str">
        <f>IF(ISBLANK(I760), B760+VLOOKUP(C760, Lookups!$A$2:$D$10, 4, FALSE()), I760)</f>
        <v>2026-03-17</v>
      </c>
      <c r="T760">
        <f t="shared" si="69"/>
        <v>21</v>
      </c>
      <c r="U760" t="str">
        <f t="shared" si="70"/>
        <v>On-Time</v>
      </c>
      <c r="V760">
        <f t="shared" si="71"/>
        <v>0</v>
      </c>
    </row>
    <row r="761" spans="1:22" x14ac:dyDescent="0.45">
      <c r="A761" t="s">
        <v>1559</v>
      </c>
      <c r="B761" t="s">
        <v>688</v>
      </c>
      <c r="C761" t="s">
        <v>35</v>
      </c>
      <c r="D761" t="s">
        <v>75</v>
      </c>
      <c r="E761" t="s">
        <v>15</v>
      </c>
      <c r="F761">
        <v>250</v>
      </c>
      <c r="G761">
        <v>4440</v>
      </c>
      <c r="H761">
        <v>1110000</v>
      </c>
      <c r="I761" t="s">
        <v>411</v>
      </c>
      <c r="J761" t="s">
        <v>900</v>
      </c>
      <c r="K761">
        <v>250</v>
      </c>
      <c r="L761">
        <v>0</v>
      </c>
      <c r="M761" t="s">
        <v>115</v>
      </c>
      <c r="N761" t="str">
        <f t="shared" si="66"/>
        <v>PO-100760</v>
      </c>
      <c r="O761" t="str">
        <f t="shared" si="67"/>
        <v>Delivered</v>
      </c>
      <c r="P761" t="str">
        <f t="shared" si="68"/>
        <v>WH-BOM</v>
      </c>
      <c r="Q761" t="str">
        <f>VLOOKUP(C761, Lookups!$A$2:$D$10, 2, FALSE())</f>
        <v>Peripheral Source</v>
      </c>
      <c r="R761" t="str">
        <f>_xlfn.XLOOKUP(D761, Lookups!$A$12:$A$51, Lookups!$C$12:$C$51, "Unknown")</f>
        <v>Peripherals</v>
      </c>
      <c r="S761" t="str">
        <f>IF(ISBLANK(I761), B761+VLOOKUP(C761, Lookups!$A$2:$D$10, 4, FALSE()), I761)</f>
        <v>2026-05-09</v>
      </c>
      <c r="T761">
        <f t="shared" si="69"/>
        <v>11</v>
      </c>
      <c r="U761" t="str">
        <f t="shared" si="70"/>
        <v>Late</v>
      </c>
      <c r="V761">
        <f t="shared" si="71"/>
        <v>0</v>
      </c>
    </row>
    <row r="762" spans="1:22" x14ac:dyDescent="0.45">
      <c r="A762" t="s">
        <v>1560</v>
      </c>
      <c r="B762" t="s">
        <v>259</v>
      </c>
      <c r="C762" t="s">
        <v>32</v>
      </c>
      <c r="D762" t="s">
        <v>84</v>
      </c>
      <c r="E762" t="s">
        <v>18</v>
      </c>
      <c r="F762">
        <v>208</v>
      </c>
      <c r="G762">
        <v>7271</v>
      </c>
      <c r="H762">
        <v>1512368</v>
      </c>
      <c r="I762" t="s">
        <v>266</v>
      </c>
      <c r="J762" t="s">
        <v>379</v>
      </c>
      <c r="K762">
        <v>208</v>
      </c>
      <c r="L762">
        <v>0</v>
      </c>
      <c r="M762" t="s">
        <v>115</v>
      </c>
      <c r="N762" t="str">
        <f t="shared" si="66"/>
        <v>PO-100761</v>
      </c>
      <c r="O762" t="str">
        <f t="shared" si="67"/>
        <v>Delivered</v>
      </c>
      <c r="P762" t="str">
        <f t="shared" si="68"/>
        <v>WH-PUN</v>
      </c>
      <c r="Q762" t="str">
        <f>VLOOKUP(C762, Lookups!$A$2:$D$10, 2, FALSE())</f>
        <v>OfficeDepot Pro</v>
      </c>
      <c r="R762" t="str">
        <f>_xlfn.XLOOKUP(D762, Lookups!$A$12:$A$51, Lookups!$C$12:$C$51, "Unknown")</f>
        <v>Peripherals</v>
      </c>
      <c r="S762" t="str">
        <f>IF(ISBLANK(I762), B762+VLOOKUP(C762, Lookups!$A$2:$D$10, 4, FALSE()), I762)</f>
        <v>2025-02-15</v>
      </c>
      <c r="T762">
        <f t="shared" si="69"/>
        <v>8</v>
      </c>
      <c r="U762" t="str">
        <f t="shared" si="70"/>
        <v>Late</v>
      </c>
      <c r="V762">
        <f t="shared" si="71"/>
        <v>0</v>
      </c>
    </row>
    <row r="763" spans="1:22" x14ac:dyDescent="0.45">
      <c r="A763" t="s">
        <v>1561</v>
      </c>
      <c r="B763" t="s">
        <v>1562</v>
      </c>
      <c r="C763" t="s">
        <v>36</v>
      </c>
      <c r="D763" t="s">
        <v>63</v>
      </c>
      <c r="E763" t="s">
        <v>18</v>
      </c>
      <c r="F763">
        <v>168</v>
      </c>
      <c r="G763">
        <v>71062</v>
      </c>
      <c r="H763">
        <v>11938416</v>
      </c>
      <c r="I763" t="s">
        <v>348</v>
      </c>
      <c r="J763" t="s">
        <v>1343</v>
      </c>
      <c r="K763">
        <v>168</v>
      </c>
      <c r="L763">
        <v>0</v>
      </c>
      <c r="M763" t="s">
        <v>115</v>
      </c>
      <c r="N763" t="str">
        <f t="shared" si="66"/>
        <v>PO-100762</v>
      </c>
      <c r="O763" t="str">
        <f t="shared" si="67"/>
        <v>Delivered</v>
      </c>
      <c r="P763" t="str">
        <f t="shared" si="68"/>
        <v>WH-PUN</v>
      </c>
      <c r="Q763" t="str">
        <f>VLOOKUP(C763, Lookups!$A$2:$D$10, 2, FALSE())</f>
        <v>NextGen Hardware</v>
      </c>
      <c r="R763" t="str">
        <f>_xlfn.XLOOKUP(D763, Lookups!$A$12:$A$51, Lookups!$C$12:$C$51, "Unknown")</f>
        <v>Electronics</v>
      </c>
      <c r="S763" t="str">
        <f>IF(ISBLANK(I763), B763+VLOOKUP(C763, Lookups!$A$2:$D$10, 4, FALSE()), I763)</f>
        <v>2026-08-23</v>
      </c>
      <c r="T763">
        <f t="shared" si="69"/>
        <v>25</v>
      </c>
      <c r="U763" t="str">
        <f t="shared" si="70"/>
        <v>Late</v>
      </c>
      <c r="V763">
        <f t="shared" si="71"/>
        <v>0</v>
      </c>
    </row>
    <row r="764" spans="1:22" x14ac:dyDescent="0.45">
      <c r="A764" t="s">
        <v>1563</v>
      </c>
      <c r="B764" t="s">
        <v>739</v>
      </c>
      <c r="C764" t="s">
        <v>34</v>
      </c>
      <c r="D764" t="s">
        <v>73</v>
      </c>
      <c r="E764" t="s">
        <v>15</v>
      </c>
      <c r="F764">
        <v>157</v>
      </c>
      <c r="G764">
        <v>58396</v>
      </c>
      <c r="H764">
        <v>9168172</v>
      </c>
      <c r="I764" t="s">
        <v>171</v>
      </c>
      <c r="J764" t="s">
        <v>171</v>
      </c>
      <c r="K764">
        <v>157</v>
      </c>
      <c r="L764">
        <v>0</v>
      </c>
      <c r="M764" t="s">
        <v>115</v>
      </c>
      <c r="N764" t="str">
        <f t="shared" si="66"/>
        <v>PO-100763</v>
      </c>
      <c r="O764" t="str">
        <f t="shared" si="67"/>
        <v>Delivered</v>
      </c>
      <c r="P764" t="str">
        <f t="shared" si="68"/>
        <v>WH-BOM</v>
      </c>
      <c r="Q764" t="str">
        <f>VLOOKUP(C764, Lookups!$A$2:$D$10, 2, FALSE())</f>
        <v>FastElectronics</v>
      </c>
      <c r="R764" t="str">
        <f>_xlfn.XLOOKUP(D764, Lookups!$A$12:$A$51, Lookups!$C$12:$C$51, "Unknown")</f>
        <v>Electronics</v>
      </c>
      <c r="S764" t="str">
        <f>IF(ISBLANK(I764), B764+VLOOKUP(C764, Lookups!$A$2:$D$10, 4, FALSE()), I764)</f>
        <v>2025-08-16</v>
      </c>
      <c r="T764">
        <f t="shared" si="69"/>
        <v>18</v>
      </c>
      <c r="U764" t="str">
        <f t="shared" si="70"/>
        <v>On-Time</v>
      </c>
      <c r="V764">
        <f t="shared" si="71"/>
        <v>0</v>
      </c>
    </row>
    <row r="765" spans="1:22" x14ac:dyDescent="0.45">
      <c r="A765" t="s">
        <v>1564</v>
      </c>
      <c r="B765" t="s">
        <v>1367</v>
      </c>
      <c r="C765" t="s">
        <v>31</v>
      </c>
      <c r="D765" t="s">
        <v>85</v>
      </c>
      <c r="E765" t="s">
        <v>17</v>
      </c>
      <c r="F765">
        <v>165</v>
      </c>
      <c r="G765">
        <v>16501</v>
      </c>
      <c r="H765">
        <v>2722665</v>
      </c>
      <c r="I765" t="s">
        <v>847</v>
      </c>
      <c r="J765" t="s">
        <v>1403</v>
      </c>
      <c r="K765">
        <v>165</v>
      </c>
      <c r="L765">
        <v>0</v>
      </c>
      <c r="M765" t="s">
        <v>115</v>
      </c>
      <c r="N765" t="str">
        <f t="shared" si="66"/>
        <v>PO-100764</v>
      </c>
      <c r="O765" t="str">
        <f t="shared" si="67"/>
        <v>Delivered</v>
      </c>
      <c r="P765" t="str">
        <f t="shared" si="68"/>
        <v>WH-BLR</v>
      </c>
      <c r="Q765" t="str">
        <f>VLOOKUP(C765, Lookups!$A$2:$D$10, 2, FALSE())</f>
        <v>Global Networks</v>
      </c>
      <c r="R765" t="str">
        <f>_xlfn.XLOOKUP(D765, Lookups!$A$12:$A$51, Lookups!$C$12:$C$51, "Unknown")</f>
        <v>Networking</v>
      </c>
      <c r="S765" t="str">
        <f>IF(ISBLANK(I765), B765+VLOOKUP(C765, Lookups!$A$2:$D$10, 4, FALSE()), I765)</f>
        <v>2026-11-01</v>
      </c>
      <c r="T765">
        <f t="shared" si="69"/>
        <v>22</v>
      </c>
      <c r="U765" t="str">
        <f t="shared" si="70"/>
        <v>Late</v>
      </c>
      <c r="V765">
        <f t="shared" si="71"/>
        <v>0</v>
      </c>
    </row>
    <row r="766" spans="1:22" x14ac:dyDescent="0.45">
      <c r="A766" t="s">
        <v>1565</v>
      </c>
      <c r="B766" t="s">
        <v>784</v>
      </c>
      <c r="C766" t="s">
        <v>30</v>
      </c>
      <c r="D766" t="s">
        <v>88</v>
      </c>
      <c r="E766" t="s">
        <v>18</v>
      </c>
      <c r="F766">
        <v>216</v>
      </c>
      <c r="G766">
        <v>75512</v>
      </c>
      <c r="H766">
        <v>16310592</v>
      </c>
      <c r="I766" t="s">
        <v>138</v>
      </c>
      <c r="J766" t="s">
        <v>356</v>
      </c>
      <c r="K766">
        <v>216</v>
      </c>
      <c r="L766">
        <v>0</v>
      </c>
      <c r="M766" t="s">
        <v>115</v>
      </c>
      <c r="N766" t="str">
        <f t="shared" si="66"/>
        <v>PO-100765</v>
      </c>
      <c r="O766" t="str">
        <f t="shared" si="67"/>
        <v>Delivered</v>
      </c>
      <c r="P766" t="str">
        <f t="shared" si="68"/>
        <v>WH-PUN</v>
      </c>
      <c r="Q766" t="str">
        <f>VLOOKUP(C766, Lookups!$A$2:$D$10, 2, FALSE())</f>
        <v>TechSupply Corp</v>
      </c>
      <c r="R766" t="str">
        <f>_xlfn.XLOOKUP(D766, Lookups!$A$12:$A$51, Lookups!$C$12:$C$51, "Unknown")</f>
        <v>Electronics</v>
      </c>
      <c r="S766" t="str">
        <f>IF(ISBLANK(I766), B766+VLOOKUP(C766, Lookups!$A$2:$D$10, 4, FALSE()), I766)</f>
        <v>2025-09-26</v>
      </c>
      <c r="T766">
        <f t="shared" si="69"/>
        <v>15</v>
      </c>
      <c r="U766" t="str">
        <f t="shared" si="70"/>
        <v>Late</v>
      </c>
      <c r="V766">
        <f t="shared" si="71"/>
        <v>0</v>
      </c>
    </row>
    <row r="767" spans="1:22" x14ac:dyDescent="0.45">
      <c r="A767" t="s">
        <v>1566</v>
      </c>
      <c r="B767" t="s">
        <v>493</v>
      </c>
      <c r="C767" t="s">
        <v>34</v>
      </c>
      <c r="D767" t="s">
        <v>58</v>
      </c>
      <c r="E767" t="s">
        <v>18</v>
      </c>
      <c r="F767">
        <v>113</v>
      </c>
      <c r="G767">
        <v>100302</v>
      </c>
      <c r="H767">
        <v>11334126</v>
      </c>
      <c r="I767" t="s">
        <v>1223</v>
      </c>
      <c r="J767" t="s">
        <v>1519</v>
      </c>
      <c r="K767">
        <v>113</v>
      </c>
      <c r="L767">
        <v>0</v>
      </c>
      <c r="M767" t="s">
        <v>115</v>
      </c>
      <c r="N767" t="str">
        <f t="shared" si="66"/>
        <v>PO-100766</v>
      </c>
      <c r="O767" t="str">
        <f t="shared" si="67"/>
        <v>Delivered</v>
      </c>
      <c r="P767" t="str">
        <f t="shared" si="68"/>
        <v>WH-PUN</v>
      </c>
      <c r="Q767" t="str">
        <f>VLOOKUP(C767, Lookups!$A$2:$D$10, 2, FALSE())</f>
        <v>FastElectronics</v>
      </c>
      <c r="R767" t="str">
        <f>_xlfn.XLOOKUP(D767, Lookups!$A$12:$A$51, Lookups!$C$12:$C$51, "Unknown")</f>
        <v>Electronics</v>
      </c>
      <c r="S767" t="str">
        <f>IF(ISBLANK(I767), B767+VLOOKUP(C767, Lookups!$A$2:$D$10, 4, FALSE()), I767)</f>
        <v>2026-09-26</v>
      </c>
      <c r="T767">
        <f t="shared" si="69"/>
        <v>19</v>
      </c>
      <c r="U767" t="str">
        <f t="shared" si="70"/>
        <v>Late</v>
      </c>
      <c r="V767">
        <f t="shared" si="71"/>
        <v>0</v>
      </c>
    </row>
    <row r="768" spans="1:22" x14ac:dyDescent="0.45">
      <c r="A768" t="s">
        <v>1567</v>
      </c>
      <c r="B768" t="s">
        <v>907</v>
      </c>
      <c r="C768" t="s">
        <v>31</v>
      </c>
      <c r="D768" t="s">
        <v>64</v>
      </c>
      <c r="E768" t="s">
        <v>15</v>
      </c>
      <c r="F768">
        <v>19</v>
      </c>
      <c r="G768">
        <v>36295</v>
      </c>
      <c r="H768">
        <v>689605</v>
      </c>
      <c r="I768" t="s">
        <v>196</v>
      </c>
      <c r="J768" t="s">
        <v>290</v>
      </c>
      <c r="K768">
        <v>19</v>
      </c>
      <c r="L768">
        <v>0</v>
      </c>
      <c r="M768" t="s">
        <v>115</v>
      </c>
      <c r="N768" t="str">
        <f t="shared" si="66"/>
        <v>PO-100767</v>
      </c>
      <c r="O768" t="str">
        <f t="shared" si="67"/>
        <v>Delivered</v>
      </c>
      <c r="P768" t="str">
        <f t="shared" si="68"/>
        <v>WH-BOM</v>
      </c>
      <c r="Q768" t="str">
        <f>VLOOKUP(C768, Lookups!$A$2:$D$10, 2, FALSE())</f>
        <v>Global Networks</v>
      </c>
      <c r="R768" t="str">
        <f>_xlfn.XLOOKUP(D768, Lookups!$A$12:$A$51, Lookups!$C$12:$C$51, "Unknown")</f>
        <v>Networking</v>
      </c>
      <c r="S768" t="str">
        <f>IF(ISBLANK(I768), B768+VLOOKUP(C768, Lookups!$A$2:$D$10, 4, FALSE()), I768)</f>
        <v>2026-07-11</v>
      </c>
      <c r="T768">
        <f t="shared" si="69"/>
        <v>22</v>
      </c>
      <c r="U768" t="str">
        <f t="shared" si="70"/>
        <v>Late</v>
      </c>
      <c r="V768">
        <f t="shared" si="71"/>
        <v>0</v>
      </c>
    </row>
    <row r="769" spans="1:22" x14ac:dyDescent="0.45">
      <c r="A769" t="s">
        <v>1568</v>
      </c>
      <c r="B769" t="s">
        <v>444</v>
      </c>
      <c r="C769" t="s">
        <v>35</v>
      </c>
      <c r="D769" t="s">
        <v>65</v>
      </c>
      <c r="E769" t="s">
        <v>17</v>
      </c>
      <c r="F769">
        <v>82</v>
      </c>
      <c r="G769">
        <v>4936</v>
      </c>
      <c r="H769">
        <v>404752</v>
      </c>
      <c r="I769" t="s">
        <v>1221</v>
      </c>
      <c r="J769" t="s">
        <v>217</v>
      </c>
      <c r="K769">
        <v>82</v>
      </c>
      <c r="L769">
        <v>0</v>
      </c>
      <c r="M769" t="s">
        <v>115</v>
      </c>
      <c r="N769" t="str">
        <f t="shared" si="66"/>
        <v>PO-100768</v>
      </c>
      <c r="O769" t="str">
        <f t="shared" si="67"/>
        <v>Delivered</v>
      </c>
      <c r="P769" t="str">
        <f t="shared" si="68"/>
        <v>WH-BLR</v>
      </c>
      <c r="Q769" t="str">
        <f>VLOOKUP(C769, Lookups!$A$2:$D$10, 2, FALSE())</f>
        <v>Peripheral Source</v>
      </c>
      <c r="R769" t="str">
        <f>_xlfn.XLOOKUP(D769, Lookups!$A$12:$A$51, Lookups!$C$12:$C$51, "Unknown")</f>
        <v>Peripherals</v>
      </c>
      <c r="S769" t="str">
        <f>IF(ISBLANK(I769), B769+VLOOKUP(C769, Lookups!$A$2:$D$10, 4, FALSE()), I769)</f>
        <v>2026-04-22</v>
      </c>
      <c r="T769">
        <f t="shared" si="69"/>
        <v>11</v>
      </c>
      <c r="U769" t="str">
        <f t="shared" si="70"/>
        <v>Late</v>
      </c>
      <c r="V769">
        <f t="shared" si="71"/>
        <v>0</v>
      </c>
    </row>
    <row r="770" spans="1:22" x14ac:dyDescent="0.45">
      <c r="A770" t="s">
        <v>1569</v>
      </c>
      <c r="B770" t="s">
        <v>1497</v>
      </c>
      <c r="C770" t="s">
        <v>37</v>
      </c>
      <c r="D770" t="s">
        <v>79</v>
      </c>
      <c r="E770" t="s">
        <v>18</v>
      </c>
      <c r="F770">
        <v>160</v>
      </c>
      <c r="G770">
        <v>23054</v>
      </c>
      <c r="H770">
        <v>3688640</v>
      </c>
      <c r="I770" t="s">
        <v>363</v>
      </c>
      <c r="J770" t="s">
        <v>149</v>
      </c>
      <c r="K770">
        <v>160</v>
      </c>
      <c r="L770">
        <v>0</v>
      </c>
      <c r="M770" t="s">
        <v>115</v>
      </c>
      <c r="N770" t="str">
        <f t="shared" ref="N770:N833" si="72">TRIM(A770)</f>
        <v>PO-100769</v>
      </c>
      <c r="O770" t="str">
        <f t="shared" ref="O770:O833" si="73">PROPER(TRIM(M770))</f>
        <v>Delivered</v>
      </c>
      <c r="P770" t="str">
        <f t="shared" ref="P770:P833" si="74">TRIM(E770)</f>
        <v>WH-PUN</v>
      </c>
      <c r="Q770" t="str">
        <f>VLOOKUP(C770, Lookups!$A$2:$D$10, 2, FALSE())</f>
        <v>Premium Desks Ltd</v>
      </c>
      <c r="R770" t="str">
        <f>_xlfn.XLOOKUP(D770, Lookups!$A$12:$A$51, Lookups!$C$12:$C$51, "Unknown")</f>
        <v>Office Furniture</v>
      </c>
      <c r="S770" t="str">
        <f>IF(ISBLANK(I770), B770+VLOOKUP(C770, Lookups!$A$2:$D$10, 4, FALSE()), I770)</f>
        <v>2026-04-02</v>
      </c>
      <c r="T770">
        <f t="shared" ref="T770:T833" si="75">IF(ISBLANK(J770), "", J770-B770)</f>
        <v>13</v>
      </c>
      <c r="U770" t="str">
        <f t="shared" ref="U770:U833" si="76">IF(O770="Open", "Open", IF(J770&gt;S770, "Late", "On-Time"))</f>
        <v>Late</v>
      </c>
      <c r="V770">
        <f t="shared" ref="V770:V833" si="77">IF(K770&gt;0, L770/K770, 0)</f>
        <v>0</v>
      </c>
    </row>
    <row r="771" spans="1:22" x14ac:dyDescent="0.45">
      <c r="A771" t="s">
        <v>1570</v>
      </c>
      <c r="B771" t="s">
        <v>269</v>
      </c>
      <c r="C771" t="s">
        <v>34</v>
      </c>
      <c r="D771" t="s">
        <v>81</v>
      </c>
      <c r="E771" t="s">
        <v>15</v>
      </c>
      <c r="F771">
        <v>233</v>
      </c>
      <c r="G771">
        <v>55328</v>
      </c>
      <c r="H771">
        <v>12891424</v>
      </c>
      <c r="I771" t="s">
        <v>984</v>
      </c>
      <c r="J771" t="s">
        <v>1019</v>
      </c>
      <c r="K771">
        <v>233</v>
      </c>
      <c r="L771">
        <v>0</v>
      </c>
      <c r="M771" t="s">
        <v>115</v>
      </c>
      <c r="N771" t="str">
        <f t="shared" si="72"/>
        <v>PO-100770</v>
      </c>
      <c r="O771" t="str">
        <f t="shared" si="73"/>
        <v>Delivered</v>
      </c>
      <c r="P771" t="str">
        <f t="shared" si="74"/>
        <v>WH-BOM</v>
      </c>
      <c r="Q771" t="str">
        <f>VLOOKUP(C771, Lookups!$A$2:$D$10, 2, FALSE())</f>
        <v>FastElectronics</v>
      </c>
      <c r="R771" t="str">
        <f>_xlfn.XLOOKUP(D771, Lookups!$A$12:$A$51, Lookups!$C$12:$C$51, "Unknown")</f>
        <v>Electronics</v>
      </c>
      <c r="S771" t="str">
        <f>IF(ISBLANK(I771), B771+VLOOKUP(C771, Lookups!$A$2:$D$10, 4, FALSE()), I771)</f>
        <v>2025-05-08</v>
      </c>
      <c r="T771">
        <f t="shared" si="75"/>
        <v>19</v>
      </c>
      <c r="U771" t="str">
        <f t="shared" si="76"/>
        <v>Late</v>
      </c>
      <c r="V771">
        <f t="shared" si="77"/>
        <v>0</v>
      </c>
    </row>
    <row r="772" spans="1:22" x14ac:dyDescent="0.45">
      <c r="A772" t="s">
        <v>1571</v>
      </c>
      <c r="B772" t="s">
        <v>1129</v>
      </c>
      <c r="C772" t="s">
        <v>35</v>
      </c>
      <c r="D772" t="s">
        <v>91</v>
      </c>
      <c r="E772" t="s">
        <v>18</v>
      </c>
      <c r="F772">
        <v>242</v>
      </c>
      <c r="G772">
        <v>6707</v>
      </c>
      <c r="H772">
        <v>1623094</v>
      </c>
      <c r="I772" t="s">
        <v>147</v>
      </c>
      <c r="J772" t="s">
        <v>153</v>
      </c>
      <c r="K772">
        <v>242</v>
      </c>
      <c r="L772">
        <v>0</v>
      </c>
      <c r="M772" t="s">
        <v>115</v>
      </c>
      <c r="N772" t="str">
        <f t="shared" si="72"/>
        <v>PO-100771</v>
      </c>
      <c r="O772" t="str">
        <f t="shared" si="73"/>
        <v>Delivered</v>
      </c>
      <c r="P772" t="str">
        <f t="shared" si="74"/>
        <v>WH-PUN</v>
      </c>
      <c r="Q772" t="str">
        <f>VLOOKUP(C772, Lookups!$A$2:$D$10, 2, FALSE())</f>
        <v>Peripheral Source</v>
      </c>
      <c r="R772" t="str">
        <f>_xlfn.XLOOKUP(D772, Lookups!$A$12:$A$51, Lookups!$C$12:$C$51, "Unknown")</f>
        <v>Peripherals</v>
      </c>
      <c r="S772" t="str">
        <f>IF(ISBLANK(I772), B772+VLOOKUP(C772, Lookups!$A$2:$D$10, 4, FALSE()), I772)</f>
        <v>2025-10-05</v>
      </c>
      <c r="T772">
        <f t="shared" si="75"/>
        <v>12</v>
      </c>
      <c r="U772" t="str">
        <f t="shared" si="76"/>
        <v>Late</v>
      </c>
      <c r="V772">
        <f t="shared" si="77"/>
        <v>0</v>
      </c>
    </row>
    <row r="773" spans="1:22" x14ac:dyDescent="0.45">
      <c r="A773" t="s">
        <v>1572</v>
      </c>
      <c r="B773" t="s">
        <v>288</v>
      </c>
      <c r="C773" t="s">
        <v>34</v>
      </c>
      <c r="D773" t="s">
        <v>68</v>
      </c>
      <c r="E773" t="s">
        <v>18</v>
      </c>
      <c r="F773">
        <v>36</v>
      </c>
      <c r="G773">
        <v>41405</v>
      </c>
      <c r="H773">
        <v>1490580</v>
      </c>
      <c r="I773" t="s">
        <v>289</v>
      </c>
      <c r="J773" t="s">
        <v>195</v>
      </c>
      <c r="K773">
        <v>36</v>
      </c>
      <c r="L773">
        <v>0</v>
      </c>
      <c r="M773" t="s">
        <v>115</v>
      </c>
      <c r="N773" t="str">
        <f t="shared" si="72"/>
        <v>PO-100772</v>
      </c>
      <c r="O773" t="str">
        <f t="shared" si="73"/>
        <v>Delivered</v>
      </c>
      <c r="P773" t="str">
        <f t="shared" si="74"/>
        <v>WH-PUN</v>
      </c>
      <c r="Q773" t="str">
        <f>VLOOKUP(C773, Lookups!$A$2:$D$10, 2, FALSE())</f>
        <v>FastElectronics</v>
      </c>
      <c r="R773" t="str">
        <f>_xlfn.XLOOKUP(D773, Lookups!$A$12:$A$51, Lookups!$C$12:$C$51, "Unknown")</f>
        <v>Networking</v>
      </c>
      <c r="S773" t="str">
        <f>IF(ISBLANK(I773), B773+VLOOKUP(C773, Lookups!$A$2:$D$10, 4, FALSE()), I773)</f>
        <v>2026-07-09</v>
      </c>
      <c r="T773">
        <f t="shared" si="75"/>
        <v>19</v>
      </c>
      <c r="U773" t="str">
        <f t="shared" si="76"/>
        <v>Late</v>
      </c>
      <c r="V773">
        <f t="shared" si="77"/>
        <v>0</v>
      </c>
    </row>
    <row r="774" spans="1:22" x14ac:dyDescent="0.45">
      <c r="A774" t="s">
        <v>1573</v>
      </c>
      <c r="B774" t="s">
        <v>1574</v>
      </c>
      <c r="C774" t="s">
        <v>30</v>
      </c>
      <c r="D774" t="s">
        <v>52</v>
      </c>
      <c r="E774" t="s">
        <v>17</v>
      </c>
      <c r="F774">
        <v>29</v>
      </c>
      <c r="G774">
        <v>59592</v>
      </c>
      <c r="H774">
        <v>1728168</v>
      </c>
      <c r="I774" t="s">
        <v>207</v>
      </c>
      <c r="J774" t="s">
        <v>885</v>
      </c>
      <c r="K774">
        <v>29</v>
      </c>
      <c r="L774">
        <v>0</v>
      </c>
      <c r="M774" t="s">
        <v>115</v>
      </c>
      <c r="N774" t="str">
        <f t="shared" si="72"/>
        <v>PO-100773</v>
      </c>
      <c r="O774" t="str">
        <f t="shared" si="73"/>
        <v>Delivered</v>
      </c>
      <c r="P774" t="str">
        <f t="shared" si="74"/>
        <v>WH-BLR</v>
      </c>
      <c r="Q774" t="str">
        <f>VLOOKUP(C774, Lookups!$A$2:$D$10, 2, FALSE())</f>
        <v>TechSupply Corp</v>
      </c>
      <c r="R774" t="str">
        <f>_xlfn.XLOOKUP(D774, Lookups!$A$12:$A$51, Lookups!$C$12:$C$51, "Unknown")</f>
        <v>Electronics</v>
      </c>
      <c r="S774" t="str">
        <f>IF(ISBLANK(I774), B774+VLOOKUP(C774, Lookups!$A$2:$D$10, 4, FALSE()), I774)</f>
        <v>2025-12-14</v>
      </c>
      <c r="T774">
        <f t="shared" si="75"/>
        <v>15</v>
      </c>
      <c r="U774" t="str">
        <f t="shared" si="76"/>
        <v>Late</v>
      </c>
      <c r="V774">
        <f t="shared" si="77"/>
        <v>0</v>
      </c>
    </row>
    <row r="775" spans="1:22" x14ac:dyDescent="0.45">
      <c r="A775" t="s">
        <v>1575</v>
      </c>
      <c r="B775" t="s">
        <v>501</v>
      </c>
      <c r="C775" t="s">
        <v>37</v>
      </c>
      <c r="D775" t="s">
        <v>83</v>
      </c>
      <c r="E775" t="s">
        <v>17</v>
      </c>
      <c r="F775">
        <v>76</v>
      </c>
      <c r="G775">
        <v>19850</v>
      </c>
      <c r="H775">
        <v>1508600</v>
      </c>
      <c r="I775" t="s">
        <v>617</v>
      </c>
      <c r="J775" t="s">
        <v>617</v>
      </c>
      <c r="K775">
        <v>76</v>
      </c>
      <c r="L775">
        <v>0</v>
      </c>
      <c r="M775" t="s">
        <v>115</v>
      </c>
      <c r="N775" t="str">
        <f t="shared" si="72"/>
        <v>PO-100774</v>
      </c>
      <c r="O775" t="str">
        <f t="shared" si="73"/>
        <v>Delivered</v>
      </c>
      <c r="P775" t="str">
        <f t="shared" si="74"/>
        <v>WH-BLR</v>
      </c>
      <c r="Q775" t="str">
        <f>VLOOKUP(C775, Lookups!$A$2:$D$10, 2, FALSE())</f>
        <v>Premium Desks Ltd</v>
      </c>
      <c r="R775" t="str">
        <f>_xlfn.XLOOKUP(D775, Lookups!$A$12:$A$51, Lookups!$C$12:$C$51, "Unknown")</f>
        <v>Office Furniture</v>
      </c>
      <c r="S775" t="str">
        <f>IF(ISBLANK(I775), B775+VLOOKUP(C775, Lookups!$A$2:$D$10, 4, FALSE()), I775)</f>
        <v>2026-02-10</v>
      </c>
      <c r="T775">
        <f t="shared" si="75"/>
        <v>12</v>
      </c>
      <c r="U775" t="str">
        <f t="shared" si="76"/>
        <v>On-Time</v>
      </c>
      <c r="V775">
        <f t="shared" si="77"/>
        <v>0</v>
      </c>
    </row>
    <row r="776" spans="1:22" x14ac:dyDescent="0.45">
      <c r="A776" t="s">
        <v>1576</v>
      </c>
      <c r="B776" t="s">
        <v>580</v>
      </c>
      <c r="C776" t="s">
        <v>35</v>
      </c>
      <c r="D776" t="s">
        <v>91</v>
      </c>
      <c r="E776" t="s">
        <v>18</v>
      </c>
      <c r="F776">
        <v>157</v>
      </c>
      <c r="G776">
        <v>6707</v>
      </c>
      <c r="H776">
        <v>1052999</v>
      </c>
      <c r="I776" t="s">
        <v>720</v>
      </c>
      <c r="J776" t="s">
        <v>720</v>
      </c>
      <c r="K776">
        <v>157</v>
      </c>
      <c r="L776">
        <v>0</v>
      </c>
      <c r="M776" t="s">
        <v>115</v>
      </c>
      <c r="N776" t="str">
        <f t="shared" si="72"/>
        <v>PO-100775</v>
      </c>
      <c r="O776" t="str">
        <f t="shared" si="73"/>
        <v>Delivered</v>
      </c>
      <c r="P776" t="str">
        <f t="shared" si="74"/>
        <v>WH-PUN</v>
      </c>
      <c r="Q776" t="str">
        <f>VLOOKUP(C776, Lookups!$A$2:$D$10, 2, FALSE())</f>
        <v>Peripheral Source</v>
      </c>
      <c r="R776" t="str">
        <f>_xlfn.XLOOKUP(D776, Lookups!$A$12:$A$51, Lookups!$C$12:$C$51, "Unknown")</f>
        <v>Peripherals</v>
      </c>
      <c r="S776" t="str">
        <f>IF(ISBLANK(I776), B776+VLOOKUP(C776, Lookups!$A$2:$D$10, 4, FALSE()), I776)</f>
        <v>2026-01-22</v>
      </c>
      <c r="T776">
        <f t="shared" si="75"/>
        <v>10</v>
      </c>
      <c r="U776" t="str">
        <f t="shared" si="76"/>
        <v>On-Time</v>
      </c>
      <c r="V776">
        <f t="shared" si="77"/>
        <v>0</v>
      </c>
    </row>
    <row r="777" spans="1:22" x14ac:dyDescent="0.45">
      <c r="A777" t="s">
        <v>1577</v>
      </c>
      <c r="B777" t="s">
        <v>332</v>
      </c>
      <c r="C777" t="s">
        <v>35</v>
      </c>
      <c r="D777" t="s">
        <v>72</v>
      </c>
      <c r="E777" t="s">
        <v>15</v>
      </c>
      <c r="F777">
        <v>175</v>
      </c>
      <c r="G777">
        <v>7754</v>
      </c>
      <c r="H777">
        <v>1356950</v>
      </c>
      <c r="I777" t="s">
        <v>200</v>
      </c>
      <c r="J777" t="s">
        <v>1046</v>
      </c>
      <c r="K777">
        <v>175</v>
      </c>
      <c r="L777">
        <v>0</v>
      </c>
      <c r="M777" t="s">
        <v>115</v>
      </c>
      <c r="N777" t="str">
        <f t="shared" si="72"/>
        <v>PO-100776</v>
      </c>
      <c r="O777" t="str">
        <f t="shared" si="73"/>
        <v>Delivered</v>
      </c>
      <c r="P777" t="str">
        <f t="shared" si="74"/>
        <v>WH-BOM</v>
      </c>
      <c r="Q777" t="str">
        <f>VLOOKUP(C777, Lookups!$A$2:$D$10, 2, FALSE())</f>
        <v>Peripheral Source</v>
      </c>
      <c r="R777" t="str">
        <f>_xlfn.XLOOKUP(D777, Lookups!$A$12:$A$51, Lookups!$C$12:$C$51, "Unknown")</f>
        <v>Peripherals</v>
      </c>
      <c r="S777" t="str">
        <f>IF(ISBLANK(I777), B777+VLOOKUP(C777, Lookups!$A$2:$D$10, 4, FALSE()), I777)</f>
        <v>2025-10-22</v>
      </c>
      <c r="T777">
        <f t="shared" si="75"/>
        <v>11</v>
      </c>
      <c r="U777" t="str">
        <f t="shared" si="76"/>
        <v>Late</v>
      </c>
      <c r="V777">
        <f t="shared" si="77"/>
        <v>0</v>
      </c>
    </row>
    <row r="778" spans="1:22" x14ac:dyDescent="0.45">
      <c r="A778" t="s">
        <v>1578</v>
      </c>
      <c r="B778" t="s">
        <v>1236</v>
      </c>
      <c r="C778" t="s">
        <v>37</v>
      </c>
      <c r="D778" t="s">
        <v>83</v>
      </c>
      <c r="E778" t="s">
        <v>17</v>
      </c>
      <c r="F778">
        <v>89</v>
      </c>
      <c r="G778">
        <v>19850</v>
      </c>
      <c r="H778">
        <v>1766650</v>
      </c>
      <c r="I778" t="s">
        <v>293</v>
      </c>
      <c r="J778" t="s">
        <v>569</v>
      </c>
      <c r="K778">
        <v>89</v>
      </c>
      <c r="L778">
        <v>0</v>
      </c>
      <c r="M778" t="s">
        <v>115</v>
      </c>
      <c r="N778" t="str">
        <f t="shared" si="72"/>
        <v>PO-100777</v>
      </c>
      <c r="O778" t="str">
        <f t="shared" si="73"/>
        <v>Delivered</v>
      </c>
      <c r="P778" t="str">
        <f t="shared" si="74"/>
        <v>WH-BLR</v>
      </c>
      <c r="Q778" t="str">
        <f>VLOOKUP(C778, Lookups!$A$2:$D$10, 2, FALSE())</f>
        <v>Premium Desks Ltd</v>
      </c>
      <c r="R778" t="str">
        <f>_xlfn.XLOOKUP(D778, Lookups!$A$12:$A$51, Lookups!$C$12:$C$51, "Unknown")</f>
        <v>Office Furniture</v>
      </c>
      <c r="S778" t="str">
        <f>IF(ISBLANK(I778), B778+VLOOKUP(C778, Lookups!$A$2:$D$10, 4, FALSE()), I778)</f>
        <v>2025-09-04</v>
      </c>
      <c r="T778">
        <f t="shared" si="75"/>
        <v>27</v>
      </c>
      <c r="U778" t="str">
        <f t="shared" si="76"/>
        <v>Late</v>
      </c>
      <c r="V778">
        <f t="shared" si="77"/>
        <v>0</v>
      </c>
    </row>
    <row r="779" spans="1:22" x14ac:dyDescent="0.45">
      <c r="A779" t="s">
        <v>1579</v>
      </c>
      <c r="B779" t="s">
        <v>1442</v>
      </c>
      <c r="C779" t="s">
        <v>36</v>
      </c>
      <c r="D779" t="s">
        <v>87</v>
      </c>
      <c r="E779" t="s">
        <v>18</v>
      </c>
      <c r="F779">
        <v>28</v>
      </c>
      <c r="G779">
        <v>82930</v>
      </c>
      <c r="H779">
        <v>2322040</v>
      </c>
      <c r="I779" t="s">
        <v>271</v>
      </c>
      <c r="J779" t="s">
        <v>271</v>
      </c>
      <c r="K779">
        <v>28</v>
      </c>
      <c r="L779">
        <v>0</v>
      </c>
      <c r="M779" t="s">
        <v>115</v>
      </c>
      <c r="N779" t="str">
        <f t="shared" si="72"/>
        <v>PO-100778</v>
      </c>
      <c r="O779" t="str">
        <f t="shared" si="73"/>
        <v>Delivered</v>
      </c>
      <c r="P779" t="str">
        <f t="shared" si="74"/>
        <v>WH-PUN</v>
      </c>
      <c r="Q779" t="str">
        <f>VLOOKUP(C779, Lookups!$A$2:$D$10, 2, FALSE())</f>
        <v>NextGen Hardware</v>
      </c>
      <c r="R779" t="str">
        <f>_xlfn.XLOOKUP(D779, Lookups!$A$12:$A$51, Lookups!$C$12:$C$51, "Unknown")</f>
        <v>Electronics</v>
      </c>
      <c r="S779" t="str">
        <f>IF(ISBLANK(I779), B779+VLOOKUP(C779, Lookups!$A$2:$D$10, 4, FALSE()), I779)</f>
        <v>2025-07-26</v>
      </c>
      <c r="T779">
        <f t="shared" si="75"/>
        <v>24</v>
      </c>
      <c r="U779" t="str">
        <f t="shared" si="76"/>
        <v>On-Time</v>
      </c>
      <c r="V779">
        <f t="shared" si="77"/>
        <v>0</v>
      </c>
    </row>
    <row r="780" spans="1:22" x14ac:dyDescent="0.45">
      <c r="A780" t="s">
        <v>1580</v>
      </c>
      <c r="B780" t="s">
        <v>984</v>
      </c>
      <c r="C780" t="s">
        <v>36</v>
      </c>
      <c r="D780" t="s">
        <v>71</v>
      </c>
      <c r="E780" t="s">
        <v>15</v>
      </c>
      <c r="F780">
        <v>226</v>
      </c>
      <c r="G780">
        <v>65379</v>
      </c>
      <c r="H780">
        <v>14775654</v>
      </c>
      <c r="I780" t="s">
        <v>409</v>
      </c>
      <c r="J780" t="s">
        <v>1440</v>
      </c>
      <c r="K780">
        <v>226</v>
      </c>
      <c r="L780">
        <v>0</v>
      </c>
      <c r="M780" t="s">
        <v>115</v>
      </c>
      <c r="N780" t="str">
        <f t="shared" si="72"/>
        <v>PO-100779</v>
      </c>
      <c r="O780" t="str">
        <f t="shared" si="73"/>
        <v>Delivered</v>
      </c>
      <c r="P780" t="str">
        <f t="shared" si="74"/>
        <v>WH-BOM</v>
      </c>
      <c r="Q780" t="str">
        <f>VLOOKUP(C780, Lookups!$A$2:$D$10, 2, FALSE())</f>
        <v>NextGen Hardware</v>
      </c>
      <c r="R780" t="str">
        <f>_xlfn.XLOOKUP(D780, Lookups!$A$12:$A$51, Lookups!$C$12:$C$51, "Unknown")</f>
        <v>Electronics</v>
      </c>
      <c r="S780" t="str">
        <f>IF(ISBLANK(I780), B780+VLOOKUP(C780, Lookups!$A$2:$D$10, 4, FALSE()), I780)</f>
        <v>2025-06-01</v>
      </c>
      <c r="T780">
        <f t="shared" si="75"/>
        <v>26</v>
      </c>
      <c r="U780" t="str">
        <f t="shared" si="76"/>
        <v>Late</v>
      </c>
      <c r="V780">
        <f t="shared" si="77"/>
        <v>0</v>
      </c>
    </row>
    <row r="781" spans="1:22" x14ac:dyDescent="0.45">
      <c r="A781" t="s">
        <v>1581</v>
      </c>
      <c r="B781" t="s">
        <v>293</v>
      </c>
      <c r="C781" t="s">
        <v>30</v>
      </c>
      <c r="D781" t="s">
        <v>86</v>
      </c>
      <c r="E781" t="s">
        <v>17</v>
      </c>
      <c r="F781">
        <v>233</v>
      </c>
      <c r="G781">
        <v>74871</v>
      </c>
      <c r="H781">
        <v>17444943</v>
      </c>
      <c r="I781" t="s">
        <v>403</v>
      </c>
      <c r="J781" t="s">
        <v>569</v>
      </c>
      <c r="K781">
        <v>233</v>
      </c>
      <c r="L781">
        <v>0</v>
      </c>
      <c r="M781" t="s">
        <v>115</v>
      </c>
      <c r="N781" t="str">
        <f t="shared" si="72"/>
        <v>PO-100780</v>
      </c>
      <c r="O781" t="str">
        <f t="shared" si="73"/>
        <v>Delivered</v>
      </c>
      <c r="P781" t="str">
        <f t="shared" si="74"/>
        <v>WH-BLR</v>
      </c>
      <c r="Q781" t="str">
        <f>VLOOKUP(C781, Lookups!$A$2:$D$10, 2, FALSE())</f>
        <v>TechSupply Corp</v>
      </c>
      <c r="R781" t="str">
        <f>_xlfn.XLOOKUP(D781, Lookups!$A$12:$A$51, Lookups!$C$12:$C$51, "Unknown")</f>
        <v>Electronics</v>
      </c>
      <c r="S781" t="str">
        <f>IF(ISBLANK(I781), B781+VLOOKUP(C781, Lookups!$A$2:$D$10, 4, FALSE()), I781)</f>
        <v>2025-09-18</v>
      </c>
      <c r="T781">
        <f t="shared" si="75"/>
        <v>15</v>
      </c>
      <c r="U781" t="str">
        <f t="shared" si="76"/>
        <v>Late</v>
      </c>
      <c r="V781">
        <f t="shared" si="77"/>
        <v>0</v>
      </c>
    </row>
    <row r="782" spans="1:22" x14ac:dyDescent="0.45">
      <c r="A782" t="s">
        <v>1582</v>
      </c>
      <c r="B782" t="s">
        <v>358</v>
      </c>
      <c r="C782" t="s">
        <v>36</v>
      </c>
      <c r="D782" t="s">
        <v>71</v>
      </c>
      <c r="E782" t="s">
        <v>15</v>
      </c>
      <c r="F782">
        <v>171</v>
      </c>
      <c r="G782">
        <v>65379</v>
      </c>
      <c r="H782">
        <v>11179809</v>
      </c>
      <c r="I782" t="s">
        <v>220</v>
      </c>
      <c r="J782" t="s">
        <v>220</v>
      </c>
      <c r="K782">
        <v>171</v>
      </c>
      <c r="L782">
        <v>0</v>
      </c>
      <c r="M782" t="s">
        <v>115</v>
      </c>
      <c r="N782" t="str">
        <f t="shared" si="72"/>
        <v>PO-100781</v>
      </c>
      <c r="O782" t="str">
        <f t="shared" si="73"/>
        <v>Delivered</v>
      </c>
      <c r="P782" t="str">
        <f t="shared" si="74"/>
        <v>WH-BOM</v>
      </c>
      <c r="Q782" t="str">
        <f>VLOOKUP(C782, Lookups!$A$2:$D$10, 2, FALSE())</f>
        <v>NextGen Hardware</v>
      </c>
      <c r="R782" t="str">
        <f>_xlfn.XLOOKUP(D782, Lookups!$A$12:$A$51, Lookups!$C$12:$C$51, "Unknown")</f>
        <v>Electronics</v>
      </c>
      <c r="S782" t="str">
        <f>IF(ISBLANK(I782), B782+VLOOKUP(C782, Lookups!$A$2:$D$10, 4, FALSE()), I782)</f>
        <v>2026-02-14</v>
      </c>
      <c r="T782">
        <f t="shared" si="75"/>
        <v>24</v>
      </c>
      <c r="U782" t="str">
        <f t="shared" si="76"/>
        <v>On-Time</v>
      </c>
      <c r="V782">
        <f t="shared" si="77"/>
        <v>0</v>
      </c>
    </row>
    <row r="783" spans="1:22" x14ac:dyDescent="0.45">
      <c r="A783" t="s">
        <v>1583</v>
      </c>
      <c r="B783" t="s">
        <v>137</v>
      </c>
      <c r="C783" t="s">
        <v>37</v>
      </c>
      <c r="D783" t="s">
        <v>78</v>
      </c>
      <c r="E783" t="s">
        <v>15</v>
      </c>
      <c r="F783">
        <v>181</v>
      </c>
      <c r="G783">
        <v>9423</v>
      </c>
      <c r="H783">
        <v>1705563</v>
      </c>
      <c r="I783" t="s">
        <v>1475</v>
      </c>
      <c r="J783" t="s">
        <v>1584</v>
      </c>
      <c r="K783">
        <v>181</v>
      </c>
      <c r="L783">
        <v>0</v>
      </c>
      <c r="M783" t="s">
        <v>115</v>
      </c>
      <c r="N783" t="str">
        <f t="shared" si="72"/>
        <v>PO-100782</v>
      </c>
      <c r="O783" t="str">
        <f t="shared" si="73"/>
        <v>Delivered</v>
      </c>
      <c r="P783" t="str">
        <f t="shared" si="74"/>
        <v>WH-BOM</v>
      </c>
      <c r="Q783" t="str">
        <f>VLOOKUP(C783, Lookups!$A$2:$D$10, 2, FALSE())</f>
        <v>Premium Desks Ltd</v>
      </c>
      <c r="R783" t="str">
        <f>_xlfn.XLOOKUP(D783, Lookups!$A$12:$A$51, Lookups!$C$12:$C$51, "Unknown")</f>
        <v>Office Furniture</v>
      </c>
      <c r="S783" t="str">
        <f>IF(ISBLANK(I783), B783+VLOOKUP(C783, Lookups!$A$2:$D$10, 4, FALSE()), I783)</f>
        <v>2025-09-20</v>
      </c>
      <c r="T783">
        <f t="shared" si="75"/>
        <v>13</v>
      </c>
      <c r="U783" t="str">
        <f t="shared" si="76"/>
        <v>Late</v>
      </c>
      <c r="V783">
        <f t="shared" si="77"/>
        <v>0</v>
      </c>
    </row>
    <row r="784" spans="1:22" x14ac:dyDescent="0.45">
      <c r="A784" t="s">
        <v>1585</v>
      </c>
      <c r="B784" t="s">
        <v>477</v>
      </c>
      <c r="C784" t="s">
        <v>30</v>
      </c>
      <c r="D784" t="s">
        <v>53</v>
      </c>
      <c r="E784" t="s">
        <v>15</v>
      </c>
      <c r="F784">
        <v>227</v>
      </c>
      <c r="G784">
        <v>81048</v>
      </c>
      <c r="H784">
        <v>18397896</v>
      </c>
      <c r="I784" t="s">
        <v>505</v>
      </c>
      <c r="J784" t="s">
        <v>276</v>
      </c>
      <c r="K784">
        <v>227</v>
      </c>
      <c r="L784">
        <v>0</v>
      </c>
      <c r="M784" t="s">
        <v>115</v>
      </c>
      <c r="N784" t="str">
        <f t="shared" si="72"/>
        <v>PO-100783</v>
      </c>
      <c r="O784" t="str">
        <f t="shared" si="73"/>
        <v>Delivered</v>
      </c>
      <c r="P784" t="str">
        <f t="shared" si="74"/>
        <v>WH-BOM</v>
      </c>
      <c r="Q784" t="str">
        <f>VLOOKUP(C784, Lookups!$A$2:$D$10, 2, FALSE())</f>
        <v>TechSupply Corp</v>
      </c>
      <c r="R784" t="str">
        <f>_xlfn.XLOOKUP(D784, Lookups!$A$12:$A$51, Lookups!$C$12:$C$51, "Unknown")</f>
        <v>Electronics</v>
      </c>
      <c r="S784" t="str">
        <f>IF(ISBLANK(I784), B784+VLOOKUP(C784, Lookups!$A$2:$D$10, 4, FALSE()), I784)</f>
        <v>2025-04-11</v>
      </c>
      <c r="T784">
        <f t="shared" si="75"/>
        <v>15</v>
      </c>
      <c r="U784" t="str">
        <f t="shared" si="76"/>
        <v>Late</v>
      </c>
      <c r="V784">
        <f t="shared" si="77"/>
        <v>0</v>
      </c>
    </row>
    <row r="785" spans="1:22" x14ac:dyDescent="0.45">
      <c r="A785" t="s">
        <v>1586</v>
      </c>
      <c r="B785" t="s">
        <v>400</v>
      </c>
      <c r="C785" t="s">
        <v>35</v>
      </c>
      <c r="D785" t="s">
        <v>57</v>
      </c>
      <c r="E785" t="s">
        <v>16</v>
      </c>
      <c r="F785">
        <v>10</v>
      </c>
      <c r="G785">
        <v>2212</v>
      </c>
      <c r="H785">
        <v>22120</v>
      </c>
      <c r="I785" t="s">
        <v>448</v>
      </c>
      <c r="J785" t="s">
        <v>1260</v>
      </c>
      <c r="K785">
        <v>10</v>
      </c>
      <c r="L785">
        <v>0</v>
      </c>
      <c r="M785" t="s">
        <v>115</v>
      </c>
      <c r="N785" t="str">
        <f t="shared" si="72"/>
        <v>PO-100784</v>
      </c>
      <c r="O785" t="str">
        <f t="shared" si="73"/>
        <v>Delivered</v>
      </c>
      <c r="P785" t="str">
        <f t="shared" si="74"/>
        <v>WH-DEL</v>
      </c>
      <c r="Q785" t="str">
        <f>VLOOKUP(C785, Lookups!$A$2:$D$10, 2, FALSE())</f>
        <v>Peripheral Source</v>
      </c>
      <c r="R785" t="str">
        <f>_xlfn.XLOOKUP(D785, Lookups!$A$12:$A$51, Lookups!$C$12:$C$51, "Unknown")</f>
        <v>Peripherals</v>
      </c>
      <c r="S785" t="str">
        <f>IF(ISBLANK(I785), B785+VLOOKUP(C785, Lookups!$A$2:$D$10, 4, FALSE()), I785)</f>
        <v>2025-12-18</v>
      </c>
      <c r="T785">
        <f t="shared" si="75"/>
        <v>11</v>
      </c>
      <c r="U785" t="str">
        <f t="shared" si="76"/>
        <v>Late</v>
      </c>
      <c r="V785">
        <f t="shared" si="77"/>
        <v>0</v>
      </c>
    </row>
    <row r="786" spans="1:22" x14ac:dyDescent="0.45">
      <c r="A786" t="s">
        <v>1587</v>
      </c>
      <c r="B786" t="s">
        <v>415</v>
      </c>
      <c r="C786" t="s">
        <v>34</v>
      </c>
      <c r="D786" t="s">
        <v>81</v>
      </c>
      <c r="E786" t="s">
        <v>17</v>
      </c>
      <c r="F786">
        <v>144</v>
      </c>
      <c r="G786">
        <v>55328</v>
      </c>
      <c r="H786">
        <v>7967232</v>
      </c>
      <c r="I786" t="s">
        <v>1173</v>
      </c>
      <c r="J786" t="s">
        <v>413</v>
      </c>
      <c r="K786">
        <v>99</v>
      </c>
      <c r="L786">
        <v>0</v>
      </c>
      <c r="M786" t="s">
        <v>115</v>
      </c>
      <c r="N786" t="str">
        <f t="shared" si="72"/>
        <v>PO-100785</v>
      </c>
      <c r="O786" t="str">
        <f t="shared" si="73"/>
        <v>Delivered</v>
      </c>
      <c r="P786" t="str">
        <f t="shared" si="74"/>
        <v>WH-BLR</v>
      </c>
      <c r="Q786" t="str">
        <f>VLOOKUP(C786, Lookups!$A$2:$D$10, 2, FALSE())</f>
        <v>FastElectronics</v>
      </c>
      <c r="R786" t="str">
        <f>_xlfn.XLOOKUP(D786, Lookups!$A$12:$A$51, Lookups!$C$12:$C$51, "Unknown")</f>
        <v>Electronics</v>
      </c>
      <c r="S786" t="str">
        <f>IF(ISBLANK(I786), B786+VLOOKUP(C786, Lookups!$A$2:$D$10, 4, FALSE()), I786)</f>
        <v>2026-06-04</v>
      </c>
      <c r="T786">
        <f t="shared" si="75"/>
        <v>19</v>
      </c>
      <c r="U786" t="str">
        <f t="shared" si="76"/>
        <v>Late</v>
      </c>
      <c r="V786">
        <f t="shared" si="77"/>
        <v>0</v>
      </c>
    </row>
    <row r="787" spans="1:22" x14ac:dyDescent="0.45">
      <c r="A787" t="s">
        <v>1588</v>
      </c>
      <c r="B787" t="s">
        <v>222</v>
      </c>
      <c r="C787" t="s">
        <v>30</v>
      </c>
      <c r="D787" t="s">
        <v>61</v>
      </c>
      <c r="E787" t="s">
        <v>15</v>
      </c>
      <c r="F787">
        <v>59</v>
      </c>
      <c r="G787">
        <v>111237</v>
      </c>
      <c r="H787">
        <v>6562983</v>
      </c>
      <c r="I787" t="s">
        <v>625</v>
      </c>
      <c r="J787" t="s">
        <v>625</v>
      </c>
      <c r="K787">
        <v>59</v>
      </c>
      <c r="L787">
        <v>0</v>
      </c>
      <c r="M787" t="s">
        <v>115</v>
      </c>
      <c r="N787" t="str">
        <f t="shared" si="72"/>
        <v>PO-100786</v>
      </c>
      <c r="O787" t="str">
        <f t="shared" si="73"/>
        <v>Delivered</v>
      </c>
      <c r="P787" t="str">
        <f t="shared" si="74"/>
        <v>WH-BOM</v>
      </c>
      <c r="Q787" t="str">
        <f>VLOOKUP(C787, Lookups!$A$2:$D$10, 2, FALSE())</f>
        <v>TechSupply Corp</v>
      </c>
      <c r="R787" t="str">
        <f>_xlfn.XLOOKUP(D787, Lookups!$A$12:$A$51, Lookups!$C$12:$C$51, "Unknown")</f>
        <v>Electronics</v>
      </c>
      <c r="S787" t="str">
        <f>IF(ISBLANK(I787), B787+VLOOKUP(C787, Lookups!$A$2:$D$10, 4, FALSE()), I787)</f>
        <v>2026-03-15</v>
      </c>
      <c r="T787">
        <f t="shared" si="75"/>
        <v>14</v>
      </c>
      <c r="U787" t="str">
        <f t="shared" si="76"/>
        <v>On-Time</v>
      </c>
      <c r="V787">
        <f t="shared" si="77"/>
        <v>0</v>
      </c>
    </row>
    <row r="788" spans="1:22" x14ac:dyDescent="0.45">
      <c r="A788" t="s">
        <v>1589</v>
      </c>
      <c r="B788" t="s">
        <v>1300</v>
      </c>
      <c r="C788" t="s">
        <v>36</v>
      </c>
      <c r="D788" t="s">
        <v>90</v>
      </c>
      <c r="E788" t="s">
        <v>17</v>
      </c>
      <c r="F788">
        <v>113</v>
      </c>
      <c r="G788">
        <v>81434</v>
      </c>
      <c r="H788">
        <v>9202042</v>
      </c>
      <c r="I788" t="s">
        <v>393</v>
      </c>
      <c r="J788" t="s">
        <v>274</v>
      </c>
      <c r="K788">
        <v>113</v>
      </c>
      <c r="L788">
        <v>0</v>
      </c>
      <c r="M788" t="s">
        <v>115</v>
      </c>
      <c r="N788" t="str">
        <f t="shared" si="72"/>
        <v>PO-100787</v>
      </c>
      <c r="O788" t="str">
        <f t="shared" si="73"/>
        <v>Delivered</v>
      </c>
      <c r="P788" t="str">
        <f t="shared" si="74"/>
        <v>WH-BLR</v>
      </c>
      <c r="Q788" t="str">
        <f>VLOOKUP(C788, Lookups!$A$2:$D$10, 2, FALSE())</f>
        <v>NextGen Hardware</v>
      </c>
      <c r="R788" t="str">
        <f>_xlfn.XLOOKUP(D788, Lookups!$A$12:$A$51, Lookups!$C$12:$C$51, "Unknown")</f>
        <v>Electronics</v>
      </c>
      <c r="S788" t="str">
        <f>IF(ISBLANK(I788), B788+VLOOKUP(C788, Lookups!$A$2:$D$10, 4, FALSE()), I788)</f>
        <v>2025-08-29</v>
      </c>
      <c r="T788">
        <f t="shared" si="75"/>
        <v>25</v>
      </c>
      <c r="U788" t="str">
        <f t="shared" si="76"/>
        <v>Late</v>
      </c>
      <c r="V788">
        <f t="shared" si="77"/>
        <v>0</v>
      </c>
    </row>
    <row r="789" spans="1:22" x14ac:dyDescent="0.45">
      <c r="A789" t="s">
        <v>1590</v>
      </c>
      <c r="B789" t="s">
        <v>235</v>
      </c>
      <c r="C789" t="s">
        <v>34</v>
      </c>
      <c r="D789" t="s">
        <v>58</v>
      </c>
      <c r="E789" t="s">
        <v>15</v>
      </c>
      <c r="F789">
        <v>182</v>
      </c>
      <c r="G789">
        <v>100302</v>
      </c>
      <c r="H789">
        <v>18254964</v>
      </c>
      <c r="I789" t="s">
        <v>1114</v>
      </c>
      <c r="J789" t="s">
        <v>1114</v>
      </c>
      <c r="K789">
        <v>182</v>
      </c>
      <c r="L789">
        <v>0</v>
      </c>
      <c r="M789" t="s">
        <v>115</v>
      </c>
      <c r="N789" t="str">
        <f t="shared" si="72"/>
        <v>PO-100788</v>
      </c>
      <c r="O789" t="str">
        <f t="shared" si="73"/>
        <v>Delivered</v>
      </c>
      <c r="P789" t="str">
        <f t="shared" si="74"/>
        <v>WH-BOM</v>
      </c>
      <c r="Q789" t="str">
        <f>VLOOKUP(C789, Lookups!$A$2:$D$10, 2, FALSE())</f>
        <v>FastElectronics</v>
      </c>
      <c r="R789" t="str">
        <f>_xlfn.XLOOKUP(D789, Lookups!$A$12:$A$51, Lookups!$C$12:$C$51, "Unknown")</f>
        <v>Electronics</v>
      </c>
      <c r="S789" t="str">
        <f>IF(ISBLANK(I789), B789+VLOOKUP(C789, Lookups!$A$2:$D$10, 4, FALSE()), I789)</f>
        <v>2025-09-14</v>
      </c>
      <c r="T789">
        <f t="shared" si="75"/>
        <v>18</v>
      </c>
      <c r="U789" t="str">
        <f t="shared" si="76"/>
        <v>On-Time</v>
      </c>
      <c r="V789">
        <f t="shared" si="77"/>
        <v>0</v>
      </c>
    </row>
    <row r="790" spans="1:22" x14ac:dyDescent="0.45">
      <c r="A790" t="s">
        <v>1591</v>
      </c>
      <c r="B790" t="s">
        <v>316</v>
      </c>
      <c r="C790" t="s">
        <v>35</v>
      </c>
      <c r="D790" t="s">
        <v>57</v>
      </c>
      <c r="E790" t="s">
        <v>18</v>
      </c>
      <c r="F790">
        <v>192</v>
      </c>
      <c r="G790">
        <v>2212</v>
      </c>
      <c r="H790">
        <v>424704</v>
      </c>
      <c r="I790" t="s">
        <v>387</v>
      </c>
      <c r="J790" t="s">
        <v>387</v>
      </c>
      <c r="K790">
        <v>192</v>
      </c>
      <c r="L790">
        <v>0</v>
      </c>
      <c r="M790" t="s">
        <v>115</v>
      </c>
      <c r="N790" t="str">
        <f t="shared" si="72"/>
        <v>PO-100789</v>
      </c>
      <c r="O790" t="str">
        <f t="shared" si="73"/>
        <v>Delivered</v>
      </c>
      <c r="P790" t="str">
        <f t="shared" si="74"/>
        <v>WH-PUN</v>
      </c>
      <c r="Q790" t="str">
        <f>VLOOKUP(C790, Lookups!$A$2:$D$10, 2, FALSE())</f>
        <v>Peripheral Source</v>
      </c>
      <c r="R790" t="str">
        <f>_xlfn.XLOOKUP(D790, Lookups!$A$12:$A$51, Lookups!$C$12:$C$51, "Unknown")</f>
        <v>Peripherals</v>
      </c>
      <c r="S790" t="str">
        <f>IF(ISBLANK(I790), B790+VLOOKUP(C790, Lookups!$A$2:$D$10, 4, FALSE()), I790)</f>
        <v>2026-03-18</v>
      </c>
      <c r="T790">
        <f t="shared" si="75"/>
        <v>10</v>
      </c>
      <c r="U790" t="str">
        <f t="shared" si="76"/>
        <v>On-Time</v>
      </c>
      <c r="V790">
        <f t="shared" si="77"/>
        <v>0</v>
      </c>
    </row>
    <row r="791" spans="1:22" x14ac:dyDescent="0.45">
      <c r="A791" t="s">
        <v>1592</v>
      </c>
      <c r="B791" t="s">
        <v>984</v>
      </c>
      <c r="C791" t="s">
        <v>34</v>
      </c>
      <c r="D791" t="s">
        <v>80</v>
      </c>
      <c r="E791" t="s">
        <v>17</v>
      </c>
      <c r="F791">
        <v>81</v>
      </c>
      <c r="G791">
        <v>19090</v>
      </c>
      <c r="H791">
        <v>1546290</v>
      </c>
      <c r="I791" t="s">
        <v>325</v>
      </c>
      <c r="J791" t="s">
        <v>1593</v>
      </c>
      <c r="K791">
        <v>81</v>
      </c>
      <c r="L791">
        <v>0</v>
      </c>
      <c r="M791" t="s">
        <v>115</v>
      </c>
      <c r="N791" t="str">
        <f t="shared" si="72"/>
        <v>PO-100790</v>
      </c>
      <c r="O791" t="str">
        <f t="shared" si="73"/>
        <v>Delivered</v>
      </c>
      <c r="P791" t="str">
        <f t="shared" si="74"/>
        <v>WH-BLR</v>
      </c>
      <c r="Q791" t="str">
        <f>VLOOKUP(C791, Lookups!$A$2:$D$10, 2, FALSE())</f>
        <v>FastElectronics</v>
      </c>
      <c r="R791" t="str">
        <f>_xlfn.XLOOKUP(D791, Lookups!$A$12:$A$51, Lookups!$C$12:$C$51, "Unknown")</f>
        <v>Networking</v>
      </c>
      <c r="S791" t="str">
        <f>IF(ISBLANK(I791), B791+VLOOKUP(C791, Lookups!$A$2:$D$10, 4, FALSE()), I791)</f>
        <v>2025-05-26</v>
      </c>
      <c r="T791">
        <f t="shared" si="75"/>
        <v>19</v>
      </c>
      <c r="U791" t="str">
        <f t="shared" si="76"/>
        <v>Late</v>
      </c>
      <c r="V791">
        <f t="shared" si="77"/>
        <v>0</v>
      </c>
    </row>
    <row r="792" spans="1:22" x14ac:dyDescent="0.45">
      <c r="A792" t="s">
        <v>1594</v>
      </c>
      <c r="B792" t="s">
        <v>694</v>
      </c>
      <c r="C792" t="s">
        <v>37</v>
      </c>
      <c r="D792" t="s">
        <v>78</v>
      </c>
      <c r="E792" t="s">
        <v>16</v>
      </c>
      <c r="F792">
        <v>109</v>
      </c>
      <c r="G792">
        <v>9423</v>
      </c>
      <c r="H792">
        <v>1027107</v>
      </c>
      <c r="I792" t="s">
        <v>1102</v>
      </c>
      <c r="K792">
        <v>0</v>
      </c>
      <c r="L792">
        <v>0</v>
      </c>
      <c r="M792" t="s">
        <v>297</v>
      </c>
      <c r="N792" t="str">
        <f t="shared" si="72"/>
        <v>PO-100791</v>
      </c>
      <c r="O792" t="str">
        <f t="shared" si="73"/>
        <v>Open</v>
      </c>
      <c r="P792" t="str">
        <f t="shared" si="74"/>
        <v>WH-DEL</v>
      </c>
      <c r="Q792" t="str">
        <f>VLOOKUP(C792, Lookups!$A$2:$D$10, 2, FALSE())</f>
        <v>Premium Desks Ltd</v>
      </c>
      <c r="R792" t="str">
        <f>_xlfn.XLOOKUP(D792, Lookups!$A$12:$A$51, Lookups!$C$12:$C$51, "Unknown")</f>
        <v>Office Furniture</v>
      </c>
      <c r="S792" t="str">
        <f>IF(ISBLANK(I792), B792+VLOOKUP(C792, Lookups!$A$2:$D$10, 4, FALSE()), I792)</f>
        <v>2026-12-05</v>
      </c>
      <c r="T792" t="str">
        <f t="shared" si="75"/>
        <v/>
      </c>
      <c r="U792" t="str">
        <f t="shared" si="76"/>
        <v>Open</v>
      </c>
      <c r="V792">
        <f t="shared" si="77"/>
        <v>0</v>
      </c>
    </row>
    <row r="793" spans="1:22" x14ac:dyDescent="0.45">
      <c r="A793" t="s">
        <v>1595</v>
      </c>
      <c r="B793" t="s">
        <v>1596</v>
      </c>
      <c r="C793" t="s">
        <v>34</v>
      </c>
      <c r="D793" t="s">
        <v>54</v>
      </c>
      <c r="E793" t="s">
        <v>18</v>
      </c>
      <c r="F793">
        <v>218</v>
      </c>
      <c r="G793">
        <v>22314</v>
      </c>
      <c r="H793">
        <v>4864452</v>
      </c>
      <c r="I793" t="s">
        <v>1597</v>
      </c>
      <c r="J793" t="s">
        <v>947</v>
      </c>
      <c r="K793">
        <v>218</v>
      </c>
      <c r="L793">
        <v>0</v>
      </c>
      <c r="M793" t="s">
        <v>115</v>
      </c>
      <c r="N793" t="str">
        <f t="shared" si="72"/>
        <v>PO-100792</v>
      </c>
      <c r="O793" t="str">
        <f t="shared" si="73"/>
        <v>Delivered</v>
      </c>
      <c r="P793" t="str">
        <f t="shared" si="74"/>
        <v>WH-PUN</v>
      </c>
      <c r="Q793" t="str">
        <f>VLOOKUP(C793, Lookups!$A$2:$D$10, 2, FALSE())</f>
        <v>FastElectronics</v>
      </c>
      <c r="R793" t="str">
        <f>_xlfn.XLOOKUP(D793, Lookups!$A$12:$A$51, Lookups!$C$12:$C$51, "Unknown")</f>
        <v>Networking</v>
      </c>
      <c r="S793" t="str">
        <f>IF(ISBLANK(I793), B793+VLOOKUP(C793, Lookups!$A$2:$D$10, 4, FALSE()), I793)</f>
        <v>2025-12-05</v>
      </c>
      <c r="T793">
        <f t="shared" si="75"/>
        <v>19</v>
      </c>
      <c r="U793" t="str">
        <f t="shared" si="76"/>
        <v>Late</v>
      </c>
      <c r="V793">
        <f t="shared" si="77"/>
        <v>0</v>
      </c>
    </row>
    <row r="794" spans="1:22" x14ac:dyDescent="0.45">
      <c r="A794" t="s">
        <v>1598</v>
      </c>
      <c r="B794" t="s">
        <v>866</v>
      </c>
      <c r="C794" t="s">
        <v>37</v>
      </c>
      <c r="D794" t="s">
        <v>69</v>
      </c>
      <c r="E794" t="s">
        <v>17</v>
      </c>
      <c r="F794">
        <v>176</v>
      </c>
      <c r="G794">
        <v>13231</v>
      </c>
      <c r="H794">
        <v>2328656</v>
      </c>
      <c r="I794" t="s">
        <v>1338</v>
      </c>
      <c r="J794" t="s">
        <v>118</v>
      </c>
      <c r="K794">
        <v>176</v>
      </c>
      <c r="L794">
        <v>0</v>
      </c>
      <c r="M794" t="s">
        <v>115</v>
      </c>
      <c r="N794" t="str">
        <f t="shared" si="72"/>
        <v>PO-100793</v>
      </c>
      <c r="O794" t="str">
        <f t="shared" si="73"/>
        <v>Delivered</v>
      </c>
      <c r="P794" t="str">
        <f t="shared" si="74"/>
        <v>WH-BLR</v>
      </c>
      <c r="Q794" t="str">
        <f>VLOOKUP(C794, Lookups!$A$2:$D$10, 2, FALSE())</f>
        <v>Premium Desks Ltd</v>
      </c>
      <c r="R794" t="str">
        <f>_xlfn.XLOOKUP(D794, Lookups!$A$12:$A$51, Lookups!$C$12:$C$51, "Unknown")</f>
        <v>Office Furniture</v>
      </c>
      <c r="S794" t="str">
        <f>IF(ISBLANK(I794), B794+VLOOKUP(C794, Lookups!$A$2:$D$10, 4, FALSE()), I794)</f>
        <v>2026-10-02</v>
      </c>
      <c r="T794">
        <f t="shared" si="75"/>
        <v>13</v>
      </c>
      <c r="U794" t="str">
        <f t="shared" si="76"/>
        <v>Late</v>
      </c>
      <c r="V794">
        <f t="shared" si="77"/>
        <v>0</v>
      </c>
    </row>
    <row r="795" spans="1:22" x14ac:dyDescent="0.45">
      <c r="A795" t="s">
        <v>1599</v>
      </c>
      <c r="B795" t="s">
        <v>160</v>
      </c>
      <c r="C795" t="s">
        <v>33</v>
      </c>
      <c r="D795" t="s">
        <v>89</v>
      </c>
      <c r="E795" t="s">
        <v>17</v>
      </c>
      <c r="F795">
        <v>227</v>
      </c>
      <c r="G795">
        <v>11309</v>
      </c>
      <c r="H795">
        <v>2567143</v>
      </c>
      <c r="I795" t="s">
        <v>211</v>
      </c>
      <c r="J795" t="s">
        <v>210</v>
      </c>
      <c r="K795">
        <v>227</v>
      </c>
      <c r="L795">
        <v>0</v>
      </c>
      <c r="M795" t="s">
        <v>115</v>
      </c>
      <c r="N795" t="str">
        <f t="shared" si="72"/>
        <v>PO-100794</v>
      </c>
      <c r="O795" t="str">
        <f t="shared" si="73"/>
        <v>Delivered</v>
      </c>
      <c r="P795" t="str">
        <f t="shared" si="74"/>
        <v>WH-BLR</v>
      </c>
      <c r="Q795" t="str">
        <f>VLOOKUP(C795, Lookups!$A$2:$D$10, 2, FALSE())</f>
        <v>MegaFurnish</v>
      </c>
      <c r="R795" t="str">
        <f>_xlfn.XLOOKUP(D795, Lookups!$A$12:$A$51, Lookups!$C$12:$C$51, "Unknown")</f>
        <v>Office Furniture</v>
      </c>
      <c r="S795" t="str">
        <f>IF(ISBLANK(I795), B795+VLOOKUP(C795, Lookups!$A$2:$D$10, 4, FALSE()), I795)</f>
        <v>2025-06-21</v>
      </c>
      <c r="T795">
        <f t="shared" si="75"/>
        <v>29</v>
      </c>
      <c r="U795" t="str">
        <f t="shared" si="76"/>
        <v>On-Time</v>
      </c>
      <c r="V795">
        <f t="shared" si="77"/>
        <v>0</v>
      </c>
    </row>
    <row r="796" spans="1:22" x14ac:dyDescent="0.45">
      <c r="A796" t="s">
        <v>1600</v>
      </c>
      <c r="B796" t="s">
        <v>607</v>
      </c>
      <c r="C796" t="s">
        <v>32</v>
      </c>
      <c r="D796" t="s">
        <v>67</v>
      </c>
      <c r="E796" t="s">
        <v>18</v>
      </c>
      <c r="F796">
        <v>109</v>
      </c>
      <c r="G796">
        <v>1553</v>
      </c>
      <c r="H796">
        <v>169277</v>
      </c>
      <c r="I796" t="s">
        <v>613</v>
      </c>
      <c r="J796" t="s">
        <v>258</v>
      </c>
      <c r="K796">
        <v>109</v>
      </c>
      <c r="L796">
        <v>0</v>
      </c>
      <c r="M796" t="s">
        <v>115</v>
      </c>
      <c r="N796" t="str">
        <f t="shared" si="72"/>
        <v>PO-100795</v>
      </c>
      <c r="O796" t="str">
        <f t="shared" si="73"/>
        <v>Delivered</v>
      </c>
      <c r="P796" t="str">
        <f t="shared" si="74"/>
        <v>WH-PUN</v>
      </c>
      <c r="Q796" t="str">
        <f>VLOOKUP(C796, Lookups!$A$2:$D$10, 2, FALSE())</f>
        <v>OfficeDepot Pro</v>
      </c>
      <c r="R796" t="str">
        <f>_xlfn.XLOOKUP(D796, Lookups!$A$12:$A$51, Lookups!$C$12:$C$51, "Unknown")</f>
        <v>Peripherals</v>
      </c>
      <c r="S796" t="str">
        <f>IF(ISBLANK(I796), B796+VLOOKUP(C796, Lookups!$A$2:$D$10, 4, FALSE()), I796)</f>
        <v>2025-02-05</v>
      </c>
      <c r="T796">
        <f t="shared" si="75"/>
        <v>8</v>
      </c>
      <c r="U796" t="str">
        <f t="shared" si="76"/>
        <v>Late</v>
      </c>
      <c r="V796">
        <f t="shared" si="77"/>
        <v>0</v>
      </c>
    </row>
    <row r="797" spans="1:22" x14ac:dyDescent="0.45">
      <c r="A797" t="s">
        <v>1601</v>
      </c>
      <c r="B797" t="s">
        <v>1440</v>
      </c>
      <c r="C797" t="s">
        <v>30</v>
      </c>
      <c r="D797" t="s">
        <v>53</v>
      </c>
      <c r="E797" t="s">
        <v>18</v>
      </c>
      <c r="F797">
        <v>117</v>
      </c>
      <c r="G797">
        <v>81048</v>
      </c>
      <c r="H797">
        <v>9482616</v>
      </c>
      <c r="I797" t="s">
        <v>213</v>
      </c>
      <c r="J797" t="s">
        <v>213</v>
      </c>
      <c r="K797">
        <v>117</v>
      </c>
      <c r="L797">
        <v>0</v>
      </c>
      <c r="M797" t="s">
        <v>115</v>
      </c>
      <c r="N797" t="str">
        <f t="shared" si="72"/>
        <v>PO-100796</v>
      </c>
      <c r="O797" t="str">
        <f t="shared" si="73"/>
        <v>Delivered</v>
      </c>
      <c r="P797" t="str">
        <f t="shared" si="74"/>
        <v>WH-PUN</v>
      </c>
      <c r="Q797" t="str">
        <f>VLOOKUP(C797, Lookups!$A$2:$D$10, 2, FALSE())</f>
        <v>TechSupply Corp</v>
      </c>
      <c r="R797" t="str">
        <f>_xlfn.XLOOKUP(D797, Lookups!$A$12:$A$51, Lookups!$C$12:$C$51, "Unknown")</f>
        <v>Electronics</v>
      </c>
      <c r="S797" t="str">
        <f>IF(ISBLANK(I797), B797+VLOOKUP(C797, Lookups!$A$2:$D$10, 4, FALSE()), I797)</f>
        <v>2025-06-17</v>
      </c>
      <c r="T797">
        <f t="shared" si="75"/>
        <v>14</v>
      </c>
      <c r="U797" t="str">
        <f t="shared" si="76"/>
        <v>On-Time</v>
      </c>
      <c r="V797">
        <f t="shared" si="77"/>
        <v>0</v>
      </c>
    </row>
    <row r="798" spans="1:22" x14ac:dyDescent="0.45">
      <c r="A798" t="s">
        <v>1602</v>
      </c>
      <c r="B798" t="s">
        <v>533</v>
      </c>
      <c r="C798" t="s">
        <v>36</v>
      </c>
      <c r="D798" t="s">
        <v>71</v>
      </c>
      <c r="E798" t="s">
        <v>15</v>
      </c>
      <c r="F798">
        <v>29</v>
      </c>
      <c r="G798">
        <v>65379</v>
      </c>
      <c r="H798">
        <v>1895991</v>
      </c>
      <c r="I798" t="s">
        <v>292</v>
      </c>
      <c r="J798" t="s">
        <v>649</v>
      </c>
      <c r="K798">
        <v>29</v>
      </c>
      <c r="L798">
        <v>0</v>
      </c>
      <c r="M798" t="s">
        <v>115</v>
      </c>
      <c r="N798" t="str">
        <f t="shared" si="72"/>
        <v>PO-100797</v>
      </c>
      <c r="O798" t="str">
        <f t="shared" si="73"/>
        <v>Delivered</v>
      </c>
      <c r="P798" t="str">
        <f t="shared" si="74"/>
        <v>WH-BOM</v>
      </c>
      <c r="Q798" t="str">
        <f>VLOOKUP(C798, Lookups!$A$2:$D$10, 2, FALSE())</f>
        <v>NextGen Hardware</v>
      </c>
      <c r="R798" t="str">
        <f>_xlfn.XLOOKUP(D798, Lookups!$A$12:$A$51, Lookups!$C$12:$C$51, "Unknown")</f>
        <v>Electronics</v>
      </c>
      <c r="S798" t="str">
        <f>IF(ISBLANK(I798), B798+VLOOKUP(C798, Lookups!$A$2:$D$10, 4, FALSE()), I798)</f>
        <v>2025-08-17</v>
      </c>
      <c r="T798">
        <f t="shared" si="75"/>
        <v>25</v>
      </c>
      <c r="U798" t="str">
        <f t="shared" si="76"/>
        <v>Late</v>
      </c>
      <c r="V798">
        <f t="shared" si="77"/>
        <v>0</v>
      </c>
    </row>
    <row r="799" spans="1:22" x14ac:dyDescent="0.45">
      <c r="A799" t="s">
        <v>1603</v>
      </c>
      <c r="B799" t="s">
        <v>894</v>
      </c>
      <c r="C799" t="s">
        <v>36</v>
      </c>
      <c r="D799" t="s">
        <v>55</v>
      </c>
      <c r="E799" t="s">
        <v>15</v>
      </c>
      <c r="F799">
        <v>211</v>
      </c>
      <c r="G799">
        <v>58434</v>
      </c>
      <c r="H799">
        <v>12329574</v>
      </c>
      <c r="I799" t="s">
        <v>895</v>
      </c>
      <c r="J799" t="s">
        <v>1604</v>
      </c>
      <c r="K799">
        <v>140</v>
      </c>
      <c r="L799">
        <v>0</v>
      </c>
      <c r="M799" t="s">
        <v>115</v>
      </c>
      <c r="N799" t="str">
        <f t="shared" si="72"/>
        <v>PO-100798</v>
      </c>
      <c r="O799" t="str">
        <f t="shared" si="73"/>
        <v>Delivered</v>
      </c>
      <c r="P799" t="str">
        <f t="shared" si="74"/>
        <v>WH-BOM</v>
      </c>
      <c r="Q799" t="str">
        <f>VLOOKUP(C799, Lookups!$A$2:$D$10, 2, FALSE())</f>
        <v>NextGen Hardware</v>
      </c>
      <c r="R799" t="str">
        <f>_xlfn.XLOOKUP(D799, Lookups!$A$12:$A$51, Lookups!$C$12:$C$51, "Unknown")</f>
        <v>Electronics</v>
      </c>
      <c r="S799" t="str">
        <f>IF(ISBLANK(I799), B799+VLOOKUP(C799, Lookups!$A$2:$D$10, 4, FALSE()), I799)</f>
        <v>2025-08-25</v>
      </c>
      <c r="T799">
        <f t="shared" si="75"/>
        <v>37</v>
      </c>
      <c r="U799" t="str">
        <f t="shared" si="76"/>
        <v>Late</v>
      </c>
      <c r="V799">
        <f t="shared" si="77"/>
        <v>0</v>
      </c>
    </row>
    <row r="800" spans="1:22" x14ac:dyDescent="0.45">
      <c r="A800" t="s">
        <v>1605</v>
      </c>
      <c r="B800" t="s">
        <v>330</v>
      </c>
      <c r="C800" t="s">
        <v>35</v>
      </c>
      <c r="D800" t="s">
        <v>75</v>
      </c>
      <c r="E800" t="s">
        <v>18</v>
      </c>
      <c r="F800">
        <v>101</v>
      </c>
      <c r="G800">
        <v>4440</v>
      </c>
      <c r="H800">
        <v>448440</v>
      </c>
      <c r="I800" t="s">
        <v>576</v>
      </c>
      <c r="J800" t="s">
        <v>576</v>
      </c>
      <c r="K800">
        <v>101</v>
      </c>
      <c r="L800">
        <v>0</v>
      </c>
      <c r="M800" t="s">
        <v>115</v>
      </c>
      <c r="N800" t="str">
        <f t="shared" si="72"/>
        <v>PO-100799</v>
      </c>
      <c r="O800" t="str">
        <f t="shared" si="73"/>
        <v>Delivered</v>
      </c>
      <c r="P800" t="str">
        <f t="shared" si="74"/>
        <v>WH-PUN</v>
      </c>
      <c r="Q800" t="str">
        <f>VLOOKUP(C800, Lookups!$A$2:$D$10, 2, FALSE())</f>
        <v>Peripheral Source</v>
      </c>
      <c r="R800" t="str">
        <f>_xlfn.XLOOKUP(D800, Lookups!$A$12:$A$51, Lookups!$C$12:$C$51, "Unknown")</f>
        <v>Peripherals</v>
      </c>
      <c r="S800" t="str">
        <f>IF(ISBLANK(I800), B800+VLOOKUP(C800, Lookups!$A$2:$D$10, 4, FALSE()), I800)</f>
        <v>2026-03-05</v>
      </c>
      <c r="T800">
        <f t="shared" si="75"/>
        <v>10</v>
      </c>
      <c r="U800" t="str">
        <f t="shared" si="76"/>
        <v>On-Time</v>
      </c>
      <c r="V800">
        <f t="shared" si="77"/>
        <v>0</v>
      </c>
    </row>
    <row r="801" spans="1:22" x14ac:dyDescent="0.45">
      <c r="A801" t="s">
        <v>1606</v>
      </c>
      <c r="B801" t="s">
        <v>356</v>
      </c>
      <c r="C801" t="s">
        <v>34</v>
      </c>
      <c r="D801" t="s">
        <v>73</v>
      </c>
      <c r="E801" t="s">
        <v>16</v>
      </c>
      <c r="F801">
        <v>144</v>
      </c>
      <c r="G801">
        <v>58396</v>
      </c>
      <c r="H801">
        <v>8409024</v>
      </c>
      <c r="I801" t="s">
        <v>320</v>
      </c>
      <c r="J801" t="s">
        <v>199</v>
      </c>
      <c r="K801">
        <v>144</v>
      </c>
      <c r="L801">
        <v>0</v>
      </c>
      <c r="M801" t="s">
        <v>115</v>
      </c>
      <c r="N801" t="str">
        <f t="shared" si="72"/>
        <v>PO-100800</v>
      </c>
      <c r="O801" t="str">
        <f t="shared" si="73"/>
        <v>Delivered</v>
      </c>
      <c r="P801" t="str">
        <f t="shared" si="74"/>
        <v>WH-DEL</v>
      </c>
      <c r="Q801" t="str">
        <f>VLOOKUP(C801, Lookups!$A$2:$D$10, 2, FALSE())</f>
        <v>FastElectronics</v>
      </c>
      <c r="R801" t="str">
        <f>_xlfn.XLOOKUP(D801, Lookups!$A$12:$A$51, Lookups!$C$12:$C$51, "Unknown")</f>
        <v>Electronics</v>
      </c>
      <c r="S801" t="str">
        <f>IF(ISBLANK(I801), B801+VLOOKUP(C801, Lookups!$A$2:$D$10, 4, FALSE()), I801)</f>
        <v>2025-10-15</v>
      </c>
      <c r="T801">
        <f t="shared" si="75"/>
        <v>19</v>
      </c>
      <c r="U801" t="str">
        <f t="shared" si="76"/>
        <v>Late</v>
      </c>
      <c r="V801">
        <f t="shared" si="77"/>
        <v>0</v>
      </c>
    </row>
    <row r="802" spans="1:22" x14ac:dyDescent="0.45">
      <c r="A802" t="s">
        <v>1607</v>
      </c>
      <c r="B802" t="s">
        <v>568</v>
      </c>
      <c r="C802" t="s">
        <v>34</v>
      </c>
      <c r="D802" t="s">
        <v>73</v>
      </c>
      <c r="E802" t="s">
        <v>16</v>
      </c>
      <c r="F802">
        <v>243</v>
      </c>
      <c r="G802">
        <v>58396</v>
      </c>
      <c r="H802">
        <v>14190228</v>
      </c>
      <c r="I802" t="s">
        <v>356</v>
      </c>
      <c r="J802" t="s">
        <v>145</v>
      </c>
      <c r="K802">
        <v>243</v>
      </c>
      <c r="L802">
        <v>0</v>
      </c>
      <c r="M802" t="s">
        <v>115</v>
      </c>
      <c r="N802" t="str">
        <f t="shared" si="72"/>
        <v>PO-100801</v>
      </c>
      <c r="O802" t="str">
        <f t="shared" si="73"/>
        <v>Delivered</v>
      </c>
      <c r="P802" t="str">
        <f t="shared" si="74"/>
        <v>WH-DEL</v>
      </c>
      <c r="Q802" t="str">
        <f>VLOOKUP(C802, Lookups!$A$2:$D$10, 2, FALSE())</f>
        <v>FastElectronics</v>
      </c>
      <c r="R802" t="str">
        <f>_xlfn.XLOOKUP(D802, Lookups!$A$12:$A$51, Lookups!$C$12:$C$51, "Unknown")</f>
        <v>Electronics</v>
      </c>
      <c r="S802" t="str">
        <f>IF(ISBLANK(I802), B802+VLOOKUP(C802, Lookups!$A$2:$D$10, 4, FALSE()), I802)</f>
        <v>2025-09-27</v>
      </c>
      <c r="T802">
        <f t="shared" si="75"/>
        <v>15</v>
      </c>
      <c r="U802" t="str">
        <f t="shared" si="76"/>
        <v>On-Time</v>
      </c>
      <c r="V802">
        <f t="shared" si="77"/>
        <v>0</v>
      </c>
    </row>
    <row r="803" spans="1:22" x14ac:dyDescent="0.45">
      <c r="A803" t="s">
        <v>1608</v>
      </c>
      <c r="B803" t="s">
        <v>184</v>
      </c>
      <c r="C803" t="s">
        <v>30</v>
      </c>
      <c r="D803" t="s">
        <v>52</v>
      </c>
      <c r="E803" t="s">
        <v>15</v>
      </c>
      <c r="F803">
        <v>76</v>
      </c>
      <c r="G803">
        <v>59592</v>
      </c>
      <c r="H803">
        <v>4528992</v>
      </c>
      <c r="I803" t="s">
        <v>379</v>
      </c>
      <c r="J803" t="s">
        <v>379</v>
      </c>
      <c r="K803">
        <v>53</v>
      </c>
      <c r="L803">
        <v>0</v>
      </c>
      <c r="M803" t="s">
        <v>115</v>
      </c>
      <c r="N803" t="str">
        <f t="shared" si="72"/>
        <v>PO-100802</v>
      </c>
      <c r="O803" t="str">
        <f t="shared" si="73"/>
        <v>Delivered</v>
      </c>
      <c r="P803" t="str">
        <f t="shared" si="74"/>
        <v>WH-BOM</v>
      </c>
      <c r="Q803" t="str">
        <f>VLOOKUP(C803, Lookups!$A$2:$D$10, 2, FALSE())</f>
        <v>TechSupply Corp</v>
      </c>
      <c r="R803" t="str">
        <f>_xlfn.XLOOKUP(D803, Lookups!$A$12:$A$51, Lookups!$C$12:$C$51, "Unknown")</f>
        <v>Electronics</v>
      </c>
      <c r="S803" t="str">
        <f>IF(ISBLANK(I803), B803+VLOOKUP(C803, Lookups!$A$2:$D$10, 4, FALSE()), I803)</f>
        <v>2025-02-16</v>
      </c>
      <c r="T803">
        <f t="shared" si="75"/>
        <v>14</v>
      </c>
      <c r="U803" t="str">
        <f t="shared" si="76"/>
        <v>On-Time</v>
      </c>
      <c r="V803">
        <f t="shared" si="77"/>
        <v>0</v>
      </c>
    </row>
    <row r="804" spans="1:22" x14ac:dyDescent="0.45">
      <c r="A804" t="s">
        <v>1609</v>
      </c>
      <c r="B804" t="s">
        <v>1610</v>
      </c>
      <c r="C804" t="s">
        <v>35</v>
      </c>
      <c r="D804" t="s">
        <v>75</v>
      </c>
      <c r="E804" t="s">
        <v>18</v>
      </c>
      <c r="F804">
        <v>29</v>
      </c>
      <c r="G804">
        <v>4440</v>
      </c>
      <c r="H804">
        <v>128760</v>
      </c>
      <c r="I804" t="s">
        <v>555</v>
      </c>
      <c r="J804" t="s">
        <v>661</v>
      </c>
      <c r="K804">
        <v>29</v>
      </c>
      <c r="L804">
        <v>0</v>
      </c>
      <c r="M804" t="s">
        <v>166</v>
      </c>
      <c r="N804" t="str">
        <f t="shared" si="72"/>
        <v>PO-100803</v>
      </c>
      <c r="O804" t="str">
        <f t="shared" si="73"/>
        <v>Delivered</v>
      </c>
      <c r="P804" t="str">
        <f t="shared" si="74"/>
        <v>WH-PUN</v>
      </c>
      <c r="Q804" t="str">
        <f>VLOOKUP(C804, Lookups!$A$2:$D$10, 2, FALSE())</f>
        <v>Peripheral Source</v>
      </c>
      <c r="R804" t="str">
        <f>_xlfn.XLOOKUP(D804, Lookups!$A$12:$A$51, Lookups!$C$12:$C$51, "Unknown")</f>
        <v>Peripherals</v>
      </c>
      <c r="S804" t="str">
        <f>IF(ISBLANK(I804), B804+VLOOKUP(C804, Lookups!$A$2:$D$10, 4, FALSE()), I804)</f>
        <v>2026-09-01</v>
      </c>
      <c r="T804">
        <f t="shared" si="75"/>
        <v>23</v>
      </c>
      <c r="U804" t="str">
        <f t="shared" si="76"/>
        <v>Late</v>
      </c>
      <c r="V804">
        <f t="shared" si="77"/>
        <v>0</v>
      </c>
    </row>
    <row r="805" spans="1:22" x14ac:dyDescent="0.45">
      <c r="A805" t="s">
        <v>1611</v>
      </c>
      <c r="B805" t="s">
        <v>520</v>
      </c>
      <c r="C805" t="s">
        <v>31</v>
      </c>
      <c r="D805" t="s">
        <v>77</v>
      </c>
      <c r="E805" t="s">
        <v>17</v>
      </c>
      <c r="F805">
        <v>30</v>
      </c>
      <c r="G805">
        <v>23667</v>
      </c>
      <c r="H805">
        <v>710010</v>
      </c>
      <c r="I805" t="s">
        <v>117</v>
      </c>
      <c r="J805" t="s">
        <v>1337</v>
      </c>
      <c r="K805">
        <v>30</v>
      </c>
      <c r="L805">
        <v>0</v>
      </c>
      <c r="M805" t="s">
        <v>115</v>
      </c>
      <c r="N805" t="str">
        <f t="shared" si="72"/>
        <v>PO-100804</v>
      </c>
      <c r="O805" t="str">
        <f t="shared" si="73"/>
        <v>Delivered</v>
      </c>
      <c r="P805" t="str">
        <f t="shared" si="74"/>
        <v>WH-BLR</v>
      </c>
      <c r="Q805" t="str">
        <f>VLOOKUP(C805, Lookups!$A$2:$D$10, 2, FALSE())</f>
        <v>Global Networks</v>
      </c>
      <c r="R805" t="str">
        <f>_xlfn.XLOOKUP(D805, Lookups!$A$12:$A$51, Lookups!$C$12:$C$51, "Unknown")</f>
        <v>Networking</v>
      </c>
      <c r="S805" t="str">
        <f>IF(ISBLANK(I805), B805+VLOOKUP(C805, Lookups!$A$2:$D$10, 4, FALSE()), I805)</f>
        <v>2026-09-19</v>
      </c>
      <c r="T805">
        <f t="shared" si="75"/>
        <v>24</v>
      </c>
      <c r="U805" t="str">
        <f t="shared" si="76"/>
        <v>Late</v>
      </c>
      <c r="V805">
        <f t="shared" si="77"/>
        <v>0</v>
      </c>
    </row>
    <row r="806" spans="1:22" x14ac:dyDescent="0.45">
      <c r="A806" t="s">
        <v>1612</v>
      </c>
      <c r="B806" t="s">
        <v>1235</v>
      </c>
      <c r="C806" t="s">
        <v>34</v>
      </c>
      <c r="D806" t="s">
        <v>80</v>
      </c>
      <c r="E806" t="s">
        <v>17</v>
      </c>
      <c r="F806">
        <v>112</v>
      </c>
      <c r="G806">
        <v>19090</v>
      </c>
      <c r="H806">
        <v>2138080</v>
      </c>
      <c r="I806" t="s">
        <v>235</v>
      </c>
      <c r="J806" t="s">
        <v>236</v>
      </c>
      <c r="K806">
        <v>112</v>
      </c>
      <c r="L806">
        <v>0</v>
      </c>
      <c r="M806" t="s">
        <v>115</v>
      </c>
      <c r="N806" t="str">
        <f t="shared" si="72"/>
        <v>PO-100805</v>
      </c>
      <c r="O806" t="str">
        <f t="shared" si="73"/>
        <v>Delivered</v>
      </c>
      <c r="P806" t="str">
        <f t="shared" si="74"/>
        <v>WH-BLR</v>
      </c>
      <c r="Q806" t="str">
        <f>VLOOKUP(C806, Lookups!$A$2:$D$10, 2, FALSE())</f>
        <v>FastElectronics</v>
      </c>
      <c r="R806" t="str">
        <f>_xlfn.XLOOKUP(D806, Lookups!$A$12:$A$51, Lookups!$C$12:$C$51, "Unknown")</f>
        <v>Networking</v>
      </c>
      <c r="S806" t="str">
        <f>IF(ISBLANK(I806), B806+VLOOKUP(C806, Lookups!$A$2:$D$10, 4, FALSE()), I806)</f>
        <v>2025-08-27</v>
      </c>
      <c r="T806">
        <f t="shared" si="75"/>
        <v>19</v>
      </c>
      <c r="U806" t="str">
        <f t="shared" si="76"/>
        <v>Late</v>
      </c>
      <c r="V806">
        <f t="shared" si="77"/>
        <v>0</v>
      </c>
    </row>
    <row r="807" spans="1:22" x14ac:dyDescent="0.45">
      <c r="A807" t="s">
        <v>1613</v>
      </c>
      <c r="B807" t="s">
        <v>337</v>
      </c>
      <c r="C807" t="s">
        <v>35</v>
      </c>
      <c r="D807" t="s">
        <v>57</v>
      </c>
      <c r="E807" t="s">
        <v>18</v>
      </c>
      <c r="F807">
        <v>140</v>
      </c>
      <c r="G807">
        <v>2212</v>
      </c>
      <c r="H807">
        <v>309680</v>
      </c>
      <c r="I807" t="s">
        <v>361</v>
      </c>
      <c r="J807" t="s">
        <v>361</v>
      </c>
      <c r="K807">
        <v>140</v>
      </c>
      <c r="L807">
        <v>0</v>
      </c>
      <c r="M807" t="s">
        <v>115</v>
      </c>
      <c r="N807" t="str">
        <f t="shared" si="72"/>
        <v>PO-100806</v>
      </c>
      <c r="O807" t="str">
        <f t="shared" si="73"/>
        <v>Delivered</v>
      </c>
      <c r="P807" t="str">
        <f t="shared" si="74"/>
        <v>WH-PUN</v>
      </c>
      <c r="Q807" t="str">
        <f>VLOOKUP(C807, Lookups!$A$2:$D$10, 2, FALSE())</f>
        <v>Peripheral Source</v>
      </c>
      <c r="R807" t="str">
        <f>_xlfn.XLOOKUP(D807, Lookups!$A$12:$A$51, Lookups!$C$12:$C$51, "Unknown")</f>
        <v>Peripherals</v>
      </c>
      <c r="S807" t="str">
        <f>IF(ISBLANK(I807), B807+VLOOKUP(C807, Lookups!$A$2:$D$10, 4, FALSE()), I807)</f>
        <v>2026-03-22</v>
      </c>
      <c r="T807">
        <f t="shared" si="75"/>
        <v>10</v>
      </c>
      <c r="U807" t="str">
        <f t="shared" si="76"/>
        <v>On-Time</v>
      </c>
      <c r="V807">
        <f t="shared" si="77"/>
        <v>0</v>
      </c>
    </row>
    <row r="808" spans="1:22" x14ac:dyDescent="0.45">
      <c r="A808" t="s">
        <v>1614</v>
      </c>
      <c r="B808" t="s">
        <v>1615</v>
      </c>
      <c r="C808" t="s">
        <v>37</v>
      </c>
      <c r="D808" t="s">
        <v>78</v>
      </c>
      <c r="E808" t="s">
        <v>18</v>
      </c>
      <c r="F808">
        <v>181</v>
      </c>
      <c r="G808">
        <v>9423</v>
      </c>
      <c r="H808">
        <v>1705563</v>
      </c>
      <c r="I808" t="s">
        <v>135</v>
      </c>
      <c r="J808" t="s">
        <v>134</v>
      </c>
      <c r="K808">
        <v>181</v>
      </c>
      <c r="L808">
        <v>0</v>
      </c>
      <c r="M808" t="s">
        <v>115</v>
      </c>
      <c r="N808" t="str">
        <f t="shared" si="72"/>
        <v>PO-100807</v>
      </c>
      <c r="O808" t="str">
        <f t="shared" si="73"/>
        <v>Delivered</v>
      </c>
      <c r="P808" t="str">
        <f t="shared" si="74"/>
        <v>WH-PUN</v>
      </c>
      <c r="Q808" t="str">
        <f>VLOOKUP(C808, Lookups!$A$2:$D$10, 2, FALSE())</f>
        <v>Premium Desks Ltd</v>
      </c>
      <c r="R808" t="str">
        <f>_xlfn.XLOOKUP(D808, Lookups!$A$12:$A$51, Lookups!$C$12:$C$51, "Unknown")</f>
        <v>Office Furniture</v>
      </c>
      <c r="S808" t="str">
        <f>IF(ISBLANK(I808), B808+VLOOKUP(C808, Lookups!$A$2:$D$10, 4, FALSE()), I808)</f>
        <v>2026-09-02</v>
      </c>
      <c r="T808">
        <f t="shared" si="75"/>
        <v>13</v>
      </c>
      <c r="U808" t="str">
        <f t="shared" si="76"/>
        <v>Late</v>
      </c>
      <c r="V808">
        <f t="shared" si="77"/>
        <v>0</v>
      </c>
    </row>
    <row r="809" spans="1:22" x14ac:dyDescent="0.45">
      <c r="A809" t="s">
        <v>1616</v>
      </c>
      <c r="B809" t="s">
        <v>1480</v>
      </c>
      <c r="C809" t="s">
        <v>30</v>
      </c>
      <c r="D809" t="s">
        <v>53</v>
      </c>
      <c r="E809" t="s">
        <v>17</v>
      </c>
      <c r="F809">
        <v>192</v>
      </c>
      <c r="G809">
        <v>81048</v>
      </c>
      <c r="H809">
        <v>15561216</v>
      </c>
      <c r="I809" t="s">
        <v>662</v>
      </c>
      <c r="J809" t="s">
        <v>981</v>
      </c>
      <c r="K809">
        <v>192</v>
      </c>
      <c r="L809">
        <v>0</v>
      </c>
      <c r="M809" t="s">
        <v>115</v>
      </c>
      <c r="N809" t="str">
        <f t="shared" si="72"/>
        <v>PO-100808</v>
      </c>
      <c r="O809" t="str">
        <f t="shared" si="73"/>
        <v>Delivered</v>
      </c>
      <c r="P809" t="str">
        <f t="shared" si="74"/>
        <v>WH-BLR</v>
      </c>
      <c r="Q809" t="str">
        <f>VLOOKUP(C809, Lookups!$A$2:$D$10, 2, FALSE())</f>
        <v>TechSupply Corp</v>
      </c>
      <c r="R809" t="str">
        <f>_xlfn.XLOOKUP(D809, Lookups!$A$12:$A$51, Lookups!$C$12:$C$51, "Unknown")</f>
        <v>Electronics</v>
      </c>
      <c r="S809" t="str">
        <f>IF(ISBLANK(I809), B809+VLOOKUP(C809, Lookups!$A$2:$D$10, 4, FALSE()), I809)</f>
        <v>2026-10-05</v>
      </c>
      <c r="T809">
        <f t="shared" si="75"/>
        <v>22</v>
      </c>
      <c r="U809" t="str">
        <f t="shared" si="76"/>
        <v>Late</v>
      </c>
      <c r="V809">
        <f t="shared" si="77"/>
        <v>0</v>
      </c>
    </row>
    <row r="810" spans="1:22" x14ac:dyDescent="0.45">
      <c r="A810" t="s">
        <v>1617</v>
      </c>
      <c r="B810" t="s">
        <v>422</v>
      </c>
      <c r="C810" t="s">
        <v>30</v>
      </c>
      <c r="D810" t="s">
        <v>53</v>
      </c>
      <c r="E810" t="s">
        <v>15</v>
      </c>
      <c r="F810">
        <v>80</v>
      </c>
      <c r="G810">
        <v>81048</v>
      </c>
      <c r="H810">
        <v>6483840</v>
      </c>
      <c r="I810" t="s">
        <v>127</v>
      </c>
      <c r="J810" t="s">
        <v>127</v>
      </c>
      <c r="K810">
        <v>80</v>
      </c>
      <c r="L810">
        <v>3</v>
      </c>
      <c r="M810" t="s">
        <v>115</v>
      </c>
      <c r="N810" t="str">
        <f t="shared" si="72"/>
        <v>PO-100809</v>
      </c>
      <c r="O810" t="str">
        <f t="shared" si="73"/>
        <v>Delivered</v>
      </c>
      <c r="P810" t="str">
        <f t="shared" si="74"/>
        <v>WH-BOM</v>
      </c>
      <c r="Q810" t="str">
        <f>VLOOKUP(C810, Lookups!$A$2:$D$10, 2, FALSE())</f>
        <v>TechSupply Corp</v>
      </c>
      <c r="R810" t="str">
        <f>_xlfn.XLOOKUP(D810, Lookups!$A$12:$A$51, Lookups!$C$12:$C$51, "Unknown")</f>
        <v>Electronics</v>
      </c>
      <c r="S810" t="str">
        <f>IF(ISBLANK(I810), B810+VLOOKUP(C810, Lookups!$A$2:$D$10, 4, FALSE()), I810)</f>
        <v>2026-02-02</v>
      </c>
      <c r="T810">
        <f t="shared" si="75"/>
        <v>14</v>
      </c>
      <c r="U810" t="str">
        <f t="shared" si="76"/>
        <v>On-Time</v>
      </c>
      <c r="V810">
        <f t="shared" si="77"/>
        <v>3.7499999999999999E-2</v>
      </c>
    </row>
    <row r="811" spans="1:22" x14ac:dyDescent="0.45">
      <c r="A811" t="s">
        <v>1618</v>
      </c>
      <c r="B811" t="s">
        <v>454</v>
      </c>
      <c r="C811" t="s">
        <v>36</v>
      </c>
      <c r="D811" t="s">
        <v>63</v>
      </c>
      <c r="E811" t="s">
        <v>18</v>
      </c>
      <c r="F811">
        <v>118</v>
      </c>
      <c r="G811">
        <v>71062</v>
      </c>
      <c r="H811">
        <v>8385316</v>
      </c>
      <c r="I811" t="s">
        <v>350</v>
      </c>
      <c r="J811" t="s">
        <v>350</v>
      </c>
      <c r="K811">
        <v>118</v>
      </c>
      <c r="L811">
        <v>0</v>
      </c>
      <c r="M811" t="s">
        <v>115</v>
      </c>
      <c r="N811" t="str">
        <f t="shared" si="72"/>
        <v>PO-100810</v>
      </c>
      <c r="O811" t="str">
        <f t="shared" si="73"/>
        <v>Delivered</v>
      </c>
      <c r="P811" t="str">
        <f t="shared" si="74"/>
        <v>WH-PUN</v>
      </c>
      <c r="Q811" t="str">
        <f>VLOOKUP(C811, Lookups!$A$2:$D$10, 2, FALSE())</f>
        <v>NextGen Hardware</v>
      </c>
      <c r="R811" t="str">
        <f>_xlfn.XLOOKUP(D811, Lookups!$A$12:$A$51, Lookups!$C$12:$C$51, "Unknown")</f>
        <v>Electronics</v>
      </c>
      <c r="S811" t="str">
        <f>IF(ISBLANK(I811), B811+VLOOKUP(C811, Lookups!$A$2:$D$10, 4, FALSE()), I811)</f>
        <v>2026-09-05</v>
      </c>
      <c r="T811">
        <f t="shared" si="75"/>
        <v>24</v>
      </c>
      <c r="U811" t="str">
        <f t="shared" si="76"/>
        <v>On-Time</v>
      </c>
      <c r="V811">
        <f t="shared" si="77"/>
        <v>0</v>
      </c>
    </row>
    <row r="812" spans="1:22" x14ac:dyDescent="0.45">
      <c r="A812" t="s">
        <v>1619</v>
      </c>
      <c r="B812" t="s">
        <v>675</v>
      </c>
      <c r="C812" t="s">
        <v>32</v>
      </c>
      <c r="D812" t="s">
        <v>67</v>
      </c>
      <c r="E812" t="s">
        <v>18</v>
      </c>
      <c r="F812">
        <v>54</v>
      </c>
      <c r="G812">
        <v>1553</v>
      </c>
      <c r="H812">
        <v>83862</v>
      </c>
      <c r="K812">
        <v>0</v>
      </c>
      <c r="L812">
        <v>0</v>
      </c>
      <c r="M812" t="s">
        <v>297</v>
      </c>
      <c r="N812" t="str">
        <f t="shared" si="72"/>
        <v>PO-100811</v>
      </c>
      <c r="O812" t="str">
        <f t="shared" si="73"/>
        <v>Open</v>
      </c>
      <c r="P812" t="str">
        <f t="shared" si="74"/>
        <v>WH-PUN</v>
      </c>
      <c r="Q812" t="str">
        <f>VLOOKUP(C812, Lookups!$A$2:$D$10, 2, FALSE())</f>
        <v>OfficeDepot Pro</v>
      </c>
      <c r="R812" t="str">
        <f>_xlfn.XLOOKUP(D812, Lookups!$A$12:$A$51, Lookups!$C$12:$C$51, "Unknown")</f>
        <v>Peripherals</v>
      </c>
      <c r="S812">
        <f>IF(ISBLANK(I812), B812+VLOOKUP(C812, Lookups!$A$2:$D$10, 4, FALSE()), I812)</f>
        <v>46361</v>
      </c>
      <c r="T812" t="str">
        <f t="shared" si="75"/>
        <v/>
      </c>
      <c r="U812" t="str">
        <f t="shared" si="76"/>
        <v>Open</v>
      </c>
      <c r="V812">
        <f t="shared" si="77"/>
        <v>0</v>
      </c>
    </row>
    <row r="813" spans="1:22" x14ac:dyDescent="0.45">
      <c r="A813" t="s">
        <v>1620</v>
      </c>
      <c r="B813" t="s">
        <v>1621</v>
      </c>
      <c r="C813" t="s">
        <v>31</v>
      </c>
      <c r="D813" t="s">
        <v>56</v>
      </c>
      <c r="E813" t="s">
        <v>16</v>
      </c>
      <c r="F813">
        <v>234</v>
      </c>
      <c r="G813">
        <v>39270</v>
      </c>
      <c r="H813">
        <v>9189180</v>
      </c>
      <c r="I813" t="s">
        <v>591</v>
      </c>
      <c r="J813" t="s">
        <v>1622</v>
      </c>
      <c r="K813">
        <v>234</v>
      </c>
      <c r="L813">
        <v>0</v>
      </c>
      <c r="M813" t="s">
        <v>115</v>
      </c>
      <c r="N813" t="str">
        <f t="shared" si="72"/>
        <v>PO-100812</v>
      </c>
      <c r="O813" t="str">
        <f t="shared" si="73"/>
        <v>Delivered</v>
      </c>
      <c r="P813" t="str">
        <f t="shared" si="74"/>
        <v>WH-DEL</v>
      </c>
      <c r="Q813" t="str">
        <f>VLOOKUP(C813, Lookups!$A$2:$D$10, 2, FALSE())</f>
        <v>Global Networks</v>
      </c>
      <c r="R813" t="str">
        <f>_xlfn.XLOOKUP(D813, Lookups!$A$12:$A$51, Lookups!$C$12:$C$51, "Unknown")</f>
        <v>Networking</v>
      </c>
      <c r="S813" t="str">
        <f>IF(ISBLANK(I813), B813+VLOOKUP(C813, Lookups!$A$2:$D$10, 4, FALSE()), I813)</f>
        <v>2026-01-20</v>
      </c>
      <c r="T813">
        <f t="shared" si="75"/>
        <v>29</v>
      </c>
      <c r="U813" t="str">
        <f t="shared" si="76"/>
        <v>Late</v>
      </c>
      <c r="V813">
        <f t="shared" si="77"/>
        <v>0</v>
      </c>
    </row>
    <row r="814" spans="1:22" x14ac:dyDescent="0.45">
      <c r="A814" t="s">
        <v>1623</v>
      </c>
      <c r="B814" t="s">
        <v>370</v>
      </c>
      <c r="C814" t="s">
        <v>34</v>
      </c>
      <c r="D814" t="s">
        <v>80</v>
      </c>
      <c r="E814" t="s">
        <v>16</v>
      </c>
      <c r="F814">
        <v>64</v>
      </c>
      <c r="G814">
        <v>19090</v>
      </c>
      <c r="H814">
        <v>1221760</v>
      </c>
      <c r="I814" t="s">
        <v>446</v>
      </c>
      <c r="J814" t="s">
        <v>446</v>
      </c>
      <c r="K814">
        <v>64</v>
      </c>
      <c r="L814">
        <v>0</v>
      </c>
      <c r="M814" t="s">
        <v>115</v>
      </c>
      <c r="N814" t="str">
        <f t="shared" si="72"/>
        <v>PO-100813</v>
      </c>
      <c r="O814" t="str">
        <f t="shared" si="73"/>
        <v>Delivered</v>
      </c>
      <c r="P814" t="str">
        <f t="shared" si="74"/>
        <v>WH-DEL</v>
      </c>
      <c r="Q814" t="str">
        <f>VLOOKUP(C814, Lookups!$A$2:$D$10, 2, FALSE())</f>
        <v>FastElectronics</v>
      </c>
      <c r="R814" t="str">
        <f>_xlfn.XLOOKUP(D814, Lookups!$A$12:$A$51, Lookups!$C$12:$C$51, "Unknown")</f>
        <v>Networking</v>
      </c>
      <c r="S814" t="str">
        <f>IF(ISBLANK(I814), B814+VLOOKUP(C814, Lookups!$A$2:$D$10, 4, FALSE()), I814)</f>
        <v>2025-11-29</v>
      </c>
      <c r="T814">
        <f t="shared" si="75"/>
        <v>18</v>
      </c>
      <c r="U814" t="str">
        <f t="shared" si="76"/>
        <v>On-Time</v>
      </c>
      <c r="V814">
        <f t="shared" si="77"/>
        <v>0</v>
      </c>
    </row>
    <row r="815" spans="1:22" x14ac:dyDescent="0.45">
      <c r="A815" t="s">
        <v>1624</v>
      </c>
      <c r="B815" t="s">
        <v>1314</v>
      </c>
      <c r="C815" t="s">
        <v>34</v>
      </c>
      <c r="D815" t="s">
        <v>73</v>
      </c>
      <c r="E815" t="s">
        <v>16</v>
      </c>
      <c r="F815">
        <v>76</v>
      </c>
      <c r="G815">
        <v>58396</v>
      </c>
      <c r="H815">
        <v>4438096</v>
      </c>
      <c r="I815" t="s">
        <v>842</v>
      </c>
      <c r="J815" t="s">
        <v>112</v>
      </c>
      <c r="K815">
        <v>76</v>
      </c>
      <c r="L815">
        <v>6</v>
      </c>
      <c r="M815" t="s">
        <v>115</v>
      </c>
      <c r="N815" t="str">
        <f t="shared" si="72"/>
        <v>PO-100814</v>
      </c>
      <c r="O815" t="str">
        <f t="shared" si="73"/>
        <v>Delivered</v>
      </c>
      <c r="P815" t="str">
        <f t="shared" si="74"/>
        <v>WH-DEL</v>
      </c>
      <c r="Q815" t="str">
        <f>VLOOKUP(C815, Lookups!$A$2:$D$10, 2, FALSE())</f>
        <v>FastElectronics</v>
      </c>
      <c r="R815" t="str">
        <f>_xlfn.XLOOKUP(D815, Lookups!$A$12:$A$51, Lookups!$C$12:$C$51, "Unknown")</f>
        <v>Electronics</v>
      </c>
      <c r="S815" t="str">
        <f>IF(ISBLANK(I815), B815+VLOOKUP(C815, Lookups!$A$2:$D$10, 4, FALSE()), I815)</f>
        <v>2026-06-15</v>
      </c>
      <c r="T815">
        <f t="shared" si="75"/>
        <v>19</v>
      </c>
      <c r="U815" t="str">
        <f t="shared" si="76"/>
        <v>Late</v>
      </c>
      <c r="V815">
        <f t="shared" si="77"/>
        <v>7.8947368421052627E-2</v>
      </c>
    </row>
    <row r="816" spans="1:22" x14ac:dyDescent="0.45">
      <c r="A816" t="s">
        <v>1625</v>
      </c>
      <c r="B816" t="s">
        <v>308</v>
      </c>
      <c r="C816" t="s">
        <v>34</v>
      </c>
      <c r="D816" t="s">
        <v>68</v>
      </c>
      <c r="E816" t="s">
        <v>17</v>
      </c>
      <c r="F816">
        <v>36</v>
      </c>
      <c r="G816">
        <v>41405</v>
      </c>
      <c r="H816">
        <v>1490580</v>
      </c>
      <c r="I816" t="s">
        <v>659</v>
      </c>
      <c r="J816" t="s">
        <v>1111</v>
      </c>
      <c r="K816">
        <v>36</v>
      </c>
      <c r="L816">
        <v>0</v>
      </c>
      <c r="M816" t="s">
        <v>115</v>
      </c>
      <c r="N816" t="str">
        <f t="shared" si="72"/>
        <v>PO-100815</v>
      </c>
      <c r="O816" t="str">
        <f t="shared" si="73"/>
        <v>Delivered</v>
      </c>
      <c r="P816" t="str">
        <f t="shared" si="74"/>
        <v>WH-BLR</v>
      </c>
      <c r="Q816" t="str">
        <f>VLOOKUP(C816, Lookups!$A$2:$D$10, 2, FALSE())</f>
        <v>FastElectronics</v>
      </c>
      <c r="R816" t="str">
        <f>_xlfn.XLOOKUP(D816, Lookups!$A$12:$A$51, Lookups!$C$12:$C$51, "Unknown")</f>
        <v>Networking</v>
      </c>
      <c r="S816" t="str">
        <f>IF(ISBLANK(I816), B816+VLOOKUP(C816, Lookups!$A$2:$D$10, 4, FALSE()), I816)</f>
        <v>2026-10-01</v>
      </c>
      <c r="T816">
        <f t="shared" si="75"/>
        <v>31</v>
      </c>
      <c r="U816" t="str">
        <f t="shared" si="76"/>
        <v>Late</v>
      </c>
      <c r="V816">
        <f t="shared" si="77"/>
        <v>0</v>
      </c>
    </row>
    <row r="817" spans="1:22" x14ac:dyDescent="0.45">
      <c r="A817" t="s">
        <v>1626</v>
      </c>
      <c r="B817" t="s">
        <v>435</v>
      </c>
      <c r="C817" t="s">
        <v>32</v>
      </c>
      <c r="D817" t="s">
        <v>84</v>
      </c>
      <c r="E817" t="s">
        <v>18</v>
      </c>
      <c r="F817">
        <v>175</v>
      </c>
      <c r="G817">
        <v>7271</v>
      </c>
      <c r="H817">
        <v>1272425</v>
      </c>
      <c r="I817" t="s">
        <v>235</v>
      </c>
      <c r="J817" t="s">
        <v>895</v>
      </c>
      <c r="K817">
        <v>175</v>
      </c>
      <c r="L817">
        <v>0</v>
      </c>
      <c r="M817" t="s">
        <v>115</v>
      </c>
      <c r="N817" t="str">
        <f t="shared" si="72"/>
        <v>PO-100816</v>
      </c>
      <c r="O817" t="str">
        <f t="shared" si="73"/>
        <v>Delivered</v>
      </c>
      <c r="P817" t="str">
        <f t="shared" si="74"/>
        <v>WH-PUN</v>
      </c>
      <c r="Q817" t="str">
        <f>VLOOKUP(C817, Lookups!$A$2:$D$10, 2, FALSE())</f>
        <v>OfficeDepot Pro</v>
      </c>
      <c r="R817" t="str">
        <f>_xlfn.XLOOKUP(D817, Lookups!$A$12:$A$51, Lookups!$C$12:$C$51, "Unknown")</f>
        <v>Peripherals</v>
      </c>
      <c r="S817" t="str">
        <f>IF(ISBLANK(I817), B817+VLOOKUP(C817, Lookups!$A$2:$D$10, 4, FALSE()), I817)</f>
        <v>2025-08-27</v>
      </c>
      <c r="T817">
        <f t="shared" si="75"/>
        <v>5</v>
      </c>
      <c r="U817" t="str">
        <f t="shared" si="76"/>
        <v>On-Time</v>
      </c>
      <c r="V817">
        <f t="shared" si="77"/>
        <v>0</v>
      </c>
    </row>
    <row r="818" spans="1:22" x14ac:dyDescent="0.45">
      <c r="A818" t="s">
        <v>1627</v>
      </c>
      <c r="B818" t="s">
        <v>1140</v>
      </c>
      <c r="C818" t="s">
        <v>37</v>
      </c>
      <c r="D818" t="s">
        <v>78</v>
      </c>
      <c r="E818" t="s">
        <v>18</v>
      </c>
      <c r="F818">
        <v>89</v>
      </c>
      <c r="G818">
        <v>9423</v>
      </c>
      <c r="H818">
        <v>838647</v>
      </c>
      <c r="I818" t="s">
        <v>789</v>
      </c>
      <c r="K818">
        <v>0</v>
      </c>
      <c r="L818">
        <v>0</v>
      </c>
      <c r="M818" t="s">
        <v>297</v>
      </c>
      <c r="N818" t="str">
        <f t="shared" si="72"/>
        <v>PO-100817</v>
      </c>
      <c r="O818" t="str">
        <f t="shared" si="73"/>
        <v>Open</v>
      </c>
      <c r="P818" t="str">
        <f t="shared" si="74"/>
        <v>WH-PUN</v>
      </c>
      <c r="Q818" t="str">
        <f>VLOOKUP(C818, Lookups!$A$2:$D$10, 2, FALSE())</f>
        <v>Premium Desks Ltd</v>
      </c>
      <c r="R818" t="str">
        <f>_xlfn.XLOOKUP(D818, Lookups!$A$12:$A$51, Lookups!$C$12:$C$51, "Unknown")</f>
        <v>Office Furniture</v>
      </c>
      <c r="S818" t="str">
        <f>IF(ISBLANK(I818), B818+VLOOKUP(C818, Lookups!$A$2:$D$10, 4, FALSE()), I818)</f>
        <v>2026-12-12</v>
      </c>
      <c r="T818" t="str">
        <f t="shared" si="75"/>
        <v/>
      </c>
      <c r="U818" t="str">
        <f t="shared" si="76"/>
        <v>Open</v>
      </c>
      <c r="V818">
        <f t="shared" si="77"/>
        <v>0</v>
      </c>
    </row>
    <row r="819" spans="1:22" x14ac:dyDescent="0.45">
      <c r="A819" t="s">
        <v>1628</v>
      </c>
      <c r="B819" t="s">
        <v>910</v>
      </c>
      <c r="C819" t="s">
        <v>35</v>
      </c>
      <c r="D819" t="s">
        <v>65</v>
      </c>
      <c r="E819" t="s">
        <v>15</v>
      </c>
      <c r="F819">
        <v>62</v>
      </c>
      <c r="G819">
        <v>4936</v>
      </c>
      <c r="H819">
        <v>306032</v>
      </c>
      <c r="I819" t="s">
        <v>1537</v>
      </c>
      <c r="J819" t="s">
        <v>1537</v>
      </c>
      <c r="K819">
        <v>62</v>
      </c>
      <c r="L819">
        <v>0</v>
      </c>
      <c r="M819" t="s">
        <v>115</v>
      </c>
      <c r="N819" t="str">
        <f t="shared" si="72"/>
        <v>PO-100818</v>
      </c>
      <c r="O819" t="str">
        <f t="shared" si="73"/>
        <v>Delivered</v>
      </c>
      <c r="P819" t="str">
        <f t="shared" si="74"/>
        <v>WH-BOM</v>
      </c>
      <c r="Q819" t="str">
        <f>VLOOKUP(C819, Lookups!$A$2:$D$10, 2, FALSE())</f>
        <v>Peripheral Source</v>
      </c>
      <c r="R819" t="str">
        <f>_xlfn.XLOOKUP(D819, Lookups!$A$12:$A$51, Lookups!$C$12:$C$51, "Unknown")</f>
        <v>Peripherals</v>
      </c>
      <c r="S819" t="str">
        <f>IF(ISBLANK(I819), B819+VLOOKUP(C819, Lookups!$A$2:$D$10, 4, FALSE()), I819)</f>
        <v>2025-04-18</v>
      </c>
      <c r="T819">
        <f t="shared" si="75"/>
        <v>10</v>
      </c>
      <c r="U819" t="str">
        <f t="shared" si="76"/>
        <v>On-Time</v>
      </c>
      <c r="V819">
        <f t="shared" si="77"/>
        <v>0</v>
      </c>
    </row>
    <row r="820" spans="1:22" x14ac:dyDescent="0.45">
      <c r="A820" t="s">
        <v>1629</v>
      </c>
      <c r="B820" t="s">
        <v>1329</v>
      </c>
      <c r="C820" t="s">
        <v>34</v>
      </c>
      <c r="D820" t="s">
        <v>74</v>
      </c>
      <c r="E820" t="s">
        <v>326</v>
      </c>
      <c r="F820">
        <v>60</v>
      </c>
      <c r="G820">
        <v>94797</v>
      </c>
      <c r="H820">
        <v>5687820</v>
      </c>
      <c r="I820" t="s">
        <v>161</v>
      </c>
      <c r="J820" t="s">
        <v>162</v>
      </c>
      <c r="K820">
        <v>60</v>
      </c>
      <c r="L820">
        <v>0</v>
      </c>
      <c r="M820" t="s">
        <v>115</v>
      </c>
      <c r="N820" t="str">
        <f t="shared" si="72"/>
        <v>PO-100819</v>
      </c>
      <c r="O820" t="str">
        <f t="shared" si="73"/>
        <v>Delivered</v>
      </c>
      <c r="P820" t="str">
        <f t="shared" si="74"/>
        <v>WH-BLR</v>
      </c>
      <c r="Q820" t="str">
        <f>VLOOKUP(C820, Lookups!$A$2:$D$10, 2, FALSE())</f>
        <v>FastElectronics</v>
      </c>
      <c r="R820" t="str">
        <f>_xlfn.XLOOKUP(D820, Lookups!$A$12:$A$51, Lookups!$C$12:$C$51, "Unknown")</f>
        <v>Electronics</v>
      </c>
      <c r="S820" t="str">
        <f>IF(ISBLANK(I820), B820+VLOOKUP(C820, Lookups!$A$2:$D$10, 4, FALSE()), I820)</f>
        <v>2025-06-12</v>
      </c>
      <c r="T820">
        <f t="shared" si="75"/>
        <v>19</v>
      </c>
      <c r="U820" t="str">
        <f t="shared" si="76"/>
        <v>Late</v>
      </c>
      <c r="V820">
        <f t="shared" si="77"/>
        <v>0</v>
      </c>
    </row>
    <row r="821" spans="1:22" x14ac:dyDescent="0.45">
      <c r="A821" t="s">
        <v>1630</v>
      </c>
      <c r="B821" t="s">
        <v>1092</v>
      </c>
      <c r="C821" t="s">
        <v>34</v>
      </c>
      <c r="D821" t="s">
        <v>74</v>
      </c>
      <c r="E821" t="s">
        <v>16</v>
      </c>
      <c r="F821">
        <v>169</v>
      </c>
      <c r="G821">
        <v>94797</v>
      </c>
      <c r="H821">
        <v>16020693</v>
      </c>
      <c r="I821" t="s">
        <v>911</v>
      </c>
      <c r="J821" t="s">
        <v>1165</v>
      </c>
      <c r="K821">
        <v>169</v>
      </c>
      <c r="L821">
        <v>0</v>
      </c>
      <c r="M821" t="s">
        <v>115</v>
      </c>
      <c r="N821" t="str">
        <f t="shared" si="72"/>
        <v>PO-100820</v>
      </c>
      <c r="O821" t="str">
        <f t="shared" si="73"/>
        <v>Delivered</v>
      </c>
      <c r="P821" t="str">
        <f t="shared" si="74"/>
        <v>WH-DEL</v>
      </c>
      <c r="Q821" t="str">
        <f>VLOOKUP(C821, Lookups!$A$2:$D$10, 2, FALSE())</f>
        <v>FastElectronics</v>
      </c>
      <c r="R821" t="str">
        <f>_xlfn.XLOOKUP(D821, Lookups!$A$12:$A$51, Lookups!$C$12:$C$51, "Unknown")</f>
        <v>Electronics</v>
      </c>
      <c r="S821" t="str">
        <f>IF(ISBLANK(I821), B821+VLOOKUP(C821, Lookups!$A$2:$D$10, 4, FALSE()), I821)</f>
        <v>2025-04-09</v>
      </c>
      <c r="T821">
        <f t="shared" si="75"/>
        <v>19</v>
      </c>
      <c r="U821" t="str">
        <f t="shared" si="76"/>
        <v>Late</v>
      </c>
      <c r="V821">
        <f t="shared" si="77"/>
        <v>0</v>
      </c>
    </row>
    <row r="822" spans="1:22" x14ac:dyDescent="0.45">
      <c r="A822" t="s">
        <v>1631</v>
      </c>
      <c r="B822" t="s">
        <v>1463</v>
      </c>
      <c r="C822" t="s">
        <v>36</v>
      </c>
      <c r="D822" t="s">
        <v>87</v>
      </c>
      <c r="E822" t="s">
        <v>17</v>
      </c>
      <c r="F822">
        <v>97</v>
      </c>
      <c r="G822">
        <v>82930</v>
      </c>
      <c r="H822">
        <v>8044210</v>
      </c>
      <c r="I822" t="s">
        <v>303</v>
      </c>
      <c r="J822" t="s">
        <v>303</v>
      </c>
      <c r="K822">
        <v>97</v>
      </c>
      <c r="L822">
        <v>0</v>
      </c>
      <c r="M822" t="s">
        <v>115</v>
      </c>
      <c r="N822" t="str">
        <f t="shared" si="72"/>
        <v>PO-100821</v>
      </c>
      <c r="O822" t="str">
        <f t="shared" si="73"/>
        <v>Delivered</v>
      </c>
      <c r="P822" t="str">
        <f t="shared" si="74"/>
        <v>WH-BLR</v>
      </c>
      <c r="Q822" t="str">
        <f>VLOOKUP(C822, Lookups!$A$2:$D$10, 2, FALSE())</f>
        <v>NextGen Hardware</v>
      </c>
      <c r="R822" t="str">
        <f>_xlfn.XLOOKUP(D822, Lookups!$A$12:$A$51, Lookups!$C$12:$C$51, "Unknown")</f>
        <v>Electronics</v>
      </c>
      <c r="S822" t="str">
        <f>IF(ISBLANK(I822), B822+VLOOKUP(C822, Lookups!$A$2:$D$10, 4, FALSE()), I822)</f>
        <v>2026-06-09</v>
      </c>
      <c r="T822">
        <f t="shared" si="75"/>
        <v>24</v>
      </c>
      <c r="U822" t="str">
        <f t="shared" si="76"/>
        <v>On-Time</v>
      </c>
      <c r="V822">
        <f t="shared" si="77"/>
        <v>0</v>
      </c>
    </row>
    <row r="823" spans="1:22" x14ac:dyDescent="0.45">
      <c r="A823" t="s">
        <v>1632</v>
      </c>
      <c r="B823" t="s">
        <v>744</v>
      </c>
      <c r="C823" t="s">
        <v>31</v>
      </c>
      <c r="D823" t="s">
        <v>56</v>
      </c>
      <c r="E823" t="s">
        <v>16</v>
      </c>
      <c r="F823">
        <v>151</v>
      </c>
      <c r="G823">
        <v>39270</v>
      </c>
      <c r="H823">
        <v>5929770</v>
      </c>
      <c r="I823" t="s">
        <v>955</v>
      </c>
      <c r="K823">
        <v>0</v>
      </c>
      <c r="L823">
        <v>0</v>
      </c>
      <c r="M823" t="s">
        <v>297</v>
      </c>
      <c r="N823" t="str">
        <f t="shared" si="72"/>
        <v>PO-100822</v>
      </c>
      <c r="O823" t="str">
        <f t="shared" si="73"/>
        <v>Open</v>
      </c>
      <c r="P823" t="str">
        <f t="shared" si="74"/>
        <v>WH-DEL</v>
      </c>
      <c r="Q823" t="str">
        <f>VLOOKUP(C823, Lookups!$A$2:$D$10, 2, FALSE())</f>
        <v>Global Networks</v>
      </c>
      <c r="R823" t="str">
        <f>_xlfn.XLOOKUP(D823, Lookups!$A$12:$A$51, Lookups!$C$12:$C$51, "Unknown")</f>
        <v>Networking</v>
      </c>
      <c r="S823" t="str">
        <f>IF(ISBLANK(I823), B823+VLOOKUP(C823, Lookups!$A$2:$D$10, 4, FALSE()), I823)</f>
        <v>2026-12-16</v>
      </c>
      <c r="T823" t="str">
        <f t="shared" si="75"/>
        <v/>
      </c>
      <c r="U823" t="str">
        <f t="shared" si="76"/>
        <v>Open</v>
      </c>
      <c r="V823">
        <f t="shared" si="77"/>
        <v>0</v>
      </c>
    </row>
    <row r="824" spans="1:22" x14ac:dyDescent="0.45">
      <c r="A824" t="s">
        <v>1633</v>
      </c>
      <c r="B824" t="s">
        <v>112</v>
      </c>
      <c r="C824" t="s">
        <v>30</v>
      </c>
      <c r="D824" t="s">
        <v>59</v>
      </c>
      <c r="E824" t="s">
        <v>18</v>
      </c>
      <c r="F824">
        <v>127</v>
      </c>
      <c r="G824">
        <v>48905</v>
      </c>
      <c r="H824">
        <v>6210935</v>
      </c>
      <c r="I824" t="s">
        <v>194</v>
      </c>
      <c r="J824" t="s">
        <v>194</v>
      </c>
      <c r="K824">
        <v>127</v>
      </c>
      <c r="L824">
        <v>0</v>
      </c>
      <c r="M824" t="s">
        <v>115</v>
      </c>
      <c r="N824" t="str">
        <f t="shared" si="72"/>
        <v>PO-100823</v>
      </c>
      <c r="O824" t="str">
        <f t="shared" si="73"/>
        <v>Delivered</v>
      </c>
      <c r="P824" t="str">
        <f t="shared" si="74"/>
        <v>WH-PUN</v>
      </c>
      <c r="Q824" t="str">
        <f>VLOOKUP(C824, Lookups!$A$2:$D$10, 2, FALSE())</f>
        <v>TechSupply Corp</v>
      </c>
      <c r="R824" t="str">
        <f>_xlfn.XLOOKUP(D824, Lookups!$A$12:$A$51, Lookups!$C$12:$C$51, "Unknown")</f>
        <v>Electronics</v>
      </c>
      <c r="S824" t="str">
        <f>IF(ISBLANK(I824), B824+VLOOKUP(C824, Lookups!$A$2:$D$10, 4, FALSE()), I824)</f>
        <v>2026-06-30</v>
      </c>
      <c r="T824">
        <f t="shared" si="75"/>
        <v>14</v>
      </c>
      <c r="U824" t="str">
        <f t="shared" si="76"/>
        <v>On-Time</v>
      </c>
      <c r="V824">
        <f t="shared" si="77"/>
        <v>0</v>
      </c>
    </row>
    <row r="825" spans="1:22" x14ac:dyDescent="0.45">
      <c r="A825" t="s">
        <v>1634</v>
      </c>
      <c r="B825" t="s">
        <v>1165</v>
      </c>
      <c r="C825" t="s">
        <v>33</v>
      </c>
      <c r="D825" t="s">
        <v>89</v>
      </c>
      <c r="E825" t="s">
        <v>16</v>
      </c>
      <c r="F825">
        <v>89</v>
      </c>
      <c r="G825">
        <v>11309</v>
      </c>
      <c r="H825">
        <v>1006501</v>
      </c>
      <c r="I825" t="s">
        <v>1106</v>
      </c>
      <c r="J825" t="s">
        <v>1106</v>
      </c>
      <c r="K825">
        <v>89</v>
      </c>
      <c r="L825">
        <v>0</v>
      </c>
      <c r="M825" t="s">
        <v>115</v>
      </c>
      <c r="N825" t="str">
        <f t="shared" si="72"/>
        <v>PO-100824</v>
      </c>
      <c r="O825" t="str">
        <f t="shared" si="73"/>
        <v>Delivered</v>
      </c>
      <c r="P825" t="str">
        <f t="shared" si="74"/>
        <v>WH-DEL</v>
      </c>
      <c r="Q825" t="str">
        <f>VLOOKUP(C825, Lookups!$A$2:$D$10, 2, FALSE())</f>
        <v>MegaFurnish</v>
      </c>
      <c r="R825" t="str">
        <f>_xlfn.XLOOKUP(D825, Lookups!$A$12:$A$51, Lookups!$C$12:$C$51, "Unknown")</f>
        <v>Office Furniture</v>
      </c>
      <c r="S825" t="str">
        <f>IF(ISBLANK(I825), B825+VLOOKUP(C825, Lookups!$A$2:$D$10, 4, FALSE()), I825)</f>
        <v>2025-05-10</v>
      </c>
      <c r="T825">
        <f t="shared" si="75"/>
        <v>30</v>
      </c>
      <c r="U825" t="str">
        <f t="shared" si="76"/>
        <v>On-Time</v>
      </c>
      <c r="V825">
        <f t="shared" si="77"/>
        <v>0</v>
      </c>
    </row>
    <row r="826" spans="1:22" x14ac:dyDescent="0.45">
      <c r="A826" t="s">
        <v>1635</v>
      </c>
      <c r="B826" t="s">
        <v>439</v>
      </c>
      <c r="C826" t="s">
        <v>36</v>
      </c>
      <c r="D826" t="s">
        <v>55</v>
      </c>
      <c r="E826" t="s">
        <v>16</v>
      </c>
      <c r="F826">
        <v>146</v>
      </c>
      <c r="G826">
        <v>58434</v>
      </c>
      <c r="H826">
        <v>8531364</v>
      </c>
      <c r="I826" t="s">
        <v>926</v>
      </c>
      <c r="J826" t="s">
        <v>1331</v>
      </c>
      <c r="K826">
        <v>146</v>
      </c>
      <c r="L826">
        <v>0</v>
      </c>
      <c r="M826" t="s">
        <v>115</v>
      </c>
      <c r="N826" t="str">
        <f t="shared" si="72"/>
        <v>PO-100825</v>
      </c>
      <c r="O826" t="str">
        <f t="shared" si="73"/>
        <v>Delivered</v>
      </c>
      <c r="P826" t="str">
        <f t="shared" si="74"/>
        <v>WH-DEL</v>
      </c>
      <c r="Q826" t="str">
        <f>VLOOKUP(C826, Lookups!$A$2:$D$10, 2, FALSE())</f>
        <v>NextGen Hardware</v>
      </c>
      <c r="R826" t="str">
        <f>_xlfn.XLOOKUP(D826, Lookups!$A$12:$A$51, Lookups!$C$12:$C$51, "Unknown")</f>
        <v>Electronics</v>
      </c>
      <c r="S826" t="str">
        <f>IF(ISBLANK(I826), B826+VLOOKUP(C826, Lookups!$A$2:$D$10, 4, FALSE()), I826)</f>
        <v>2025-03-08</v>
      </c>
      <c r="T826">
        <f t="shared" si="75"/>
        <v>30</v>
      </c>
      <c r="U826" t="str">
        <f t="shared" si="76"/>
        <v>Late</v>
      </c>
      <c r="V826">
        <f t="shared" si="77"/>
        <v>0</v>
      </c>
    </row>
    <row r="827" spans="1:22" x14ac:dyDescent="0.45">
      <c r="A827" t="s">
        <v>1636</v>
      </c>
      <c r="B827" t="s">
        <v>506</v>
      </c>
      <c r="C827" t="s">
        <v>36</v>
      </c>
      <c r="D827" t="s">
        <v>90</v>
      </c>
      <c r="E827" t="s">
        <v>16</v>
      </c>
      <c r="F827">
        <v>89</v>
      </c>
      <c r="G827">
        <v>81434</v>
      </c>
      <c r="H827">
        <v>7247626</v>
      </c>
      <c r="I827" t="s">
        <v>238</v>
      </c>
      <c r="J827" t="s">
        <v>238</v>
      </c>
      <c r="K827">
        <v>89</v>
      </c>
      <c r="L827">
        <v>0</v>
      </c>
      <c r="M827" t="s">
        <v>115</v>
      </c>
      <c r="N827" t="str">
        <f t="shared" si="72"/>
        <v>PO-100826</v>
      </c>
      <c r="O827" t="str">
        <f t="shared" si="73"/>
        <v>Delivered</v>
      </c>
      <c r="P827" t="str">
        <f t="shared" si="74"/>
        <v>WH-DEL</v>
      </c>
      <c r="Q827" t="str">
        <f>VLOOKUP(C827, Lookups!$A$2:$D$10, 2, FALSE())</f>
        <v>NextGen Hardware</v>
      </c>
      <c r="R827" t="str">
        <f>_xlfn.XLOOKUP(D827, Lookups!$A$12:$A$51, Lookups!$C$12:$C$51, "Unknown")</f>
        <v>Electronics</v>
      </c>
      <c r="S827" t="str">
        <f>IF(ISBLANK(I827), B827+VLOOKUP(C827, Lookups!$A$2:$D$10, 4, FALSE()), I827)</f>
        <v>2025-06-04</v>
      </c>
      <c r="T827">
        <f t="shared" si="75"/>
        <v>24</v>
      </c>
      <c r="U827" t="str">
        <f t="shared" si="76"/>
        <v>On-Time</v>
      </c>
      <c r="V827">
        <f t="shared" si="77"/>
        <v>0</v>
      </c>
    </row>
    <row r="828" spans="1:22" x14ac:dyDescent="0.45">
      <c r="A828" t="s">
        <v>1637</v>
      </c>
      <c r="B828" t="s">
        <v>454</v>
      </c>
      <c r="C828" t="s">
        <v>34</v>
      </c>
      <c r="D828" t="s">
        <v>81</v>
      </c>
      <c r="E828" t="s">
        <v>16</v>
      </c>
      <c r="F828">
        <v>205</v>
      </c>
      <c r="G828">
        <v>55328</v>
      </c>
      <c r="H828">
        <v>11342240</v>
      </c>
      <c r="I828" t="s">
        <v>1119</v>
      </c>
      <c r="J828" t="s">
        <v>1119</v>
      </c>
      <c r="K828">
        <v>205</v>
      </c>
      <c r="L828">
        <v>0</v>
      </c>
      <c r="M828" t="s">
        <v>115</v>
      </c>
      <c r="N828" t="str">
        <f t="shared" si="72"/>
        <v>PO-100827</v>
      </c>
      <c r="O828" t="str">
        <f t="shared" si="73"/>
        <v>Delivered</v>
      </c>
      <c r="P828" t="str">
        <f t="shared" si="74"/>
        <v>WH-DEL</v>
      </c>
      <c r="Q828" t="str">
        <f>VLOOKUP(C828, Lookups!$A$2:$D$10, 2, FALSE())</f>
        <v>FastElectronics</v>
      </c>
      <c r="R828" t="str">
        <f>_xlfn.XLOOKUP(D828, Lookups!$A$12:$A$51, Lookups!$C$12:$C$51, "Unknown")</f>
        <v>Electronics</v>
      </c>
      <c r="S828" t="str">
        <f>IF(ISBLANK(I828), B828+VLOOKUP(C828, Lookups!$A$2:$D$10, 4, FALSE()), I828)</f>
        <v>2026-08-30</v>
      </c>
      <c r="T828">
        <f t="shared" si="75"/>
        <v>18</v>
      </c>
      <c r="U828" t="str">
        <f t="shared" si="76"/>
        <v>On-Time</v>
      </c>
      <c r="V828">
        <f t="shared" si="77"/>
        <v>0</v>
      </c>
    </row>
    <row r="829" spans="1:22" x14ac:dyDescent="0.45">
      <c r="A829" t="s">
        <v>1638</v>
      </c>
      <c r="B829" t="s">
        <v>731</v>
      </c>
      <c r="C829" t="s">
        <v>30</v>
      </c>
      <c r="D829" t="s">
        <v>82</v>
      </c>
      <c r="E829" t="s">
        <v>16</v>
      </c>
      <c r="F829">
        <v>85</v>
      </c>
      <c r="G829">
        <v>83427</v>
      </c>
      <c r="H829">
        <v>7091295</v>
      </c>
      <c r="I829" t="s">
        <v>1639</v>
      </c>
      <c r="J829" t="s">
        <v>457</v>
      </c>
      <c r="K829">
        <v>85</v>
      </c>
      <c r="L829">
        <v>0</v>
      </c>
      <c r="M829" t="s">
        <v>115</v>
      </c>
      <c r="N829" t="str">
        <f t="shared" si="72"/>
        <v>PO-100828</v>
      </c>
      <c r="O829" t="str">
        <f t="shared" si="73"/>
        <v>Delivered</v>
      </c>
      <c r="P829" t="str">
        <f t="shared" si="74"/>
        <v>WH-DEL</v>
      </c>
      <c r="Q829" t="str">
        <f>VLOOKUP(C829, Lookups!$A$2:$D$10, 2, FALSE())</f>
        <v>TechSupply Corp</v>
      </c>
      <c r="R829" t="str">
        <f>_xlfn.XLOOKUP(D829, Lookups!$A$12:$A$51, Lookups!$C$12:$C$51, "Unknown")</f>
        <v>Electronics</v>
      </c>
      <c r="S829" t="str">
        <f>IF(ISBLANK(I829), B829+VLOOKUP(C829, Lookups!$A$2:$D$10, 4, FALSE()), I829)</f>
        <v>2025-06-22</v>
      </c>
      <c r="T829">
        <f t="shared" si="75"/>
        <v>17</v>
      </c>
      <c r="U829" t="str">
        <f t="shared" si="76"/>
        <v>Late</v>
      </c>
      <c r="V829">
        <f t="shared" si="77"/>
        <v>0</v>
      </c>
    </row>
    <row r="830" spans="1:22" x14ac:dyDescent="0.45">
      <c r="A830" t="s">
        <v>1640</v>
      </c>
      <c r="B830" t="s">
        <v>1641</v>
      </c>
      <c r="C830" t="s">
        <v>32</v>
      </c>
      <c r="D830" t="s">
        <v>67</v>
      </c>
      <c r="E830" t="s">
        <v>15</v>
      </c>
      <c r="F830">
        <v>95</v>
      </c>
      <c r="G830">
        <v>1553</v>
      </c>
      <c r="H830">
        <v>147535</v>
      </c>
      <c r="I830" t="s">
        <v>648</v>
      </c>
      <c r="J830" t="s">
        <v>739</v>
      </c>
      <c r="K830">
        <v>95</v>
      </c>
      <c r="L830">
        <v>0</v>
      </c>
      <c r="M830" t="s">
        <v>115</v>
      </c>
      <c r="N830" t="str">
        <f t="shared" si="72"/>
        <v>PO-100829</v>
      </c>
      <c r="O830" t="str">
        <f t="shared" si="73"/>
        <v>Delivered</v>
      </c>
      <c r="P830" t="str">
        <f t="shared" si="74"/>
        <v>WH-BOM</v>
      </c>
      <c r="Q830" t="str">
        <f>VLOOKUP(C830, Lookups!$A$2:$D$10, 2, FALSE())</f>
        <v>OfficeDepot Pro</v>
      </c>
      <c r="R830" t="str">
        <f>_xlfn.XLOOKUP(D830, Lookups!$A$12:$A$51, Lookups!$C$12:$C$51, "Unknown")</f>
        <v>Peripherals</v>
      </c>
      <c r="S830" t="str">
        <f>IF(ISBLANK(I830), B830+VLOOKUP(C830, Lookups!$A$2:$D$10, 4, FALSE()), I830)</f>
        <v>2025-07-28</v>
      </c>
      <c r="T830">
        <f t="shared" si="75"/>
        <v>8</v>
      </c>
      <c r="U830" t="str">
        <f t="shared" si="76"/>
        <v>Late</v>
      </c>
      <c r="V830">
        <f t="shared" si="77"/>
        <v>0</v>
      </c>
    </row>
    <row r="831" spans="1:22" x14ac:dyDescent="0.45">
      <c r="A831" t="s">
        <v>1642</v>
      </c>
      <c r="B831" t="s">
        <v>380</v>
      </c>
      <c r="C831" t="s">
        <v>35</v>
      </c>
      <c r="D831" t="s">
        <v>72</v>
      </c>
      <c r="E831" t="s">
        <v>16</v>
      </c>
      <c r="F831">
        <v>19</v>
      </c>
      <c r="G831">
        <v>7754</v>
      </c>
      <c r="H831">
        <v>147326</v>
      </c>
      <c r="I831" t="s">
        <v>431</v>
      </c>
      <c r="J831" t="s">
        <v>1331</v>
      </c>
      <c r="K831">
        <v>19</v>
      </c>
      <c r="L831">
        <v>0</v>
      </c>
      <c r="M831" t="s">
        <v>115</v>
      </c>
      <c r="N831" t="str">
        <f t="shared" si="72"/>
        <v>PO-100830</v>
      </c>
      <c r="O831" t="str">
        <f t="shared" si="73"/>
        <v>Delivered</v>
      </c>
      <c r="P831" t="str">
        <f t="shared" si="74"/>
        <v>WH-DEL</v>
      </c>
      <c r="Q831" t="str">
        <f>VLOOKUP(C831, Lookups!$A$2:$D$10, 2, FALSE())</f>
        <v>Peripheral Source</v>
      </c>
      <c r="R831" t="str">
        <f>_xlfn.XLOOKUP(D831, Lookups!$A$12:$A$51, Lookups!$C$12:$C$51, "Unknown")</f>
        <v>Peripherals</v>
      </c>
      <c r="S831" t="str">
        <f>IF(ISBLANK(I831), B831+VLOOKUP(C831, Lookups!$A$2:$D$10, 4, FALSE()), I831)</f>
        <v>2025-03-16</v>
      </c>
      <c r="T831">
        <f t="shared" si="75"/>
        <v>8</v>
      </c>
      <c r="U831" t="str">
        <f t="shared" si="76"/>
        <v>On-Time</v>
      </c>
      <c r="V831">
        <f t="shared" si="77"/>
        <v>0</v>
      </c>
    </row>
    <row r="832" spans="1:22" x14ac:dyDescent="0.45">
      <c r="A832" t="s">
        <v>1643</v>
      </c>
      <c r="B832" t="s">
        <v>194</v>
      </c>
      <c r="C832" t="s">
        <v>35</v>
      </c>
      <c r="D832" t="s">
        <v>57</v>
      </c>
      <c r="E832" t="s">
        <v>15</v>
      </c>
      <c r="F832">
        <v>238</v>
      </c>
      <c r="G832">
        <v>2212</v>
      </c>
      <c r="H832">
        <v>526456</v>
      </c>
      <c r="I832" t="s">
        <v>195</v>
      </c>
      <c r="J832" t="s">
        <v>141</v>
      </c>
      <c r="K832">
        <v>238</v>
      </c>
      <c r="L832">
        <v>0</v>
      </c>
      <c r="M832" t="s">
        <v>115</v>
      </c>
      <c r="N832" t="str">
        <f t="shared" si="72"/>
        <v>PO-100831</v>
      </c>
      <c r="O832" t="str">
        <f t="shared" si="73"/>
        <v>Delivered</v>
      </c>
      <c r="P832" t="str">
        <f t="shared" si="74"/>
        <v>WH-BOM</v>
      </c>
      <c r="Q832" t="str">
        <f>VLOOKUP(C832, Lookups!$A$2:$D$10, 2, FALSE())</f>
        <v>Peripheral Source</v>
      </c>
      <c r="R832" t="str">
        <f>_xlfn.XLOOKUP(D832, Lookups!$A$12:$A$51, Lookups!$C$12:$C$51, "Unknown")</f>
        <v>Peripherals</v>
      </c>
      <c r="S832" t="str">
        <f>IF(ISBLANK(I832), B832+VLOOKUP(C832, Lookups!$A$2:$D$10, 4, FALSE()), I832)</f>
        <v>2026-07-10</v>
      </c>
      <c r="T832">
        <f t="shared" si="75"/>
        <v>23</v>
      </c>
      <c r="U832" t="str">
        <f t="shared" si="76"/>
        <v>Late</v>
      </c>
      <c r="V832">
        <f t="shared" si="77"/>
        <v>0</v>
      </c>
    </row>
    <row r="833" spans="1:22" x14ac:dyDescent="0.45">
      <c r="A833" t="s">
        <v>1644</v>
      </c>
      <c r="B833" t="s">
        <v>231</v>
      </c>
      <c r="C833" t="s">
        <v>35</v>
      </c>
      <c r="D833" t="s">
        <v>72</v>
      </c>
      <c r="E833" t="s">
        <v>17</v>
      </c>
      <c r="F833">
        <v>126</v>
      </c>
      <c r="G833">
        <v>7754</v>
      </c>
      <c r="H833">
        <v>977004</v>
      </c>
      <c r="I833" t="s">
        <v>1596</v>
      </c>
      <c r="J833" t="s">
        <v>255</v>
      </c>
      <c r="K833">
        <v>126</v>
      </c>
      <c r="L833">
        <v>0</v>
      </c>
      <c r="M833" t="s">
        <v>115</v>
      </c>
      <c r="N833" t="str">
        <f t="shared" si="72"/>
        <v>PO-100832</v>
      </c>
      <c r="O833" t="str">
        <f t="shared" si="73"/>
        <v>Delivered</v>
      </c>
      <c r="P833" t="str">
        <f t="shared" si="74"/>
        <v>WH-BLR</v>
      </c>
      <c r="Q833" t="str">
        <f>VLOOKUP(C833, Lookups!$A$2:$D$10, 2, FALSE())</f>
        <v>Peripheral Source</v>
      </c>
      <c r="R833" t="str">
        <f>_xlfn.XLOOKUP(D833, Lookups!$A$12:$A$51, Lookups!$C$12:$C$51, "Unknown")</f>
        <v>Peripherals</v>
      </c>
      <c r="S833" t="str">
        <f>IF(ISBLANK(I833), B833+VLOOKUP(C833, Lookups!$A$2:$D$10, 4, FALSE()), I833)</f>
        <v>2025-11-17</v>
      </c>
      <c r="T833">
        <f t="shared" si="75"/>
        <v>11</v>
      </c>
      <c r="U833" t="str">
        <f t="shared" si="76"/>
        <v>Late</v>
      </c>
      <c r="V833">
        <f t="shared" si="77"/>
        <v>0</v>
      </c>
    </row>
    <row r="834" spans="1:22" x14ac:dyDescent="0.45">
      <c r="A834" t="s">
        <v>1645</v>
      </c>
      <c r="B834" t="s">
        <v>1574</v>
      </c>
      <c r="C834" t="s">
        <v>36</v>
      </c>
      <c r="D834" t="s">
        <v>71</v>
      </c>
      <c r="E834" t="s">
        <v>15</v>
      </c>
      <c r="F834">
        <v>210</v>
      </c>
      <c r="G834">
        <v>65379</v>
      </c>
      <c r="H834">
        <v>13729590</v>
      </c>
      <c r="I834" t="s">
        <v>829</v>
      </c>
      <c r="J834" t="s">
        <v>829</v>
      </c>
      <c r="K834">
        <v>210</v>
      </c>
      <c r="L834">
        <v>0</v>
      </c>
      <c r="M834" t="s">
        <v>115</v>
      </c>
      <c r="N834" t="str">
        <f t="shared" ref="N834:N897" si="78">TRIM(A834)</f>
        <v>PO-100833</v>
      </c>
      <c r="O834" t="str">
        <f t="shared" ref="O834:O897" si="79">PROPER(TRIM(M834))</f>
        <v>Delivered</v>
      </c>
      <c r="P834" t="str">
        <f t="shared" ref="P834:P897" si="80">TRIM(E834)</f>
        <v>WH-BOM</v>
      </c>
      <c r="Q834" t="str">
        <f>VLOOKUP(C834, Lookups!$A$2:$D$10, 2, FALSE())</f>
        <v>NextGen Hardware</v>
      </c>
      <c r="R834" t="str">
        <f>_xlfn.XLOOKUP(D834, Lookups!$A$12:$A$51, Lookups!$C$12:$C$51, "Unknown")</f>
        <v>Electronics</v>
      </c>
      <c r="S834" t="str">
        <f>IF(ISBLANK(I834), B834+VLOOKUP(C834, Lookups!$A$2:$D$10, 4, FALSE()), I834)</f>
        <v>2025-12-24</v>
      </c>
      <c r="T834">
        <f t="shared" ref="T834:T897" si="81">IF(ISBLANK(J834), "", J834-B834)</f>
        <v>24</v>
      </c>
      <c r="U834" t="str">
        <f t="shared" ref="U834:U897" si="82">IF(O834="Open", "Open", IF(J834&gt;S834, "Late", "On-Time"))</f>
        <v>On-Time</v>
      </c>
      <c r="V834">
        <f t="shared" ref="V834:V897" si="83">IF(K834&gt;0, L834/K834, 0)</f>
        <v>0</v>
      </c>
    </row>
    <row r="835" spans="1:22" x14ac:dyDescent="0.45">
      <c r="A835" t="s">
        <v>1646</v>
      </c>
      <c r="B835" t="s">
        <v>1285</v>
      </c>
      <c r="C835" t="s">
        <v>35</v>
      </c>
      <c r="D835" t="s">
        <v>91</v>
      </c>
      <c r="E835" t="s">
        <v>17</v>
      </c>
      <c r="F835">
        <v>97</v>
      </c>
      <c r="G835">
        <v>6707</v>
      </c>
      <c r="H835">
        <v>650579</v>
      </c>
      <c r="I835" t="s">
        <v>1547</v>
      </c>
      <c r="J835" t="s">
        <v>1496</v>
      </c>
      <c r="K835">
        <v>97</v>
      </c>
      <c r="L835">
        <v>0</v>
      </c>
      <c r="M835" t="s">
        <v>115</v>
      </c>
      <c r="N835" t="str">
        <f t="shared" si="78"/>
        <v>PO-100834</v>
      </c>
      <c r="O835" t="str">
        <f t="shared" si="79"/>
        <v>Delivered</v>
      </c>
      <c r="P835" t="str">
        <f t="shared" si="80"/>
        <v>WH-BLR</v>
      </c>
      <c r="Q835" t="str">
        <f>VLOOKUP(C835, Lookups!$A$2:$D$10, 2, FALSE())</f>
        <v>Peripheral Source</v>
      </c>
      <c r="R835" t="str">
        <f>_xlfn.XLOOKUP(D835, Lookups!$A$12:$A$51, Lookups!$C$12:$C$51, "Unknown")</f>
        <v>Peripherals</v>
      </c>
      <c r="S835" t="str">
        <f>IF(ISBLANK(I835), B835+VLOOKUP(C835, Lookups!$A$2:$D$10, 4, FALSE()), I835)</f>
        <v>2026-03-03</v>
      </c>
      <c r="T835">
        <f t="shared" si="81"/>
        <v>18</v>
      </c>
      <c r="U835" t="str">
        <f t="shared" si="82"/>
        <v>Late</v>
      </c>
      <c r="V835">
        <f t="shared" si="83"/>
        <v>0</v>
      </c>
    </row>
    <row r="836" spans="1:22" x14ac:dyDescent="0.45">
      <c r="A836" t="s">
        <v>1647</v>
      </c>
      <c r="B836" t="s">
        <v>869</v>
      </c>
      <c r="C836" t="s">
        <v>34</v>
      </c>
      <c r="D836" t="s">
        <v>58</v>
      </c>
      <c r="E836" t="s">
        <v>15</v>
      </c>
      <c r="F836">
        <v>117</v>
      </c>
      <c r="G836">
        <v>100302</v>
      </c>
      <c r="H836">
        <v>11735334</v>
      </c>
      <c r="I836" t="s">
        <v>981</v>
      </c>
      <c r="J836" t="s">
        <v>1111</v>
      </c>
      <c r="K836">
        <v>117</v>
      </c>
      <c r="L836">
        <v>0</v>
      </c>
      <c r="M836" t="s">
        <v>115</v>
      </c>
      <c r="N836" t="str">
        <f t="shared" si="78"/>
        <v>PO-100835</v>
      </c>
      <c r="O836" t="str">
        <f t="shared" si="79"/>
        <v>Delivered</v>
      </c>
      <c r="P836" t="str">
        <f t="shared" si="80"/>
        <v>WH-BOM</v>
      </c>
      <c r="Q836" t="str">
        <f>VLOOKUP(C836, Lookups!$A$2:$D$10, 2, FALSE())</f>
        <v>FastElectronics</v>
      </c>
      <c r="R836" t="str">
        <f>_xlfn.XLOOKUP(D836, Lookups!$A$12:$A$51, Lookups!$C$12:$C$51, "Unknown")</f>
        <v>Electronics</v>
      </c>
      <c r="S836" t="str">
        <f>IF(ISBLANK(I836), B836+VLOOKUP(C836, Lookups!$A$2:$D$10, 4, FALSE()), I836)</f>
        <v>2026-10-13</v>
      </c>
      <c r="T836">
        <f t="shared" si="81"/>
        <v>19</v>
      </c>
      <c r="U836" t="str">
        <f t="shared" si="82"/>
        <v>Late</v>
      </c>
      <c r="V836">
        <f t="shared" si="83"/>
        <v>0</v>
      </c>
    </row>
    <row r="837" spans="1:22" x14ac:dyDescent="0.45">
      <c r="A837" t="s">
        <v>1648</v>
      </c>
      <c r="B837" t="s">
        <v>495</v>
      </c>
      <c r="C837" t="s">
        <v>35</v>
      </c>
      <c r="D837" t="s">
        <v>57</v>
      </c>
      <c r="E837" t="s">
        <v>15</v>
      </c>
      <c r="F837">
        <v>25</v>
      </c>
      <c r="G837">
        <v>2212</v>
      </c>
      <c r="H837">
        <v>55300</v>
      </c>
      <c r="I837" t="s">
        <v>118</v>
      </c>
      <c r="J837" t="s">
        <v>118</v>
      </c>
      <c r="K837">
        <v>25</v>
      </c>
      <c r="L837">
        <v>0</v>
      </c>
      <c r="M837" t="s">
        <v>115</v>
      </c>
      <c r="N837" t="str">
        <f t="shared" si="78"/>
        <v>PO-100836</v>
      </c>
      <c r="O837" t="str">
        <f t="shared" si="79"/>
        <v>Delivered</v>
      </c>
      <c r="P837" t="str">
        <f t="shared" si="80"/>
        <v>WH-BOM</v>
      </c>
      <c r="Q837" t="str">
        <f>VLOOKUP(C837, Lookups!$A$2:$D$10, 2, FALSE())</f>
        <v>Peripheral Source</v>
      </c>
      <c r="R837" t="str">
        <f>_xlfn.XLOOKUP(D837, Lookups!$A$12:$A$51, Lookups!$C$12:$C$51, "Unknown")</f>
        <v>Peripherals</v>
      </c>
      <c r="S837" t="str">
        <f>IF(ISBLANK(I837), B837+VLOOKUP(C837, Lookups!$A$2:$D$10, 4, FALSE()), I837)</f>
        <v>2026-10-03</v>
      </c>
      <c r="T837">
        <f t="shared" si="81"/>
        <v>10</v>
      </c>
      <c r="U837" t="str">
        <f t="shared" si="82"/>
        <v>On-Time</v>
      </c>
      <c r="V837">
        <f t="shared" si="83"/>
        <v>0</v>
      </c>
    </row>
    <row r="838" spans="1:22" x14ac:dyDescent="0.45">
      <c r="A838" t="s">
        <v>1649</v>
      </c>
      <c r="B838" t="s">
        <v>481</v>
      </c>
      <c r="C838" t="s">
        <v>31</v>
      </c>
      <c r="D838" t="s">
        <v>77</v>
      </c>
      <c r="E838" t="s">
        <v>16</v>
      </c>
      <c r="F838">
        <v>116</v>
      </c>
      <c r="G838">
        <v>23667</v>
      </c>
      <c r="H838">
        <v>2745372</v>
      </c>
      <c r="I838" t="s">
        <v>993</v>
      </c>
      <c r="J838" t="s">
        <v>993</v>
      </c>
      <c r="K838">
        <v>116</v>
      </c>
      <c r="L838">
        <v>0</v>
      </c>
      <c r="M838" t="s">
        <v>115</v>
      </c>
      <c r="N838" t="str">
        <f t="shared" si="78"/>
        <v>PO-100837</v>
      </c>
      <c r="O838" t="str">
        <f t="shared" si="79"/>
        <v>Delivered</v>
      </c>
      <c r="P838" t="str">
        <f t="shared" si="80"/>
        <v>WH-DEL</v>
      </c>
      <c r="Q838" t="str">
        <f>VLOOKUP(C838, Lookups!$A$2:$D$10, 2, FALSE())</f>
        <v>Global Networks</v>
      </c>
      <c r="R838" t="str">
        <f>_xlfn.XLOOKUP(D838, Lookups!$A$12:$A$51, Lookups!$C$12:$C$51, "Unknown")</f>
        <v>Networking</v>
      </c>
      <c r="S838" t="str">
        <f>IF(ISBLANK(I838), B838+VLOOKUP(C838, Lookups!$A$2:$D$10, 4, FALSE()), I838)</f>
        <v>2025-05-28</v>
      </c>
      <c r="T838">
        <f t="shared" si="81"/>
        <v>21</v>
      </c>
      <c r="U838" t="str">
        <f t="shared" si="82"/>
        <v>On-Time</v>
      </c>
      <c r="V838">
        <f t="shared" si="83"/>
        <v>0</v>
      </c>
    </row>
    <row r="839" spans="1:22" x14ac:dyDescent="0.45">
      <c r="A839" t="s">
        <v>1650</v>
      </c>
      <c r="B839" t="s">
        <v>412</v>
      </c>
      <c r="C839" t="s">
        <v>34</v>
      </c>
      <c r="D839" t="s">
        <v>74</v>
      </c>
      <c r="E839" t="s">
        <v>18</v>
      </c>
      <c r="F839">
        <v>53</v>
      </c>
      <c r="G839">
        <v>94797</v>
      </c>
      <c r="H839">
        <v>5024241</v>
      </c>
      <c r="I839" t="s">
        <v>391</v>
      </c>
      <c r="J839" t="s">
        <v>842</v>
      </c>
      <c r="K839">
        <v>53</v>
      </c>
      <c r="L839">
        <v>0</v>
      </c>
      <c r="M839" t="s">
        <v>115</v>
      </c>
      <c r="N839" t="str">
        <f t="shared" si="78"/>
        <v>PO-100838</v>
      </c>
      <c r="O839" t="str">
        <f t="shared" si="79"/>
        <v>Delivered</v>
      </c>
      <c r="P839" t="str">
        <f t="shared" si="80"/>
        <v>WH-PUN</v>
      </c>
      <c r="Q839" t="str">
        <f>VLOOKUP(C839, Lookups!$A$2:$D$10, 2, FALSE())</f>
        <v>FastElectronics</v>
      </c>
      <c r="R839" t="str">
        <f>_xlfn.XLOOKUP(D839, Lookups!$A$12:$A$51, Lookups!$C$12:$C$51, "Unknown")</f>
        <v>Electronics</v>
      </c>
      <c r="S839" t="str">
        <f>IF(ISBLANK(I839), B839+VLOOKUP(C839, Lookups!$A$2:$D$10, 4, FALSE()), I839)</f>
        <v>2026-06-14</v>
      </c>
      <c r="T839">
        <f t="shared" si="81"/>
        <v>19</v>
      </c>
      <c r="U839" t="str">
        <f t="shared" si="82"/>
        <v>Late</v>
      </c>
      <c r="V839">
        <f t="shared" si="83"/>
        <v>0</v>
      </c>
    </row>
    <row r="840" spans="1:22" x14ac:dyDescent="0.45">
      <c r="A840" t="s">
        <v>1651</v>
      </c>
      <c r="B840" t="s">
        <v>708</v>
      </c>
      <c r="C840" t="s">
        <v>30</v>
      </c>
      <c r="D840" t="s">
        <v>61</v>
      </c>
      <c r="E840" t="s">
        <v>15</v>
      </c>
      <c r="F840">
        <v>145</v>
      </c>
      <c r="G840">
        <v>111237</v>
      </c>
      <c r="H840">
        <v>16129365</v>
      </c>
      <c r="I840" t="s">
        <v>873</v>
      </c>
      <c r="J840" t="s">
        <v>359</v>
      </c>
      <c r="K840">
        <v>145</v>
      </c>
      <c r="L840">
        <v>0</v>
      </c>
      <c r="M840" t="s">
        <v>166</v>
      </c>
      <c r="N840" t="str">
        <f t="shared" si="78"/>
        <v>PO-100839</v>
      </c>
      <c r="O840" t="str">
        <f t="shared" si="79"/>
        <v>Delivered</v>
      </c>
      <c r="P840" t="str">
        <f t="shared" si="80"/>
        <v>WH-BOM</v>
      </c>
      <c r="Q840" t="str">
        <f>VLOOKUP(C840, Lookups!$A$2:$D$10, 2, FALSE())</f>
        <v>TechSupply Corp</v>
      </c>
      <c r="R840" t="str">
        <f>_xlfn.XLOOKUP(D840, Lookups!$A$12:$A$51, Lookups!$C$12:$C$51, "Unknown")</f>
        <v>Electronics</v>
      </c>
      <c r="S840" t="str">
        <f>IF(ISBLANK(I840), B840+VLOOKUP(C840, Lookups!$A$2:$D$10, 4, FALSE()), I840)</f>
        <v>2026-02-09</v>
      </c>
      <c r="T840">
        <f t="shared" si="81"/>
        <v>12</v>
      </c>
      <c r="U840" t="str">
        <f t="shared" si="82"/>
        <v>On-Time</v>
      </c>
      <c r="V840">
        <f t="shared" si="83"/>
        <v>0</v>
      </c>
    </row>
    <row r="841" spans="1:22" x14ac:dyDescent="0.45">
      <c r="A841" t="s">
        <v>1652</v>
      </c>
      <c r="B841" t="s">
        <v>1158</v>
      </c>
      <c r="C841" t="s">
        <v>30</v>
      </c>
      <c r="D841" t="s">
        <v>52</v>
      </c>
      <c r="E841" t="s">
        <v>15</v>
      </c>
      <c r="F841">
        <v>98</v>
      </c>
      <c r="G841">
        <v>59592</v>
      </c>
      <c r="H841">
        <v>5840016</v>
      </c>
      <c r="I841" t="s">
        <v>268</v>
      </c>
      <c r="J841" t="s">
        <v>268</v>
      </c>
      <c r="K841">
        <v>98</v>
      </c>
      <c r="L841">
        <v>0</v>
      </c>
      <c r="M841" t="s">
        <v>178</v>
      </c>
      <c r="N841" t="str">
        <f t="shared" si="78"/>
        <v>PO-100840</v>
      </c>
      <c r="O841" t="str">
        <f t="shared" si="79"/>
        <v>Delivered</v>
      </c>
      <c r="P841" t="str">
        <f t="shared" si="80"/>
        <v>WH-BOM</v>
      </c>
      <c r="Q841" t="str">
        <f>VLOOKUP(C841, Lookups!$A$2:$D$10, 2, FALSE())</f>
        <v>TechSupply Corp</v>
      </c>
      <c r="R841" t="str">
        <f>_xlfn.XLOOKUP(D841, Lookups!$A$12:$A$51, Lookups!$C$12:$C$51, "Unknown")</f>
        <v>Electronics</v>
      </c>
      <c r="S841" t="str">
        <f>IF(ISBLANK(I841), B841+VLOOKUP(C841, Lookups!$A$2:$D$10, 4, FALSE()), I841)</f>
        <v>2025-04-13</v>
      </c>
      <c r="T841">
        <f t="shared" si="81"/>
        <v>14</v>
      </c>
      <c r="U841" t="str">
        <f t="shared" si="82"/>
        <v>On-Time</v>
      </c>
      <c r="V841">
        <f t="shared" si="83"/>
        <v>0</v>
      </c>
    </row>
    <row r="842" spans="1:22" x14ac:dyDescent="0.45">
      <c r="A842" t="s">
        <v>1653</v>
      </c>
      <c r="B842" t="s">
        <v>1367</v>
      </c>
      <c r="C842" t="s">
        <v>34</v>
      </c>
      <c r="D842" t="s">
        <v>74</v>
      </c>
      <c r="E842" t="s">
        <v>18</v>
      </c>
      <c r="F842">
        <v>43</v>
      </c>
      <c r="G842">
        <v>94797</v>
      </c>
      <c r="H842">
        <v>4076271</v>
      </c>
      <c r="I842" t="s">
        <v>692</v>
      </c>
      <c r="J842" t="s">
        <v>736</v>
      </c>
      <c r="K842">
        <v>27</v>
      </c>
      <c r="L842">
        <v>0</v>
      </c>
      <c r="M842" t="s">
        <v>115</v>
      </c>
      <c r="N842" t="str">
        <f t="shared" si="78"/>
        <v>PO-100841</v>
      </c>
      <c r="O842" t="str">
        <f t="shared" si="79"/>
        <v>Delivered</v>
      </c>
      <c r="P842" t="str">
        <f t="shared" si="80"/>
        <v>WH-PUN</v>
      </c>
      <c r="Q842" t="str">
        <f>VLOOKUP(C842, Lookups!$A$2:$D$10, 2, FALSE())</f>
        <v>FastElectronics</v>
      </c>
      <c r="R842" t="str">
        <f>_xlfn.XLOOKUP(D842, Lookups!$A$12:$A$51, Lookups!$C$12:$C$51, "Unknown")</f>
        <v>Electronics</v>
      </c>
      <c r="S842" t="str">
        <f>IF(ISBLANK(I842), B842+VLOOKUP(C842, Lookups!$A$2:$D$10, 4, FALSE()), I842)</f>
        <v>2026-10-29</v>
      </c>
      <c r="T842">
        <f t="shared" si="81"/>
        <v>19</v>
      </c>
      <c r="U842" t="str">
        <f t="shared" si="82"/>
        <v>Late</v>
      </c>
      <c r="V842">
        <f t="shared" si="83"/>
        <v>0</v>
      </c>
    </row>
    <row r="843" spans="1:22" x14ac:dyDescent="0.45">
      <c r="A843" t="s">
        <v>1654</v>
      </c>
      <c r="B843" t="s">
        <v>1544</v>
      </c>
      <c r="C843" t="s">
        <v>34</v>
      </c>
      <c r="D843" t="s">
        <v>54</v>
      </c>
      <c r="E843" t="s">
        <v>18</v>
      </c>
      <c r="F843">
        <v>243</v>
      </c>
      <c r="G843">
        <v>22314</v>
      </c>
      <c r="H843">
        <v>5422302</v>
      </c>
      <c r="I843" t="s">
        <v>764</v>
      </c>
      <c r="J843" t="s">
        <v>925</v>
      </c>
      <c r="K843">
        <v>243</v>
      </c>
      <c r="L843">
        <v>0</v>
      </c>
      <c r="M843" t="s">
        <v>115</v>
      </c>
      <c r="N843" t="str">
        <f t="shared" si="78"/>
        <v>PO-100842</v>
      </c>
      <c r="O843" t="str">
        <f t="shared" si="79"/>
        <v>Delivered</v>
      </c>
      <c r="P843" t="str">
        <f t="shared" si="80"/>
        <v>WH-PUN</v>
      </c>
      <c r="Q843" t="str">
        <f>VLOOKUP(C843, Lookups!$A$2:$D$10, 2, FALSE())</f>
        <v>FastElectronics</v>
      </c>
      <c r="R843" t="str">
        <f>_xlfn.XLOOKUP(D843, Lookups!$A$12:$A$51, Lookups!$C$12:$C$51, "Unknown")</f>
        <v>Networking</v>
      </c>
      <c r="S843" t="str">
        <f>IF(ISBLANK(I843), B843+VLOOKUP(C843, Lookups!$A$2:$D$10, 4, FALSE()), I843)</f>
        <v>2025-02-19</v>
      </c>
      <c r="T843">
        <f t="shared" si="81"/>
        <v>19</v>
      </c>
      <c r="U843" t="str">
        <f t="shared" si="82"/>
        <v>Late</v>
      </c>
      <c r="V843">
        <f t="shared" si="83"/>
        <v>0</v>
      </c>
    </row>
    <row r="844" spans="1:22" x14ac:dyDescent="0.45">
      <c r="A844" t="s">
        <v>1655</v>
      </c>
      <c r="B844" t="s">
        <v>403</v>
      </c>
      <c r="C844" t="s">
        <v>31</v>
      </c>
      <c r="D844" t="s">
        <v>64</v>
      </c>
      <c r="E844" t="s">
        <v>18</v>
      </c>
      <c r="F844">
        <v>250</v>
      </c>
      <c r="G844">
        <v>36295</v>
      </c>
      <c r="H844">
        <v>9073750</v>
      </c>
      <c r="I844" t="s">
        <v>460</v>
      </c>
      <c r="J844" t="s">
        <v>642</v>
      </c>
      <c r="K844">
        <v>250</v>
      </c>
      <c r="L844">
        <v>0</v>
      </c>
      <c r="M844" t="s">
        <v>927</v>
      </c>
      <c r="N844" t="str">
        <f t="shared" si="78"/>
        <v>PO-100843</v>
      </c>
      <c r="O844" t="str">
        <f t="shared" si="79"/>
        <v>Delivered</v>
      </c>
      <c r="P844" t="str">
        <f t="shared" si="80"/>
        <v>WH-PUN</v>
      </c>
      <c r="Q844" t="str">
        <f>VLOOKUP(C844, Lookups!$A$2:$D$10, 2, FALSE())</f>
        <v>Global Networks</v>
      </c>
      <c r="R844" t="str">
        <f>_xlfn.XLOOKUP(D844, Lookups!$A$12:$A$51, Lookups!$C$12:$C$51, "Unknown")</f>
        <v>Networking</v>
      </c>
      <c r="S844" t="str">
        <f>IF(ISBLANK(I844), B844+VLOOKUP(C844, Lookups!$A$2:$D$10, 4, FALSE()), I844)</f>
        <v>2025-10-09</v>
      </c>
      <c r="T844">
        <f t="shared" si="81"/>
        <v>32</v>
      </c>
      <c r="U844" t="str">
        <f t="shared" si="82"/>
        <v>Late</v>
      </c>
      <c r="V844">
        <f t="shared" si="83"/>
        <v>0</v>
      </c>
    </row>
    <row r="845" spans="1:22" x14ac:dyDescent="0.45">
      <c r="A845" t="s">
        <v>1656</v>
      </c>
      <c r="B845" t="s">
        <v>715</v>
      </c>
      <c r="C845" t="s">
        <v>34</v>
      </c>
      <c r="D845" t="s">
        <v>54</v>
      </c>
      <c r="E845" t="s">
        <v>17</v>
      </c>
      <c r="F845">
        <v>183</v>
      </c>
      <c r="G845">
        <v>22314</v>
      </c>
      <c r="H845">
        <v>4083462</v>
      </c>
      <c r="I845" t="s">
        <v>648</v>
      </c>
      <c r="J845" t="s">
        <v>648</v>
      </c>
      <c r="K845">
        <v>183</v>
      </c>
      <c r="L845">
        <v>0</v>
      </c>
      <c r="M845" t="s">
        <v>115</v>
      </c>
      <c r="N845" t="str">
        <f t="shared" si="78"/>
        <v>PO-100844</v>
      </c>
      <c r="O845" t="str">
        <f t="shared" si="79"/>
        <v>Delivered</v>
      </c>
      <c r="P845" t="str">
        <f t="shared" si="80"/>
        <v>WH-BLR</v>
      </c>
      <c r="Q845" t="str">
        <f>VLOOKUP(C845, Lookups!$A$2:$D$10, 2, FALSE())</f>
        <v>FastElectronics</v>
      </c>
      <c r="R845" t="str">
        <f>_xlfn.XLOOKUP(D845, Lookups!$A$12:$A$51, Lookups!$C$12:$C$51, "Unknown")</f>
        <v>Networking</v>
      </c>
      <c r="S845" t="str">
        <f>IF(ISBLANK(I845), B845+VLOOKUP(C845, Lookups!$A$2:$D$10, 4, FALSE()), I845)</f>
        <v>2025-07-28</v>
      </c>
      <c r="T845">
        <f t="shared" si="81"/>
        <v>18</v>
      </c>
      <c r="U845" t="str">
        <f t="shared" si="82"/>
        <v>On-Time</v>
      </c>
      <c r="V845">
        <f t="shared" si="83"/>
        <v>0</v>
      </c>
    </row>
    <row r="846" spans="1:22" x14ac:dyDescent="0.45">
      <c r="A846" t="s">
        <v>1657</v>
      </c>
      <c r="B846" t="s">
        <v>180</v>
      </c>
      <c r="C846" t="s">
        <v>31</v>
      </c>
      <c r="D846" t="s">
        <v>85</v>
      </c>
      <c r="E846" t="s">
        <v>18</v>
      </c>
      <c r="F846">
        <v>14</v>
      </c>
      <c r="G846">
        <v>16501</v>
      </c>
      <c r="H846">
        <v>231014</v>
      </c>
      <c r="I846" t="s">
        <v>736</v>
      </c>
      <c r="J846" t="s">
        <v>736</v>
      </c>
      <c r="K846">
        <v>14</v>
      </c>
      <c r="L846">
        <v>1</v>
      </c>
      <c r="M846" t="s">
        <v>115</v>
      </c>
      <c r="N846" t="str">
        <f t="shared" si="78"/>
        <v>PO-100845</v>
      </c>
      <c r="O846" t="str">
        <f t="shared" si="79"/>
        <v>Delivered</v>
      </c>
      <c r="P846" t="str">
        <f t="shared" si="80"/>
        <v>WH-PUN</v>
      </c>
      <c r="Q846" t="str">
        <f>VLOOKUP(C846, Lookups!$A$2:$D$10, 2, FALSE())</f>
        <v>Global Networks</v>
      </c>
      <c r="R846" t="str">
        <f>_xlfn.XLOOKUP(D846, Lookups!$A$12:$A$51, Lookups!$C$12:$C$51, "Unknown")</f>
        <v>Networking</v>
      </c>
      <c r="S846" t="str">
        <f>IF(ISBLANK(I846), B846+VLOOKUP(C846, Lookups!$A$2:$D$10, 4, FALSE()), I846)</f>
        <v>2026-10-30</v>
      </c>
      <c r="T846">
        <f t="shared" si="81"/>
        <v>21</v>
      </c>
      <c r="U846" t="str">
        <f t="shared" si="82"/>
        <v>On-Time</v>
      </c>
      <c r="V846">
        <f t="shared" si="83"/>
        <v>7.1428571428571425E-2</v>
      </c>
    </row>
    <row r="847" spans="1:22" x14ac:dyDescent="0.45">
      <c r="A847" t="s">
        <v>1658</v>
      </c>
      <c r="B847" t="s">
        <v>138</v>
      </c>
      <c r="C847" t="s">
        <v>30</v>
      </c>
      <c r="D847" t="s">
        <v>52</v>
      </c>
      <c r="E847" t="s">
        <v>18</v>
      </c>
      <c r="F847">
        <v>210</v>
      </c>
      <c r="G847">
        <v>59592</v>
      </c>
      <c r="H847">
        <v>12514320</v>
      </c>
      <c r="I847" t="s">
        <v>346</v>
      </c>
      <c r="J847" t="s">
        <v>244</v>
      </c>
      <c r="K847">
        <v>210</v>
      </c>
      <c r="L847">
        <v>0</v>
      </c>
      <c r="M847" t="s">
        <v>115</v>
      </c>
      <c r="N847" t="str">
        <f t="shared" si="78"/>
        <v>PO-100846</v>
      </c>
      <c r="O847" t="str">
        <f t="shared" si="79"/>
        <v>Delivered</v>
      </c>
      <c r="P847" t="str">
        <f t="shared" si="80"/>
        <v>WH-PUN</v>
      </c>
      <c r="Q847" t="str">
        <f>VLOOKUP(C847, Lookups!$A$2:$D$10, 2, FALSE())</f>
        <v>TechSupply Corp</v>
      </c>
      <c r="R847" t="str">
        <f>_xlfn.XLOOKUP(D847, Lookups!$A$12:$A$51, Lookups!$C$12:$C$51, "Unknown")</f>
        <v>Electronics</v>
      </c>
      <c r="S847" t="str">
        <f>IF(ISBLANK(I847), B847+VLOOKUP(C847, Lookups!$A$2:$D$10, 4, FALSE()), I847)</f>
        <v>2025-10-10</v>
      </c>
      <c r="T847">
        <f t="shared" si="81"/>
        <v>15</v>
      </c>
      <c r="U847" t="str">
        <f t="shared" si="82"/>
        <v>Late</v>
      </c>
      <c r="V847">
        <f t="shared" si="83"/>
        <v>0</v>
      </c>
    </row>
    <row r="848" spans="1:22" x14ac:dyDescent="0.45">
      <c r="A848" t="s">
        <v>1659</v>
      </c>
      <c r="B848" t="s">
        <v>815</v>
      </c>
      <c r="C848" t="s">
        <v>36</v>
      </c>
      <c r="D848" t="s">
        <v>90</v>
      </c>
      <c r="E848" t="s">
        <v>17</v>
      </c>
      <c r="F848">
        <v>20</v>
      </c>
      <c r="G848">
        <v>81434</v>
      </c>
      <c r="H848">
        <v>1628680</v>
      </c>
      <c r="I848" t="s">
        <v>1395</v>
      </c>
      <c r="J848" t="s">
        <v>1395</v>
      </c>
      <c r="K848">
        <v>20</v>
      </c>
      <c r="L848">
        <v>0</v>
      </c>
      <c r="M848" t="s">
        <v>115</v>
      </c>
      <c r="N848" t="str">
        <f t="shared" si="78"/>
        <v>PO-100847</v>
      </c>
      <c r="O848" t="str">
        <f t="shared" si="79"/>
        <v>Delivered</v>
      </c>
      <c r="P848" t="str">
        <f t="shared" si="80"/>
        <v>WH-BLR</v>
      </c>
      <c r="Q848" t="str">
        <f>VLOOKUP(C848, Lookups!$A$2:$D$10, 2, FALSE())</f>
        <v>NextGen Hardware</v>
      </c>
      <c r="R848" t="str">
        <f>_xlfn.XLOOKUP(D848, Lookups!$A$12:$A$51, Lookups!$C$12:$C$51, "Unknown")</f>
        <v>Electronics</v>
      </c>
      <c r="S848" t="str">
        <f>IF(ISBLANK(I848), B848+VLOOKUP(C848, Lookups!$A$2:$D$10, 4, FALSE()), I848)</f>
        <v>2026-03-09</v>
      </c>
      <c r="T848">
        <f t="shared" si="81"/>
        <v>24</v>
      </c>
      <c r="U848" t="str">
        <f t="shared" si="82"/>
        <v>On-Time</v>
      </c>
      <c r="V848">
        <f t="shared" si="83"/>
        <v>0</v>
      </c>
    </row>
    <row r="849" spans="1:22" x14ac:dyDescent="0.45">
      <c r="A849" t="s">
        <v>1660</v>
      </c>
      <c r="B849" t="s">
        <v>1661</v>
      </c>
      <c r="C849" t="s">
        <v>33</v>
      </c>
      <c r="D849" t="s">
        <v>89</v>
      </c>
      <c r="E849" t="s">
        <v>17</v>
      </c>
      <c r="F849">
        <v>121</v>
      </c>
      <c r="G849">
        <v>11309</v>
      </c>
      <c r="H849">
        <v>1368389</v>
      </c>
      <c r="I849" t="s">
        <v>1386</v>
      </c>
      <c r="J849" t="s">
        <v>194</v>
      </c>
      <c r="K849">
        <v>121</v>
      </c>
      <c r="L849">
        <v>0</v>
      </c>
      <c r="M849" t="s">
        <v>115</v>
      </c>
      <c r="N849" t="str">
        <f t="shared" si="78"/>
        <v>PO-100848</v>
      </c>
      <c r="O849" t="str">
        <f t="shared" si="79"/>
        <v>Delivered</v>
      </c>
      <c r="P849" t="str">
        <f t="shared" si="80"/>
        <v>WH-BLR</v>
      </c>
      <c r="Q849" t="str">
        <f>VLOOKUP(C849, Lookups!$A$2:$D$10, 2, FALSE())</f>
        <v>MegaFurnish</v>
      </c>
      <c r="R849" t="str">
        <f>_xlfn.XLOOKUP(D849, Lookups!$A$12:$A$51, Lookups!$C$12:$C$51, "Unknown")</f>
        <v>Office Furniture</v>
      </c>
      <c r="S849" t="str">
        <f>IF(ISBLANK(I849), B849+VLOOKUP(C849, Lookups!$A$2:$D$10, 4, FALSE()), I849)</f>
        <v>2026-06-29</v>
      </c>
      <c r="T849">
        <f t="shared" si="81"/>
        <v>31</v>
      </c>
      <c r="U849" t="str">
        <f t="shared" si="82"/>
        <v>Late</v>
      </c>
      <c r="V849">
        <f t="shared" si="83"/>
        <v>0</v>
      </c>
    </row>
    <row r="850" spans="1:22" x14ac:dyDescent="0.45">
      <c r="A850" t="s">
        <v>1662</v>
      </c>
      <c r="B850" t="s">
        <v>342</v>
      </c>
      <c r="C850" t="s">
        <v>34</v>
      </c>
      <c r="D850" t="s">
        <v>73</v>
      </c>
      <c r="E850" t="s">
        <v>17</v>
      </c>
      <c r="F850">
        <v>120</v>
      </c>
      <c r="G850">
        <v>58396</v>
      </c>
      <c r="H850">
        <v>7007520</v>
      </c>
      <c r="I850" t="s">
        <v>1285</v>
      </c>
      <c r="J850" t="s">
        <v>1285</v>
      </c>
      <c r="K850">
        <v>120</v>
      </c>
      <c r="L850">
        <v>0</v>
      </c>
      <c r="M850" t="s">
        <v>115</v>
      </c>
      <c r="N850" t="str">
        <f t="shared" si="78"/>
        <v>PO-100849</v>
      </c>
      <c r="O850" t="str">
        <f t="shared" si="79"/>
        <v>Delivered</v>
      </c>
      <c r="P850" t="str">
        <f t="shared" si="80"/>
        <v>WH-BLR</v>
      </c>
      <c r="Q850" t="str">
        <f>VLOOKUP(C850, Lookups!$A$2:$D$10, 2, FALSE())</f>
        <v>FastElectronics</v>
      </c>
      <c r="R850" t="str">
        <f>_xlfn.XLOOKUP(D850, Lookups!$A$12:$A$51, Lookups!$C$12:$C$51, "Unknown")</f>
        <v>Electronics</v>
      </c>
      <c r="S850" t="str">
        <f>IF(ISBLANK(I850), B850+VLOOKUP(C850, Lookups!$A$2:$D$10, 4, FALSE()), I850)</f>
        <v>2026-02-21</v>
      </c>
      <c r="T850">
        <f t="shared" si="81"/>
        <v>18</v>
      </c>
      <c r="U850" t="str">
        <f t="shared" si="82"/>
        <v>On-Time</v>
      </c>
      <c r="V850">
        <f t="shared" si="83"/>
        <v>0</v>
      </c>
    </row>
    <row r="851" spans="1:22" x14ac:dyDescent="0.45">
      <c r="A851" t="s">
        <v>1663</v>
      </c>
      <c r="B851" t="s">
        <v>413</v>
      </c>
      <c r="C851" t="s">
        <v>32</v>
      </c>
      <c r="D851" t="s">
        <v>84</v>
      </c>
      <c r="E851" t="s">
        <v>18</v>
      </c>
      <c r="F851">
        <v>196</v>
      </c>
      <c r="G851">
        <v>7271</v>
      </c>
      <c r="H851">
        <v>1425116</v>
      </c>
      <c r="I851" t="s">
        <v>124</v>
      </c>
      <c r="J851" t="s">
        <v>125</v>
      </c>
      <c r="K851">
        <v>196</v>
      </c>
      <c r="L851">
        <v>0</v>
      </c>
      <c r="M851" t="s">
        <v>115</v>
      </c>
      <c r="N851" t="str">
        <f t="shared" si="78"/>
        <v>PO-100850</v>
      </c>
      <c r="O851" t="str">
        <f t="shared" si="79"/>
        <v>Delivered</v>
      </c>
      <c r="P851" t="str">
        <f t="shared" si="80"/>
        <v>WH-PUN</v>
      </c>
      <c r="Q851" t="str">
        <f>VLOOKUP(C851, Lookups!$A$2:$D$10, 2, FALSE())</f>
        <v>OfficeDepot Pro</v>
      </c>
      <c r="R851" t="str">
        <f>_xlfn.XLOOKUP(D851, Lookups!$A$12:$A$51, Lookups!$C$12:$C$51, "Unknown")</f>
        <v>Peripherals</v>
      </c>
      <c r="S851" t="str">
        <f>IF(ISBLANK(I851), B851+VLOOKUP(C851, Lookups!$A$2:$D$10, 4, FALSE()), I851)</f>
        <v>2026-06-12</v>
      </c>
      <c r="T851">
        <f t="shared" si="81"/>
        <v>8</v>
      </c>
      <c r="U851" t="str">
        <f t="shared" si="82"/>
        <v>Late</v>
      </c>
      <c r="V851">
        <f t="shared" si="83"/>
        <v>0</v>
      </c>
    </row>
    <row r="852" spans="1:22" x14ac:dyDescent="0.45">
      <c r="A852" t="s">
        <v>1664</v>
      </c>
      <c r="B852" t="s">
        <v>1480</v>
      </c>
      <c r="C852" t="s">
        <v>35</v>
      </c>
      <c r="D852" t="s">
        <v>91</v>
      </c>
      <c r="E852" t="s">
        <v>16</v>
      </c>
      <c r="F852">
        <v>28</v>
      </c>
      <c r="G852">
        <v>6707</v>
      </c>
      <c r="H852">
        <v>187796</v>
      </c>
      <c r="I852" t="s">
        <v>659</v>
      </c>
      <c r="J852" t="s">
        <v>1519</v>
      </c>
      <c r="K852">
        <v>28</v>
      </c>
      <c r="L852">
        <v>0</v>
      </c>
      <c r="M852" t="s">
        <v>115</v>
      </c>
      <c r="N852" t="str">
        <f t="shared" si="78"/>
        <v>PO-100851</v>
      </c>
      <c r="O852" t="str">
        <f t="shared" si="79"/>
        <v>Delivered</v>
      </c>
      <c r="P852" t="str">
        <f t="shared" si="80"/>
        <v>WH-DEL</v>
      </c>
      <c r="Q852" t="str">
        <f>VLOOKUP(C852, Lookups!$A$2:$D$10, 2, FALSE())</f>
        <v>Peripheral Source</v>
      </c>
      <c r="R852" t="str">
        <f>_xlfn.XLOOKUP(D852, Lookups!$A$12:$A$51, Lookups!$C$12:$C$51, "Unknown")</f>
        <v>Peripherals</v>
      </c>
      <c r="S852" t="str">
        <f>IF(ISBLANK(I852), B852+VLOOKUP(C852, Lookups!$A$2:$D$10, 4, FALSE()), I852)</f>
        <v>2026-10-01</v>
      </c>
      <c r="T852">
        <f t="shared" si="81"/>
        <v>6</v>
      </c>
      <c r="U852" t="str">
        <f t="shared" si="82"/>
        <v>On-Time</v>
      </c>
      <c r="V852">
        <f t="shared" si="83"/>
        <v>0</v>
      </c>
    </row>
    <row r="853" spans="1:22" x14ac:dyDescent="0.45">
      <c r="A853" t="s">
        <v>1665</v>
      </c>
      <c r="B853" t="s">
        <v>160</v>
      </c>
      <c r="C853" t="s">
        <v>33</v>
      </c>
      <c r="D853" t="s">
        <v>89</v>
      </c>
      <c r="E853" t="s">
        <v>15</v>
      </c>
      <c r="F853">
        <v>236</v>
      </c>
      <c r="G853">
        <v>11309</v>
      </c>
      <c r="H853">
        <v>2668924</v>
      </c>
      <c r="I853" t="s">
        <v>211</v>
      </c>
      <c r="J853" t="s">
        <v>474</v>
      </c>
      <c r="K853">
        <v>236</v>
      </c>
      <c r="L853">
        <v>0</v>
      </c>
      <c r="M853" t="s">
        <v>115</v>
      </c>
      <c r="N853" t="str">
        <f t="shared" si="78"/>
        <v>PO-100852</v>
      </c>
      <c r="O853" t="str">
        <f t="shared" si="79"/>
        <v>Delivered</v>
      </c>
      <c r="P853" t="str">
        <f t="shared" si="80"/>
        <v>WH-BOM</v>
      </c>
      <c r="Q853" t="str">
        <f>VLOOKUP(C853, Lookups!$A$2:$D$10, 2, FALSE())</f>
        <v>MegaFurnish</v>
      </c>
      <c r="R853" t="str">
        <f>_xlfn.XLOOKUP(D853, Lookups!$A$12:$A$51, Lookups!$C$12:$C$51, "Unknown")</f>
        <v>Office Furniture</v>
      </c>
      <c r="S853" t="str">
        <f>IF(ISBLANK(I853), B853+VLOOKUP(C853, Lookups!$A$2:$D$10, 4, FALSE()), I853)</f>
        <v>2025-06-21</v>
      </c>
      <c r="T853">
        <f t="shared" si="81"/>
        <v>33</v>
      </c>
      <c r="U853" t="str">
        <f t="shared" si="82"/>
        <v>Late</v>
      </c>
      <c r="V853">
        <f t="shared" si="83"/>
        <v>0</v>
      </c>
    </row>
    <row r="854" spans="1:22" x14ac:dyDescent="0.45">
      <c r="A854" t="s">
        <v>1666</v>
      </c>
      <c r="B854" t="s">
        <v>952</v>
      </c>
      <c r="C854" t="s">
        <v>34</v>
      </c>
      <c r="D854" t="s">
        <v>76</v>
      </c>
      <c r="E854" t="s">
        <v>15</v>
      </c>
      <c r="F854">
        <v>246</v>
      </c>
      <c r="G854">
        <v>26270</v>
      </c>
      <c r="H854">
        <v>6462420</v>
      </c>
      <c r="I854" t="s">
        <v>1295</v>
      </c>
      <c r="J854" t="s">
        <v>454</v>
      </c>
      <c r="K854">
        <v>246</v>
      </c>
      <c r="L854">
        <v>0</v>
      </c>
      <c r="M854" t="s">
        <v>115</v>
      </c>
      <c r="N854" t="str">
        <f t="shared" si="78"/>
        <v>PO-100853</v>
      </c>
      <c r="O854" t="str">
        <f t="shared" si="79"/>
        <v>Delivered</v>
      </c>
      <c r="P854" t="str">
        <f t="shared" si="80"/>
        <v>WH-BOM</v>
      </c>
      <c r="Q854" t="str">
        <f>VLOOKUP(C854, Lookups!$A$2:$D$10, 2, FALSE())</f>
        <v>FastElectronics</v>
      </c>
      <c r="R854" t="str">
        <f>_xlfn.XLOOKUP(D854, Lookups!$A$12:$A$51, Lookups!$C$12:$C$51, "Unknown")</f>
        <v>Networking</v>
      </c>
      <c r="S854" t="str">
        <f>IF(ISBLANK(I854), B854+VLOOKUP(C854, Lookups!$A$2:$D$10, 4, FALSE()), I854)</f>
        <v>2026-08-11</v>
      </c>
      <c r="T854">
        <f t="shared" si="81"/>
        <v>19</v>
      </c>
      <c r="U854" t="str">
        <f t="shared" si="82"/>
        <v>Late</v>
      </c>
      <c r="V854">
        <f t="shared" si="83"/>
        <v>0</v>
      </c>
    </row>
    <row r="855" spans="1:22" x14ac:dyDescent="0.45">
      <c r="A855" t="s">
        <v>1667</v>
      </c>
      <c r="B855" t="s">
        <v>1164</v>
      </c>
      <c r="C855" t="s">
        <v>30</v>
      </c>
      <c r="D855" t="s">
        <v>88</v>
      </c>
      <c r="E855" t="s">
        <v>15</v>
      </c>
      <c r="F855">
        <v>64</v>
      </c>
      <c r="G855">
        <v>75512</v>
      </c>
      <c r="H855">
        <v>4832768</v>
      </c>
      <c r="I855" t="s">
        <v>397</v>
      </c>
      <c r="J855" t="s">
        <v>397</v>
      </c>
      <c r="K855">
        <v>64</v>
      </c>
      <c r="L855">
        <v>0</v>
      </c>
      <c r="M855" t="s">
        <v>115</v>
      </c>
      <c r="N855" t="str">
        <f t="shared" si="78"/>
        <v>PO-100854</v>
      </c>
      <c r="O855" t="str">
        <f t="shared" si="79"/>
        <v>Delivered</v>
      </c>
      <c r="P855" t="str">
        <f t="shared" si="80"/>
        <v>WH-BOM</v>
      </c>
      <c r="Q855" t="str">
        <f>VLOOKUP(C855, Lookups!$A$2:$D$10, 2, FALSE())</f>
        <v>TechSupply Corp</v>
      </c>
      <c r="R855" t="str">
        <f>_xlfn.XLOOKUP(D855, Lookups!$A$12:$A$51, Lookups!$C$12:$C$51, "Unknown")</f>
        <v>Electronics</v>
      </c>
      <c r="S855" t="str">
        <f>IF(ISBLANK(I855), B855+VLOOKUP(C855, Lookups!$A$2:$D$10, 4, FALSE()), I855)</f>
        <v>2025-04-06</v>
      </c>
      <c r="T855">
        <f t="shared" si="81"/>
        <v>14</v>
      </c>
      <c r="U855" t="str">
        <f t="shared" si="82"/>
        <v>On-Time</v>
      </c>
      <c r="V855">
        <f t="shared" si="83"/>
        <v>0</v>
      </c>
    </row>
    <row r="856" spans="1:22" x14ac:dyDescent="0.45">
      <c r="A856" t="s">
        <v>1668</v>
      </c>
      <c r="B856" t="s">
        <v>1475</v>
      </c>
      <c r="C856" t="s">
        <v>31</v>
      </c>
      <c r="D856" t="s">
        <v>85</v>
      </c>
      <c r="E856" t="s">
        <v>17</v>
      </c>
      <c r="F856">
        <v>196</v>
      </c>
      <c r="G856">
        <v>16501</v>
      </c>
      <c r="H856">
        <v>3234196</v>
      </c>
      <c r="I856" t="s">
        <v>244</v>
      </c>
      <c r="J856" t="s">
        <v>244</v>
      </c>
      <c r="K856">
        <v>196</v>
      </c>
      <c r="L856">
        <v>0</v>
      </c>
      <c r="M856" t="s">
        <v>115</v>
      </c>
      <c r="N856" t="str">
        <f t="shared" si="78"/>
        <v>PO-100855</v>
      </c>
      <c r="O856" t="str">
        <f t="shared" si="79"/>
        <v>Delivered</v>
      </c>
      <c r="P856" t="str">
        <f t="shared" si="80"/>
        <v>WH-BLR</v>
      </c>
      <c r="Q856" t="str">
        <f>VLOOKUP(C856, Lookups!$A$2:$D$10, 2, FALSE())</f>
        <v>Global Networks</v>
      </c>
      <c r="R856" t="str">
        <f>_xlfn.XLOOKUP(D856, Lookups!$A$12:$A$51, Lookups!$C$12:$C$51, "Unknown")</f>
        <v>Networking</v>
      </c>
      <c r="S856" t="str">
        <f>IF(ISBLANK(I856), B856+VLOOKUP(C856, Lookups!$A$2:$D$10, 4, FALSE()), I856)</f>
        <v>2025-10-11</v>
      </c>
      <c r="T856">
        <f t="shared" si="81"/>
        <v>21</v>
      </c>
      <c r="U856" t="str">
        <f t="shared" si="82"/>
        <v>On-Time</v>
      </c>
      <c r="V856">
        <f t="shared" si="83"/>
        <v>0</v>
      </c>
    </row>
    <row r="857" spans="1:22" x14ac:dyDescent="0.45">
      <c r="A857" t="s">
        <v>1669</v>
      </c>
      <c r="B857" t="s">
        <v>651</v>
      </c>
      <c r="C857" t="s">
        <v>31</v>
      </c>
      <c r="D857" t="s">
        <v>56</v>
      </c>
      <c r="E857" t="s">
        <v>15</v>
      </c>
      <c r="F857">
        <v>76</v>
      </c>
      <c r="G857">
        <v>39270</v>
      </c>
      <c r="H857">
        <v>2984520</v>
      </c>
      <c r="I857" t="s">
        <v>545</v>
      </c>
      <c r="J857" t="s">
        <v>545</v>
      </c>
      <c r="K857">
        <v>76</v>
      </c>
      <c r="L857">
        <v>0</v>
      </c>
      <c r="M857" t="s">
        <v>115</v>
      </c>
      <c r="N857" t="str">
        <f t="shared" si="78"/>
        <v>PO-100856</v>
      </c>
      <c r="O857" t="str">
        <f t="shared" si="79"/>
        <v>Delivered</v>
      </c>
      <c r="P857" t="str">
        <f t="shared" si="80"/>
        <v>WH-BOM</v>
      </c>
      <c r="Q857" t="str">
        <f>VLOOKUP(C857, Lookups!$A$2:$D$10, 2, FALSE())</f>
        <v>Global Networks</v>
      </c>
      <c r="R857" t="str">
        <f>_xlfn.XLOOKUP(D857, Lookups!$A$12:$A$51, Lookups!$C$12:$C$51, "Unknown")</f>
        <v>Networking</v>
      </c>
      <c r="S857" t="str">
        <f>IF(ISBLANK(I857), B857+VLOOKUP(C857, Lookups!$A$2:$D$10, 4, FALSE()), I857)</f>
        <v>2025-12-03</v>
      </c>
      <c r="T857">
        <f t="shared" si="81"/>
        <v>21</v>
      </c>
      <c r="U857" t="str">
        <f t="shared" si="82"/>
        <v>On-Time</v>
      </c>
      <c r="V857">
        <f t="shared" si="83"/>
        <v>0</v>
      </c>
    </row>
    <row r="858" spans="1:22" x14ac:dyDescent="0.45">
      <c r="A858" t="s">
        <v>1670</v>
      </c>
      <c r="B858" t="s">
        <v>1671</v>
      </c>
      <c r="C858" t="s">
        <v>35</v>
      </c>
      <c r="D858" t="s">
        <v>60</v>
      </c>
      <c r="E858" t="s">
        <v>16</v>
      </c>
      <c r="F858">
        <v>160</v>
      </c>
      <c r="G858">
        <v>3291</v>
      </c>
      <c r="H858">
        <v>526560</v>
      </c>
      <c r="I858" t="s">
        <v>540</v>
      </c>
      <c r="J858" t="s">
        <v>540</v>
      </c>
      <c r="K858">
        <v>160</v>
      </c>
      <c r="L858">
        <v>0</v>
      </c>
      <c r="M858" t="s">
        <v>115</v>
      </c>
      <c r="N858" t="str">
        <f t="shared" si="78"/>
        <v>PO-100857</v>
      </c>
      <c r="O858" t="str">
        <f t="shared" si="79"/>
        <v>Delivered</v>
      </c>
      <c r="P858" t="str">
        <f t="shared" si="80"/>
        <v>WH-DEL</v>
      </c>
      <c r="Q858" t="str">
        <f>VLOOKUP(C858, Lookups!$A$2:$D$10, 2, FALSE())</f>
        <v>Peripheral Source</v>
      </c>
      <c r="R858" t="str">
        <f>_xlfn.XLOOKUP(D858, Lookups!$A$12:$A$51, Lookups!$C$12:$C$51, "Unknown")</f>
        <v>Peripherals</v>
      </c>
      <c r="S858" t="str">
        <f>IF(ISBLANK(I858), B858+VLOOKUP(C858, Lookups!$A$2:$D$10, 4, FALSE()), I858)</f>
        <v>2026-04-07</v>
      </c>
      <c r="T858">
        <f t="shared" si="81"/>
        <v>10</v>
      </c>
      <c r="U858" t="str">
        <f t="shared" si="82"/>
        <v>On-Time</v>
      </c>
      <c r="V858">
        <f t="shared" si="83"/>
        <v>0</v>
      </c>
    </row>
    <row r="859" spans="1:22" x14ac:dyDescent="0.45">
      <c r="A859" t="s">
        <v>1672</v>
      </c>
      <c r="B859" t="s">
        <v>1235</v>
      </c>
      <c r="C859" t="s">
        <v>36</v>
      </c>
      <c r="D859" t="s">
        <v>55</v>
      </c>
      <c r="E859" t="s">
        <v>17</v>
      </c>
      <c r="F859">
        <v>196</v>
      </c>
      <c r="G859">
        <v>58434</v>
      </c>
      <c r="H859">
        <v>11453064</v>
      </c>
      <c r="I859" t="s">
        <v>1673</v>
      </c>
      <c r="J859" t="s">
        <v>1200</v>
      </c>
      <c r="K859">
        <v>196</v>
      </c>
      <c r="L859">
        <v>0</v>
      </c>
      <c r="M859" t="s">
        <v>115</v>
      </c>
      <c r="N859" t="str">
        <f t="shared" si="78"/>
        <v>PO-100858</v>
      </c>
      <c r="O859" t="str">
        <f t="shared" si="79"/>
        <v>Delivered</v>
      </c>
      <c r="P859" t="str">
        <f t="shared" si="80"/>
        <v>WH-BLR</v>
      </c>
      <c r="Q859" t="str">
        <f>VLOOKUP(C859, Lookups!$A$2:$D$10, 2, FALSE())</f>
        <v>NextGen Hardware</v>
      </c>
      <c r="R859" t="str">
        <f>_xlfn.XLOOKUP(D859, Lookups!$A$12:$A$51, Lookups!$C$12:$C$51, "Unknown")</f>
        <v>Electronics</v>
      </c>
      <c r="S859" t="str">
        <f>IF(ISBLANK(I859), B859+VLOOKUP(C859, Lookups!$A$2:$D$10, 4, FALSE()), I859)</f>
        <v>2025-09-02</v>
      </c>
      <c r="T859">
        <f t="shared" si="81"/>
        <v>23</v>
      </c>
      <c r="U859" t="str">
        <f t="shared" si="82"/>
        <v>On-Time</v>
      </c>
      <c r="V859">
        <f t="shared" si="83"/>
        <v>0</v>
      </c>
    </row>
    <row r="860" spans="1:22" x14ac:dyDescent="0.45">
      <c r="A860" t="s">
        <v>1674</v>
      </c>
      <c r="B860" t="s">
        <v>569</v>
      </c>
      <c r="C860" t="s">
        <v>32</v>
      </c>
      <c r="D860" t="s">
        <v>84</v>
      </c>
      <c r="E860" t="s">
        <v>18</v>
      </c>
      <c r="F860">
        <v>218</v>
      </c>
      <c r="G860">
        <v>7271</v>
      </c>
      <c r="H860">
        <v>1585078</v>
      </c>
      <c r="I860" t="s">
        <v>138</v>
      </c>
      <c r="J860" t="s">
        <v>356</v>
      </c>
      <c r="K860">
        <v>218</v>
      </c>
      <c r="L860">
        <v>0</v>
      </c>
      <c r="M860" t="s">
        <v>115</v>
      </c>
      <c r="N860" t="str">
        <f t="shared" si="78"/>
        <v>PO-100859</v>
      </c>
      <c r="O860" t="str">
        <f t="shared" si="79"/>
        <v>Delivered</v>
      </c>
      <c r="P860" t="str">
        <f t="shared" si="80"/>
        <v>WH-PUN</v>
      </c>
      <c r="Q860" t="str">
        <f>VLOOKUP(C860, Lookups!$A$2:$D$10, 2, FALSE())</f>
        <v>OfficeDepot Pro</v>
      </c>
      <c r="R860" t="str">
        <f>_xlfn.XLOOKUP(D860, Lookups!$A$12:$A$51, Lookups!$C$12:$C$51, "Unknown")</f>
        <v>Peripherals</v>
      </c>
      <c r="S860" t="str">
        <f>IF(ISBLANK(I860), B860+VLOOKUP(C860, Lookups!$A$2:$D$10, 4, FALSE()), I860)</f>
        <v>2025-09-26</v>
      </c>
      <c r="T860">
        <f t="shared" si="81"/>
        <v>8</v>
      </c>
      <c r="U860" t="str">
        <f t="shared" si="82"/>
        <v>Late</v>
      </c>
      <c r="V860">
        <f t="shared" si="83"/>
        <v>0</v>
      </c>
    </row>
    <row r="861" spans="1:22" x14ac:dyDescent="0.45">
      <c r="A861" t="s">
        <v>1675</v>
      </c>
      <c r="B861" t="s">
        <v>824</v>
      </c>
      <c r="C861" t="s">
        <v>30</v>
      </c>
      <c r="D861" t="s">
        <v>61</v>
      </c>
      <c r="E861" t="s">
        <v>16</v>
      </c>
      <c r="F861">
        <v>104</v>
      </c>
      <c r="G861">
        <v>111237</v>
      </c>
      <c r="H861">
        <v>11568648</v>
      </c>
      <c r="I861" t="s">
        <v>1357</v>
      </c>
      <c r="J861" t="s">
        <v>1357</v>
      </c>
      <c r="K861">
        <v>104</v>
      </c>
      <c r="L861">
        <v>0</v>
      </c>
      <c r="M861" t="s">
        <v>115</v>
      </c>
      <c r="N861" t="str">
        <f t="shared" si="78"/>
        <v>PO-100860</v>
      </c>
      <c r="O861" t="str">
        <f t="shared" si="79"/>
        <v>Delivered</v>
      </c>
      <c r="P861" t="str">
        <f t="shared" si="80"/>
        <v>WH-DEL</v>
      </c>
      <c r="Q861" t="str">
        <f>VLOOKUP(C861, Lookups!$A$2:$D$10, 2, FALSE())</f>
        <v>TechSupply Corp</v>
      </c>
      <c r="R861" t="str">
        <f>_xlfn.XLOOKUP(D861, Lookups!$A$12:$A$51, Lookups!$C$12:$C$51, "Unknown")</f>
        <v>Electronics</v>
      </c>
      <c r="S861" t="str">
        <f>IF(ISBLANK(I861), B861+VLOOKUP(C861, Lookups!$A$2:$D$10, 4, FALSE()), I861)</f>
        <v>2026-12-21</v>
      </c>
      <c r="T861">
        <f t="shared" si="81"/>
        <v>14</v>
      </c>
      <c r="U861" t="str">
        <f t="shared" si="82"/>
        <v>On-Time</v>
      </c>
      <c r="V861">
        <f t="shared" si="83"/>
        <v>0</v>
      </c>
    </row>
    <row r="862" spans="1:22" x14ac:dyDescent="0.45">
      <c r="A862" t="s">
        <v>1676</v>
      </c>
      <c r="B862" t="s">
        <v>113</v>
      </c>
      <c r="C862" t="s">
        <v>30</v>
      </c>
      <c r="D862" t="s">
        <v>52</v>
      </c>
      <c r="E862" t="s">
        <v>15</v>
      </c>
      <c r="F862">
        <v>144</v>
      </c>
      <c r="G862">
        <v>59592</v>
      </c>
      <c r="H862">
        <v>8581248</v>
      </c>
      <c r="I862" t="s">
        <v>1279</v>
      </c>
      <c r="J862" t="s">
        <v>130</v>
      </c>
      <c r="K862">
        <v>144</v>
      </c>
      <c r="L862">
        <v>17</v>
      </c>
      <c r="M862" t="s">
        <v>115</v>
      </c>
      <c r="N862" t="str">
        <f t="shared" si="78"/>
        <v>PO-100861</v>
      </c>
      <c r="O862" t="str">
        <f t="shared" si="79"/>
        <v>Delivered</v>
      </c>
      <c r="P862" t="str">
        <f t="shared" si="80"/>
        <v>WH-BOM</v>
      </c>
      <c r="Q862" t="str">
        <f>VLOOKUP(C862, Lookups!$A$2:$D$10, 2, FALSE())</f>
        <v>TechSupply Corp</v>
      </c>
      <c r="R862" t="str">
        <f>_xlfn.XLOOKUP(D862, Lookups!$A$12:$A$51, Lookups!$C$12:$C$51, "Unknown")</f>
        <v>Electronics</v>
      </c>
      <c r="S862" t="str">
        <f>IF(ISBLANK(I862), B862+VLOOKUP(C862, Lookups!$A$2:$D$10, 4, FALSE()), I862)</f>
        <v>2026-07-18</v>
      </c>
      <c r="T862">
        <f t="shared" si="81"/>
        <v>11</v>
      </c>
      <c r="U862" t="str">
        <f t="shared" si="82"/>
        <v>On-Time</v>
      </c>
      <c r="V862">
        <f t="shared" si="83"/>
        <v>0.11805555555555555</v>
      </c>
    </row>
    <row r="863" spans="1:22" x14ac:dyDescent="0.45">
      <c r="A863" t="s">
        <v>1677</v>
      </c>
      <c r="B863" t="s">
        <v>1177</v>
      </c>
      <c r="C863" t="s">
        <v>34</v>
      </c>
      <c r="D863" t="s">
        <v>73</v>
      </c>
      <c r="E863" t="s">
        <v>18</v>
      </c>
      <c r="F863">
        <v>147</v>
      </c>
      <c r="G863">
        <v>58396</v>
      </c>
      <c r="H863">
        <v>8584212</v>
      </c>
      <c r="I863" t="s">
        <v>1386</v>
      </c>
      <c r="J863" t="s">
        <v>194</v>
      </c>
      <c r="K863">
        <v>147</v>
      </c>
      <c r="L863">
        <v>0</v>
      </c>
      <c r="M863" t="s">
        <v>115</v>
      </c>
      <c r="N863" t="str">
        <f t="shared" si="78"/>
        <v>PO-100862</v>
      </c>
      <c r="O863" t="str">
        <f t="shared" si="79"/>
        <v>Delivered</v>
      </c>
      <c r="P863" t="str">
        <f t="shared" si="80"/>
        <v>WH-PUN</v>
      </c>
      <c r="Q863" t="str">
        <f>VLOOKUP(C863, Lookups!$A$2:$D$10, 2, FALSE())</f>
        <v>FastElectronics</v>
      </c>
      <c r="R863" t="str">
        <f>_xlfn.XLOOKUP(D863, Lookups!$A$12:$A$51, Lookups!$C$12:$C$51, "Unknown")</f>
        <v>Electronics</v>
      </c>
      <c r="S863" t="str">
        <f>IF(ISBLANK(I863), B863+VLOOKUP(C863, Lookups!$A$2:$D$10, 4, FALSE()), I863)</f>
        <v>2026-06-29</v>
      </c>
      <c r="T863">
        <f t="shared" si="81"/>
        <v>19</v>
      </c>
      <c r="U863" t="str">
        <f t="shared" si="82"/>
        <v>Late</v>
      </c>
      <c r="V863">
        <f t="shared" si="83"/>
        <v>0</v>
      </c>
    </row>
    <row r="864" spans="1:22" x14ac:dyDescent="0.45">
      <c r="A864" t="s">
        <v>1678</v>
      </c>
      <c r="B864" t="s">
        <v>1405</v>
      </c>
      <c r="C864" t="s">
        <v>32</v>
      </c>
      <c r="D864" t="s">
        <v>84</v>
      </c>
      <c r="E864" t="s">
        <v>15</v>
      </c>
      <c r="F864">
        <v>166</v>
      </c>
      <c r="G864">
        <v>7271</v>
      </c>
      <c r="H864">
        <v>1206986</v>
      </c>
      <c r="I864" t="s">
        <v>1661</v>
      </c>
      <c r="J864" t="s">
        <v>374</v>
      </c>
      <c r="K864">
        <v>166</v>
      </c>
      <c r="L864">
        <v>0</v>
      </c>
      <c r="M864" t="s">
        <v>115</v>
      </c>
      <c r="N864" t="str">
        <f t="shared" si="78"/>
        <v>PO-100863</v>
      </c>
      <c r="O864" t="str">
        <f t="shared" si="79"/>
        <v>Delivered</v>
      </c>
      <c r="P864" t="str">
        <f t="shared" si="80"/>
        <v>WH-BOM</v>
      </c>
      <c r="Q864" t="str">
        <f>VLOOKUP(C864, Lookups!$A$2:$D$10, 2, FALSE())</f>
        <v>OfficeDepot Pro</v>
      </c>
      <c r="R864" t="str">
        <f>_xlfn.XLOOKUP(D864, Lookups!$A$12:$A$51, Lookups!$C$12:$C$51, "Unknown")</f>
        <v>Peripherals</v>
      </c>
      <c r="S864" t="str">
        <f>IF(ISBLANK(I864), B864+VLOOKUP(C864, Lookups!$A$2:$D$10, 4, FALSE()), I864)</f>
        <v>2026-05-30</v>
      </c>
      <c r="T864">
        <f t="shared" si="81"/>
        <v>8</v>
      </c>
      <c r="U864" t="str">
        <f t="shared" si="82"/>
        <v>Late</v>
      </c>
      <c r="V864">
        <f t="shared" si="83"/>
        <v>0</v>
      </c>
    </row>
    <row r="865" spans="1:22" x14ac:dyDescent="0.45">
      <c r="A865" t="s">
        <v>1679</v>
      </c>
      <c r="B865" t="s">
        <v>1095</v>
      </c>
      <c r="C865" t="s">
        <v>37</v>
      </c>
      <c r="D865" t="s">
        <v>69</v>
      </c>
      <c r="E865" t="s">
        <v>17</v>
      </c>
      <c r="F865">
        <v>157</v>
      </c>
      <c r="G865">
        <v>13231</v>
      </c>
      <c r="H865">
        <v>2077267</v>
      </c>
      <c r="I865" t="s">
        <v>542</v>
      </c>
      <c r="J865" t="s">
        <v>529</v>
      </c>
      <c r="K865">
        <v>157</v>
      </c>
      <c r="L865">
        <v>12</v>
      </c>
      <c r="M865" t="s">
        <v>115</v>
      </c>
      <c r="N865" t="str">
        <f t="shared" si="78"/>
        <v>PO-100864</v>
      </c>
      <c r="O865" t="str">
        <f t="shared" si="79"/>
        <v>Delivered</v>
      </c>
      <c r="P865" t="str">
        <f t="shared" si="80"/>
        <v>WH-BLR</v>
      </c>
      <c r="Q865" t="str">
        <f>VLOOKUP(C865, Lookups!$A$2:$D$10, 2, FALSE())</f>
        <v>Premium Desks Ltd</v>
      </c>
      <c r="R865" t="str">
        <f>_xlfn.XLOOKUP(D865, Lookups!$A$12:$A$51, Lookups!$C$12:$C$51, "Unknown")</f>
        <v>Office Furniture</v>
      </c>
      <c r="S865" t="str">
        <f>IF(ISBLANK(I865), B865+VLOOKUP(C865, Lookups!$A$2:$D$10, 4, FALSE()), I865)</f>
        <v>2026-05-19</v>
      </c>
      <c r="T865">
        <f t="shared" si="81"/>
        <v>13</v>
      </c>
      <c r="U865" t="str">
        <f t="shared" si="82"/>
        <v>Late</v>
      </c>
      <c r="V865">
        <f t="shared" si="83"/>
        <v>7.6433121019108277E-2</v>
      </c>
    </row>
    <row r="866" spans="1:22" x14ac:dyDescent="0.45">
      <c r="A866" t="s">
        <v>1680</v>
      </c>
      <c r="B866" t="s">
        <v>1111</v>
      </c>
      <c r="C866" t="s">
        <v>31</v>
      </c>
      <c r="D866" t="s">
        <v>64</v>
      </c>
      <c r="E866" t="s">
        <v>15</v>
      </c>
      <c r="F866">
        <v>250</v>
      </c>
      <c r="G866">
        <v>36295</v>
      </c>
      <c r="H866">
        <v>9073750</v>
      </c>
      <c r="I866" t="s">
        <v>986</v>
      </c>
      <c r="J866" t="s">
        <v>158</v>
      </c>
      <c r="K866">
        <v>250</v>
      </c>
      <c r="L866">
        <v>0</v>
      </c>
      <c r="M866" t="s">
        <v>115</v>
      </c>
      <c r="N866" t="str">
        <f t="shared" si="78"/>
        <v>PO-100865</v>
      </c>
      <c r="O866" t="str">
        <f t="shared" si="79"/>
        <v>Delivered</v>
      </c>
      <c r="P866" t="str">
        <f t="shared" si="80"/>
        <v>WH-BOM</v>
      </c>
      <c r="Q866" t="str">
        <f>VLOOKUP(C866, Lookups!$A$2:$D$10, 2, FALSE())</f>
        <v>Global Networks</v>
      </c>
      <c r="R866" t="str">
        <f>_xlfn.XLOOKUP(D866, Lookups!$A$12:$A$51, Lookups!$C$12:$C$51, "Unknown")</f>
        <v>Networking</v>
      </c>
      <c r="S866" t="str">
        <f>IF(ISBLANK(I866), B866+VLOOKUP(C866, Lookups!$A$2:$D$10, 4, FALSE()), I866)</f>
        <v>2026-11-04</v>
      </c>
      <c r="T866">
        <f t="shared" si="81"/>
        <v>22</v>
      </c>
      <c r="U866" t="str">
        <f t="shared" si="82"/>
        <v>Late</v>
      </c>
      <c r="V866">
        <f t="shared" si="83"/>
        <v>0</v>
      </c>
    </row>
    <row r="867" spans="1:22" x14ac:dyDescent="0.45">
      <c r="A867" t="s">
        <v>1681</v>
      </c>
      <c r="B867" t="s">
        <v>794</v>
      </c>
      <c r="C867" t="s">
        <v>36</v>
      </c>
      <c r="D867" t="s">
        <v>62</v>
      </c>
      <c r="E867" t="s">
        <v>18</v>
      </c>
      <c r="F867">
        <v>80</v>
      </c>
      <c r="G867">
        <v>48478</v>
      </c>
      <c r="H867">
        <v>3878240</v>
      </c>
      <c r="I867" t="s">
        <v>659</v>
      </c>
      <c r="J867" t="s">
        <v>1338</v>
      </c>
      <c r="K867">
        <v>80</v>
      </c>
      <c r="L867">
        <v>0</v>
      </c>
      <c r="M867" t="s">
        <v>115</v>
      </c>
      <c r="N867" t="str">
        <f t="shared" si="78"/>
        <v>PO-100866</v>
      </c>
      <c r="O867" t="str">
        <f t="shared" si="79"/>
        <v>Delivered</v>
      </c>
      <c r="P867" t="str">
        <f t="shared" si="80"/>
        <v>WH-PUN</v>
      </c>
      <c r="Q867" t="str">
        <f>VLOOKUP(C867, Lookups!$A$2:$D$10, 2, FALSE())</f>
        <v>NextGen Hardware</v>
      </c>
      <c r="R867" t="str">
        <f>_xlfn.XLOOKUP(D867, Lookups!$A$12:$A$51, Lookups!$C$12:$C$51, "Unknown")</f>
        <v>Electronics</v>
      </c>
      <c r="S867" t="str">
        <f>IF(ISBLANK(I867), B867+VLOOKUP(C867, Lookups!$A$2:$D$10, 4, FALSE()), I867)</f>
        <v>2026-10-01</v>
      </c>
      <c r="T867">
        <f t="shared" si="81"/>
        <v>25</v>
      </c>
      <c r="U867" t="str">
        <f t="shared" si="82"/>
        <v>Late</v>
      </c>
      <c r="V867">
        <f t="shared" si="83"/>
        <v>0</v>
      </c>
    </row>
    <row r="868" spans="1:22" x14ac:dyDescent="0.45">
      <c r="A868" t="s">
        <v>1682</v>
      </c>
      <c r="B868" t="s">
        <v>877</v>
      </c>
      <c r="C868" t="s">
        <v>31</v>
      </c>
      <c r="D868" t="s">
        <v>56</v>
      </c>
      <c r="E868" t="s">
        <v>17</v>
      </c>
      <c r="F868">
        <v>144</v>
      </c>
      <c r="G868">
        <v>39270</v>
      </c>
      <c r="H868">
        <v>5654880</v>
      </c>
      <c r="I868" t="s">
        <v>1683</v>
      </c>
      <c r="K868">
        <v>0</v>
      </c>
      <c r="L868">
        <v>0</v>
      </c>
      <c r="M868" t="s">
        <v>297</v>
      </c>
      <c r="N868" t="str">
        <f t="shared" si="78"/>
        <v>PO-100867</v>
      </c>
      <c r="O868" t="str">
        <f t="shared" si="79"/>
        <v>Open</v>
      </c>
      <c r="P868" t="str">
        <f t="shared" si="80"/>
        <v>WH-BLR</v>
      </c>
      <c r="Q868" t="str">
        <f>VLOOKUP(C868, Lookups!$A$2:$D$10, 2, FALSE())</f>
        <v>Global Networks</v>
      </c>
      <c r="R868" t="str">
        <f>_xlfn.XLOOKUP(D868, Lookups!$A$12:$A$51, Lookups!$C$12:$C$51, "Unknown")</f>
        <v>Networking</v>
      </c>
      <c r="S868" t="str">
        <f>IF(ISBLANK(I868), B868+VLOOKUP(C868, Lookups!$A$2:$D$10, 4, FALSE()), I868)</f>
        <v>2026-12-25</v>
      </c>
      <c r="T868" t="str">
        <f t="shared" si="81"/>
        <v/>
      </c>
      <c r="U868" t="str">
        <f t="shared" si="82"/>
        <v>Open</v>
      </c>
      <c r="V868">
        <f t="shared" si="83"/>
        <v>0</v>
      </c>
    </row>
    <row r="869" spans="1:22" x14ac:dyDescent="0.45">
      <c r="A869" t="s">
        <v>1684</v>
      </c>
      <c r="B869" t="s">
        <v>638</v>
      </c>
      <c r="C869" t="s">
        <v>30</v>
      </c>
      <c r="D869" t="s">
        <v>59</v>
      </c>
      <c r="E869" t="s">
        <v>15</v>
      </c>
      <c r="F869">
        <v>212</v>
      </c>
      <c r="G869">
        <v>48905</v>
      </c>
      <c r="H869">
        <v>10367860</v>
      </c>
      <c r="I869" t="s">
        <v>639</v>
      </c>
      <c r="J869" t="s">
        <v>937</v>
      </c>
      <c r="K869">
        <v>212</v>
      </c>
      <c r="L869">
        <v>0</v>
      </c>
      <c r="M869" t="s">
        <v>115</v>
      </c>
      <c r="N869" t="str">
        <f t="shared" si="78"/>
        <v>PO-100868</v>
      </c>
      <c r="O869" t="str">
        <f t="shared" si="79"/>
        <v>Delivered</v>
      </c>
      <c r="P869" t="str">
        <f t="shared" si="80"/>
        <v>WH-BOM</v>
      </c>
      <c r="Q869" t="str">
        <f>VLOOKUP(C869, Lookups!$A$2:$D$10, 2, FALSE())</f>
        <v>TechSupply Corp</v>
      </c>
      <c r="R869" t="str">
        <f>_xlfn.XLOOKUP(D869, Lookups!$A$12:$A$51, Lookups!$C$12:$C$51, "Unknown")</f>
        <v>Electronics</v>
      </c>
      <c r="S869" t="str">
        <f>IF(ISBLANK(I869), B869+VLOOKUP(C869, Lookups!$A$2:$D$10, 4, FALSE()), I869)</f>
        <v>2025-12-11</v>
      </c>
      <c r="T869">
        <f t="shared" si="81"/>
        <v>15</v>
      </c>
      <c r="U869" t="str">
        <f t="shared" si="82"/>
        <v>Late</v>
      </c>
      <c r="V869">
        <f t="shared" si="83"/>
        <v>0</v>
      </c>
    </row>
    <row r="870" spans="1:22" x14ac:dyDescent="0.45">
      <c r="A870" t="s">
        <v>1685</v>
      </c>
      <c r="B870" t="s">
        <v>609</v>
      </c>
      <c r="C870" t="s">
        <v>35</v>
      </c>
      <c r="D870" t="s">
        <v>91</v>
      </c>
      <c r="E870" t="s">
        <v>18</v>
      </c>
      <c r="F870">
        <v>101</v>
      </c>
      <c r="G870">
        <v>6707</v>
      </c>
      <c r="H870">
        <v>677407</v>
      </c>
      <c r="I870" t="s">
        <v>332</v>
      </c>
      <c r="J870" t="s">
        <v>332</v>
      </c>
      <c r="K870">
        <v>101</v>
      </c>
      <c r="L870">
        <v>0</v>
      </c>
      <c r="M870" t="s">
        <v>115</v>
      </c>
      <c r="N870" t="str">
        <f t="shared" si="78"/>
        <v>PO-100869</v>
      </c>
      <c r="O870" t="str">
        <f t="shared" si="79"/>
        <v>Delivered</v>
      </c>
      <c r="P870" t="str">
        <f t="shared" si="80"/>
        <v>WH-PUN</v>
      </c>
      <c r="Q870" t="str">
        <f>VLOOKUP(C870, Lookups!$A$2:$D$10, 2, FALSE())</f>
        <v>Peripheral Source</v>
      </c>
      <c r="R870" t="str">
        <f>_xlfn.XLOOKUP(D870, Lookups!$A$12:$A$51, Lookups!$C$12:$C$51, "Unknown")</f>
        <v>Peripherals</v>
      </c>
      <c r="S870" t="str">
        <f>IF(ISBLANK(I870), B870+VLOOKUP(C870, Lookups!$A$2:$D$10, 4, FALSE()), I870)</f>
        <v>2025-10-12</v>
      </c>
      <c r="T870">
        <f t="shared" si="81"/>
        <v>10</v>
      </c>
      <c r="U870" t="str">
        <f t="shared" si="82"/>
        <v>On-Time</v>
      </c>
      <c r="V870">
        <f t="shared" si="83"/>
        <v>0</v>
      </c>
    </row>
    <row r="871" spans="1:22" x14ac:dyDescent="0.45">
      <c r="A871" t="s">
        <v>1686</v>
      </c>
      <c r="B871" t="s">
        <v>887</v>
      </c>
      <c r="C871" t="s">
        <v>36</v>
      </c>
      <c r="D871" t="s">
        <v>71</v>
      </c>
      <c r="E871" t="s">
        <v>15</v>
      </c>
      <c r="F871">
        <v>166</v>
      </c>
      <c r="G871">
        <v>65379</v>
      </c>
      <c r="H871">
        <v>10852914</v>
      </c>
      <c r="I871" t="s">
        <v>366</v>
      </c>
      <c r="J871" t="s">
        <v>855</v>
      </c>
      <c r="K871">
        <v>166</v>
      </c>
      <c r="L871">
        <v>0</v>
      </c>
      <c r="M871" t="s">
        <v>115</v>
      </c>
      <c r="N871" t="str">
        <f t="shared" si="78"/>
        <v>PO-100870</v>
      </c>
      <c r="O871" t="str">
        <f t="shared" si="79"/>
        <v>Delivered</v>
      </c>
      <c r="P871" t="str">
        <f t="shared" si="80"/>
        <v>WH-BOM</v>
      </c>
      <c r="Q871" t="str">
        <f>VLOOKUP(C871, Lookups!$A$2:$D$10, 2, FALSE())</f>
        <v>NextGen Hardware</v>
      </c>
      <c r="R871" t="str">
        <f>_xlfn.XLOOKUP(D871, Lookups!$A$12:$A$51, Lookups!$C$12:$C$51, "Unknown")</f>
        <v>Electronics</v>
      </c>
      <c r="S871" t="str">
        <f>IF(ISBLANK(I871), B871+VLOOKUP(C871, Lookups!$A$2:$D$10, 4, FALSE()), I871)</f>
        <v>2026-04-16</v>
      </c>
      <c r="T871">
        <f t="shared" si="81"/>
        <v>25</v>
      </c>
      <c r="U871" t="str">
        <f t="shared" si="82"/>
        <v>Late</v>
      </c>
      <c r="V871">
        <f t="shared" si="83"/>
        <v>0</v>
      </c>
    </row>
    <row r="872" spans="1:22" x14ac:dyDescent="0.45">
      <c r="A872" t="s">
        <v>1687</v>
      </c>
      <c r="B872" t="s">
        <v>1484</v>
      </c>
      <c r="C872" t="s">
        <v>30</v>
      </c>
      <c r="D872" t="s">
        <v>88</v>
      </c>
      <c r="E872" t="s">
        <v>16</v>
      </c>
      <c r="F872">
        <v>99</v>
      </c>
      <c r="G872">
        <v>75512</v>
      </c>
      <c r="H872">
        <v>7475688</v>
      </c>
      <c r="I872" t="s">
        <v>189</v>
      </c>
      <c r="J872" t="s">
        <v>189</v>
      </c>
      <c r="K872">
        <v>56</v>
      </c>
      <c r="L872">
        <v>0</v>
      </c>
      <c r="M872" t="s">
        <v>115</v>
      </c>
      <c r="N872" t="str">
        <f t="shared" si="78"/>
        <v>PO-100871</v>
      </c>
      <c r="O872" t="str">
        <f t="shared" si="79"/>
        <v>Delivered</v>
      </c>
      <c r="P872" t="str">
        <f t="shared" si="80"/>
        <v>WH-DEL</v>
      </c>
      <c r="Q872" t="str">
        <f>VLOOKUP(C872, Lookups!$A$2:$D$10, 2, FALSE())</f>
        <v>TechSupply Corp</v>
      </c>
      <c r="R872" t="str">
        <f>_xlfn.XLOOKUP(D872, Lookups!$A$12:$A$51, Lookups!$C$12:$C$51, "Unknown")</f>
        <v>Electronics</v>
      </c>
      <c r="S872" t="str">
        <f>IF(ISBLANK(I872), B872+VLOOKUP(C872, Lookups!$A$2:$D$10, 4, FALSE()), I872)</f>
        <v>2025-03-07</v>
      </c>
      <c r="T872">
        <f t="shared" si="81"/>
        <v>14</v>
      </c>
      <c r="U872" t="str">
        <f t="shared" si="82"/>
        <v>On-Time</v>
      </c>
      <c r="V872">
        <f t="shared" si="83"/>
        <v>0</v>
      </c>
    </row>
    <row r="873" spans="1:22" x14ac:dyDescent="0.45">
      <c r="A873" t="s">
        <v>1688</v>
      </c>
      <c r="B873" t="s">
        <v>491</v>
      </c>
      <c r="C873" t="s">
        <v>34</v>
      </c>
      <c r="D873" t="s">
        <v>54</v>
      </c>
      <c r="E873" t="s">
        <v>15</v>
      </c>
      <c r="F873">
        <v>204</v>
      </c>
      <c r="G873">
        <v>22314</v>
      </c>
      <c r="H873">
        <v>4552056</v>
      </c>
      <c r="I873" t="s">
        <v>234</v>
      </c>
      <c r="J873" t="s">
        <v>192</v>
      </c>
      <c r="K873">
        <v>204</v>
      </c>
      <c r="L873">
        <v>0</v>
      </c>
      <c r="M873" t="s">
        <v>115</v>
      </c>
      <c r="N873" t="str">
        <f t="shared" si="78"/>
        <v>PO-100872</v>
      </c>
      <c r="O873" t="str">
        <f t="shared" si="79"/>
        <v>Delivered</v>
      </c>
      <c r="P873" t="str">
        <f t="shared" si="80"/>
        <v>WH-BOM</v>
      </c>
      <c r="Q873" t="str">
        <f>VLOOKUP(C873, Lookups!$A$2:$D$10, 2, FALSE())</f>
        <v>FastElectronics</v>
      </c>
      <c r="R873" t="str">
        <f>_xlfn.XLOOKUP(D873, Lookups!$A$12:$A$51, Lookups!$C$12:$C$51, "Unknown")</f>
        <v>Networking</v>
      </c>
      <c r="S873" t="str">
        <f>IF(ISBLANK(I873), B873+VLOOKUP(C873, Lookups!$A$2:$D$10, 4, FALSE()), I873)</f>
        <v>2025-08-03</v>
      </c>
      <c r="T873">
        <f t="shared" si="81"/>
        <v>19</v>
      </c>
      <c r="U873" t="str">
        <f t="shared" si="82"/>
        <v>Late</v>
      </c>
      <c r="V873">
        <f t="shared" si="83"/>
        <v>0</v>
      </c>
    </row>
    <row r="874" spans="1:22" x14ac:dyDescent="0.45">
      <c r="A874" t="s">
        <v>1689</v>
      </c>
      <c r="B874" t="s">
        <v>320</v>
      </c>
      <c r="C874" t="s">
        <v>30</v>
      </c>
      <c r="D874" t="s">
        <v>61</v>
      </c>
      <c r="E874" t="s">
        <v>16</v>
      </c>
      <c r="F874">
        <v>144</v>
      </c>
      <c r="G874">
        <v>111237</v>
      </c>
      <c r="H874">
        <v>16018128</v>
      </c>
      <c r="I874" t="s">
        <v>988</v>
      </c>
      <c r="J874" t="s">
        <v>988</v>
      </c>
      <c r="K874">
        <v>144</v>
      </c>
      <c r="L874">
        <v>0</v>
      </c>
      <c r="M874" t="s">
        <v>115</v>
      </c>
      <c r="N874" t="str">
        <f t="shared" si="78"/>
        <v>PO-100873</v>
      </c>
      <c r="O874" t="str">
        <f t="shared" si="79"/>
        <v>Delivered</v>
      </c>
      <c r="P874" t="str">
        <f t="shared" si="80"/>
        <v>WH-DEL</v>
      </c>
      <c r="Q874" t="str">
        <f>VLOOKUP(C874, Lookups!$A$2:$D$10, 2, FALSE())</f>
        <v>TechSupply Corp</v>
      </c>
      <c r="R874" t="str">
        <f>_xlfn.XLOOKUP(D874, Lookups!$A$12:$A$51, Lookups!$C$12:$C$51, "Unknown")</f>
        <v>Electronics</v>
      </c>
      <c r="S874" t="str">
        <f>IF(ISBLANK(I874), B874+VLOOKUP(C874, Lookups!$A$2:$D$10, 4, FALSE()), I874)</f>
        <v>2025-10-29</v>
      </c>
      <c r="T874">
        <f t="shared" si="81"/>
        <v>14</v>
      </c>
      <c r="U874" t="str">
        <f t="shared" si="82"/>
        <v>On-Time</v>
      </c>
      <c r="V874">
        <f t="shared" si="83"/>
        <v>0</v>
      </c>
    </row>
    <row r="875" spans="1:22" x14ac:dyDescent="0.45">
      <c r="A875" t="s">
        <v>1690</v>
      </c>
      <c r="B875" t="s">
        <v>211</v>
      </c>
      <c r="C875" t="s">
        <v>30</v>
      </c>
      <c r="D875" t="s">
        <v>82</v>
      </c>
      <c r="E875" t="s">
        <v>18</v>
      </c>
      <c r="F875">
        <v>115</v>
      </c>
      <c r="G875">
        <v>83427</v>
      </c>
      <c r="H875">
        <v>9594105</v>
      </c>
      <c r="I875" t="s">
        <v>242</v>
      </c>
      <c r="J875" t="s">
        <v>792</v>
      </c>
      <c r="K875">
        <v>115</v>
      </c>
      <c r="L875">
        <v>0</v>
      </c>
      <c r="M875" t="s">
        <v>115</v>
      </c>
      <c r="N875" t="str">
        <f t="shared" si="78"/>
        <v>PO-100874</v>
      </c>
      <c r="O875" t="str">
        <f t="shared" si="79"/>
        <v>Delivered</v>
      </c>
      <c r="P875" t="str">
        <f t="shared" si="80"/>
        <v>WH-PUN</v>
      </c>
      <c r="Q875" t="str">
        <f>VLOOKUP(C875, Lookups!$A$2:$D$10, 2, FALSE())</f>
        <v>TechSupply Corp</v>
      </c>
      <c r="R875" t="str">
        <f>_xlfn.XLOOKUP(D875, Lookups!$A$12:$A$51, Lookups!$C$12:$C$51, "Unknown")</f>
        <v>Electronics</v>
      </c>
      <c r="S875" t="str">
        <f>IF(ISBLANK(I875), B875+VLOOKUP(C875, Lookups!$A$2:$D$10, 4, FALSE()), I875)</f>
        <v>2025-07-05</v>
      </c>
      <c r="T875">
        <f t="shared" si="81"/>
        <v>15</v>
      </c>
      <c r="U875" t="str">
        <f t="shared" si="82"/>
        <v>Late</v>
      </c>
      <c r="V875">
        <f t="shared" si="83"/>
        <v>0</v>
      </c>
    </row>
    <row r="876" spans="1:22" x14ac:dyDescent="0.45">
      <c r="A876" t="s">
        <v>1691</v>
      </c>
      <c r="B876" t="s">
        <v>1168</v>
      </c>
      <c r="C876" t="s">
        <v>32</v>
      </c>
      <c r="D876" t="s">
        <v>84</v>
      </c>
      <c r="E876" t="s">
        <v>15</v>
      </c>
      <c r="F876">
        <v>80</v>
      </c>
      <c r="G876">
        <v>7271</v>
      </c>
      <c r="H876">
        <v>581680</v>
      </c>
      <c r="I876" t="s">
        <v>498</v>
      </c>
      <c r="J876" t="s">
        <v>1265</v>
      </c>
      <c r="K876">
        <v>80</v>
      </c>
      <c r="L876">
        <v>0</v>
      </c>
      <c r="M876" t="s">
        <v>115</v>
      </c>
      <c r="N876" t="str">
        <f t="shared" si="78"/>
        <v>PO-100875</v>
      </c>
      <c r="O876" t="str">
        <f t="shared" si="79"/>
        <v>Delivered</v>
      </c>
      <c r="P876" t="str">
        <f t="shared" si="80"/>
        <v>WH-BOM</v>
      </c>
      <c r="Q876" t="str">
        <f>VLOOKUP(C876, Lookups!$A$2:$D$10, 2, FALSE())</f>
        <v>OfficeDepot Pro</v>
      </c>
      <c r="R876" t="str">
        <f>_xlfn.XLOOKUP(D876, Lookups!$A$12:$A$51, Lookups!$C$12:$C$51, "Unknown")</f>
        <v>Peripherals</v>
      </c>
      <c r="S876" t="str">
        <f>IF(ISBLANK(I876), B876+VLOOKUP(C876, Lookups!$A$2:$D$10, 4, FALSE()), I876)</f>
        <v>2025-04-02</v>
      </c>
      <c r="T876">
        <f t="shared" si="81"/>
        <v>12</v>
      </c>
      <c r="U876" t="str">
        <f t="shared" si="82"/>
        <v>Late</v>
      </c>
      <c r="V876">
        <f t="shared" si="83"/>
        <v>0</v>
      </c>
    </row>
    <row r="877" spans="1:22" x14ac:dyDescent="0.45">
      <c r="A877" t="s">
        <v>1692</v>
      </c>
      <c r="B877" t="s">
        <v>667</v>
      </c>
      <c r="C877" t="s">
        <v>31</v>
      </c>
      <c r="D877" t="s">
        <v>56</v>
      </c>
      <c r="E877" t="s">
        <v>17</v>
      </c>
      <c r="F877">
        <v>232</v>
      </c>
      <c r="G877">
        <v>39270</v>
      </c>
      <c r="H877">
        <v>9110640</v>
      </c>
      <c r="I877" t="s">
        <v>763</v>
      </c>
      <c r="J877" t="s">
        <v>668</v>
      </c>
      <c r="K877">
        <v>232</v>
      </c>
      <c r="L877">
        <v>0</v>
      </c>
      <c r="M877" t="s">
        <v>115</v>
      </c>
      <c r="N877" t="str">
        <f t="shared" si="78"/>
        <v>PO-100876</v>
      </c>
      <c r="O877" t="str">
        <f t="shared" si="79"/>
        <v>Delivered</v>
      </c>
      <c r="P877" t="str">
        <f t="shared" si="80"/>
        <v>WH-BLR</v>
      </c>
      <c r="Q877" t="str">
        <f>VLOOKUP(C877, Lookups!$A$2:$D$10, 2, FALSE())</f>
        <v>Global Networks</v>
      </c>
      <c r="R877" t="str">
        <f>_xlfn.XLOOKUP(D877, Lookups!$A$12:$A$51, Lookups!$C$12:$C$51, "Unknown")</f>
        <v>Networking</v>
      </c>
      <c r="S877" t="str">
        <f>IF(ISBLANK(I877), B877+VLOOKUP(C877, Lookups!$A$2:$D$10, 4, FALSE()), I877)</f>
        <v>2025-01-27</v>
      </c>
      <c r="T877">
        <f t="shared" si="81"/>
        <v>18</v>
      </c>
      <c r="U877" t="str">
        <f t="shared" si="82"/>
        <v>On-Time</v>
      </c>
      <c r="V877">
        <f t="shared" si="83"/>
        <v>0</v>
      </c>
    </row>
    <row r="878" spans="1:22" x14ac:dyDescent="0.45">
      <c r="A878" t="s">
        <v>1693</v>
      </c>
      <c r="B878" t="s">
        <v>815</v>
      </c>
      <c r="C878" t="s">
        <v>31</v>
      </c>
      <c r="D878" t="s">
        <v>77</v>
      </c>
      <c r="E878" t="s">
        <v>18</v>
      </c>
      <c r="F878">
        <v>36</v>
      </c>
      <c r="G878">
        <v>23667</v>
      </c>
      <c r="H878">
        <v>852012</v>
      </c>
      <c r="I878" t="s">
        <v>1354</v>
      </c>
      <c r="J878" t="s">
        <v>315</v>
      </c>
      <c r="K878">
        <v>36</v>
      </c>
      <c r="L878">
        <v>0</v>
      </c>
      <c r="M878" t="s">
        <v>115</v>
      </c>
      <c r="N878" t="str">
        <f t="shared" si="78"/>
        <v>PO-100877</v>
      </c>
      <c r="O878" t="str">
        <f t="shared" si="79"/>
        <v>Delivered</v>
      </c>
      <c r="P878" t="str">
        <f t="shared" si="80"/>
        <v>WH-PUN</v>
      </c>
      <c r="Q878" t="str">
        <f>VLOOKUP(C878, Lookups!$A$2:$D$10, 2, FALSE())</f>
        <v>Global Networks</v>
      </c>
      <c r="R878" t="str">
        <f>_xlfn.XLOOKUP(D878, Lookups!$A$12:$A$51, Lookups!$C$12:$C$51, "Unknown")</f>
        <v>Networking</v>
      </c>
      <c r="S878" t="str">
        <f>IF(ISBLANK(I878), B878+VLOOKUP(C878, Lookups!$A$2:$D$10, 4, FALSE()), I878)</f>
        <v>2026-03-06</v>
      </c>
      <c r="T878">
        <f t="shared" si="81"/>
        <v>22</v>
      </c>
      <c r="U878" t="str">
        <f t="shared" si="82"/>
        <v>Late</v>
      </c>
      <c r="V878">
        <f t="shared" si="83"/>
        <v>0</v>
      </c>
    </row>
    <row r="879" spans="1:22" x14ac:dyDescent="0.45">
      <c r="A879" t="s">
        <v>1694</v>
      </c>
      <c r="B879" t="s">
        <v>121</v>
      </c>
      <c r="C879" t="s">
        <v>34</v>
      </c>
      <c r="D879" t="s">
        <v>74</v>
      </c>
      <c r="E879" t="s">
        <v>913</v>
      </c>
      <c r="F879">
        <v>159</v>
      </c>
      <c r="G879">
        <v>94797</v>
      </c>
      <c r="H879">
        <v>15072723</v>
      </c>
      <c r="I879" t="s">
        <v>612</v>
      </c>
      <c r="J879" t="s">
        <v>439</v>
      </c>
      <c r="K879">
        <v>134</v>
      </c>
      <c r="L879">
        <v>0</v>
      </c>
      <c r="M879" t="s">
        <v>115</v>
      </c>
      <c r="N879" t="str">
        <f t="shared" si="78"/>
        <v>PO-100878</v>
      </c>
      <c r="O879" t="str">
        <f t="shared" si="79"/>
        <v>Delivered</v>
      </c>
      <c r="P879" t="str">
        <f t="shared" si="80"/>
        <v>WH-DEL</v>
      </c>
      <c r="Q879" t="str">
        <f>VLOOKUP(C879, Lookups!$A$2:$D$10, 2, FALSE())</f>
        <v>FastElectronics</v>
      </c>
      <c r="R879" t="str">
        <f>_xlfn.XLOOKUP(D879, Lookups!$A$12:$A$51, Lookups!$C$12:$C$51, "Unknown")</f>
        <v>Electronics</v>
      </c>
      <c r="S879" t="str">
        <f>IF(ISBLANK(I879), B879+VLOOKUP(C879, Lookups!$A$2:$D$10, 4, FALSE()), I879)</f>
        <v>2025-02-04</v>
      </c>
      <c r="T879">
        <f t="shared" si="81"/>
        <v>26</v>
      </c>
      <c r="U879" t="str">
        <f t="shared" si="82"/>
        <v>Late</v>
      </c>
      <c r="V879">
        <f t="shared" si="83"/>
        <v>0</v>
      </c>
    </row>
    <row r="880" spans="1:22" x14ac:dyDescent="0.45">
      <c r="A880" t="s">
        <v>1695</v>
      </c>
      <c r="B880" t="s">
        <v>1252</v>
      </c>
      <c r="C880" t="s">
        <v>31</v>
      </c>
      <c r="D880" t="s">
        <v>77</v>
      </c>
      <c r="E880" t="s">
        <v>16</v>
      </c>
      <c r="F880">
        <v>136</v>
      </c>
      <c r="G880">
        <v>23667</v>
      </c>
      <c r="H880">
        <v>3218712</v>
      </c>
      <c r="I880" t="s">
        <v>200</v>
      </c>
      <c r="J880" t="s">
        <v>471</v>
      </c>
      <c r="K880">
        <v>136</v>
      </c>
      <c r="L880">
        <v>0</v>
      </c>
      <c r="M880" t="s">
        <v>115</v>
      </c>
      <c r="N880" t="str">
        <f t="shared" si="78"/>
        <v>PO-100879</v>
      </c>
      <c r="O880" t="str">
        <f t="shared" si="79"/>
        <v>Delivered</v>
      </c>
      <c r="P880" t="str">
        <f t="shared" si="80"/>
        <v>WH-DEL</v>
      </c>
      <c r="Q880" t="str">
        <f>VLOOKUP(C880, Lookups!$A$2:$D$10, 2, FALSE())</f>
        <v>Global Networks</v>
      </c>
      <c r="R880" t="str">
        <f>_xlfn.XLOOKUP(D880, Lookups!$A$12:$A$51, Lookups!$C$12:$C$51, "Unknown")</f>
        <v>Networking</v>
      </c>
      <c r="S880" t="str">
        <f>IF(ISBLANK(I880), B880+VLOOKUP(C880, Lookups!$A$2:$D$10, 4, FALSE()), I880)</f>
        <v>2025-10-22</v>
      </c>
      <c r="T880">
        <f t="shared" si="81"/>
        <v>33</v>
      </c>
      <c r="U880" t="str">
        <f t="shared" si="82"/>
        <v>Late</v>
      </c>
      <c r="V880">
        <f t="shared" si="83"/>
        <v>0</v>
      </c>
    </row>
    <row r="881" spans="1:22" x14ac:dyDescent="0.45">
      <c r="A881" t="s">
        <v>1696</v>
      </c>
      <c r="B881" t="s">
        <v>1697</v>
      </c>
      <c r="C881" t="s">
        <v>36</v>
      </c>
      <c r="D881" t="s">
        <v>71</v>
      </c>
      <c r="E881" t="s">
        <v>15</v>
      </c>
      <c r="F881">
        <v>37</v>
      </c>
      <c r="G881">
        <v>65379</v>
      </c>
      <c r="H881">
        <v>2419023</v>
      </c>
      <c r="I881" t="s">
        <v>1698</v>
      </c>
      <c r="J881" t="s">
        <v>1698</v>
      </c>
      <c r="K881">
        <v>37</v>
      </c>
      <c r="L881">
        <v>0</v>
      </c>
      <c r="M881" t="s">
        <v>115</v>
      </c>
      <c r="N881" t="str">
        <f t="shared" si="78"/>
        <v>PO-100880</v>
      </c>
      <c r="O881" t="str">
        <f t="shared" si="79"/>
        <v>Delivered</v>
      </c>
      <c r="P881" t="str">
        <f t="shared" si="80"/>
        <v>WH-BOM</v>
      </c>
      <c r="Q881" t="str">
        <f>VLOOKUP(C881, Lookups!$A$2:$D$10, 2, FALSE())</f>
        <v>NextGen Hardware</v>
      </c>
      <c r="R881" t="str">
        <f>_xlfn.XLOOKUP(D881, Lookups!$A$12:$A$51, Lookups!$C$12:$C$51, "Unknown")</f>
        <v>Electronics</v>
      </c>
      <c r="S881" t="str">
        <f>IF(ISBLANK(I881), B881+VLOOKUP(C881, Lookups!$A$2:$D$10, 4, FALSE()), I881)</f>
        <v>2027-01-08</v>
      </c>
      <c r="T881">
        <f t="shared" si="81"/>
        <v>24</v>
      </c>
      <c r="U881" t="str">
        <f t="shared" si="82"/>
        <v>On-Time</v>
      </c>
      <c r="V881">
        <f t="shared" si="83"/>
        <v>0</v>
      </c>
    </row>
    <row r="882" spans="1:22" x14ac:dyDescent="0.45">
      <c r="A882" t="s">
        <v>1699</v>
      </c>
      <c r="B882" t="s">
        <v>362</v>
      </c>
      <c r="C882" t="s">
        <v>30</v>
      </c>
      <c r="D882" t="s">
        <v>61</v>
      </c>
      <c r="E882" t="s">
        <v>17</v>
      </c>
      <c r="F882">
        <v>198</v>
      </c>
      <c r="G882">
        <v>111237</v>
      </c>
      <c r="H882">
        <v>22024926</v>
      </c>
      <c r="I882" t="s">
        <v>367</v>
      </c>
      <c r="J882" t="s">
        <v>558</v>
      </c>
      <c r="K882">
        <v>198</v>
      </c>
      <c r="L882">
        <v>0</v>
      </c>
      <c r="M882" t="s">
        <v>115</v>
      </c>
      <c r="N882" t="str">
        <f t="shared" si="78"/>
        <v>PO-100881</v>
      </c>
      <c r="O882" t="str">
        <f t="shared" si="79"/>
        <v>Delivered</v>
      </c>
      <c r="P882" t="str">
        <f t="shared" si="80"/>
        <v>WH-BLR</v>
      </c>
      <c r="Q882" t="str">
        <f>VLOOKUP(C882, Lookups!$A$2:$D$10, 2, FALSE())</f>
        <v>TechSupply Corp</v>
      </c>
      <c r="R882" t="str">
        <f>_xlfn.XLOOKUP(D882, Lookups!$A$12:$A$51, Lookups!$C$12:$C$51, "Unknown")</f>
        <v>Electronics</v>
      </c>
      <c r="S882" t="str">
        <f>IF(ISBLANK(I882), B882+VLOOKUP(C882, Lookups!$A$2:$D$10, 4, FALSE()), I882)</f>
        <v>2026-04-15</v>
      </c>
      <c r="T882">
        <f t="shared" si="81"/>
        <v>17</v>
      </c>
      <c r="U882" t="str">
        <f t="shared" si="82"/>
        <v>Late</v>
      </c>
      <c r="V882">
        <f t="shared" si="83"/>
        <v>0</v>
      </c>
    </row>
    <row r="883" spans="1:22" x14ac:dyDescent="0.45">
      <c r="A883" t="s">
        <v>1700</v>
      </c>
      <c r="B883" t="s">
        <v>777</v>
      </c>
      <c r="C883" t="s">
        <v>35</v>
      </c>
      <c r="D883" t="s">
        <v>65</v>
      </c>
      <c r="E883" t="s">
        <v>16</v>
      </c>
      <c r="F883">
        <v>230</v>
      </c>
      <c r="G883">
        <v>4936</v>
      </c>
      <c r="H883">
        <v>1135280</v>
      </c>
      <c r="I883" t="s">
        <v>1597</v>
      </c>
      <c r="J883" t="s">
        <v>207</v>
      </c>
      <c r="K883">
        <v>230</v>
      </c>
      <c r="L883">
        <v>0</v>
      </c>
      <c r="M883" t="s">
        <v>115</v>
      </c>
      <c r="N883" t="str">
        <f t="shared" si="78"/>
        <v>PO-100882</v>
      </c>
      <c r="O883" t="str">
        <f t="shared" si="79"/>
        <v>Delivered</v>
      </c>
      <c r="P883" t="str">
        <f t="shared" si="80"/>
        <v>WH-DEL</v>
      </c>
      <c r="Q883" t="str">
        <f>VLOOKUP(C883, Lookups!$A$2:$D$10, 2, FALSE())</f>
        <v>Peripheral Source</v>
      </c>
      <c r="R883" t="str">
        <f>_xlfn.XLOOKUP(D883, Lookups!$A$12:$A$51, Lookups!$C$12:$C$51, "Unknown")</f>
        <v>Peripherals</v>
      </c>
      <c r="S883" t="str">
        <f>IF(ISBLANK(I883), B883+VLOOKUP(C883, Lookups!$A$2:$D$10, 4, FALSE()), I883)</f>
        <v>2025-12-05</v>
      </c>
      <c r="T883">
        <f t="shared" si="81"/>
        <v>19</v>
      </c>
      <c r="U883" t="str">
        <f t="shared" si="82"/>
        <v>Late</v>
      </c>
      <c r="V883">
        <f t="shared" si="83"/>
        <v>0</v>
      </c>
    </row>
    <row r="884" spans="1:22" x14ac:dyDescent="0.45">
      <c r="A884" t="s">
        <v>1701</v>
      </c>
      <c r="B884" t="s">
        <v>428</v>
      </c>
      <c r="C884" t="s">
        <v>35</v>
      </c>
      <c r="D884" t="s">
        <v>60</v>
      </c>
      <c r="E884" t="s">
        <v>15</v>
      </c>
      <c r="F884">
        <v>244</v>
      </c>
      <c r="G884">
        <v>3291</v>
      </c>
      <c r="H884">
        <v>803004</v>
      </c>
      <c r="I884" t="s">
        <v>131</v>
      </c>
      <c r="J884" t="s">
        <v>225</v>
      </c>
      <c r="K884">
        <v>244</v>
      </c>
      <c r="L884">
        <v>0</v>
      </c>
      <c r="M884" t="s">
        <v>115</v>
      </c>
      <c r="N884" t="str">
        <f t="shared" si="78"/>
        <v>PO-100883</v>
      </c>
      <c r="O884" t="str">
        <f t="shared" si="79"/>
        <v>Delivered</v>
      </c>
      <c r="P884" t="str">
        <f t="shared" si="80"/>
        <v>WH-BOM</v>
      </c>
      <c r="Q884" t="str">
        <f>VLOOKUP(C884, Lookups!$A$2:$D$10, 2, FALSE())</f>
        <v>Peripheral Source</v>
      </c>
      <c r="R884" t="str">
        <f>_xlfn.XLOOKUP(D884, Lookups!$A$12:$A$51, Lookups!$C$12:$C$51, "Unknown")</f>
        <v>Peripherals</v>
      </c>
      <c r="S884" t="str">
        <f>IF(ISBLANK(I884), B884+VLOOKUP(C884, Lookups!$A$2:$D$10, 4, FALSE()), I884)</f>
        <v>2026-07-27</v>
      </c>
      <c r="T884">
        <f t="shared" si="81"/>
        <v>14</v>
      </c>
      <c r="U884" t="str">
        <f t="shared" si="82"/>
        <v>Late</v>
      </c>
      <c r="V884">
        <f t="shared" si="83"/>
        <v>0</v>
      </c>
    </row>
    <row r="885" spans="1:22" x14ac:dyDescent="0.45">
      <c r="A885" t="s">
        <v>1702</v>
      </c>
      <c r="B885" t="s">
        <v>661</v>
      </c>
      <c r="C885" t="s">
        <v>35</v>
      </c>
      <c r="D885" t="s">
        <v>75</v>
      </c>
      <c r="E885" t="s">
        <v>18</v>
      </c>
      <c r="F885">
        <v>132</v>
      </c>
      <c r="G885">
        <v>4440</v>
      </c>
      <c r="H885">
        <v>586080</v>
      </c>
      <c r="I885" t="s">
        <v>976</v>
      </c>
      <c r="J885" t="s">
        <v>869</v>
      </c>
      <c r="K885">
        <v>132</v>
      </c>
      <c r="L885">
        <v>0</v>
      </c>
      <c r="M885" t="s">
        <v>115</v>
      </c>
      <c r="N885" t="str">
        <f t="shared" si="78"/>
        <v>PO-100884</v>
      </c>
      <c r="O885" t="str">
        <f t="shared" si="79"/>
        <v>Delivered</v>
      </c>
      <c r="P885" t="str">
        <f t="shared" si="80"/>
        <v>WH-PUN</v>
      </c>
      <c r="Q885" t="str">
        <f>VLOOKUP(C885, Lookups!$A$2:$D$10, 2, FALSE())</f>
        <v>Peripheral Source</v>
      </c>
      <c r="R885" t="str">
        <f>_xlfn.XLOOKUP(D885, Lookups!$A$12:$A$51, Lookups!$C$12:$C$51, "Unknown")</f>
        <v>Peripherals</v>
      </c>
      <c r="S885" t="str">
        <f>IF(ISBLANK(I885), B885+VLOOKUP(C885, Lookups!$A$2:$D$10, 4, FALSE()), I885)</f>
        <v>2026-09-24</v>
      </c>
      <c r="T885">
        <f t="shared" si="81"/>
        <v>11</v>
      </c>
      <c r="U885" t="str">
        <f t="shared" si="82"/>
        <v>Late</v>
      </c>
      <c r="V885">
        <f t="shared" si="83"/>
        <v>0</v>
      </c>
    </row>
    <row r="886" spans="1:22" x14ac:dyDescent="0.45">
      <c r="A886" t="s">
        <v>1703</v>
      </c>
      <c r="B886" t="s">
        <v>363</v>
      </c>
      <c r="C886" t="s">
        <v>36</v>
      </c>
      <c r="D886" t="s">
        <v>87</v>
      </c>
      <c r="E886" t="s">
        <v>15</v>
      </c>
      <c r="F886">
        <v>222</v>
      </c>
      <c r="G886">
        <v>82930</v>
      </c>
      <c r="H886">
        <v>18410460</v>
      </c>
      <c r="I886" t="s">
        <v>1002</v>
      </c>
      <c r="J886" t="s">
        <v>1003</v>
      </c>
      <c r="K886">
        <v>211</v>
      </c>
      <c r="L886">
        <v>0</v>
      </c>
      <c r="M886" t="s">
        <v>115</v>
      </c>
      <c r="N886" t="str">
        <f t="shared" si="78"/>
        <v>PO-100885</v>
      </c>
      <c r="O886" t="str">
        <f t="shared" si="79"/>
        <v>Delivered</v>
      </c>
      <c r="P886" t="str">
        <f t="shared" si="80"/>
        <v>WH-BOM</v>
      </c>
      <c r="Q886" t="str">
        <f>VLOOKUP(C886, Lookups!$A$2:$D$10, 2, FALSE())</f>
        <v>NextGen Hardware</v>
      </c>
      <c r="R886" t="str">
        <f>_xlfn.XLOOKUP(D886, Lookups!$A$12:$A$51, Lookups!$C$12:$C$51, "Unknown")</f>
        <v>Electronics</v>
      </c>
      <c r="S886" t="str">
        <f>IF(ISBLANK(I886), B886+VLOOKUP(C886, Lookups!$A$2:$D$10, 4, FALSE()), I886)</f>
        <v>2026-04-26</v>
      </c>
      <c r="T886">
        <f t="shared" si="81"/>
        <v>25</v>
      </c>
      <c r="U886" t="str">
        <f t="shared" si="82"/>
        <v>Late</v>
      </c>
      <c r="V886">
        <f t="shared" si="83"/>
        <v>0</v>
      </c>
    </row>
    <row r="887" spans="1:22" x14ac:dyDescent="0.45">
      <c r="A887" t="s">
        <v>1704</v>
      </c>
      <c r="B887" t="s">
        <v>1697</v>
      </c>
      <c r="C887" t="s">
        <v>30</v>
      </c>
      <c r="D887" t="s">
        <v>88</v>
      </c>
      <c r="E887" t="s">
        <v>15</v>
      </c>
      <c r="F887">
        <v>165</v>
      </c>
      <c r="G887">
        <v>75512</v>
      </c>
      <c r="H887">
        <v>12459480</v>
      </c>
      <c r="I887" t="s">
        <v>826</v>
      </c>
      <c r="K887">
        <v>0</v>
      </c>
      <c r="L887">
        <v>0</v>
      </c>
      <c r="M887" t="s">
        <v>297</v>
      </c>
      <c r="N887" t="str">
        <f t="shared" si="78"/>
        <v>PO-100886</v>
      </c>
      <c r="O887" t="str">
        <f t="shared" si="79"/>
        <v>Open</v>
      </c>
      <c r="P887" t="str">
        <f t="shared" si="80"/>
        <v>WH-BOM</v>
      </c>
      <c r="Q887" t="str">
        <f>VLOOKUP(C887, Lookups!$A$2:$D$10, 2, FALSE())</f>
        <v>TechSupply Corp</v>
      </c>
      <c r="R887" t="str">
        <f>_xlfn.XLOOKUP(D887, Lookups!$A$12:$A$51, Lookups!$C$12:$C$51, "Unknown")</f>
        <v>Electronics</v>
      </c>
      <c r="S887" t="str">
        <f>IF(ISBLANK(I887), B887+VLOOKUP(C887, Lookups!$A$2:$D$10, 4, FALSE()), I887)</f>
        <v>2026-12-29</v>
      </c>
      <c r="T887" t="str">
        <f t="shared" si="81"/>
        <v/>
      </c>
      <c r="U887" t="str">
        <f t="shared" si="82"/>
        <v>Open</v>
      </c>
      <c r="V887">
        <f t="shared" si="83"/>
        <v>0</v>
      </c>
    </row>
    <row r="888" spans="1:22" x14ac:dyDescent="0.45">
      <c r="A888" t="s">
        <v>1705</v>
      </c>
      <c r="B888" t="s">
        <v>261</v>
      </c>
      <c r="C888" t="s">
        <v>31</v>
      </c>
      <c r="D888" t="s">
        <v>56</v>
      </c>
      <c r="E888" t="s">
        <v>16</v>
      </c>
      <c r="F888">
        <v>156</v>
      </c>
      <c r="G888">
        <v>39270</v>
      </c>
      <c r="H888">
        <v>6126120</v>
      </c>
      <c r="I888" t="s">
        <v>164</v>
      </c>
      <c r="J888" t="s">
        <v>861</v>
      </c>
      <c r="K888">
        <v>156</v>
      </c>
      <c r="L888">
        <v>0</v>
      </c>
      <c r="M888" t="s">
        <v>115</v>
      </c>
      <c r="N888" t="str">
        <f t="shared" si="78"/>
        <v>PO-100887</v>
      </c>
      <c r="O888" t="str">
        <f t="shared" si="79"/>
        <v>Delivered</v>
      </c>
      <c r="P888" t="str">
        <f t="shared" si="80"/>
        <v>WH-DEL</v>
      </c>
      <c r="Q888" t="str">
        <f>VLOOKUP(C888, Lookups!$A$2:$D$10, 2, FALSE())</f>
        <v>Global Networks</v>
      </c>
      <c r="R888" t="str">
        <f>_xlfn.XLOOKUP(D888, Lookups!$A$12:$A$51, Lookups!$C$12:$C$51, "Unknown")</f>
        <v>Networking</v>
      </c>
      <c r="S888" t="str">
        <f>IF(ISBLANK(I888), B888+VLOOKUP(C888, Lookups!$A$2:$D$10, 4, FALSE()), I888)</f>
        <v>2026-02-05</v>
      </c>
      <c r="T888">
        <f t="shared" si="81"/>
        <v>22</v>
      </c>
      <c r="U888" t="str">
        <f t="shared" si="82"/>
        <v>Late</v>
      </c>
      <c r="V888">
        <f t="shared" si="83"/>
        <v>0</v>
      </c>
    </row>
    <row r="889" spans="1:22" x14ac:dyDescent="0.45">
      <c r="A889" t="s">
        <v>1706</v>
      </c>
      <c r="B889" t="s">
        <v>868</v>
      </c>
      <c r="C889" t="s">
        <v>36</v>
      </c>
      <c r="D889" t="s">
        <v>62</v>
      </c>
      <c r="E889" t="s">
        <v>17</v>
      </c>
      <c r="F889">
        <v>62</v>
      </c>
      <c r="G889">
        <v>48478</v>
      </c>
      <c r="H889">
        <v>3005636</v>
      </c>
      <c r="I889" t="s">
        <v>662</v>
      </c>
      <c r="J889" t="s">
        <v>663</v>
      </c>
      <c r="K889">
        <v>62</v>
      </c>
      <c r="L889">
        <v>0</v>
      </c>
      <c r="M889" t="s">
        <v>115</v>
      </c>
      <c r="N889" t="str">
        <f t="shared" si="78"/>
        <v>PO-100888</v>
      </c>
      <c r="O889" t="str">
        <f t="shared" si="79"/>
        <v>Delivered</v>
      </c>
      <c r="P889" t="str">
        <f t="shared" si="80"/>
        <v>WH-BLR</v>
      </c>
      <c r="Q889" t="str">
        <f>VLOOKUP(C889, Lookups!$A$2:$D$10, 2, FALSE())</f>
        <v>NextGen Hardware</v>
      </c>
      <c r="R889" t="str">
        <f>_xlfn.XLOOKUP(D889, Lookups!$A$12:$A$51, Lookups!$C$12:$C$51, "Unknown")</f>
        <v>Electronics</v>
      </c>
      <c r="S889" t="str">
        <f>IF(ISBLANK(I889), B889+VLOOKUP(C889, Lookups!$A$2:$D$10, 4, FALSE()), I889)</f>
        <v>2026-10-05</v>
      </c>
      <c r="T889">
        <f t="shared" si="81"/>
        <v>25</v>
      </c>
      <c r="U889" t="str">
        <f t="shared" si="82"/>
        <v>Late</v>
      </c>
      <c r="V889">
        <f t="shared" si="83"/>
        <v>0</v>
      </c>
    </row>
    <row r="890" spans="1:22" x14ac:dyDescent="0.45">
      <c r="A890" t="s">
        <v>1707</v>
      </c>
      <c r="B890" t="s">
        <v>1442</v>
      </c>
      <c r="C890" t="s">
        <v>31</v>
      </c>
      <c r="D890" t="s">
        <v>85</v>
      </c>
      <c r="E890" t="s">
        <v>16</v>
      </c>
      <c r="F890">
        <v>142</v>
      </c>
      <c r="G890">
        <v>16501</v>
      </c>
      <c r="H890">
        <v>2343142</v>
      </c>
      <c r="I890" t="s">
        <v>1326</v>
      </c>
      <c r="J890" t="s">
        <v>533</v>
      </c>
      <c r="K890">
        <v>142</v>
      </c>
      <c r="L890">
        <v>0</v>
      </c>
      <c r="M890" t="s">
        <v>115</v>
      </c>
      <c r="N890" t="str">
        <f t="shared" si="78"/>
        <v>PO-100889</v>
      </c>
      <c r="O890" t="str">
        <f t="shared" si="79"/>
        <v>Delivered</v>
      </c>
      <c r="P890" t="str">
        <f t="shared" si="80"/>
        <v>WH-DEL</v>
      </c>
      <c r="Q890" t="str">
        <f>VLOOKUP(C890, Lookups!$A$2:$D$10, 2, FALSE())</f>
        <v>Global Networks</v>
      </c>
      <c r="R890" t="str">
        <f>_xlfn.XLOOKUP(D890, Lookups!$A$12:$A$51, Lookups!$C$12:$C$51, "Unknown")</f>
        <v>Networking</v>
      </c>
      <c r="S890" t="str">
        <f>IF(ISBLANK(I890), B890+VLOOKUP(C890, Lookups!$A$2:$D$10, 4, FALSE()), I890)</f>
        <v>2025-07-23</v>
      </c>
      <c r="T890">
        <f t="shared" si="81"/>
        <v>22</v>
      </c>
      <c r="U890" t="str">
        <f t="shared" si="82"/>
        <v>Late</v>
      </c>
      <c r="V890">
        <f t="shared" si="83"/>
        <v>0</v>
      </c>
    </row>
    <row r="891" spans="1:22" x14ac:dyDescent="0.45">
      <c r="A891" t="s">
        <v>1708</v>
      </c>
      <c r="B891" t="s">
        <v>202</v>
      </c>
      <c r="C891" t="s">
        <v>34</v>
      </c>
      <c r="D891" t="s">
        <v>80</v>
      </c>
      <c r="E891" t="s">
        <v>18</v>
      </c>
      <c r="F891">
        <v>99</v>
      </c>
      <c r="G891">
        <v>19090</v>
      </c>
      <c r="H891">
        <v>1889910</v>
      </c>
      <c r="I891" t="s">
        <v>151</v>
      </c>
      <c r="J891" t="s">
        <v>367</v>
      </c>
      <c r="K891">
        <v>99</v>
      </c>
      <c r="L891">
        <v>1</v>
      </c>
      <c r="M891" t="s">
        <v>927</v>
      </c>
      <c r="N891" t="str">
        <f t="shared" si="78"/>
        <v>PO-100890</v>
      </c>
      <c r="O891" t="str">
        <f t="shared" si="79"/>
        <v>Delivered</v>
      </c>
      <c r="P891" t="str">
        <f t="shared" si="80"/>
        <v>WH-PUN</v>
      </c>
      <c r="Q891" t="str">
        <f>VLOOKUP(C891, Lookups!$A$2:$D$10, 2, FALSE())</f>
        <v>FastElectronics</v>
      </c>
      <c r="R891" t="str">
        <f>_xlfn.XLOOKUP(D891, Lookups!$A$12:$A$51, Lookups!$C$12:$C$51, "Unknown")</f>
        <v>Networking</v>
      </c>
      <c r="S891" t="str">
        <f>IF(ISBLANK(I891), B891+VLOOKUP(C891, Lookups!$A$2:$D$10, 4, FALSE()), I891)</f>
        <v>2026-04-14</v>
      </c>
      <c r="T891">
        <f t="shared" si="81"/>
        <v>19</v>
      </c>
      <c r="U891" t="str">
        <f t="shared" si="82"/>
        <v>Late</v>
      </c>
      <c r="V891">
        <f t="shared" si="83"/>
        <v>1.0101010101010102E-2</v>
      </c>
    </row>
    <row r="892" spans="1:22" x14ac:dyDescent="0.45">
      <c r="A892" t="s">
        <v>1709</v>
      </c>
      <c r="B892" t="s">
        <v>590</v>
      </c>
      <c r="C892" t="s">
        <v>35</v>
      </c>
      <c r="D892" t="s">
        <v>72</v>
      </c>
      <c r="E892" t="s">
        <v>17</v>
      </c>
      <c r="F892">
        <v>195</v>
      </c>
      <c r="G892">
        <v>7754</v>
      </c>
      <c r="H892">
        <v>1512030</v>
      </c>
      <c r="I892" t="s">
        <v>851</v>
      </c>
      <c r="J892" t="s">
        <v>851</v>
      </c>
      <c r="K892">
        <v>195</v>
      </c>
      <c r="L892">
        <v>0</v>
      </c>
      <c r="M892" t="s">
        <v>115</v>
      </c>
      <c r="N892" t="str">
        <f t="shared" si="78"/>
        <v>PO-100891</v>
      </c>
      <c r="O892" t="str">
        <f t="shared" si="79"/>
        <v>Delivered</v>
      </c>
      <c r="P892" t="str">
        <f t="shared" si="80"/>
        <v>WH-BLR</v>
      </c>
      <c r="Q892" t="str">
        <f>VLOOKUP(C892, Lookups!$A$2:$D$10, 2, FALSE())</f>
        <v>Peripheral Source</v>
      </c>
      <c r="R892" t="str">
        <f>_xlfn.XLOOKUP(D892, Lookups!$A$12:$A$51, Lookups!$C$12:$C$51, "Unknown")</f>
        <v>Peripherals</v>
      </c>
      <c r="S892" t="str">
        <f>IF(ISBLANK(I892), B892+VLOOKUP(C892, Lookups!$A$2:$D$10, 4, FALSE()), I892)</f>
        <v>2026-01-16</v>
      </c>
      <c r="T892">
        <f t="shared" si="81"/>
        <v>10</v>
      </c>
      <c r="U892" t="str">
        <f t="shared" si="82"/>
        <v>On-Time</v>
      </c>
      <c r="V892">
        <f t="shared" si="83"/>
        <v>0</v>
      </c>
    </row>
    <row r="893" spans="1:22" x14ac:dyDescent="0.45">
      <c r="A893" t="s">
        <v>1710</v>
      </c>
      <c r="B893" t="s">
        <v>619</v>
      </c>
      <c r="C893" t="s">
        <v>30</v>
      </c>
      <c r="D893" t="s">
        <v>86</v>
      </c>
      <c r="E893" t="s">
        <v>18</v>
      </c>
      <c r="F893">
        <v>178</v>
      </c>
      <c r="G893">
        <v>74871</v>
      </c>
      <c r="H893">
        <v>13327038</v>
      </c>
      <c r="I893" t="s">
        <v>363</v>
      </c>
      <c r="J893" t="s">
        <v>149</v>
      </c>
      <c r="K893">
        <v>178</v>
      </c>
      <c r="L893">
        <v>0</v>
      </c>
      <c r="M893" t="s">
        <v>115</v>
      </c>
      <c r="N893" t="str">
        <f t="shared" si="78"/>
        <v>PO-100892</v>
      </c>
      <c r="O893" t="str">
        <f t="shared" si="79"/>
        <v>Delivered</v>
      </c>
      <c r="P893" t="str">
        <f t="shared" si="80"/>
        <v>WH-PUN</v>
      </c>
      <c r="Q893" t="str">
        <f>VLOOKUP(C893, Lookups!$A$2:$D$10, 2, FALSE())</f>
        <v>TechSupply Corp</v>
      </c>
      <c r="R893" t="str">
        <f>_xlfn.XLOOKUP(D893, Lookups!$A$12:$A$51, Lookups!$C$12:$C$51, "Unknown")</f>
        <v>Electronics</v>
      </c>
      <c r="S893" t="str">
        <f>IF(ISBLANK(I893), B893+VLOOKUP(C893, Lookups!$A$2:$D$10, 4, FALSE()), I893)</f>
        <v>2026-04-02</v>
      </c>
      <c r="T893">
        <f t="shared" si="81"/>
        <v>15</v>
      </c>
      <c r="U893" t="str">
        <f t="shared" si="82"/>
        <v>Late</v>
      </c>
      <c r="V893">
        <f t="shared" si="83"/>
        <v>0</v>
      </c>
    </row>
    <row r="894" spans="1:22" x14ac:dyDescent="0.45">
      <c r="A894" t="s">
        <v>1711</v>
      </c>
      <c r="B894" t="s">
        <v>215</v>
      </c>
      <c r="C894" t="s">
        <v>30</v>
      </c>
      <c r="D894" t="s">
        <v>61</v>
      </c>
      <c r="E894" t="s">
        <v>15</v>
      </c>
      <c r="F894">
        <v>222</v>
      </c>
      <c r="G894">
        <v>111237</v>
      </c>
      <c r="H894">
        <v>24694614</v>
      </c>
      <c r="I894" t="s">
        <v>1530</v>
      </c>
      <c r="J894" t="s">
        <v>1530</v>
      </c>
      <c r="K894">
        <v>222</v>
      </c>
      <c r="L894">
        <v>0</v>
      </c>
      <c r="M894" t="s">
        <v>115</v>
      </c>
      <c r="N894" t="str">
        <f t="shared" si="78"/>
        <v>PO-100893</v>
      </c>
      <c r="O894" t="str">
        <f t="shared" si="79"/>
        <v>Delivered</v>
      </c>
      <c r="P894" t="str">
        <f t="shared" si="80"/>
        <v>WH-BOM</v>
      </c>
      <c r="Q894" t="str">
        <f>VLOOKUP(C894, Lookups!$A$2:$D$10, 2, FALSE())</f>
        <v>TechSupply Corp</v>
      </c>
      <c r="R894" t="str">
        <f>_xlfn.XLOOKUP(D894, Lookups!$A$12:$A$51, Lookups!$C$12:$C$51, "Unknown")</f>
        <v>Electronics</v>
      </c>
      <c r="S894" t="str">
        <f>IF(ISBLANK(I894), B894+VLOOKUP(C894, Lookups!$A$2:$D$10, 4, FALSE()), I894)</f>
        <v>2025-07-12</v>
      </c>
      <c r="T894">
        <f t="shared" si="81"/>
        <v>14</v>
      </c>
      <c r="U894" t="str">
        <f t="shared" si="82"/>
        <v>On-Time</v>
      </c>
      <c r="V894">
        <f t="shared" si="83"/>
        <v>0</v>
      </c>
    </row>
    <row r="895" spans="1:22" x14ac:dyDescent="0.45">
      <c r="A895" t="s">
        <v>1712</v>
      </c>
      <c r="B895" t="s">
        <v>789</v>
      </c>
      <c r="C895" t="s">
        <v>32</v>
      </c>
      <c r="D895" t="s">
        <v>67</v>
      </c>
      <c r="E895" t="s">
        <v>17</v>
      </c>
      <c r="F895">
        <v>231</v>
      </c>
      <c r="G895">
        <v>1553</v>
      </c>
      <c r="H895">
        <v>358743</v>
      </c>
      <c r="I895" t="s">
        <v>1713</v>
      </c>
      <c r="K895">
        <v>0</v>
      </c>
      <c r="L895">
        <v>0</v>
      </c>
      <c r="M895" t="s">
        <v>297</v>
      </c>
      <c r="N895" t="str">
        <f t="shared" si="78"/>
        <v>PO-100894</v>
      </c>
      <c r="O895" t="str">
        <f t="shared" si="79"/>
        <v>Open</v>
      </c>
      <c r="P895" t="str">
        <f t="shared" si="80"/>
        <v>WH-BLR</v>
      </c>
      <c r="Q895" t="str">
        <f>VLOOKUP(C895, Lookups!$A$2:$D$10, 2, FALSE())</f>
        <v>OfficeDepot Pro</v>
      </c>
      <c r="R895" t="str">
        <f>_xlfn.XLOOKUP(D895, Lookups!$A$12:$A$51, Lookups!$C$12:$C$51, "Unknown")</f>
        <v>Peripherals</v>
      </c>
      <c r="S895" t="str">
        <f>IF(ISBLANK(I895), B895+VLOOKUP(C895, Lookups!$A$2:$D$10, 4, FALSE()), I895)</f>
        <v>2026-12-19</v>
      </c>
      <c r="T895" t="str">
        <f t="shared" si="81"/>
        <v/>
      </c>
      <c r="U895" t="str">
        <f t="shared" si="82"/>
        <v>Open</v>
      </c>
      <c r="V895">
        <f t="shared" si="83"/>
        <v>0</v>
      </c>
    </row>
    <row r="896" spans="1:22" x14ac:dyDescent="0.45">
      <c r="A896" t="s">
        <v>1714</v>
      </c>
      <c r="B896" t="s">
        <v>339</v>
      </c>
      <c r="C896" t="s">
        <v>34</v>
      </c>
      <c r="D896" t="s">
        <v>81</v>
      </c>
      <c r="E896" t="s">
        <v>15</v>
      </c>
      <c r="F896">
        <v>23</v>
      </c>
      <c r="G896">
        <v>55328</v>
      </c>
      <c r="H896">
        <v>1272544</v>
      </c>
      <c r="I896" t="s">
        <v>535</v>
      </c>
      <c r="J896" t="s">
        <v>535</v>
      </c>
      <c r="K896">
        <v>23</v>
      </c>
      <c r="L896">
        <v>0</v>
      </c>
      <c r="M896" t="s">
        <v>115</v>
      </c>
      <c r="N896" t="str">
        <f t="shared" si="78"/>
        <v>PO-100895</v>
      </c>
      <c r="O896" t="str">
        <f t="shared" si="79"/>
        <v>Delivered</v>
      </c>
      <c r="P896" t="str">
        <f t="shared" si="80"/>
        <v>WH-BOM</v>
      </c>
      <c r="Q896" t="str">
        <f>VLOOKUP(C896, Lookups!$A$2:$D$10, 2, FALSE())</f>
        <v>FastElectronics</v>
      </c>
      <c r="R896" t="str">
        <f>_xlfn.XLOOKUP(D896, Lookups!$A$12:$A$51, Lookups!$C$12:$C$51, "Unknown")</f>
        <v>Electronics</v>
      </c>
      <c r="S896" t="str">
        <f>IF(ISBLANK(I896), B896+VLOOKUP(C896, Lookups!$A$2:$D$10, 4, FALSE()), I896)</f>
        <v>2026-05-08</v>
      </c>
      <c r="T896">
        <f t="shared" si="81"/>
        <v>18</v>
      </c>
      <c r="U896" t="str">
        <f t="shared" si="82"/>
        <v>On-Time</v>
      </c>
      <c r="V896">
        <f t="shared" si="83"/>
        <v>0</v>
      </c>
    </row>
    <row r="897" spans="1:22" x14ac:dyDescent="0.45">
      <c r="A897" t="s">
        <v>1715</v>
      </c>
      <c r="B897" t="s">
        <v>394</v>
      </c>
      <c r="C897" t="s">
        <v>34</v>
      </c>
      <c r="D897" t="s">
        <v>81</v>
      </c>
      <c r="E897" t="s">
        <v>532</v>
      </c>
      <c r="F897">
        <v>229</v>
      </c>
      <c r="G897">
        <v>55328</v>
      </c>
      <c r="H897">
        <v>12670112</v>
      </c>
      <c r="I897" t="s">
        <v>968</v>
      </c>
      <c r="J897" t="s">
        <v>609</v>
      </c>
      <c r="K897">
        <v>229</v>
      </c>
      <c r="L897">
        <v>0</v>
      </c>
      <c r="M897" t="s">
        <v>115</v>
      </c>
      <c r="N897" t="str">
        <f t="shared" si="78"/>
        <v>PO-100896</v>
      </c>
      <c r="O897" t="str">
        <f t="shared" si="79"/>
        <v>Delivered</v>
      </c>
      <c r="P897" t="str">
        <f t="shared" si="80"/>
        <v>WH-PUN</v>
      </c>
      <c r="Q897" t="str">
        <f>VLOOKUP(C897, Lookups!$A$2:$D$10, 2, FALSE())</f>
        <v>FastElectronics</v>
      </c>
      <c r="R897" t="str">
        <f>_xlfn.XLOOKUP(D897, Lookups!$A$12:$A$51, Lookups!$C$12:$C$51, "Unknown")</f>
        <v>Electronics</v>
      </c>
      <c r="S897" t="str">
        <f>IF(ISBLANK(I897), B897+VLOOKUP(C897, Lookups!$A$2:$D$10, 4, FALSE()), I897)</f>
        <v>2025-10-04</v>
      </c>
      <c r="T897">
        <f t="shared" si="81"/>
        <v>16</v>
      </c>
      <c r="U897" t="str">
        <f t="shared" si="82"/>
        <v>On-Time</v>
      </c>
      <c r="V897">
        <f t="shared" si="83"/>
        <v>0</v>
      </c>
    </row>
    <row r="898" spans="1:22" x14ac:dyDescent="0.45">
      <c r="A898" t="s">
        <v>1716</v>
      </c>
      <c r="B898" t="s">
        <v>1100</v>
      </c>
      <c r="C898" t="s">
        <v>31</v>
      </c>
      <c r="D898" t="s">
        <v>56</v>
      </c>
      <c r="E898" t="s">
        <v>17</v>
      </c>
      <c r="F898">
        <v>187</v>
      </c>
      <c r="G898">
        <v>39270</v>
      </c>
      <c r="H898">
        <v>7343490</v>
      </c>
      <c r="I898" t="s">
        <v>1359</v>
      </c>
      <c r="J898" t="s">
        <v>1359</v>
      </c>
      <c r="K898">
        <v>187</v>
      </c>
      <c r="L898">
        <v>0</v>
      </c>
      <c r="M898" t="s">
        <v>115</v>
      </c>
      <c r="N898" t="str">
        <f t="shared" ref="N898:N961" si="84">TRIM(A898)</f>
        <v>PO-100897</v>
      </c>
      <c r="O898" t="str">
        <f t="shared" ref="O898:O961" si="85">PROPER(TRIM(M898))</f>
        <v>Delivered</v>
      </c>
      <c r="P898" t="str">
        <f t="shared" ref="P898:P961" si="86">TRIM(E898)</f>
        <v>WH-BLR</v>
      </c>
      <c r="Q898" t="str">
        <f>VLOOKUP(C898, Lookups!$A$2:$D$10, 2, FALSE())</f>
        <v>Global Networks</v>
      </c>
      <c r="R898" t="str">
        <f>_xlfn.XLOOKUP(D898, Lookups!$A$12:$A$51, Lookups!$C$12:$C$51, "Unknown")</f>
        <v>Networking</v>
      </c>
      <c r="S898" t="str">
        <f>IF(ISBLANK(I898), B898+VLOOKUP(C898, Lookups!$A$2:$D$10, 4, FALSE()), I898)</f>
        <v>2026-12-02</v>
      </c>
      <c r="T898">
        <f t="shared" ref="T898:T961" si="87">IF(ISBLANK(J898), "", J898-B898)</f>
        <v>21</v>
      </c>
      <c r="U898" t="str">
        <f t="shared" ref="U898:U961" si="88">IF(O898="Open", "Open", IF(J898&gt;S898, "Late", "On-Time"))</f>
        <v>On-Time</v>
      </c>
      <c r="V898">
        <f t="shared" ref="V898:V961" si="89">IF(K898&gt;0, L898/K898, 0)</f>
        <v>0</v>
      </c>
    </row>
    <row r="899" spans="1:22" x14ac:dyDescent="0.45">
      <c r="A899" t="s">
        <v>1717</v>
      </c>
      <c r="B899" t="s">
        <v>1058</v>
      </c>
      <c r="C899" t="s">
        <v>32</v>
      </c>
      <c r="D899" t="s">
        <v>84</v>
      </c>
      <c r="E899" t="s">
        <v>17</v>
      </c>
      <c r="F899">
        <v>112</v>
      </c>
      <c r="G899">
        <v>7271</v>
      </c>
      <c r="H899">
        <v>814352</v>
      </c>
      <c r="I899" t="s">
        <v>856</v>
      </c>
      <c r="J899" t="s">
        <v>856</v>
      </c>
      <c r="K899">
        <v>112</v>
      </c>
      <c r="L899">
        <v>0</v>
      </c>
      <c r="M899" t="s">
        <v>166</v>
      </c>
      <c r="N899" t="str">
        <f t="shared" si="84"/>
        <v>PO-100898</v>
      </c>
      <c r="O899" t="str">
        <f t="shared" si="85"/>
        <v>Delivered</v>
      </c>
      <c r="P899" t="str">
        <f t="shared" si="86"/>
        <v>WH-BLR</v>
      </c>
      <c r="Q899" t="str">
        <f>VLOOKUP(C899, Lookups!$A$2:$D$10, 2, FALSE())</f>
        <v>OfficeDepot Pro</v>
      </c>
      <c r="R899" t="str">
        <f>_xlfn.XLOOKUP(D899, Lookups!$A$12:$A$51, Lookups!$C$12:$C$51, "Unknown")</f>
        <v>Peripherals</v>
      </c>
      <c r="S899" t="str">
        <f>IF(ISBLANK(I899), B899+VLOOKUP(C899, Lookups!$A$2:$D$10, 4, FALSE()), I899)</f>
        <v>2026-05-02</v>
      </c>
      <c r="T899">
        <f t="shared" si="87"/>
        <v>7</v>
      </c>
      <c r="U899" t="str">
        <f t="shared" si="88"/>
        <v>On-Time</v>
      </c>
      <c r="V899">
        <f t="shared" si="89"/>
        <v>0</v>
      </c>
    </row>
    <row r="900" spans="1:22" x14ac:dyDescent="0.45">
      <c r="A900" t="s">
        <v>1718</v>
      </c>
      <c r="B900" t="s">
        <v>980</v>
      </c>
      <c r="C900" t="s">
        <v>37</v>
      </c>
      <c r="D900" t="s">
        <v>83</v>
      </c>
      <c r="E900" t="s">
        <v>17</v>
      </c>
      <c r="F900">
        <v>34</v>
      </c>
      <c r="G900">
        <v>19850</v>
      </c>
      <c r="H900">
        <v>674900</v>
      </c>
      <c r="I900" t="s">
        <v>1401</v>
      </c>
      <c r="J900" t="s">
        <v>1318</v>
      </c>
      <c r="K900">
        <v>34</v>
      </c>
      <c r="L900">
        <v>0</v>
      </c>
      <c r="M900" t="s">
        <v>115</v>
      </c>
      <c r="N900" t="str">
        <f t="shared" si="84"/>
        <v>PO-100899</v>
      </c>
      <c r="O900" t="str">
        <f t="shared" si="85"/>
        <v>Delivered</v>
      </c>
      <c r="P900" t="str">
        <f t="shared" si="86"/>
        <v>WH-BLR</v>
      </c>
      <c r="Q900" t="str">
        <f>VLOOKUP(C900, Lookups!$A$2:$D$10, 2, FALSE())</f>
        <v>Premium Desks Ltd</v>
      </c>
      <c r="R900" t="str">
        <f>_xlfn.XLOOKUP(D900, Lookups!$A$12:$A$51, Lookups!$C$12:$C$51, "Unknown")</f>
        <v>Office Furniture</v>
      </c>
      <c r="S900" t="str">
        <f>IF(ISBLANK(I900), B900+VLOOKUP(C900, Lookups!$A$2:$D$10, 4, FALSE()), I900)</f>
        <v>2026-10-24</v>
      </c>
      <c r="T900">
        <f t="shared" si="87"/>
        <v>13</v>
      </c>
      <c r="U900" t="str">
        <f t="shared" si="88"/>
        <v>Late</v>
      </c>
      <c r="V900">
        <f t="shared" si="89"/>
        <v>0</v>
      </c>
    </row>
    <row r="901" spans="1:22" x14ac:dyDescent="0.45">
      <c r="A901" t="s">
        <v>1719</v>
      </c>
      <c r="B901" t="s">
        <v>250</v>
      </c>
      <c r="C901" t="s">
        <v>35</v>
      </c>
      <c r="D901" t="s">
        <v>91</v>
      </c>
      <c r="E901" t="s">
        <v>17</v>
      </c>
      <c r="F901">
        <v>48</v>
      </c>
      <c r="G901">
        <v>6707</v>
      </c>
      <c r="H901">
        <v>321936</v>
      </c>
      <c r="I901" t="s">
        <v>649</v>
      </c>
      <c r="J901" t="s">
        <v>649</v>
      </c>
      <c r="K901">
        <v>48</v>
      </c>
      <c r="L901">
        <v>0</v>
      </c>
      <c r="M901" t="s">
        <v>115</v>
      </c>
      <c r="N901" t="str">
        <f t="shared" si="84"/>
        <v>PO-100900</v>
      </c>
      <c r="O901" t="str">
        <f t="shared" si="85"/>
        <v>Delivered</v>
      </c>
      <c r="P901" t="str">
        <f t="shared" si="86"/>
        <v>WH-BLR</v>
      </c>
      <c r="Q901" t="str">
        <f>VLOOKUP(C901, Lookups!$A$2:$D$10, 2, FALSE())</f>
        <v>Peripheral Source</v>
      </c>
      <c r="R901" t="str">
        <f>_xlfn.XLOOKUP(D901, Lookups!$A$12:$A$51, Lookups!$C$12:$C$51, "Unknown")</f>
        <v>Peripherals</v>
      </c>
      <c r="S901" t="str">
        <f>IF(ISBLANK(I901), B901+VLOOKUP(C901, Lookups!$A$2:$D$10, 4, FALSE()), I901)</f>
        <v>2025-08-18</v>
      </c>
      <c r="T901">
        <f t="shared" si="87"/>
        <v>10</v>
      </c>
      <c r="U901" t="str">
        <f t="shared" si="88"/>
        <v>On-Time</v>
      </c>
      <c r="V901">
        <f t="shared" si="89"/>
        <v>0</v>
      </c>
    </row>
    <row r="902" spans="1:22" x14ac:dyDescent="0.45">
      <c r="A902" t="s">
        <v>1720</v>
      </c>
      <c r="B902" t="s">
        <v>829</v>
      </c>
      <c r="C902" t="s">
        <v>36</v>
      </c>
      <c r="D902" t="s">
        <v>87</v>
      </c>
      <c r="E902" t="s">
        <v>15</v>
      </c>
      <c r="F902">
        <v>223</v>
      </c>
      <c r="G902">
        <v>82930</v>
      </c>
      <c r="H902">
        <v>18493390</v>
      </c>
      <c r="I902" t="s">
        <v>508</v>
      </c>
      <c r="J902" t="s">
        <v>1079</v>
      </c>
      <c r="K902">
        <v>223</v>
      </c>
      <c r="L902">
        <v>0</v>
      </c>
      <c r="M902" t="s">
        <v>115</v>
      </c>
      <c r="N902" t="str">
        <f t="shared" si="84"/>
        <v>PO-100901</v>
      </c>
      <c r="O902" t="str">
        <f t="shared" si="85"/>
        <v>Delivered</v>
      </c>
      <c r="P902" t="str">
        <f t="shared" si="86"/>
        <v>WH-BOM</v>
      </c>
      <c r="Q902" t="str">
        <f>VLOOKUP(C902, Lookups!$A$2:$D$10, 2, FALSE())</f>
        <v>NextGen Hardware</v>
      </c>
      <c r="R902" t="str">
        <f>_xlfn.XLOOKUP(D902, Lookups!$A$12:$A$51, Lookups!$C$12:$C$51, "Unknown")</f>
        <v>Electronics</v>
      </c>
      <c r="S902" t="str">
        <f>IF(ISBLANK(I902), B902+VLOOKUP(C902, Lookups!$A$2:$D$10, 4, FALSE()), I902)</f>
        <v>2026-01-17</v>
      </c>
      <c r="T902">
        <f t="shared" si="87"/>
        <v>25</v>
      </c>
      <c r="U902" t="str">
        <f t="shared" si="88"/>
        <v>Late</v>
      </c>
      <c r="V902">
        <f t="shared" si="89"/>
        <v>0</v>
      </c>
    </row>
    <row r="903" spans="1:22" x14ac:dyDescent="0.45">
      <c r="A903" t="s">
        <v>1721</v>
      </c>
      <c r="B903" t="s">
        <v>798</v>
      </c>
      <c r="C903" t="s">
        <v>35</v>
      </c>
      <c r="D903" t="s">
        <v>75</v>
      </c>
      <c r="E903" t="s">
        <v>15</v>
      </c>
      <c r="F903">
        <v>177</v>
      </c>
      <c r="G903">
        <v>4440</v>
      </c>
      <c r="H903">
        <v>785880</v>
      </c>
      <c r="I903" t="s">
        <v>724</v>
      </c>
      <c r="J903" t="s">
        <v>724</v>
      </c>
      <c r="K903">
        <v>177</v>
      </c>
      <c r="L903">
        <v>0</v>
      </c>
      <c r="M903" t="s">
        <v>115</v>
      </c>
      <c r="N903" t="str">
        <f t="shared" si="84"/>
        <v>PO-100902</v>
      </c>
      <c r="O903" t="str">
        <f t="shared" si="85"/>
        <v>Delivered</v>
      </c>
      <c r="P903" t="str">
        <f t="shared" si="86"/>
        <v>WH-BOM</v>
      </c>
      <c r="Q903" t="str">
        <f>VLOOKUP(C903, Lookups!$A$2:$D$10, 2, FALSE())</f>
        <v>Peripheral Source</v>
      </c>
      <c r="R903" t="str">
        <f>_xlfn.XLOOKUP(D903, Lookups!$A$12:$A$51, Lookups!$C$12:$C$51, "Unknown")</f>
        <v>Peripherals</v>
      </c>
      <c r="S903" t="str">
        <f>IF(ISBLANK(I903), B903+VLOOKUP(C903, Lookups!$A$2:$D$10, 4, FALSE()), I903)</f>
        <v>2026-05-25</v>
      </c>
      <c r="T903">
        <f t="shared" si="87"/>
        <v>10</v>
      </c>
      <c r="U903" t="str">
        <f t="shared" si="88"/>
        <v>On-Time</v>
      </c>
      <c r="V903">
        <f t="shared" si="89"/>
        <v>0</v>
      </c>
    </row>
    <row r="904" spans="1:22" x14ac:dyDescent="0.45">
      <c r="A904" t="s">
        <v>1722</v>
      </c>
      <c r="B904" t="s">
        <v>305</v>
      </c>
      <c r="C904" t="s">
        <v>34</v>
      </c>
      <c r="D904" t="s">
        <v>68</v>
      </c>
      <c r="E904" t="s">
        <v>15</v>
      </c>
      <c r="F904">
        <v>208</v>
      </c>
      <c r="G904">
        <v>41405</v>
      </c>
      <c r="H904">
        <v>8612240</v>
      </c>
      <c r="I904" t="s">
        <v>991</v>
      </c>
      <c r="J904" t="s">
        <v>224</v>
      </c>
      <c r="K904">
        <v>208</v>
      </c>
      <c r="L904">
        <v>0</v>
      </c>
      <c r="M904" t="s">
        <v>115</v>
      </c>
      <c r="N904" t="str">
        <f t="shared" si="84"/>
        <v>PO-100903</v>
      </c>
      <c r="O904" t="str">
        <f t="shared" si="85"/>
        <v>Delivered</v>
      </c>
      <c r="P904" t="str">
        <f t="shared" si="86"/>
        <v>WH-BOM</v>
      </c>
      <c r="Q904" t="str">
        <f>VLOOKUP(C904, Lookups!$A$2:$D$10, 2, FALSE())</f>
        <v>FastElectronics</v>
      </c>
      <c r="R904" t="str">
        <f>_xlfn.XLOOKUP(D904, Lookups!$A$12:$A$51, Lookups!$C$12:$C$51, "Unknown")</f>
        <v>Networking</v>
      </c>
      <c r="S904" t="str">
        <f>IF(ISBLANK(I904), B904+VLOOKUP(C904, Lookups!$A$2:$D$10, 4, FALSE()), I904)</f>
        <v>2026-07-16</v>
      </c>
      <c r="T904">
        <f t="shared" si="87"/>
        <v>15</v>
      </c>
      <c r="U904" t="str">
        <f t="shared" si="88"/>
        <v>On-Time</v>
      </c>
      <c r="V904">
        <f t="shared" si="89"/>
        <v>0</v>
      </c>
    </row>
    <row r="905" spans="1:22" x14ac:dyDescent="0.45">
      <c r="A905" t="s">
        <v>1723</v>
      </c>
      <c r="B905" t="s">
        <v>1403</v>
      </c>
      <c r="C905" t="s">
        <v>36</v>
      </c>
      <c r="D905" t="s">
        <v>71</v>
      </c>
      <c r="E905" t="s">
        <v>18</v>
      </c>
      <c r="F905">
        <v>10</v>
      </c>
      <c r="G905">
        <v>65379</v>
      </c>
      <c r="H905">
        <v>653790</v>
      </c>
      <c r="I905" t="s">
        <v>1148</v>
      </c>
      <c r="J905" t="s">
        <v>811</v>
      </c>
      <c r="K905">
        <v>10</v>
      </c>
      <c r="L905">
        <v>0</v>
      </c>
      <c r="M905" t="s">
        <v>115</v>
      </c>
      <c r="N905" t="str">
        <f t="shared" si="84"/>
        <v>PO-100904</v>
      </c>
      <c r="O905" t="str">
        <f t="shared" si="85"/>
        <v>Delivered</v>
      </c>
      <c r="P905" t="str">
        <f t="shared" si="86"/>
        <v>WH-PUN</v>
      </c>
      <c r="Q905" t="str">
        <f>VLOOKUP(C905, Lookups!$A$2:$D$10, 2, FALSE())</f>
        <v>NextGen Hardware</v>
      </c>
      <c r="R905" t="str">
        <f>_xlfn.XLOOKUP(D905, Lookups!$A$12:$A$51, Lookups!$C$12:$C$51, "Unknown")</f>
        <v>Electronics</v>
      </c>
      <c r="S905" t="str">
        <f>IF(ISBLANK(I905), B905+VLOOKUP(C905, Lookups!$A$2:$D$10, 4, FALSE()), I905)</f>
        <v>2026-11-26</v>
      </c>
      <c r="T905">
        <f t="shared" si="87"/>
        <v>25</v>
      </c>
      <c r="U905" t="str">
        <f t="shared" si="88"/>
        <v>Late</v>
      </c>
      <c r="V905">
        <f t="shared" si="89"/>
        <v>0</v>
      </c>
    </row>
    <row r="906" spans="1:22" x14ac:dyDescent="0.45">
      <c r="A906" t="s">
        <v>1724</v>
      </c>
      <c r="B906" t="s">
        <v>1271</v>
      </c>
      <c r="C906" t="s">
        <v>34</v>
      </c>
      <c r="D906" t="s">
        <v>80</v>
      </c>
      <c r="E906" t="s">
        <v>15</v>
      </c>
      <c r="F906">
        <v>75</v>
      </c>
      <c r="G906">
        <v>19090</v>
      </c>
      <c r="H906">
        <v>1431750</v>
      </c>
      <c r="I906" t="s">
        <v>494</v>
      </c>
      <c r="J906" t="s">
        <v>117</v>
      </c>
      <c r="K906">
        <v>75</v>
      </c>
      <c r="L906">
        <v>0</v>
      </c>
      <c r="M906" t="s">
        <v>115</v>
      </c>
      <c r="N906" t="str">
        <f t="shared" si="84"/>
        <v>PO-100905</v>
      </c>
      <c r="O906" t="str">
        <f t="shared" si="85"/>
        <v>Delivered</v>
      </c>
      <c r="P906" t="str">
        <f t="shared" si="86"/>
        <v>WH-BOM</v>
      </c>
      <c r="Q906" t="str">
        <f>VLOOKUP(C906, Lookups!$A$2:$D$10, 2, FALSE())</f>
        <v>FastElectronics</v>
      </c>
      <c r="R906" t="str">
        <f>_xlfn.XLOOKUP(D906, Lookups!$A$12:$A$51, Lookups!$C$12:$C$51, "Unknown")</f>
        <v>Networking</v>
      </c>
      <c r="S906" t="str">
        <f>IF(ISBLANK(I906), B906+VLOOKUP(C906, Lookups!$A$2:$D$10, 4, FALSE()), I906)</f>
        <v>2026-09-18</v>
      </c>
      <c r="T906">
        <f t="shared" si="87"/>
        <v>19</v>
      </c>
      <c r="U906" t="str">
        <f t="shared" si="88"/>
        <v>Late</v>
      </c>
      <c r="V906">
        <f t="shared" si="89"/>
        <v>0</v>
      </c>
    </row>
    <row r="907" spans="1:22" x14ac:dyDescent="0.45">
      <c r="A907" t="s">
        <v>1725</v>
      </c>
      <c r="B907" t="s">
        <v>789</v>
      </c>
      <c r="C907" t="s">
        <v>32</v>
      </c>
      <c r="D907" t="s">
        <v>67</v>
      </c>
      <c r="E907" t="s">
        <v>17</v>
      </c>
      <c r="F907">
        <v>41</v>
      </c>
      <c r="G907">
        <v>1553</v>
      </c>
      <c r="H907">
        <v>63673</v>
      </c>
      <c r="I907" t="s">
        <v>1713</v>
      </c>
      <c r="K907">
        <v>0</v>
      </c>
      <c r="L907">
        <v>0</v>
      </c>
      <c r="M907" t="s">
        <v>297</v>
      </c>
      <c r="N907" t="str">
        <f t="shared" si="84"/>
        <v>PO-100906</v>
      </c>
      <c r="O907" t="str">
        <f t="shared" si="85"/>
        <v>Open</v>
      </c>
      <c r="P907" t="str">
        <f t="shared" si="86"/>
        <v>WH-BLR</v>
      </c>
      <c r="Q907" t="str">
        <f>VLOOKUP(C907, Lookups!$A$2:$D$10, 2, FALSE())</f>
        <v>OfficeDepot Pro</v>
      </c>
      <c r="R907" t="str">
        <f>_xlfn.XLOOKUP(D907, Lookups!$A$12:$A$51, Lookups!$C$12:$C$51, "Unknown")</f>
        <v>Peripherals</v>
      </c>
      <c r="S907" t="str">
        <f>IF(ISBLANK(I907), B907+VLOOKUP(C907, Lookups!$A$2:$D$10, 4, FALSE()), I907)</f>
        <v>2026-12-19</v>
      </c>
      <c r="T907" t="str">
        <f t="shared" si="87"/>
        <v/>
      </c>
      <c r="U907" t="str">
        <f t="shared" si="88"/>
        <v>Open</v>
      </c>
      <c r="V907">
        <f t="shared" si="89"/>
        <v>0</v>
      </c>
    </row>
    <row r="908" spans="1:22" x14ac:dyDescent="0.45">
      <c r="A908" t="s">
        <v>1726</v>
      </c>
      <c r="B908" t="s">
        <v>439</v>
      </c>
      <c r="C908" t="s">
        <v>31</v>
      </c>
      <c r="D908" t="s">
        <v>85</v>
      </c>
      <c r="E908" t="s">
        <v>16</v>
      </c>
      <c r="F908">
        <v>137</v>
      </c>
      <c r="G908">
        <v>16501</v>
      </c>
      <c r="H908">
        <v>2260637</v>
      </c>
      <c r="I908" t="s">
        <v>741</v>
      </c>
      <c r="J908" t="s">
        <v>380</v>
      </c>
      <c r="K908">
        <v>137</v>
      </c>
      <c r="L908">
        <v>0</v>
      </c>
      <c r="M908" t="s">
        <v>115</v>
      </c>
      <c r="N908" t="str">
        <f t="shared" si="84"/>
        <v>PO-100907</v>
      </c>
      <c r="O908" t="str">
        <f t="shared" si="85"/>
        <v>Delivered</v>
      </c>
      <c r="P908" t="str">
        <f t="shared" si="86"/>
        <v>WH-DEL</v>
      </c>
      <c r="Q908" t="str">
        <f>VLOOKUP(C908, Lookups!$A$2:$D$10, 2, FALSE())</f>
        <v>Global Networks</v>
      </c>
      <c r="R908" t="str">
        <f>_xlfn.XLOOKUP(D908, Lookups!$A$12:$A$51, Lookups!$C$12:$C$51, "Unknown")</f>
        <v>Networking</v>
      </c>
      <c r="S908" t="str">
        <f>IF(ISBLANK(I908), B908+VLOOKUP(C908, Lookups!$A$2:$D$10, 4, FALSE()), I908)</f>
        <v>2025-03-05</v>
      </c>
      <c r="T908">
        <f t="shared" si="87"/>
        <v>22</v>
      </c>
      <c r="U908" t="str">
        <f t="shared" si="88"/>
        <v>Late</v>
      </c>
      <c r="V908">
        <f t="shared" si="89"/>
        <v>0</v>
      </c>
    </row>
    <row r="909" spans="1:22" x14ac:dyDescent="0.45">
      <c r="A909" t="s">
        <v>1727</v>
      </c>
      <c r="B909" t="s">
        <v>1191</v>
      </c>
      <c r="C909" t="s">
        <v>34</v>
      </c>
      <c r="D909" t="s">
        <v>81</v>
      </c>
      <c r="E909" t="s">
        <v>15</v>
      </c>
      <c r="F909">
        <v>58</v>
      </c>
      <c r="G909">
        <v>55328</v>
      </c>
      <c r="H909">
        <v>3209024</v>
      </c>
      <c r="I909" t="s">
        <v>971</v>
      </c>
      <c r="J909" t="s">
        <v>1329</v>
      </c>
      <c r="K909">
        <v>58</v>
      </c>
      <c r="L909">
        <v>6</v>
      </c>
      <c r="M909" t="s">
        <v>115</v>
      </c>
      <c r="N909" t="str">
        <f t="shared" si="84"/>
        <v>PO-100908</v>
      </c>
      <c r="O909" t="str">
        <f t="shared" si="85"/>
        <v>Delivered</v>
      </c>
      <c r="P909" t="str">
        <f t="shared" si="86"/>
        <v>WH-BOM</v>
      </c>
      <c r="Q909" t="str">
        <f>VLOOKUP(C909, Lookups!$A$2:$D$10, 2, FALSE())</f>
        <v>FastElectronics</v>
      </c>
      <c r="R909" t="str">
        <f>_xlfn.XLOOKUP(D909, Lookups!$A$12:$A$51, Lookups!$C$12:$C$51, "Unknown")</f>
        <v>Electronics</v>
      </c>
      <c r="S909" t="str">
        <f>IF(ISBLANK(I909), B909+VLOOKUP(C909, Lookups!$A$2:$D$10, 4, FALSE()), I909)</f>
        <v>2025-05-24</v>
      </c>
      <c r="T909">
        <f t="shared" si="87"/>
        <v>19</v>
      </c>
      <c r="U909" t="str">
        <f t="shared" si="88"/>
        <v>Late</v>
      </c>
      <c r="V909">
        <f t="shared" si="89"/>
        <v>0.10344827586206896</v>
      </c>
    </row>
    <row r="910" spans="1:22" x14ac:dyDescent="0.45">
      <c r="A910" t="s">
        <v>1728</v>
      </c>
      <c r="B910" t="s">
        <v>495</v>
      </c>
      <c r="C910" t="s">
        <v>30</v>
      </c>
      <c r="D910" t="s">
        <v>53</v>
      </c>
      <c r="E910" t="s">
        <v>15</v>
      </c>
      <c r="F910">
        <v>204</v>
      </c>
      <c r="G910">
        <v>81048</v>
      </c>
      <c r="H910">
        <v>16533792</v>
      </c>
      <c r="I910" t="s">
        <v>646</v>
      </c>
      <c r="J910" t="s">
        <v>750</v>
      </c>
      <c r="K910">
        <v>151</v>
      </c>
      <c r="L910">
        <v>0</v>
      </c>
      <c r="M910" t="s">
        <v>115</v>
      </c>
      <c r="N910" t="str">
        <f t="shared" si="84"/>
        <v>PO-100909</v>
      </c>
      <c r="O910" t="str">
        <f t="shared" si="85"/>
        <v>Delivered</v>
      </c>
      <c r="P910" t="str">
        <f t="shared" si="86"/>
        <v>WH-BOM</v>
      </c>
      <c r="Q910" t="str">
        <f>VLOOKUP(C910, Lookups!$A$2:$D$10, 2, FALSE())</f>
        <v>TechSupply Corp</v>
      </c>
      <c r="R910" t="str">
        <f>_xlfn.XLOOKUP(D910, Lookups!$A$12:$A$51, Lookups!$C$12:$C$51, "Unknown")</f>
        <v>Electronics</v>
      </c>
      <c r="S910" t="str">
        <f>IF(ISBLANK(I910), B910+VLOOKUP(C910, Lookups!$A$2:$D$10, 4, FALSE()), I910)</f>
        <v>2026-10-07</v>
      </c>
      <c r="T910">
        <f t="shared" si="87"/>
        <v>27</v>
      </c>
      <c r="U910" t="str">
        <f t="shared" si="88"/>
        <v>Late</v>
      </c>
      <c r="V910">
        <f t="shared" si="89"/>
        <v>0</v>
      </c>
    </row>
    <row r="911" spans="1:22" x14ac:dyDescent="0.45">
      <c r="A911" t="s">
        <v>1729</v>
      </c>
      <c r="B911" t="s">
        <v>1401</v>
      </c>
      <c r="C911" t="s">
        <v>37</v>
      </c>
      <c r="D911" t="s">
        <v>69</v>
      </c>
      <c r="E911" t="s">
        <v>15</v>
      </c>
      <c r="F911">
        <v>135</v>
      </c>
      <c r="G911">
        <v>13231</v>
      </c>
      <c r="H911">
        <v>1786185</v>
      </c>
      <c r="I911" t="s">
        <v>158</v>
      </c>
      <c r="J911" t="s">
        <v>158</v>
      </c>
      <c r="K911">
        <v>135</v>
      </c>
      <c r="L911">
        <v>0</v>
      </c>
      <c r="M911" t="s">
        <v>115</v>
      </c>
      <c r="N911" t="str">
        <f t="shared" si="84"/>
        <v>PO-100910</v>
      </c>
      <c r="O911" t="str">
        <f t="shared" si="85"/>
        <v>Delivered</v>
      </c>
      <c r="P911" t="str">
        <f t="shared" si="86"/>
        <v>WH-BOM</v>
      </c>
      <c r="Q911" t="str">
        <f>VLOOKUP(C911, Lookups!$A$2:$D$10, 2, FALSE())</f>
        <v>Premium Desks Ltd</v>
      </c>
      <c r="R911" t="str">
        <f>_xlfn.XLOOKUP(D911, Lookups!$A$12:$A$51, Lookups!$C$12:$C$51, "Unknown")</f>
        <v>Office Furniture</v>
      </c>
      <c r="S911" t="str">
        <f>IF(ISBLANK(I911), B911+VLOOKUP(C911, Lookups!$A$2:$D$10, 4, FALSE()), I911)</f>
        <v>2026-11-05</v>
      </c>
      <c r="T911">
        <f t="shared" si="87"/>
        <v>12</v>
      </c>
      <c r="U911" t="str">
        <f t="shared" si="88"/>
        <v>On-Time</v>
      </c>
      <c r="V911">
        <f t="shared" si="89"/>
        <v>0</v>
      </c>
    </row>
    <row r="912" spans="1:22" x14ac:dyDescent="0.45">
      <c r="A912" t="s">
        <v>1730</v>
      </c>
      <c r="B912" t="s">
        <v>675</v>
      </c>
      <c r="C912" t="s">
        <v>34</v>
      </c>
      <c r="D912" t="s">
        <v>58</v>
      </c>
      <c r="E912" t="s">
        <v>18</v>
      </c>
      <c r="F912">
        <v>241</v>
      </c>
      <c r="G912">
        <v>100302</v>
      </c>
      <c r="H912">
        <v>24172782</v>
      </c>
      <c r="I912" t="s">
        <v>955</v>
      </c>
      <c r="J912" t="s">
        <v>955</v>
      </c>
      <c r="K912">
        <v>241</v>
      </c>
      <c r="L912">
        <v>0</v>
      </c>
      <c r="M912" t="s">
        <v>115</v>
      </c>
      <c r="N912" t="str">
        <f t="shared" si="84"/>
        <v>PO-100911</v>
      </c>
      <c r="O912" t="str">
        <f t="shared" si="85"/>
        <v>Delivered</v>
      </c>
      <c r="P912" t="str">
        <f t="shared" si="86"/>
        <v>WH-PUN</v>
      </c>
      <c r="Q912" t="str">
        <f>VLOOKUP(C912, Lookups!$A$2:$D$10, 2, FALSE())</f>
        <v>FastElectronics</v>
      </c>
      <c r="R912" t="str">
        <f>_xlfn.XLOOKUP(D912, Lookups!$A$12:$A$51, Lookups!$C$12:$C$51, "Unknown")</f>
        <v>Electronics</v>
      </c>
      <c r="S912" t="str">
        <f>IF(ISBLANK(I912), B912+VLOOKUP(C912, Lookups!$A$2:$D$10, 4, FALSE()), I912)</f>
        <v>2026-12-16</v>
      </c>
      <c r="T912">
        <f t="shared" si="87"/>
        <v>18</v>
      </c>
      <c r="U912" t="str">
        <f t="shared" si="88"/>
        <v>On-Time</v>
      </c>
      <c r="V912">
        <f t="shared" si="89"/>
        <v>0</v>
      </c>
    </row>
    <row r="913" spans="1:22" x14ac:dyDescent="0.45">
      <c r="A913" t="s">
        <v>1731</v>
      </c>
      <c r="B913" t="s">
        <v>598</v>
      </c>
      <c r="C913" t="s">
        <v>36</v>
      </c>
      <c r="D913" t="s">
        <v>87</v>
      </c>
      <c r="E913" t="s">
        <v>18</v>
      </c>
      <c r="F913">
        <v>123</v>
      </c>
      <c r="G913">
        <v>82930</v>
      </c>
      <c r="H913">
        <v>10200390</v>
      </c>
      <c r="I913" t="s">
        <v>145</v>
      </c>
      <c r="J913" t="s">
        <v>145</v>
      </c>
      <c r="K913">
        <v>123</v>
      </c>
      <c r="L913">
        <v>0</v>
      </c>
      <c r="M913" t="s">
        <v>115</v>
      </c>
      <c r="N913" t="str">
        <f t="shared" si="84"/>
        <v>PO-100912</v>
      </c>
      <c r="O913" t="str">
        <f t="shared" si="85"/>
        <v>Delivered</v>
      </c>
      <c r="P913" t="str">
        <f t="shared" si="86"/>
        <v>WH-PUN</v>
      </c>
      <c r="Q913" t="str">
        <f>VLOOKUP(C913, Lookups!$A$2:$D$10, 2, FALSE())</f>
        <v>NextGen Hardware</v>
      </c>
      <c r="R913" t="str">
        <f>_xlfn.XLOOKUP(D913, Lookups!$A$12:$A$51, Lookups!$C$12:$C$51, "Unknown")</f>
        <v>Electronics</v>
      </c>
      <c r="S913" t="str">
        <f>IF(ISBLANK(I913), B913+VLOOKUP(C913, Lookups!$A$2:$D$10, 4, FALSE()), I913)</f>
        <v>2025-09-24</v>
      </c>
      <c r="T913">
        <f t="shared" si="87"/>
        <v>24</v>
      </c>
      <c r="U913" t="str">
        <f t="shared" si="88"/>
        <v>On-Time</v>
      </c>
      <c r="V913">
        <f t="shared" si="89"/>
        <v>0</v>
      </c>
    </row>
    <row r="914" spans="1:22" x14ac:dyDescent="0.45">
      <c r="A914" t="s">
        <v>1732</v>
      </c>
      <c r="B914" t="s">
        <v>625</v>
      </c>
      <c r="C914" t="s">
        <v>37</v>
      </c>
      <c r="D914" t="s">
        <v>83</v>
      </c>
      <c r="E914" t="s">
        <v>16</v>
      </c>
      <c r="F914">
        <v>104</v>
      </c>
      <c r="G914">
        <v>19850</v>
      </c>
      <c r="H914">
        <v>2064400</v>
      </c>
      <c r="I914" t="s">
        <v>202</v>
      </c>
      <c r="J914" t="s">
        <v>1671</v>
      </c>
      <c r="K914">
        <v>104</v>
      </c>
      <c r="L914">
        <v>0</v>
      </c>
      <c r="M914" t="s">
        <v>115</v>
      </c>
      <c r="N914" t="str">
        <f t="shared" si="84"/>
        <v>PO-100913</v>
      </c>
      <c r="O914" t="str">
        <f t="shared" si="85"/>
        <v>Delivered</v>
      </c>
      <c r="P914" t="str">
        <f t="shared" si="86"/>
        <v>WH-DEL</v>
      </c>
      <c r="Q914" t="str">
        <f>VLOOKUP(C914, Lookups!$A$2:$D$10, 2, FALSE())</f>
        <v>Premium Desks Ltd</v>
      </c>
      <c r="R914" t="str">
        <f>_xlfn.XLOOKUP(D914, Lookups!$A$12:$A$51, Lookups!$C$12:$C$51, "Unknown")</f>
        <v>Office Furniture</v>
      </c>
      <c r="S914" t="str">
        <f>IF(ISBLANK(I914), B914+VLOOKUP(C914, Lookups!$A$2:$D$10, 4, FALSE()), I914)</f>
        <v>2026-03-27</v>
      </c>
      <c r="T914">
        <f t="shared" si="87"/>
        <v>13</v>
      </c>
      <c r="U914" t="str">
        <f t="shared" si="88"/>
        <v>Late</v>
      </c>
      <c r="V914">
        <f t="shared" si="89"/>
        <v>0</v>
      </c>
    </row>
    <row r="915" spans="1:22" x14ac:dyDescent="0.45">
      <c r="A915" t="s">
        <v>1733</v>
      </c>
      <c r="B915" t="s">
        <v>379</v>
      </c>
      <c r="C915" t="s">
        <v>37</v>
      </c>
      <c r="D915" t="s">
        <v>83</v>
      </c>
      <c r="E915" t="s">
        <v>15</v>
      </c>
      <c r="F915">
        <v>126</v>
      </c>
      <c r="G915">
        <v>19850</v>
      </c>
      <c r="H915">
        <v>2501100</v>
      </c>
      <c r="I915" t="s">
        <v>186</v>
      </c>
      <c r="J915" t="s">
        <v>476</v>
      </c>
      <c r="K915">
        <v>126</v>
      </c>
      <c r="L915">
        <v>0</v>
      </c>
      <c r="M915" t="s">
        <v>115</v>
      </c>
      <c r="N915" t="str">
        <f t="shared" si="84"/>
        <v>PO-100914</v>
      </c>
      <c r="O915" t="str">
        <f t="shared" si="85"/>
        <v>Delivered</v>
      </c>
      <c r="P915" t="str">
        <f t="shared" si="86"/>
        <v>WH-BOM</v>
      </c>
      <c r="Q915" t="str">
        <f>VLOOKUP(C915, Lookups!$A$2:$D$10, 2, FALSE())</f>
        <v>Premium Desks Ltd</v>
      </c>
      <c r="R915" t="str">
        <f>_xlfn.XLOOKUP(D915, Lookups!$A$12:$A$51, Lookups!$C$12:$C$51, "Unknown")</f>
        <v>Office Furniture</v>
      </c>
      <c r="S915" t="str">
        <f>IF(ISBLANK(I915), B915+VLOOKUP(C915, Lookups!$A$2:$D$10, 4, FALSE()), I915)</f>
        <v>2025-02-28</v>
      </c>
      <c r="T915">
        <f t="shared" si="87"/>
        <v>22</v>
      </c>
      <c r="U915" t="str">
        <f t="shared" si="88"/>
        <v>Late</v>
      </c>
      <c r="V915">
        <f t="shared" si="89"/>
        <v>0</v>
      </c>
    </row>
    <row r="916" spans="1:22" x14ac:dyDescent="0.45">
      <c r="A916" t="s">
        <v>1734</v>
      </c>
      <c r="B916" t="s">
        <v>478</v>
      </c>
      <c r="C916" t="s">
        <v>35</v>
      </c>
      <c r="D916" t="s">
        <v>65</v>
      </c>
      <c r="E916" t="s">
        <v>16</v>
      </c>
      <c r="F916">
        <v>215</v>
      </c>
      <c r="G916">
        <v>4936</v>
      </c>
      <c r="H916">
        <v>1061240</v>
      </c>
      <c r="I916" t="s">
        <v>910</v>
      </c>
      <c r="J916" t="s">
        <v>910</v>
      </c>
      <c r="K916">
        <v>215</v>
      </c>
      <c r="L916">
        <v>0</v>
      </c>
      <c r="M916" t="s">
        <v>115</v>
      </c>
      <c r="N916" t="str">
        <f t="shared" si="84"/>
        <v>PO-100915</v>
      </c>
      <c r="O916" t="str">
        <f t="shared" si="85"/>
        <v>Delivered</v>
      </c>
      <c r="P916" t="str">
        <f t="shared" si="86"/>
        <v>WH-DEL</v>
      </c>
      <c r="Q916" t="str">
        <f>VLOOKUP(C916, Lookups!$A$2:$D$10, 2, FALSE())</f>
        <v>Peripheral Source</v>
      </c>
      <c r="R916" t="str">
        <f>_xlfn.XLOOKUP(D916, Lookups!$A$12:$A$51, Lookups!$C$12:$C$51, "Unknown")</f>
        <v>Peripherals</v>
      </c>
      <c r="S916" t="str">
        <f>IF(ISBLANK(I916), B916+VLOOKUP(C916, Lookups!$A$2:$D$10, 4, FALSE()), I916)</f>
        <v>2025-04-08</v>
      </c>
      <c r="T916">
        <f t="shared" si="87"/>
        <v>10</v>
      </c>
      <c r="U916" t="str">
        <f t="shared" si="88"/>
        <v>On-Time</v>
      </c>
      <c r="V916">
        <f t="shared" si="89"/>
        <v>0</v>
      </c>
    </row>
    <row r="917" spans="1:22" x14ac:dyDescent="0.45">
      <c r="A917" t="s">
        <v>1735</v>
      </c>
      <c r="B917" t="s">
        <v>1736</v>
      </c>
      <c r="C917" t="s">
        <v>37</v>
      </c>
      <c r="D917" t="s">
        <v>69</v>
      </c>
      <c r="E917" t="s">
        <v>16</v>
      </c>
      <c r="F917">
        <v>22</v>
      </c>
      <c r="G917">
        <v>13231</v>
      </c>
      <c r="H917">
        <v>291082</v>
      </c>
      <c r="I917" t="s">
        <v>1158</v>
      </c>
      <c r="J917" t="s">
        <v>1737</v>
      </c>
      <c r="K917">
        <v>22</v>
      </c>
      <c r="L917">
        <v>0</v>
      </c>
      <c r="M917" t="s">
        <v>115</v>
      </c>
      <c r="N917" t="str">
        <f t="shared" si="84"/>
        <v>PO-100916</v>
      </c>
      <c r="O917" t="str">
        <f t="shared" si="85"/>
        <v>Delivered</v>
      </c>
      <c r="P917" t="str">
        <f t="shared" si="86"/>
        <v>WH-DEL</v>
      </c>
      <c r="Q917" t="str">
        <f>VLOOKUP(C917, Lookups!$A$2:$D$10, 2, FALSE())</f>
        <v>Premium Desks Ltd</v>
      </c>
      <c r="R917" t="str">
        <f>_xlfn.XLOOKUP(D917, Lookups!$A$12:$A$51, Lookups!$C$12:$C$51, "Unknown")</f>
        <v>Office Furniture</v>
      </c>
      <c r="S917" t="str">
        <f>IF(ISBLANK(I917), B917+VLOOKUP(C917, Lookups!$A$2:$D$10, 4, FALSE()), I917)</f>
        <v>2025-03-30</v>
      </c>
      <c r="T917">
        <f t="shared" si="87"/>
        <v>13</v>
      </c>
      <c r="U917" t="str">
        <f t="shared" si="88"/>
        <v>Late</v>
      </c>
      <c r="V917">
        <f t="shared" si="89"/>
        <v>0</v>
      </c>
    </row>
    <row r="918" spans="1:22" x14ac:dyDescent="0.45">
      <c r="A918" t="s">
        <v>1738</v>
      </c>
      <c r="B918" t="s">
        <v>1337</v>
      </c>
      <c r="C918" t="s">
        <v>31</v>
      </c>
      <c r="D918" t="s">
        <v>66</v>
      </c>
      <c r="E918" t="s">
        <v>18</v>
      </c>
      <c r="F918">
        <v>113</v>
      </c>
      <c r="G918">
        <v>29719</v>
      </c>
      <c r="H918">
        <v>3358247</v>
      </c>
      <c r="I918" t="s">
        <v>981</v>
      </c>
      <c r="J918" t="s">
        <v>981</v>
      </c>
      <c r="K918">
        <v>113</v>
      </c>
      <c r="L918">
        <v>0</v>
      </c>
      <c r="M918" t="s">
        <v>115</v>
      </c>
      <c r="N918" t="str">
        <f t="shared" si="84"/>
        <v>PO-100917</v>
      </c>
      <c r="O918" t="str">
        <f t="shared" si="85"/>
        <v>Delivered</v>
      </c>
      <c r="P918" t="str">
        <f t="shared" si="86"/>
        <v>WH-PUN</v>
      </c>
      <c r="Q918" t="str">
        <f>VLOOKUP(C918, Lookups!$A$2:$D$10, 2, FALSE())</f>
        <v>Global Networks</v>
      </c>
      <c r="R918" t="str">
        <f>_xlfn.XLOOKUP(D918, Lookups!$A$12:$A$51, Lookups!$C$12:$C$51, "Unknown")</f>
        <v>Networking</v>
      </c>
      <c r="S918" t="str">
        <f>IF(ISBLANK(I918), B918+VLOOKUP(C918, Lookups!$A$2:$D$10, 4, FALSE()), I918)</f>
        <v>2026-10-13</v>
      </c>
      <c r="T918">
        <f t="shared" si="87"/>
        <v>21</v>
      </c>
      <c r="U918" t="str">
        <f t="shared" si="88"/>
        <v>On-Time</v>
      </c>
      <c r="V918">
        <f t="shared" si="89"/>
        <v>0</v>
      </c>
    </row>
    <row r="919" spans="1:22" x14ac:dyDescent="0.45">
      <c r="A919" t="s">
        <v>1739</v>
      </c>
      <c r="B919" t="s">
        <v>1740</v>
      </c>
      <c r="C919" t="s">
        <v>37</v>
      </c>
      <c r="D919" t="s">
        <v>78</v>
      </c>
      <c r="E919" t="s">
        <v>18</v>
      </c>
      <c r="F919">
        <v>206</v>
      </c>
      <c r="G919">
        <v>9423</v>
      </c>
      <c r="H919">
        <v>1941138</v>
      </c>
      <c r="I919" t="s">
        <v>683</v>
      </c>
      <c r="J919" t="s">
        <v>683</v>
      </c>
      <c r="K919">
        <v>206</v>
      </c>
      <c r="L919">
        <v>0</v>
      </c>
      <c r="M919" t="s">
        <v>115</v>
      </c>
      <c r="N919" t="str">
        <f t="shared" si="84"/>
        <v>PO-100918</v>
      </c>
      <c r="O919" t="str">
        <f t="shared" si="85"/>
        <v>Delivered</v>
      </c>
      <c r="P919" t="str">
        <f t="shared" si="86"/>
        <v>WH-PUN</v>
      </c>
      <c r="Q919" t="str">
        <f>VLOOKUP(C919, Lookups!$A$2:$D$10, 2, FALSE())</f>
        <v>Premium Desks Ltd</v>
      </c>
      <c r="R919" t="str">
        <f>_xlfn.XLOOKUP(D919, Lookups!$A$12:$A$51, Lookups!$C$12:$C$51, "Unknown")</f>
        <v>Office Furniture</v>
      </c>
      <c r="S919" t="str">
        <f>IF(ISBLANK(I919), B919+VLOOKUP(C919, Lookups!$A$2:$D$10, 4, FALSE()), I919)</f>
        <v>2026-08-17</v>
      </c>
      <c r="T919">
        <f t="shared" si="87"/>
        <v>12</v>
      </c>
      <c r="U919" t="str">
        <f t="shared" si="88"/>
        <v>On-Time</v>
      </c>
      <c r="V919">
        <f t="shared" si="89"/>
        <v>0</v>
      </c>
    </row>
    <row r="920" spans="1:22" x14ac:dyDescent="0.45">
      <c r="A920" t="s">
        <v>1741</v>
      </c>
      <c r="B920" t="s">
        <v>466</v>
      </c>
      <c r="C920" t="s">
        <v>31</v>
      </c>
      <c r="D920" t="s">
        <v>64</v>
      </c>
      <c r="E920" t="s">
        <v>15</v>
      </c>
      <c r="F920">
        <v>180</v>
      </c>
      <c r="G920">
        <v>36295</v>
      </c>
      <c r="H920">
        <v>6533100</v>
      </c>
      <c r="I920" t="s">
        <v>438</v>
      </c>
      <c r="J920" t="s">
        <v>284</v>
      </c>
      <c r="K920">
        <v>180</v>
      </c>
      <c r="L920">
        <v>0</v>
      </c>
      <c r="M920" t="s">
        <v>115</v>
      </c>
      <c r="N920" t="str">
        <f t="shared" si="84"/>
        <v>PO-100919</v>
      </c>
      <c r="O920" t="str">
        <f t="shared" si="85"/>
        <v>Delivered</v>
      </c>
      <c r="P920" t="str">
        <f t="shared" si="86"/>
        <v>WH-BOM</v>
      </c>
      <c r="Q920" t="str">
        <f>VLOOKUP(C920, Lookups!$A$2:$D$10, 2, FALSE())</f>
        <v>Global Networks</v>
      </c>
      <c r="R920" t="str">
        <f>_xlfn.XLOOKUP(D920, Lookups!$A$12:$A$51, Lookups!$C$12:$C$51, "Unknown")</f>
        <v>Networking</v>
      </c>
      <c r="S920" t="str">
        <f>IF(ISBLANK(I920), B920+VLOOKUP(C920, Lookups!$A$2:$D$10, 4, FALSE()), I920)</f>
        <v>2025-02-13</v>
      </c>
      <c r="T920">
        <f t="shared" si="87"/>
        <v>30</v>
      </c>
      <c r="U920" t="str">
        <f t="shared" si="88"/>
        <v>Late</v>
      </c>
      <c r="V920">
        <f t="shared" si="89"/>
        <v>0</v>
      </c>
    </row>
    <row r="921" spans="1:22" x14ac:dyDescent="0.45">
      <c r="A921" t="s">
        <v>1742</v>
      </c>
      <c r="B921" t="s">
        <v>548</v>
      </c>
      <c r="C921" t="s">
        <v>37</v>
      </c>
      <c r="D921" t="s">
        <v>79</v>
      </c>
      <c r="E921" t="s">
        <v>17</v>
      </c>
      <c r="F921">
        <v>153</v>
      </c>
      <c r="G921">
        <v>23054</v>
      </c>
      <c r="H921">
        <v>3527262</v>
      </c>
      <c r="I921" t="s">
        <v>591</v>
      </c>
      <c r="J921" t="s">
        <v>358</v>
      </c>
      <c r="K921">
        <v>153</v>
      </c>
      <c r="L921">
        <v>0</v>
      </c>
      <c r="M921" t="s">
        <v>115</v>
      </c>
      <c r="N921" t="str">
        <f t="shared" si="84"/>
        <v>PO-100920</v>
      </c>
      <c r="O921" t="str">
        <f t="shared" si="85"/>
        <v>Delivered</v>
      </c>
      <c r="P921" t="str">
        <f t="shared" si="86"/>
        <v>WH-BLR</v>
      </c>
      <c r="Q921" t="str">
        <f>VLOOKUP(C921, Lookups!$A$2:$D$10, 2, FALSE())</f>
        <v>Premium Desks Ltd</v>
      </c>
      <c r="R921" t="str">
        <f>_xlfn.XLOOKUP(D921, Lookups!$A$12:$A$51, Lookups!$C$12:$C$51, "Unknown")</f>
        <v>Office Furniture</v>
      </c>
      <c r="S921" t="str">
        <f>IF(ISBLANK(I921), B921+VLOOKUP(C921, Lookups!$A$2:$D$10, 4, FALSE()), I921)</f>
        <v>2026-01-20</v>
      </c>
      <c r="T921">
        <f t="shared" si="87"/>
        <v>13</v>
      </c>
      <c r="U921" t="str">
        <f t="shared" si="88"/>
        <v>Late</v>
      </c>
      <c r="V921">
        <f t="shared" si="89"/>
        <v>0</v>
      </c>
    </row>
    <row r="922" spans="1:22" x14ac:dyDescent="0.45">
      <c r="A922" t="s">
        <v>1743</v>
      </c>
      <c r="B922" t="s">
        <v>447</v>
      </c>
      <c r="C922" t="s">
        <v>36</v>
      </c>
      <c r="D922" t="s">
        <v>63</v>
      </c>
      <c r="E922" t="s">
        <v>18</v>
      </c>
      <c r="F922">
        <v>70</v>
      </c>
      <c r="G922">
        <v>71062</v>
      </c>
      <c r="H922">
        <v>4974340</v>
      </c>
      <c r="I922" t="s">
        <v>836</v>
      </c>
      <c r="J922" t="s">
        <v>837</v>
      </c>
      <c r="K922">
        <v>70</v>
      </c>
      <c r="L922">
        <v>0</v>
      </c>
      <c r="M922" t="s">
        <v>115</v>
      </c>
      <c r="N922" t="str">
        <f t="shared" si="84"/>
        <v>PO-100921</v>
      </c>
      <c r="O922" t="str">
        <f t="shared" si="85"/>
        <v>Delivered</v>
      </c>
      <c r="P922" t="str">
        <f t="shared" si="86"/>
        <v>WH-PUN</v>
      </c>
      <c r="Q922" t="str">
        <f>VLOOKUP(C922, Lookups!$A$2:$D$10, 2, FALSE())</f>
        <v>NextGen Hardware</v>
      </c>
      <c r="R922" t="str">
        <f>_xlfn.XLOOKUP(D922, Lookups!$A$12:$A$51, Lookups!$C$12:$C$51, "Unknown")</f>
        <v>Electronics</v>
      </c>
      <c r="S922" t="str">
        <f>IF(ISBLANK(I922), B922+VLOOKUP(C922, Lookups!$A$2:$D$10, 4, FALSE()), I922)</f>
        <v>2026-01-10</v>
      </c>
      <c r="T922">
        <f t="shared" si="87"/>
        <v>25</v>
      </c>
      <c r="U922" t="str">
        <f t="shared" si="88"/>
        <v>Late</v>
      </c>
      <c r="V922">
        <f t="shared" si="89"/>
        <v>0</v>
      </c>
    </row>
    <row r="923" spans="1:22" x14ac:dyDescent="0.45">
      <c r="A923" t="s">
        <v>1744</v>
      </c>
      <c r="B923" t="s">
        <v>665</v>
      </c>
      <c r="C923" t="s">
        <v>30</v>
      </c>
      <c r="D923" t="s">
        <v>61</v>
      </c>
      <c r="E923" t="s">
        <v>18</v>
      </c>
      <c r="F923">
        <v>119</v>
      </c>
      <c r="G923">
        <v>111237</v>
      </c>
      <c r="H923">
        <v>13237203</v>
      </c>
      <c r="I923" t="s">
        <v>432</v>
      </c>
      <c r="J923" t="s">
        <v>432</v>
      </c>
      <c r="K923">
        <v>67</v>
      </c>
      <c r="L923">
        <v>0</v>
      </c>
      <c r="M923" t="s">
        <v>115</v>
      </c>
      <c r="N923" t="str">
        <f t="shared" si="84"/>
        <v>PO-100922</v>
      </c>
      <c r="O923" t="str">
        <f t="shared" si="85"/>
        <v>Delivered</v>
      </c>
      <c r="P923" t="str">
        <f t="shared" si="86"/>
        <v>WH-PUN</v>
      </c>
      <c r="Q923" t="str">
        <f>VLOOKUP(C923, Lookups!$A$2:$D$10, 2, FALSE())</f>
        <v>TechSupply Corp</v>
      </c>
      <c r="R923" t="str">
        <f>_xlfn.XLOOKUP(D923, Lookups!$A$12:$A$51, Lookups!$C$12:$C$51, "Unknown")</f>
        <v>Electronics</v>
      </c>
      <c r="S923" t="str">
        <f>IF(ISBLANK(I923), B923+VLOOKUP(C923, Lookups!$A$2:$D$10, 4, FALSE()), I923)</f>
        <v>2025-03-25</v>
      </c>
      <c r="T923">
        <f t="shared" si="87"/>
        <v>14</v>
      </c>
      <c r="U923" t="str">
        <f t="shared" si="88"/>
        <v>On-Time</v>
      </c>
      <c r="V923">
        <f t="shared" si="89"/>
        <v>0</v>
      </c>
    </row>
    <row r="924" spans="1:22" x14ac:dyDescent="0.45">
      <c r="A924" t="s">
        <v>1745</v>
      </c>
      <c r="B924" t="s">
        <v>249</v>
      </c>
      <c r="C924" t="s">
        <v>36</v>
      </c>
      <c r="D924" t="s">
        <v>62</v>
      </c>
      <c r="E924" t="s">
        <v>15</v>
      </c>
      <c r="F924">
        <v>77</v>
      </c>
      <c r="G924">
        <v>48478</v>
      </c>
      <c r="H924">
        <v>3732806</v>
      </c>
      <c r="I924" t="s">
        <v>272</v>
      </c>
      <c r="J924" t="s">
        <v>272</v>
      </c>
      <c r="K924">
        <v>77</v>
      </c>
      <c r="L924">
        <v>0</v>
      </c>
      <c r="M924" t="s">
        <v>115</v>
      </c>
      <c r="N924" t="str">
        <f t="shared" si="84"/>
        <v>PO-100923</v>
      </c>
      <c r="O924" t="str">
        <f t="shared" si="85"/>
        <v>Delivered</v>
      </c>
      <c r="P924" t="str">
        <f t="shared" si="86"/>
        <v>WH-BOM</v>
      </c>
      <c r="Q924" t="str">
        <f>VLOOKUP(C924, Lookups!$A$2:$D$10, 2, FALSE())</f>
        <v>NextGen Hardware</v>
      </c>
      <c r="R924" t="str">
        <f>_xlfn.XLOOKUP(D924, Lookups!$A$12:$A$51, Lookups!$C$12:$C$51, "Unknown")</f>
        <v>Electronics</v>
      </c>
      <c r="S924" t="str">
        <f>IF(ISBLANK(I924), B924+VLOOKUP(C924, Lookups!$A$2:$D$10, 4, FALSE()), I924)</f>
        <v>2025-08-13</v>
      </c>
      <c r="T924">
        <f t="shared" si="87"/>
        <v>24</v>
      </c>
      <c r="U924" t="str">
        <f t="shared" si="88"/>
        <v>On-Time</v>
      </c>
      <c r="V924">
        <f t="shared" si="89"/>
        <v>0</v>
      </c>
    </row>
    <row r="925" spans="1:22" x14ac:dyDescent="0.45">
      <c r="A925" t="s">
        <v>1746</v>
      </c>
      <c r="B925" t="s">
        <v>720</v>
      </c>
      <c r="C925" t="s">
        <v>35</v>
      </c>
      <c r="D925" t="s">
        <v>57</v>
      </c>
      <c r="E925" t="s">
        <v>15</v>
      </c>
      <c r="F925">
        <v>159</v>
      </c>
      <c r="G925">
        <v>2212</v>
      </c>
      <c r="H925">
        <v>351708</v>
      </c>
      <c r="I925" t="s">
        <v>721</v>
      </c>
      <c r="J925" t="s">
        <v>721</v>
      </c>
      <c r="K925">
        <v>159</v>
      </c>
      <c r="L925">
        <v>0</v>
      </c>
      <c r="M925" t="s">
        <v>115</v>
      </c>
      <c r="N925" t="str">
        <f t="shared" si="84"/>
        <v>PO-100924</v>
      </c>
      <c r="O925" t="str">
        <f t="shared" si="85"/>
        <v>Delivered</v>
      </c>
      <c r="P925" t="str">
        <f t="shared" si="86"/>
        <v>WH-BOM</v>
      </c>
      <c r="Q925" t="str">
        <f>VLOOKUP(C925, Lookups!$A$2:$D$10, 2, FALSE())</f>
        <v>Peripheral Source</v>
      </c>
      <c r="R925" t="str">
        <f>_xlfn.XLOOKUP(D925, Lookups!$A$12:$A$51, Lookups!$C$12:$C$51, "Unknown")</f>
        <v>Peripherals</v>
      </c>
      <c r="S925" t="str">
        <f>IF(ISBLANK(I925), B925+VLOOKUP(C925, Lookups!$A$2:$D$10, 4, FALSE()), I925)</f>
        <v>2026-02-01</v>
      </c>
      <c r="T925">
        <f t="shared" si="87"/>
        <v>10</v>
      </c>
      <c r="U925" t="str">
        <f t="shared" si="88"/>
        <v>On-Time</v>
      </c>
      <c r="V925">
        <f t="shared" si="89"/>
        <v>0</v>
      </c>
    </row>
    <row r="926" spans="1:22" x14ac:dyDescent="0.45">
      <c r="A926" t="s">
        <v>1747</v>
      </c>
      <c r="B926" t="s">
        <v>254</v>
      </c>
      <c r="C926" t="s">
        <v>31</v>
      </c>
      <c r="D926" t="s">
        <v>77</v>
      </c>
      <c r="E926" t="s">
        <v>17</v>
      </c>
      <c r="F926">
        <v>125</v>
      </c>
      <c r="G926">
        <v>23667</v>
      </c>
      <c r="H926">
        <v>2958375</v>
      </c>
      <c r="I926" t="s">
        <v>372</v>
      </c>
      <c r="J926" t="s">
        <v>371</v>
      </c>
      <c r="K926">
        <v>125</v>
      </c>
      <c r="L926">
        <v>0</v>
      </c>
      <c r="M926" t="s">
        <v>115</v>
      </c>
      <c r="N926" t="str">
        <f t="shared" si="84"/>
        <v>PO-100925</v>
      </c>
      <c r="O926" t="str">
        <f t="shared" si="85"/>
        <v>Delivered</v>
      </c>
      <c r="P926" t="str">
        <f t="shared" si="86"/>
        <v>WH-BLR</v>
      </c>
      <c r="Q926" t="str">
        <f>VLOOKUP(C926, Lookups!$A$2:$D$10, 2, FALSE())</f>
        <v>Global Networks</v>
      </c>
      <c r="R926" t="str">
        <f>_xlfn.XLOOKUP(D926, Lookups!$A$12:$A$51, Lookups!$C$12:$C$51, "Unknown")</f>
        <v>Networking</v>
      </c>
      <c r="S926" t="str">
        <f>IF(ISBLANK(I926), B926+VLOOKUP(C926, Lookups!$A$2:$D$10, 4, FALSE()), I926)</f>
        <v>2025-12-01</v>
      </c>
      <c r="T926">
        <f t="shared" si="87"/>
        <v>22</v>
      </c>
      <c r="U926" t="str">
        <f t="shared" si="88"/>
        <v>Late</v>
      </c>
      <c r="V926">
        <f t="shared" si="89"/>
        <v>0</v>
      </c>
    </row>
    <row r="927" spans="1:22" x14ac:dyDescent="0.45">
      <c r="A927" t="s">
        <v>1748</v>
      </c>
      <c r="B927" t="s">
        <v>250</v>
      </c>
      <c r="C927" t="s">
        <v>36</v>
      </c>
      <c r="D927" t="s">
        <v>63</v>
      </c>
      <c r="E927" t="s">
        <v>17</v>
      </c>
      <c r="F927">
        <v>185</v>
      </c>
      <c r="G927">
        <v>71062</v>
      </c>
      <c r="H927">
        <v>13146470</v>
      </c>
      <c r="I927" t="s">
        <v>1200</v>
      </c>
      <c r="J927" t="s">
        <v>1673</v>
      </c>
      <c r="K927">
        <v>185</v>
      </c>
      <c r="L927">
        <v>17</v>
      </c>
      <c r="M927" t="s">
        <v>115</v>
      </c>
      <c r="N927" t="str">
        <f t="shared" si="84"/>
        <v>PO-100926</v>
      </c>
      <c r="O927" t="str">
        <f t="shared" si="85"/>
        <v>Delivered</v>
      </c>
      <c r="P927" t="str">
        <f t="shared" si="86"/>
        <v>WH-BLR</v>
      </c>
      <c r="Q927" t="str">
        <f>VLOOKUP(C927, Lookups!$A$2:$D$10, 2, FALSE())</f>
        <v>NextGen Hardware</v>
      </c>
      <c r="R927" t="str">
        <f>_xlfn.XLOOKUP(D927, Lookups!$A$12:$A$51, Lookups!$C$12:$C$51, "Unknown")</f>
        <v>Electronics</v>
      </c>
      <c r="S927" t="str">
        <f>IF(ISBLANK(I927), B927+VLOOKUP(C927, Lookups!$A$2:$D$10, 4, FALSE()), I927)</f>
        <v>2025-09-01</v>
      </c>
      <c r="T927">
        <f t="shared" si="87"/>
        <v>25</v>
      </c>
      <c r="U927" t="str">
        <f t="shared" si="88"/>
        <v>Late</v>
      </c>
      <c r="V927">
        <f t="shared" si="89"/>
        <v>9.1891891891891897E-2</v>
      </c>
    </row>
    <row r="928" spans="1:22" x14ac:dyDescent="0.45">
      <c r="A928" t="s">
        <v>1749</v>
      </c>
      <c r="B928" t="s">
        <v>1165</v>
      </c>
      <c r="C928" t="s">
        <v>30</v>
      </c>
      <c r="D928" t="s">
        <v>86</v>
      </c>
      <c r="E928" t="s">
        <v>17</v>
      </c>
      <c r="F928">
        <v>31</v>
      </c>
      <c r="G928">
        <v>74871</v>
      </c>
      <c r="H928">
        <v>2321001</v>
      </c>
      <c r="I928" t="s">
        <v>352</v>
      </c>
      <c r="J928" t="s">
        <v>960</v>
      </c>
      <c r="K928">
        <v>31</v>
      </c>
      <c r="L928">
        <v>0</v>
      </c>
      <c r="M928" t="s">
        <v>115</v>
      </c>
      <c r="N928" t="str">
        <f t="shared" si="84"/>
        <v>PO-100927</v>
      </c>
      <c r="O928" t="str">
        <f t="shared" si="85"/>
        <v>Delivered</v>
      </c>
      <c r="P928" t="str">
        <f t="shared" si="86"/>
        <v>WH-BLR</v>
      </c>
      <c r="Q928" t="str">
        <f>VLOOKUP(C928, Lookups!$A$2:$D$10, 2, FALSE())</f>
        <v>TechSupply Corp</v>
      </c>
      <c r="R928" t="str">
        <f>_xlfn.XLOOKUP(D928, Lookups!$A$12:$A$51, Lookups!$C$12:$C$51, "Unknown")</f>
        <v>Electronics</v>
      </c>
      <c r="S928" t="str">
        <f>IF(ISBLANK(I928), B928+VLOOKUP(C928, Lookups!$A$2:$D$10, 4, FALSE()), I928)</f>
        <v>2025-04-24</v>
      </c>
      <c r="T928">
        <f t="shared" si="87"/>
        <v>13</v>
      </c>
      <c r="U928" t="str">
        <f t="shared" si="88"/>
        <v>On-Time</v>
      </c>
      <c r="V928">
        <f t="shared" si="89"/>
        <v>0</v>
      </c>
    </row>
    <row r="929" spans="1:22" x14ac:dyDescent="0.45">
      <c r="A929" t="s">
        <v>1750</v>
      </c>
      <c r="B929" t="s">
        <v>1102</v>
      </c>
      <c r="C929" t="s">
        <v>34</v>
      </c>
      <c r="D929" t="s">
        <v>73</v>
      </c>
      <c r="E929" t="s">
        <v>16</v>
      </c>
      <c r="F929">
        <v>24</v>
      </c>
      <c r="G929">
        <v>58396</v>
      </c>
      <c r="H929">
        <v>1401504</v>
      </c>
      <c r="I929" t="s">
        <v>1751</v>
      </c>
      <c r="J929" t="s">
        <v>1713</v>
      </c>
      <c r="K929">
        <v>24</v>
      </c>
      <c r="L929">
        <v>0</v>
      </c>
      <c r="M929" t="s">
        <v>115</v>
      </c>
      <c r="N929" t="str">
        <f t="shared" si="84"/>
        <v>PO-100928</v>
      </c>
      <c r="O929" t="str">
        <f t="shared" si="85"/>
        <v>Delivered</v>
      </c>
      <c r="P929" t="str">
        <f t="shared" si="86"/>
        <v>WH-DEL</v>
      </c>
      <c r="Q929" t="str">
        <f>VLOOKUP(C929, Lookups!$A$2:$D$10, 2, FALSE())</f>
        <v>FastElectronics</v>
      </c>
      <c r="R929" t="str">
        <f>_xlfn.XLOOKUP(D929, Lookups!$A$12:$A$51, Lookups!$C$12:$C$51, "Unknown")</f>
        <v>Electronics</v>
      </c>
      <c r="S929" t="str">
        <f>IF(ISBLANK(I929), B929+VLOOKUP(C929, Lookups!$A$2:$D$10, 4, FALSE()), I929)</f>
        <v>2026-12-23</v>
      </c>
      <c r="T929">
        <f t="shared" si="87"/>
        <v>14</v>
      </c>
      <c r="U929" t="str">
        <f t="shared" si="88"/>
        <v>On-Time</v>
      </c>
      <c r="V929">
        <f t="shared" si="89"/>
        <v>0</v>
      </c>
    </row>
    <row r="930" spans="1:22" x14ac:dyDescent="0.45">
      <c r="A930" t="s">
        <v>1752</v>
      </c>
      <c r="B930" t="s">
        <v>700</v>
      </c>
      <c r="C930" t="s">
        <v>32</v>
      </c>
      <c r="D930" t="s">
        <v>84</v>
      </c>
      <c r="E930" t="s">
        <v>17</v>
      </c>
      <c r="F930">
        <v>209</v>
      </c>
      <c r="G930">
        <v>7271</v>
      </c>
      <c r="H930">
        <v>1519639</v>
      </c>
      <c r="I930" t="s">
        <v>887</v>
      </c>
      <c r="J930" t="s">
        <v>389</v>
      </c>
      <c r="K930">
        <v>209</v>
      </c>
      <c r="L930">
        <v>0</v>
      </c>
      <c r="M930" t="s">
        <v>115</v>
      </c>
      <c r="N930" t="str">
        <f t="shared" si="84"/>
        <v>PO-100929</v>
      </c>
      <c r="O930" t="str">
        <f t="shared" si="85"/>
        <v>Delivered</v>
      </c>
      <c r="P930" t="str">
        <f t="shared" si="86"/>
        <v>WH-BLR</v>
      </c>
      <c r="Q930" t="str">
        <f>VLOOKUP(C930, Lookups!$A$2:$D$10, 2, FALSE())</f>
        <v>OfficeDepot Pro</v>
      </c>
      <c r="R930" t="str">
        <f>_xlfn.XLOOKUP(D930, Lookups!$A$12:$A$51, Lookups!$C$12:$C$51, "Unknown")</f>
        <v>Peripherals</v>
      </c>
      <c r="S930" t="str">
        <f>IF(ISBLANK(I930), B930+VLOOKUP(C930, Lookups!$A$2:$D$10, 4, FALSE()), I930)</f>
        <v>2026-03-23</v>
      </c>
      <c r="T930">
        <f t="shared" si="87"/>
        <v>21</v>
      </c>
      <c r="U930" t="str">
        <f t="shared" si="88"/>
        <v>Late</v>
      </c>
      <c r="V930">
        <f t="shared" si="89"/>
        <v>0</v>
      </c>
    </row>
    <row r="931" spans="1:22" x14ac:dyDescent="0.45">
      <c r="A931" t="s">
        <v>1753</v>
      </c>
      <c r="B931" t="s">
        <v>516</v>
      </c>
      <c r="C931" t="s">
        <v>34</v>
      </c>
      <c r="D931" t="s">
        <v>68</v>
      </c>
      <c r="E931" t="s">
        <v>18</v>
      </c>
      <c r="F931">
        <v>181</v>
      </c>
      <c r="G931">
        <v>41405</v>
      </c>
      <c r="H931">
        <v>7494305</v>
      </c>
      <c r="I931" t="s">
        <v>505</v>
      </c>
      <c r="J931" t="s">
        <v>268</v>
      </c>
      <c r="K931">
        <v>181</v>
      </c>
      <c r="L931">
        <v>0</v>
      </c>
      <c r="M931" t="s">
        <v>115</v>
      </c>
      <c r="N931" t="str">
        <f t="shared" si="84"/>
        <v>PO-100930</v>
      </c>
      <c r="O931" t="str">
        <f t="shared" si="85"/>
        <v>Delivered</v>
      </c>
      <c r="P931" t="str">
        <f t="shared" si="86"/>
        <v>WH-PUN</v>
      </c>
      <c r="Q931" t="str">
        <f>VLOOKUP(C931, Lookups!$A$2:$D$10, 2, FALSE())</f>
        <v>FastElectronics</v>
      </c>
      <c r="R931" t="str">
        <f>_xlfn.XLOOKUP(D931, Lookups!$A$12:$A$51, Lookups!$C$12:$C$51, "Unknown")</f>
        <v>Networking</v>
      </c>
      <c r="S931" t="str">
        <f>IF(ISBLANK(I931), B931+VLOOKUP(C931, Lookups!$A$2:$D$10, 4, FALSE()), I931)</f>
        <v>2025-04-11</v>
      </c>
      <c r="T931">
        <f t="shared" si="87"/>
        <v>20</v>
      </c>
      <c r="U931" t="str">
        <f t="shared" si="88"/>
        <v>Late</v>
      </c>
      <c r="V931">
        <f t="shared" si="89"/>
        <v>0</v>
      </c>
    </row>
    <row r="932" spans="1:22" x14ac:dyDescent="0.45">
      <c r="A932" t="s">
        <v>1754</v>
      </c>
      <c r="B932" t="s">
        <v>1218</v>
      </c>
      <c r="C932" t="s">
        <v>32</v>
      </c>
      <c r="D932" t="s">
        <v>67</v>
      </c>
      <c r="E932" t="s">
        <v>16</v>
      </c>
      <c r="F932">
        <v>72</v>
      </c>
      <c r="G932">
        <v>1553</v>
      </c>
      <c r="H932">
        <v>111816</v>
      </c>
      <c r="I932" t="s">
        <v>510</v>
      </c>
      <c r="J932" t="s">
        <v>510</v>
      </c>
      <c r="K932">
        <v>72</v>
      </c>
      <c r="L932">
        <v>0</v>
      </c>
      <c r="M932" t="s">
        <v>115</v>
      </c>
      <c r="N932" t="str">
        <f t="shared" si="84"/>
        <v>PO-100931</v>
      </c>
      <c r="O932" t="str">
        <f t="shared" si="85"/>
        <v>Delivered</v>
      </c>
      <c r="P932" t="str">
        <f t="shared" si="86"/>
        <v>WH-DEL</v>
      </c>
      <c r="Q932" t="str">
        <f>VLOOKUP(C932, Lookups!$A$2:$D$10, 2, FALSE())</f>
        <v>OfficeDepot Pro</v>
      </c>
      <c r="R932" t="str">
        <f>_xlfn.XLOOKUP(D932, Lookups!$A$12:$A$51, Lookups!$C$12:$C$51, "Unknown")</f>
        <v>Peripherals</v>
      </c>
      <c r="S932" t="str">
        <f>IF(ISBLANK(I932), B932+VLOOKUP(C932, Lookups!$A$2:$D$10, 4, FALSE()), I932)</f>
        <v>2026-06-26</v>
      </c>
      <c r="T932">
        <f t="shared" si="87"/>
        <v>7</v>
      </c>
      <c r="U932" t="str">
        <f t="shared" si="88"/>
        <v>On-Time</v>
      </c>
      <c r="V932">
        <f t="shared" si="89"/>
        <v>0</v>
      </c>
    </row>
    <row r="933" spans="1:22" x14ac:dyDescent="0.45">
      <c r="A933" t="s">
        <v>1755</v>
      </c>
      <c r="B933" t="s">
        <v>577</v>
      </c>
      <c r="C933" t="s">
        <v>36</v>
      </c>
      <c r="D933" t="s">
        <v>62</v>
      </c>
      <c r="E933" t="s">
        <v>16</v>
      </c>
      <c r="F933">
        <v>243</v>
      </c>
      <c r="G933">
        <v>48478</v>
      </c>
      <c r="H933">
        <v>11780154</v>
      </c>
      <c r="I933" t="s">
        <v>217</v>
      </c>
      <c r="J933" t="s">
        <v>217</v>
      </c>
      <c r="K933">
        <v>182</v>
      </c>
      <c r="L933">
        <v>0</v>
      </c>
      <c r="M933" t="s">
        <v>115</v>
      </c>
      <c r="N933" t="str">
        <f t="shared" si="84"/>
        <v>PO-100932</v>
      </c>
      <c r="O933" t="str">
        <f t="shared" si="85"/>
        <v>Delivered</v>
      </c>
      <c r="P933" t="str">
        <f t="shared" si="86"/>
        <v>WH-DEL</v>
      </c>
      <c r="Q933" t="str">
        <f>VLOOKUP(C933, Lookups!$A$2:$D$10, 2, FALSE())</f>
        <v>NextGen Hardware</v>
      </c>
      <c r="R933" t="str">
        <f>_xlfn.XLOOKUP(D933, Lookups!$A$12:$A$51, Lookups!$C$12:$C$51, "Unknown")</f>
        <v>Electronics</v>
      </c>
      <c r="S933" t="str">
        <f>IF(ISBLANK(I933), B933+VLOOKUP(C933, Lookups!$A$2:$D$10, 4, FALSE()), I933)</f>
        <v>2026-04-23</v>
      </c>
      <c r="T933">
        <f t="shared" si="87"/>
        <v>24</v>
      </c>
      <c r="U933" t="str">
        <f t="shared" si="88"/>
        <v>On-Time</v>
      </c>
      <c r="V933">
        <f t="shared" si="89"/>
        <v>0</v>
      </c>
    </row>
    <row r="934" spans="1:22" x14ac:dyDescent="0.45">
      <c r="A934" t="s">
        <v>1756</v>
      </c>
      <c r="B934" t="s">
        <v>873</v>
      </c>
      <c r="C934" t="s">
        <v>35</v>
      </c>
      <c r="D934" t="s">
        <v>70</v>
      </c>
      <c r="E934" t="s">
        <v>18</v>
      </c>
      <c r="F934">
        <v>242</v>
      </c>
      <c r="G934">
        <v>4287</v>
      </c>
      <c r="H934">
        <v>1037454</v>
      </c>
      <c r="I934" t="s">
        <v>165</v>
      </c>
      <c r="J934" t="s">
        <v>165</v>
      </c>
      <c r="K934">
        <v>242</v>
      </c>
      <c r="L934">
        <v>0</v>
      </c>
      <c r="M934" t="s">
        <v>115</v>
      </c>
      <c r="N934" t="str">
        <f t="shared" si="84"/>
        <v>PO-100933</v>
      </c>
      <c r="O934" t="str">
        <f t="shared" si="85"/>
        <v>Delivered</v>
      </c>
      <c r="P934" t="str">
        <f t="shared" si="86"/>
        <v>WH-PUN</v>
      </c>
      <c r="Q934" t="str">
        <f>VLOOKUP(C934, Lookups!$A$2:$D$10, 2, FALSE())</f>
        <v>Peripheral Source</v>
      </c>
      <c r="R934" t="str">
        <f>_xlfn.XLOOKUP(D934, Lookups!$A$12:$A$51, Lookups!$C$12:$C$51, "Unknown")</f>
        <v>Peripherals</v>
      </c>
      <c r="S934" t="str">
        <f>IF(ISBLANK(I934), B934+VLOOKUP(C934, Lookups!$A$2:$D$10, 4, FALSE()), I934)</f>
        <v>2026-02-19</v>
      </c>
      <c r="T934">
        <f t="shared" si="87"/>
        <v>10</v>
      </c>
      <c r="U934" t="str">
        <f t="shared" si="88"/>
        <v>On-Time</v>
      </c>
      <c r="V934">
        <f t="shared" si="89"/>
        <v>0</v>
      </c>
    </row>
    <row r="935" spans="1:22" x14ac:dyDescent="0.45">
      <c r="A935" t="s">
        <v>1757</v>
      </c>
      <c r="B935" t="s">
        <v>900</v>
      </c>
      <c r="C935" t="s">
        <v>37</v>
      </c>
      <c r="D935" t="s">
        <v>79</v>
      </c>
      <c r="E935" t="s">
        <v>15</v>
      </c>
      <c r="F935">
        <v>149</v>
      </c>
      <c r="G935">
        <v>23054</v>
      </c>
      <c r="H935">
        <v>3435046</v>
      </c>
      <c r="I935" t="s">
        <v>123</v>
      </c>
      <c r="J935" t="s">
        <v>1405</v>
      </c>
      <c r="K935">
        <v>149</v>
      </c>
      <c r="L935">
        <v>0</v>
      </c>
      <c r="M935" t="s">
        <v>115</v>
      </c>
      <c r="N935" t="str">
        <f t="shared" si="84"/>
        <v>PO-100934</v>
      </c>
      <c r="O935" t="str">
        <f t="shared" si="85"/>
        <v>Delivered</v>
      </c>
      <c r="P935" t="str">
        <f t="shared" si="86"/>
        <v>WH-BOM</v>
      </c>
      <c r="Q935" t="str">
        <f>VLOOKUP(C935, Lookups!$A$2:$D$10, 2, FALSE())</f>
        <v>Premium Desks Ltd</v>
      </c>
      <c r="R935" t="str">
        <f>_xlfn.XLOOKUP(D935, Lookups!$A$12:$A$51, Lookups!$C$12:$C$51, "Unknown")</f>
        <v>Office Furniture</v>
      </c>
      <c r="S935" t="str">
        <f>IF(ISBLANK(I935), B935+VLOOKUP(C935, Lookups!$A$2:$D$10, 4, FALSE()), I935)</f>
        <v>2026-05-22</v>
      </c>
      <c r="T935">
        <f t="shared" si="87"/>
        <v>13</v>
      </c>
      <c r="U935" t="str">
        <f t="shared" si="88"/>
        <v>Late</v>
      </c>
      <c r="V935">
        <f t="shared" si="89"/>
        <v>0</v>
      </c>
    </row>
    <row r="936" spans="1:22" x14ac:dyDescent="0.45">
      <c r="A936" t="s">
        <v>1758</v>
      </c>
      <c r="B936" t="s">
        <v>1079</v>
      </c>
      <c r="C936" t="s">
        <v>30</v>
      </c>
      <c r="D936" t="s">
        <v>52</v>
      </c>
      <c r="E936" t="s">
        <v>18</v>
      </c>
      <c r="F936">
        <v>117</v>
      </c>
      <c r="G936">
        <v>59592</v>
      </c>
      <c r="H936">
        <v>6972264</v>
      </c>
      <c r="I936" t="s">
        <v>721</v>
      </c>
      <c r="J936" t="s">
        <v>721</v>
      </c>
      <c r="K936">
        <v>117</v>
      </c>
      <c r="L936">
        <v>0</v>
      </c>
      <c r="M936" t="s">
        <v>115</v>
      </c>
      <c r="N936" t="str">
        <f t="shared" si="84"/>
        <v>PO-100935</v>
      </c>
      <c r="O936" t="str">
        <f t="shared" si="85"/>
        <v>Delivered</v>
      </c>
      <c r="P936" t="str">
        <f t="shared" si="86"/>
        <v>WH-PUN</v>
      </c>
      <c r="Q936" t="str">
        <f>VLOOKUP(C936, Lookups!$A$2:$D$10, 2, FALSE())</f>
        <v>TechSupply Corp</v>
      </c>
      <c r="R936" t="str">
        <f>_xlfn.XLOOKUP(D936, Lookups!$A$12:$A$51, Lookups!$C$12:$C$51, "Unknown")</f>
        <v>Electronics</v>
      </c>
      <c r="S936" t="str">
        <f>IF(ISBLANK(I936), B936+VLOOKUP(C936, Lookups!$A$2:$D$10, 4, FALSE()), I936)</f>
        <v>2026-02-01</v>
      </c>
      <c r="T936">
        <f t="shared" si="87"/>
        <v>14</v>
      </c>
      <c r="U936" t="str">
        <f t="shared" si="88"/>
        <v>On-Time</v>
      </c>
      <c r="V936">
        <f t="shared" si="89"/>
        <v>0</v>
      </c>
    </row>
    <row r="937" spans="1:22" x14ac:dyDescent="0.45">
      <c r="A937" t="s">
        <v>1759</v>
      </c>
      <c r="B937" t="s">
        <v>1265</v>
      </c>
      <c r="C937" t="s">
        <v>37</v>
      </c>
      <c r="D937" t="s">
        <v>83</v>
      </c>
      <c r="E937" t="s">
        <v>16</v>
      </c>
      <c r="F937">
        <v>20</v>
      </c>
      <c r="G937">
        <v>19850</v>
      </c>
      <c r="H937">
        <v>397000</v>
      </c>
      <c r="I937" t="s">
        <v>1454</v>
      </c>
      <c r="J937" t="s">
        <v>269</v>
      </c>
      <c r="K937">
        <v>20</v>
      </c>
      <c r="L937">
        <v>0</v>
      </c>
      <c r="M937" t="s">
        <v>115</v>
      </c>
      <c r="N937" t="str">
        <f t="shared" si="84"/>
        <v>PO-100936</v>
      </c>
      <c r="O937" t="str">
        <f t="shared" si="85"/>
        <v>Delivered</v>
      </c>
      <c r="P937" t="str">
        <f t="shared" si="86"/>
        <v>WH-DEL</v>
      </c>
      <c r="Q937" t="str">
        <f>VLOOKUP(C937, Lookups!$A$2:$D$10, 2, FALSE())</f>
        <v>Premium Desks Ltd</v>
      </c>
      <c r="R937" t="str">
        <f>_xlfn.XLOOKUP(D937, Lookups!$A$12:$A$51, Lookups!$C$12:$C$51, "Unknown")</f>
        <v>Office Furniture</v>
      </c>
      <c r="S937" t="str">
        <f>IF(ISBLANK(I937), B937+VLOOKUP(C937, Lookups!$A$2:$D$10, 4, FALSE()), I937)</f>
        <v>2025-04-19</v>
      </c>
      <c r="T937">
        <f t="shared" si="87"/>
        <v>13</v>
      </c>
      <c r="U937" t="str">
        <f t="shared" si="88"/>
        <v>Late</v>
      </c>
      <c r="V937">
        <f t="shared" si="89"/>
        <v>0</v>
      </c>
    </row>
    <row r="938" spans="1:22" x14ac:dyDescent="0.45">
      <c r="A938" t="s">
        <v>1760</v>
      </c>
      <c r="B938" t="s">
        <v>571</v>
      </c>
      <c r="C938" t="s">
        <v>32</v>
      </c>
      <c r="D938" t="s">
        <v>84</v>
      </c>
      <c r="E938" t="s">
        <v>18</v>
      </c>
      <c r="F938">
        <v>218</v>
      </c>
      <c r="G938">
        <v>7271</v>
      </c>
      <c r="H938">
        <v>1585078</v>
      </c>
      <c r="I938" t="s">
        <v>960</v>
      </c>
      <c r="J938" t="s">
        <v>960</v>
      </c>
      <c r="K938">
        <v>218</v>
      </c>
      <c r="L938">
        <v>0</v>
      </c>
      <c r="M938" t="s">
        <v>115</v>
      </c>
      <c r="N938" t="str">
        <f t="shared" si="84"/>
        <v>PO-100937</v>
      </c>
      <c r="O938" t="str">
        <f t="shared" si="85"/>
        <v>Delivered</v>
      </c>
      <c r="P938" t="str">
        <f t="shared" si="86"/>
        <v>WH-PUN</v>
      </c>
      <c r="Q938" t="str">
        <f>VLOOKUP(C938, Lookups!$A$2:$D$10, 2, FALSE())</f>
        <v>OfficeDepot Pro</v>
      </c>
      <c r="R938" t="str">
        <f>_xlfn.XLOOKUP(D938, Lookups!$A$12:$A$51, Lookups!$C$12:$C$51, "Unknown")</f>
        <v>Peripherals</v>
      </c>
      <c r="S938" t="str">
        <f>IF(ISBLANK(I938), B938+VLOOKUP(C938, Lookups!$A$2:$D$10, 4, FALSE()), I938)</f>
        <v>2025-04-23</v>
      </c>
      <c r="T938">
        <f t="shared" si="87"/>
        <v>7</v>
      </c>
      <c r="U938" t="str">
        <f t="shared" si="88"/>
        <v>On-Time</v>
      </c>
      <c r="V938">
        <f t="shared" si="89"/>
        <v>0</v>
      </c>
    </row>
    <row r="939" spans="1:22" x14ac:dyDescent="0.45">
      <c r="A939" t="s">
        <v>1761</v>
      </c>
      <c r="B939" t="s">
        <v>240</v>
      </c>
      <c r="C939" t="s">
        <v>34</v>
      </c>
      <c r="D939" t="s">
        <v>76</v>
      </c>
      <c r="E939" t="s">
        <v>17</v>
      </c>
      <c r="F939">
        <v>177</v>
      </c>
      <c r="G939">
        <v>26270</v>
      </c>
      <c r="H939">
        <v>4649790</v>
      </c>
      <c r="I939" t="s">
        <v>425</v>
      </c>
      <c r="J939" t="s">
        <v>1133</v>
      </c>
      <c r="K939">
        <v>177</v>
      </c>
      <c r="L939">
        <v>0</v>
      </c>
      <c r="M939" t="s">
        <v>115</v>
      </c>
      <c r="N939" t="str">
        <f t="shared" si="84"/>
        <v>PO-100938</v>
      </c>
      <c r="O939" t="str">
        <f t="shared" si="85"/>
        <v>Delivered</v>
      </c>
      <c r="P939" t="str">
        <f t="shared" si="86"/>
        <v>WH-BLR</v>
      </c>
      <c r="Q939" t="str">
        <f>VLOOKUP(C939, Lookups!$A$2:$D$10, 2, FALSE())</f>
        <v>FastElectronics</v>
      </c>
      <c r="R939" t="str">
        <f>_xlfn.XLOOKUP(D939, Lookups!$A$12:$A$51, Lookups!$C$12:$C$51, "Unknown")</f>
        <v>Networking</v>
      </c>
      <c r="S939" t="str">
        <f>IF(ISBLANK(I939), B939+VLOOKUP(C939, Lookups!$A$2:$D$10, 4, FALSE()), I939)</f>
        <v>2025-07-03</v>
      </c>
      <c r="T939">
        <f t="shared" si="87"/>
        <v>19</v>
      </c>
      <c r="U939" t="str">
        <f t="shared" si="88"/>
        <v>Late</v>
      </c>
      <c r="V939">
        <f t="shared" si="89"/>
        <v>0</v>
      </c>
    </row>
    <row r="940" spans="1:22" x14ac:dyDescent="0.45">
      <c r="A940" t="s">
        <v>1762</v>
      </c>
      <c r="B940" t="s">
        <v>247</v>
      </c>
      <c r="C940" t="s">
        <v>34</v>
      </c>
      <c r="D940" t="s">
        <v>58</v>
      </c>
      <c r="E940" t="s">
        <v>15</v>
      </c>
      <c r="F940">
        <v>112</v>
      </c>
      <c r="G940">
        <v>100302</v>
      </c>
      <c r="H940">
        <v>11233824</v>
      </c>
      <c r="I940" t="s">
        <v>464</v>
      </c>
      <c r="J940" t="s">
        <v>545</v>
      </c>
      <c r="K940">
        <v>112</v>
      </c>
      <c r="L940">
        <v>0</v>
      </c>
      <c r="M940" t="s">
        <v>115</v>
      </c>
      <c r="N940" t="str">
        <f t="shared" si="84"/>
        <v>PO-100939</v>
      </c>
      <c r="O940" t="str">
        <f t="shared" si="85"/>
        <v>Delivered</v>
      </c>
      <c r="P940" t="str">
        <f t="shared" si="86"/>
        <v>WH-BOM</v>
      </c>
      <c r="Q940" t="str">
        <f>VLOOKUP(C940, Lookups!$A$2:$D$10, 2, FALSE())</f>
        <v>FastElectronics</v>
      </c>
      <c r="R940" t="str">
        <f>_xlfn.XLOOKUP(D940, Lookups!$A$12:$A$51, Lookups!$C$12:$C$51, "Unknown")</f>
        <v>Electronics</v>
      </c>
      <c r="S940" t="str">
        <f>IF(ISBLANK(I940), B940+VLOOKUP(C940, Lookups!$A$2:$D$10, 4, FALSE()), I940)</f>
        <v>2025-11-20</v>
      </c>
      <c r="T940">
        <f t="shared" si="87"/>
        <v>31</v>
      </c>
      <c r="U940" t="str">
        <f t="shared" si="88"/>
        <v>Late</v>
      </c>
      <c r="V940">
        <f t="shared" si="89"/>
        <v>0</v>
      </c>
    </row>
    <row r="941" spans="1:22" x14ac:dyDescent="0.45">
      <c r="A941" t="s">
        <v>1763</v>
      </c>
      <c r="B941" t="s">
        <v>521</v>
      </c>
      <c r="C941" t="s">
        <v>30</v>
      </c>
      <c r="D941" t="s">
        <v>53</v>
      </c>
      <c r="E941" t="s">
        <v>18</v>
      </c>
      <c r="F941">
        <v>210</v>
      </c>
      <c r="G941">
        <v>81048</v>
      </c>
      <c r="H941">
        <v>17020080</v>
      </c>
      <c r="I941" t="s">
        <v>658</v>
      </c>
      <c r="J941" t="s">
        <v>658</v>
      </c>
      <c r="K941">
        <v>210</v>
      </c>
      <c r="L941">
        <v>0</v>
      </c>
      <c r="M941" t="s">
        <v>115</v>
      </c>
      <c r="N941" t="str">
        <f t="shared" si="84"/>
        <v>PO-100940</v>
      </c>
      <c r="O941" t="str">
        <f t="shared" si="85"/>
        <v>Delivered</v>
      </c>
      <c r="P941" t="str">
        <f t="shared" si="86"/>
        <v>WH-PUN</v>
      </c>
      <c r="Q941" t="str">
        <f>VLOOKUP(C941, Lookups!$A$2:$D$10, 2, FALSE())</f>
        <v>TechSupply Corp</v>
      </c>
      <c r="R941" t="str">
        <f>_xlfn.XLOOKUP(D941, Lookups!$A$12:$A$51, Lookups!$C$12:$C$51, "Unknown")</f>
        <v>Electronics</v>
      </c>
      <c r="S941" t="str">
        <f>IF(ISBLANK(I941), B941+VLOOKUP(C941, Lookups!$A$2:$D$10, 4, FALSE()), I941)</f>
        <v>2026-09-30</v>
      </c>
      <c r="T941">
        <f t="shared" si="87"/>
        <v>14</v>
      </c>
      <c r="U941" t="str">
        <f t="shared" si="88"/>
        <v>On-Time</v>
      </c>
      <c r="V941">
        <f t="shared" si="89"/>
        <v>0</v>
      </c>
    </row>
    <row r="942" spans="1:22" x14ac:dyDescent="0.45">
      <c r="A942" t="s">
        <v>1764</v>
      </c>
      <c r="B942" t="s">
        <v>1048</v>
      </c>
      <c r="C942" t="s">
        <v>30</v>
      </c>
      <c r="D942" t="s">
        <v>52</v>
      </c>
      <c r="E942" t="s">
        <v>16</v>
      </c>
      <c r="F942">
        <v>86</v>
      </c>
      <c r="G942">
        <v>59592</v>
      </c>
      <c r="H942">
        <v>5124912</v>
      </c>
      <c r="I942" t="s">
        <v>1314</v>
      </c>
      <c r="J942" t="s">
        <v>124</v>
      </c>
      <c r="K942">
        <v>86</v>
      </c>
      <c r="L942">
        <v>0</v>
      </c>
      <c r="M942" t="s">
        <v>115</v>
      </c>
      <c r="N942" t="str">
        <f t="shared" si="84"/>
        <v>PO-100941</v>
      </c>
      <c r="O942" t="str">
        <f t="shared" si="85"/>
        <v>Delivered</v>
      </c>
      <c r="P942" t="str">
        <f t="shared" si="86"/>
        <v>WH-DEL</v>
      </c>
      <c r="Q942" t="str">
        <f>VLOOKUP(C942, Lookups!$A$2:$D$10, 2, FALSE())</f>
        <v>TechSupply Corp</v>
      </c>
      <c r="R942" t="str">
        <f>_xlfn.XLOOKUP(D942, Lookups!$A$12:$A$51, Lookups!$C$12:$C$51, "Unknown")</f>
        <v>Electronics</v>
      </c>
      <c r="S942" t="str">
        <f>IF(ISBLANK(I942), B942+VLOOKUP(C942, Lookups!$A$2:$D$10, 4, FALSE()), I942)</f>
        <v>2026-05-28</v>
      </c>
      <c r="T942">
        <f t="shared" si="87"/>
        <v>29</v>
      </c>
      <c r="U942" t="str">
        <f t="shared" si="88"/>
        <v>Late</v>
      </c>
      <c r="V942">
        <f t="shared" si="89"/>
        <v>0</v>
      </c>
    </row>
    <row r="943" spans="1:22" x14ac:dyDescent="0.45">
      <c r="A943" t="s">
        <v>1765</v>
      </c>
      <c r="B943" t="s">
        <v>134</v>
      </c>
      <c r="C943" t="s">
        <v>34</v>
      </c>
      <c r="D943" t="s">
        <v>80</v>
      </c>
      <c r="E943" t="s">
        <v>15</v>
      </c>
      <c r="F943">
        <v>41</v>
      </c>
      <c r="G943">
        <v>19090</v>
      </c>
      <c r="H943">
        <v>782690</v>
      </c>
      <c r="I943" t="s">
        <v>1480</v>
      </c>
      <c r="J943" t="s">
        <v>1337</v>
      </c>
      <c r="K943">
        <v>41</v>
      </c>
      <c r="L943">
        <v>0</v>
      </c>
      <c r="M943" t="s">
        <v>115</v>
      </c>
      <c r="N943" t="str">
        <f t="shared" si="84"/>
        <v>PO-100942</v>
      </c>
      <c r="O943" t="str">
        <f t="shared" si="85"/>
        <v>Delivered</v>
      </c>
      <c r="P943" t="str">
        <f t="shared" si="86"/>
        <v>WH-BOM</v>
      </c>
      <c r="Q943" t="str">
        <f>VLOOKUP(C943, Lookups!$A$2:$D$10, 2, FALSE())</f>
        <v>FastElectronics</v>
      </c>
      <c r="R943" t="str">
        <f>_xlfn.XLOOKUP(D943, Lookups!$A$12:$A$51, Lookups!$C$12:$C$51, "Unknown")</f>
        <v>Networking</v>
      </c>
      <c r="S943" t="str">
        <f>IF(ISBLANK(I943), B943+VLOOKUP(C943, Lookups!$A$2:$D$10, 4, FALSE()), I943)</f>
        <v>2026-09-21</v>
      </c>
      <c r="T943">
        <f t="shared" si="87"/>
        <v>19</v>
      </c>
      <c r="U943" t="str">
        <f t="shared" si="88"/>
        <v>Late</v>
      </c>
      <c r="V943">
        <f t="shared" si="89"/>
        <v>0</v>
      </c>
    </row>
    <row r="944" spans="1:22" x14ac:dyDescent="0.45">
      <c r="A944" t="s">
        <v>1766</v>
      </c>
      <c r="B944" t="s">
        <v>718</v>
      </c>
      <c r="C944" t="s">
        <v>30</v>
      </c>
      <c r="D944" t="s">
        <v>86</v>
      </c>
      <c r="E944" t="s">
        <v>16</v>
      </c>
      <c r="F944">
        <v>158</v>
      </c>
      <c r="G944">
        <v>74871</v>
      </c>
      <c r="H944">
        <v>11829618</v>
      </c>
      <c r="I944" t="s">
        <v>1767</v>
      </c>
      <c r="J944" t="s">
        <v>1767</v>
      </c>
      <c r="K944">
        <v>158</v>
      </c>
      <c r="L944">
        <v>0</v>
      </c>
      <c r="M944" t="s">
        <v>115</v>
      </c>
      <c r="N944" t="str">
        <f t="shared" si="84"/>
        <v>PO-100943</v>
      </c>
      <c r="O944" t="str">
        <f t="shared" si="85"/>
        <v>Delivered</v>
      </c>
      <c r="P944" t="str">
        <f t="shared" si="86"/>
        <v>WH-DEL</v>
      </c>
      <c r="Q944" t="str">
        <f>VLOOKUP(C944, Lookups!$A$2:$D$10, 2, FALSE())</f>
        <v>TechSupply Corp</v>
      </c>
      <c r="R944" t="str">
        <f>_xlfn.XLOOKUP(D944, Lookups!$A$12:$A$51, Lookups!$C$12:$C$51, "Unknown")</f>
        <v>Electronics</v>
      </c>
      <c r="S944" t="str">
        <f>IF(ISBLANK(I944), B944+VLOOKUP(C944, Lookups!$A$2:$D$10, 4, FALSE()), I944)</f>
        <v>2026-02-25</v>
      </c>
      <c r="T944">
        <f t="shared" si="87"/>
        <v>14</v>
      </c>
      <c r="U944" t="str">
        <f t="shared" si="88"/>
        <v>On-Time</v>
      </c>
      <c r="V944">
        <f t="shared" si="89"/>
        <v>0</v>
      </c>
    </row>
    <row r="945" spans="1:22" x14ac:dyDescent="0.45">
      <c r="A945" t="s">
        <v>1768</v>
      </c>
      <c r="B945" t="s">
        <v>206</v>
      </c>
      <c r="C945" t="s">
        <v>32</v>
      </c>
      <c r="D945" t="s">
        <v>67</v>
      </c>
      <c r="E945" t="s">
        <v>15</v>
      </c>
      <c r="F945">
        <v>163</v>
      </c>
      <c r="G945">
        <v>1553</v>
      </c>
      <c r="H945">
        <v>253139</v>
      </c>
      <c r="I945" t="s">
        <v>207</v>
      </c>
      <c r="J945" t="s">
        <v>885</v>
      </c>
      <c r="K945">
        <v>163</v>
      </c>
      <c r="L945">
        <v>0</v>
      </c>
      <c r="M945" t="s">
        <v>115</v>
      </c>
      <c r="N945" t="str">
        <f t="shared" si="84"/>
        <v>PO-100944</v>
      </c>
      <c r="O945" t="str">
        <f t="shared" si="85"/>
        <v>Delivered</v>
      </c>
      <c r="P945" t="str">
        <f t="shared" si="86"/>
        <v>WH-BOM</v>
      </c>
      <c r="Q945" t="str">
        <f>VLOOKUP(C945, Lookups!$A$2:$D$10, 2, FALSE())</f>
        <v>OfficeDepot Pro</v>
      </c>
      <c r="R945" t="str">
        <f>_xlfn.XLOOKUP(D945, Lookups!$A$12:$A$51, Lookups!$C$12:$C$51, "Unknown")</f>
        <v>Peripherals</v>
      </c>
      <c r="S945" t="str">
        <f>IF(ISBLANK(I945), B945+VLOOKUP(C945, Lookups!$A$2:$D$10, 4, FALSE()), I945)</f>
        <v>2025-12-14</v>
      </c>
      <c r="T945">
        <f t="shared" si="87"/>
        <v>8</v>
      </c>
      <c r="U945" t="str">
        <f t="shared" si="88"/>
        <v>Late</v>
      </c>
      <c r="V945">
        <f t="shared" si="89"/>
        <v>0</v>
      </c>
    </row>
    <row r="946" spans="1:22" x14ac:dyDescent="0.45">
      <c r="A946" t="s">
        <v>1769</v>
      </c>
      <c r="B946" t="s">
        <v>1770</v>
      </c>
      <c r="C946" t="s">
        <v>36</v>
      </c>
      <c r="D946" t="s">
        <v>62</v>
      </c>
      <c r="E946" t="s">
        <v>18</v>
      </c>
      <c r="F946">
        <v>213</v>
      </c>
      <c r="G946">
        <v>48478</v>
      </c>
      <c r="H946">
        <v>10325814</v>
      </c>
      <c r="I946" t="s">
        <v>1415</v>
      </c>
      <c r="J946" t="s">
        <v>341</v>
      </c>
      <c r="K946">
        <v>213</v>
      </c>
      <c r="L946">
        <v>0</v>
      </c>
      <c r="M946" t="s">
        <v>115</v>
      </c>
      <c r="N946" t="str">
        <f t="shared" si="84"/>
        <v>PO-100945</v>
      </c>
      <c r="O946" t="str">
        <f t="shared" si="85"/>
        <v>Delivered</v>
      </c>
      <c r="P946" t="str">
        <f t="shared" si="86"/>
        <v>WH-PUN</v>
      </c>
      <c r="Q946" t="str">
        <f>VLOOKUP(C946, Lookups!$A$2:$D$10, 2, FALSE())</f>
        <v>NextGen Hardware</v>
      </c>
      <c r="R946" t="str">
        <f>_xlfn.XLOOKUP(D946, Lookups!$A$12:$A$51, Lookups!$C$12:$C$51, "Unknown")</f>
        <v>Electronics</v>
      </c>
      <c r="S946" t="str">
        <f>IF(ISBLANK(I946), B946+VLOOKUP(C946, Lookups!$A$2:$D$10, 4, FALSE()), I946)</f>
        <v>2026-01-09</v>
      </c>
      <c r="T946">
        <f t="shared" si="87"/>
        <v>28</v>
      </c>
      <c r="U946" t="str">
        <f t="shared" si="88"/>
        <v>Late</v>
      </c>
      <c r="V946">
        <f t="shared" si="89"/>
        <v>0</v>
      </c>
    </row>
    <row r="947" spans="1:22" x14ac:dyDescent="0.45">
      <c r="A947" t="s">
        <v>1771</v>
      </c>
      <c r="B947" t="s">
        <v>1202</v>
      </c>
      <c r="C947" t="s">
        <v>36</v>
      </c>
      <c r="D947" t="s">
        <v>87</v>
      </c>
      <c r="E947" t="s">
        <v>18</v>
      </c>
      <c r="F947">
        <v>103</v>
      </c>
      <c r="G947">
        <v>82930</v>
      </c>
      <c r="H947">
        <v>8541790</v>
      </c>
      <c r="I947" t="s">
        <v>764</v>
      </c>
      <c r="J947" t="s">
        <v>764</v>
      </c>
      <c r="K947">
        <v>103</v>
      </c>
      <c r="L947">
        <v>0</v>
      </c>
      <c r="M947" t="s">
        <v>115</v>
      </c>
      <c r="N947" t="str">
        <f t="shared" si="84"/>
        <v>PO-100946</v>
      </c>
      <c r="O947" t="str">
        <f t="shared" si="85"/>
        <v>Delivered</v>
      </c>
      <c r="P947" t="str">
        <f t="shared" si="86"/>
        <v>WH-PUN</v>
      </c>
      <c r="Q947" t="str">
        <f>VLOOKUP(C947, Lookups!$A$2:$D$10, 2, FALSE())</f>
        <v>NextGen Hardware</v>
      </c>
      <c r="R947" t="str">
        <f>_xlfn.XLOOKUP(D947, Lookups!$A$12:$A$51, Lookups!$C$12:$C$51, "Unknown")</f>
        <v>Electronics</v>
      </c>
      <c r="S947" t="str">
        <f>IF(ISBLANK(I947), B947+VLOOKUP(C947, Lookups!$A$2:$D$10, 4, FALSE()), I947)</f>
        <v>2025-02-19</v>
      </c>
      <c r="T947">
        <f t="shared" si="87"/>
        <v>24</v>
      </c>
      <c r="U947" t="str">
        <f t="shared" si="88"/>
        <v>On-Time</v>
      </c>
      <c r="V947">
        <f t="shared" si="89"/>
        <v>0</v>
      </c>
    </row>
    <row r="948" spans="1:22" x14ac:dyDescent="0.45">
      <c r="A948" t="s">
        <v>1772</v>
      </c>
      <c r="B948" t="s">
        <v>865</v>
      </c>
      <c r="C948" t="s">
        <v>31</v>
      </c>
      <c r="D948" t="s">
        <v>66</v>
      </c>
      <c r="E948" t="s">
        <v>16</v>
      </c>
      <c r="F948">
        <v>207</v>
      </c>
      <c r="G948">
        <v>29719</v>
      </c>
      <c r="H948">
        <v>6151833</v>
      </c>
      <c r="I948" t="s">
        <v>659</v>
      </c>
      <c r="J948" t="s">
        <v>659</v>
      </c>
      <c r="K948">
        <v>207</v>
      </c>
      <c r="L948">
        <v>0</v>
      </c>
      <c r="M948" t="s">
        <v>115</v>
      </c>
      <c r="N948" t="str">
        <f t="shared" si="84"/>
        <v>PO-100947</v>
      </c>
      <c r="O948" t="str">
        <f t="shared" si="85"/>
        <v>Delivered</v>
      </c>
      <c r="P948" t="str">
        <f t="shared" si="86"/>
        <v>WH-DEL</v>
      </c>
      <c r="Q948" t="str">
        <f>VLOOKUP(C948, Lookups!$A$2:$D$10, 2, FALSE())</f>
        <v>Global Networks</v>
      </c>
      <c r="R948" t="str">
        <f>_xlfn.XLOOKUP(D948, Lookups!$A$12:$A$51, Lookups!$C$12:$C$51, "Unknown")</f>
        <v>Networking</v>
      </c>
      <c r="S948" t="str">
        <f>IF(ISBLANK(I948), B948+VLOOKUP(C948, Lookups!$A$2:$D$10, 4, FALSE()), I948)</f>
        <v>2026-10-01</v>
      </c>
      <c r="T948">
        <f t="shared" si="87"/>
        <v>21</v>
      </c>
      <c r="U948" t="str">
        <f t="shared" si="88"/>
        <v>On-Time</v>
      </c>
      <c r="V948">
        <f t="shared" si="89"/>
        <v>0</v>
      </c>
    </row>
    <row r="949" spans="1:22" x14ac:dyDescent="0.45">
      <c r="A949" t="s">
        <v>1773</v>
      </c>
      <c r="B949" t="s">
        <v>491</v>
      </c>
      <c r="C949" t="s">
        <v>35</v>
      </c>
      <c r="D949" t="s">
        <v>91</v>
      </c>
      <c r="E949" t="s">
        <v>15</v>
      </c>
      <c r="F949">
        <v>11</v>
      </c>
      <c r="G949">
        <v>6707</v>
      </c>
      <c r="H949">
        <v>73777</v>
      </c>
      <c r="I949" t="s">
        <v>271</v>
      </c>
      <c r="J949" t="s">
        <v>426</v>
      </c>
      <c r="K949">
        <v>11</v>
      </c>
      <c r="L949">
        <v>0</v>
      </c>
      <c r="M949" t="s">
        <v>115</v>
      </c>
      <c r="N949" t="str">
        <f t="shared" si="84"/>
        <v>PO-100948</v>
      </c>
      <c r="O949" t="str">
        <f t="shared" si="85"/>
        <v>Delivered</v>
      </c>
      <c r="P949" t="str">
        <f t="shared" si="86"/>
        <v>WH-BOM</v>
      </c>
      <c r="Q949" t="str">
        <f>VLOOKUP(C949, Lookups!$A$2:$D$10, 2, FALSE())</f>
        <v>Peripheral Source</v>
      </c>
      <c r="R949" t="str">
        <f>_xlfn.XLOOKUP(D949, Lookups!$A$12:$A$51, Lookups!$C$12:$C$51, "Unknown")</f>
        <v>Peripherals</v>
      </c>
      <c r="S949" t="str">
        <f>IF(ISBLANK(I949), B949+VLOOKUP(C949, Lookups!$A$2:$D$10, 4, FALSE()), I949)</f>
        <v>2025-07-26</v>
      </c>
      <c r="T949">
        <f t="shared" si="87"/>
        <v>11</v>
      </c>
      <c r="U949" t="str">
        <f t="shared" si="88"/>
        <v>Late</v>
      </c>
      <c r="V949">
        <f t="shared" si="89"/>
        <v>0</v>
      </c>
    </row>
    <row r="950" spans="1:22" x14ac:dyDescent="0.45">
      <c r="A950" t="s">
        <v>1774</v>
      </c>
      <c r="B950" t="s">
        <v>477</v>
      </c>
      <c r="C950" t="s">
        <v>30</v>
      </c>
      <c r="D950" t="s">
        <v>82</v>
      </c>
      <c r="E950" t="s">
        <v>17</v>
      </c>
      <c r="F950">
        <v>96</v>
      </c>
      <c r="G950">
        <v>83427</v>
      </c>
      <c r="H950">
        <v>8008992</v>
      </c>
      <c r="I950" t="s">
        <v>505</v>
      </c>
      <c r="J950" t="s">
        <v>276</v>
      </c>
      <c r="K950">
        <v>96</v>
      </c>
      <c r="L950">
        <v>0</v>
      </c>
      <c r="M950" t="s">
        <v>115</v>
      </c>
      <c r="N950" t="str">
        <f t="shared" si="84"/>
        <v>PO-100949</v>
      </c>
      <c r="O950" t="str">
        <f t="shared" si="85"/>
        <v>Delivered</v>
      </c>
      <c r="P950" t="str">
        <f t="shared" si="86"/>
        <v>WH-BLR</v>
      </c>
      <c r="Q950" t="str">
        <f>VLOOKUP(C950, Lookups!$A$2:$D$10, 2, FALSE())</f>
        <v>TechSupply Corp</v>
      </c>
      <c r="R950" t="str">
        <f>_xlfn.XLOOKUP(D950, Lookups!$A$12:$A$51, Lookups!$C$12:$C$51, "Unknown")</f>
        <v>Electronics</v>
      </c>
      <c r="S950" t="str">
        <f>IF(ISBLANK(I950), B950+VLOOKUP(C950, Lookups!$A$2:$D$10, 4, FALSE()), I950)</f>
        <v>2025-04-11</v>
      </c>
      <c r="T950">
        <f t="shared" si="87"/>
        <v>15</v>
      </c>
      <c r="U950" t="str">
        <f t="shared" si="88"/>
        <v>Late</v>
      </c>
      <c r="V950">
        <f t="shared" si="89"/>
        <v>0</v>
      </c>
    </row>
    <row r="951" spans="1:22" x14ac:dyDescent="0.45">
      <c r="A951" t="s">
        <v>1775</v>
      </c>
      <c r="B951" t="s">
        <v>1776</v>
      </c>
      <c r="C951" t="s">
        <v>30</v>
      </c>
      <c r="D951" t="s">
        <v>59</v>
      </c>
      <c r="E951" t="s">
        <v>15</v>
      </c>
      <c r="F951">
        <v>234</v>
      </c>
      <c r="G951">
        <v>48905</v>
      </c>
      <c r="H951">
        <v>11443770</v>
      </c>
      <c r="I951" t="s">
        <v>537</v>
      </c>
      <c r="J951" t="s">
        <v>590</v>
      </c>
      <c r="K951">
        <v>234</v>
      </c>
      <c r="L951">
        <v>0</v>
      </c>
      <c r="M951" t="s">
        <v>115</v>
      </c>
      <c r="N951" t="str">
        <f t="shared" si="84"/>
        <v>PO-100950</v>
      </c>
      <c r="O951" t="str">
        <f t="shared" si="85"/>
        <v>Delivered</v>
      </c>
      <c r="P951" t="str">
        <f t="shared" si="86"/>
        <v>WH-BOM</v>
      </c>
      <c r="Q951" t="str">
        <f>VLOOKUP(C951, Lookups!$A$2:$D$10, 2, FALSE())</f>
        <v>TechSupply Corp</v>
      </c>
      <c r="R951" t="str">
        <f>_xlfn.XLOOKUP(D951, Lookups!$A$12:$A$51, Lookups!$C$12:$C$51, "Unknown")</f>
        <v>Electronics</v>
      </c>
      <c r="S951" t="str">
        <f>IF(ISBLANK(I951), B951+VLOOKUP(C951, Lookups!$A$2:$D$10, 4, FALSE()), I951)</f>
        <v>2026-01-03</v>
      </c>
      <c r="T951">
        <f t="shared" si="87"/>
        <v>17</v>
      </c>
      <c r="U951" t="str">
        <f t="shared" si="88"/>
        <v>Late</v>
      </c>
      <c r="V951">
        <f t="shared" si="89"/>
        <v>0</v>
      </c>
    </row>
    <row r="952" spans="1:22" x14ac:dyDescent="0.45">
      <c r="A952" t="s">
        <v>1777</v>
      </c>
      <c r="B952" t="s">
        <v>1142</v>
      </c>
      <c r="C952" t="s">
        <v>30</v>
      </c>
      <c r="D952" t="s">
        <v>61</v>
      </c>
      <c r="E952" t="s">
        <v>16</v>
      </c>
      <c r="F952">
        <v>58</v>
      </c>
      <c r="G952">
        <v>111237</v>
      </c>
      <c r="H952">
        <v>6451746</v>
      </c>
      <c r="I952" t="s">
        <v>1456</v>
      </c>
      <c r="J952" t="s">
        <v>1082</v>
      </c>
      <c r="K952">
        <v>58</v>
      </c>
      <c r="L952">
        <v>0</v>
      </c>
      <c r="M952" t="s">
        <v>115</v>
      </c>
      <c r="N952" t="str">
        <f t="shared" si="84"/>
        <v>PO-100951</v>
      </c>
      <c r="O952" t="str">
        <f t="shared" si="85"/>
        <v>Delivered</v>
      </c>
      <c r="P952" t="str">
        <f t="shared" si="86"/>
        <v>WH-DEL</v>
      </c>
      <c r="Q952" t="str">
        <f>VLOOKUP(C952, Lookups!$A$2:$D$10, 2, FALSE())</f>
        <v>TechSupply Corp</v>
      </c>
      <c r="R952" t="str">
        <f>_xlfn.XLOOKUP(D952, Lookups!$A$12:$A$51, Lookups!$C$12:$C$51, "Unknown")</f>
        <v>Electronics</v>
      </c>
      <c r="S952" t="str">
        <f>IF(ISBLANK(I952), B952+VLOOKUP(C952, Lookups!$A$2:$D$10, 4, FALSE()), I952)</f>
        <v>2025-04-15</v>
      </c>
      <c r="T952">
        <f t="shared" si="87"/>
        <v>21</v>
      </c>
      <c r="U952" t="str">
        <f t="shared" si="88"/>
        <v>Late</v>
      </c>
      <c r="V952">
        <f t="shared" si="89"/>
        <v>0</v>
      </c>
    </row>
    <row r="953" spans="1:22" x14ac:dyDescent="0.45">
      <c r="A953" t="s">
        <v>1778</v>
      </c>
      <c r="B953" t="s">
        <v>1348</v>
      </c>
      <c r="C953" t="s">
        <v>30</v>
      </c>
      <c r="D953" t="s">
        <v>82</v>
      </c>
      <c r="E953" t="s">
        <v>15</v>
      </c>
      <c r="F953">
        <v>248</v>
      </c>
      <c r="G953">
        <v>83427</v>
      </c>
      <c r="H953">
        <v>20689896</v>
      </c>
      <c r="I953" t="s">
        <v>134</v>
      </c>
      <c r="J953" t="s">
        <v>135</v>
      </c>
      <c r="K953">
        <v>242</v>
      </c>
      <c r="L953">
        <v>0</v>
      </c>
      <c r="M953" t="s">
        <v>115</v>
      </c>
      <c r="N953" t="str">
        <f t="shared" si="84"/>
        <v>PO-100952</v>
      </c>
      <c r="O953" t="str">
        <f t="shared" si="85"/>
        <v>Delivered</v>
      </c>
      <c r="P953" t="str">
        <f t="shared" si="86"/>
        <v>WH-BOM</v>
      </c>
      <c r="Q953" t="str">
        <f>VLOOKUP(C953, Lookups!$A$2:$D$10, 2, FALSE())</f>
        <v>TechSupply Corp</v>
      </c>
      <c r="R953" t="str">
        <f>_xlfn.XLOOKUP(D953, Lookups!$A$12:$A$51, Lookups!$C$12:$C$51, "Unknown")</f>
        <v>Electronics</v>
      </c>
      <c r="S953" t="str">
        <f>IF(ISBLANK(I953), B953+VLOOKUP(C953, Lookups!$A$2:$D$10, 4, FALSE()), I953)</f>
        <v>2026-09-03</v>
      </c>
      <c r="T953">
        <f t="shared" si="87"/>
        <v>13</v>
      </c>
      <c r="U953" t="str">
        <f t="shared" si="88"/>
        <v>On-Time</v>
      </c>
      <c r="V953">
        <f t="shared" si="89"/>
        <v>0</v>
      </c>
    </row>
    <row r="954" spans="1:22" x14ac:dyDescent="0.45">
      <c r="A954" t="s">
        <v>1779</v>
      </c>
      <c r="B954" t="s">
        <v>1780</v>
      </c>
      <c r="C954" t="s">
        <v>30</v>
      </c>
      <c r="D954" t="s">
        <v>53</v>
      </c>
      <c r="E954" t="s">
        <v>16</v>
      </c>
      <c r="F954">
        <v>18</v>
      </c>
      <c r="G954">
        <v>81048</v>
      </c>
      <c r="H954">
        <v>1458864</v>
      </c>
      <c r="I954" t="s">
        <v>412</v>
      </c>
      <c r="J954" t="s">
        <v>1314</v>
      </c>
      <c r="K954">
        <v>18</v>
      </c>
      <c r="L954">
        <v>0</v>
      </c>
      <c r="M954" t="s">
        <v>301</v>
      </c>
      <c r="N954" t="str">
        <f t="shared" si="84"/>
        <v>PO-100953</v>
      </c>
      <c r="O954" t="str">
        <f t="shared" si="85"/>
        <v>Delivered</v>
      </c>
      <c r="P954" t="str">
        <f t="shared" si="86"/>
        <v>WH-DEL</v>
      </c>
      <c r="Q954" t="str">
        <f>VLOOKUP(C954, Lookups!$A$2:$D$10, 2, FALSE())</f>
        <v>TechSupply Corp</v>
      </c>
      <c r="R954" t="str">
        <f>_xlfn.XLOOKUP(D954, Lookups!$A$12:$A$51, Lookups!$C$12:$C$51, "Unknown")</f>
        <v>Electronics</v>
      </c>
      <c r="S954" t="str">
        <f>IF(ISBLANK(I954), B954+VLOOKUP(C954, Lookups!$A$2:$D$10, 4, FALSE()), I954)</f>
        <v>2026-05-27</v>
      </c>
      <c r="T954">
        <f t="shared" si="87"/>
        <v>15</v>
      </c>
      <c r="U954" t="str">
        <f t="shared" si="88"/>
        <v>Late</v>
      </c>
      <c r="V954">
        <f t="shared" si="89"/>
        <v>0</v>
      </c>
    </row>
    <row r="955" spans="1:22" x14ac:dyDescent="0.45">
      <c r="A955" t="s">
        <v>1781</v>
      </c>
      <c r="B955" t="s">
        <v>231</v>
      </c>
      <c r="C955" t="s">
        <v>31</v>
      </c>
      <c r="D955" t="s">
        <v>56</v>
      </c>
      <c r="E955" t="s">
        <v>16</v>
      </c>
      <c r="F955">
        <v>74</v>
      </c>
      <c r="G955">
        <v>39270</v>
      </c>
      <c r="H955">
        <v>2905980</v>
      </c>
      <c r="I955" t="s">
        <v>929</v>
      </c>
      <c r="J955" t="s">
        <v>446</v>
      </c>
      <c r="K955">
        <v>42</v>
      </c>
      <c r="L955">
        <v>0</v>
      </c>
      <c r="M955" t="s">
        <v>115</v>
      </c>
      <c r="N955" t="str">
        <f t="shared" si="84"/>
        <v>PO-100954</v>
      </c>
      <c r="O955" t="str">
        <f t="shared" si="85"/>
        <v>Delivered</v>
      </c>
      <c r="P955" t="str">
        <f t="shared" si="86"/>
        <v>WH-DEL</v>
      </c>
      <c r="Q955" t="str">
        <f>VLOOKUP(C955, Lookups!$A$2:$D$10, 2, FALSE())</f>
        <v>Global Networks</v>
      </c>
      <c r="R955" t="str">
        <f>_xlfn.XLOOKUP(D955, Lookups!$A$12:$A$51, Lookups!$C$12:$C$51, "Unknown")</f>
        <v>Networking</v>
      </c>
      <c r="S955" t="str">
        <f>IF(ISBLANK(I955), B955+VLOOKUP(C955, Lookups!$A$2:$D$10, 4, FALSE()), I955)</f>
        <v>2025-11-28</v>
      </c>
      <c r="T955">
        <f t="shared" si="87"/>
        <v>22</v>
      </c>
      <c r="U955" t="str">
        <f t="shared" si="88"/>
        <v>Late</v>
      </c>
      <c r="V955">
        <f t="shared" si="89"/>
        <v>0</v>
      </c>
    </row>
    <row r="956" spans="1:22" x14ac:dyDescent="0.45">
      <c r="A956" t="s">
        <v>1782</v>
      </c>
      <c r="B956" t="s">
        <v>1783</v>
      </c>
      <c r="C956" t="s">
        <v>30</v>
      </c>
      <c r="D956" t="s">
        <v>86</v>
      </c>
      <c r="E956" t="s">
        <v>16</v>
      </c>
      <c r="F956">
        <v>204</v>
      </c>
      <c r="G956">
        <v>74871</v>
      </c>
      <c r="H956">
        <v>15273684</v>
      </c>
      <c r="I956" t="s">
        <v>1252</v>
      </c>
      <c r="J956" t="s">
        <v>609</v>
      </c>
      <c r="K956">
        <v>204</v>
      </c>
      <c r="L956">
        <v>0</v>
      </c>
      <c r="M956" t="s">
        <v>115</v>
      </c>
      <c r="N956" t="str">
        <f t="shared" si="84"/>
        <v>PO-100955</v>
      </c>
      <c r="O956" t="str">
        <f t="shared" si="85"/>
        <v>Delivered</v>
      </c>
      <c r="P956" t="str">
        <f t="shared" si="86"/>
        <v>WH-DEL</v>
      </c>
      <c r="Q956" t="str">
        <f>VLOOKUP(C956, Lookups!$A$2:$D$10, 2, FALSE())</f>
        <v>TechSupply Corp</v>
      </c>
      <c r="R956" t="str">
        <f>_xlfn.XLOOKUP(D956, Lookups!$A$12:$A$51, Lookups!$C$12:$C$51, "Unknown")</f>
        <v>Electronics</v>
      </c>
      <c r="S956" t="str">
        <f>IF(ISBLANK(I956), B956+VLOOKUP(C956, Lookups!$A$2:$D$10, 4, FALSE()), I956)</f>
        <v>2025-10-01</v>
      </c>
      <c r="T956">
        <f t="shared" si="87"/>
        <v>15</v>
      </c>
      <c r="U956" t="str">
        <f t="shared" si="88"/>
        <v>Late</v>
      </c>
      <c r="V956">
        <f t="shared" si="89"/>
        <v>0</v>
      </c>
    </row>
    <row r="957" spans="1:22" x14ac:dyDescent="0.45">
      <c r="A957" t="s">
        <v>1784</v>
      </c>
      <c r="B957" t="s">
        <v>131</v>
      </c>
      <c r="C957" t="s">
        <v>34</v>
      </c>
      <c r="D957" t="s">
        <v>68</v>
      </c>
      <c r="E957" t="s">
        <v>15</v>
      </c>
      <c r="F957">
        <v>203</v>
      </c>
      <c r="G957">
        <v>41405</v>
      </c>
      <c r="H957">
        <v>8405215</v>
      </c>
      <c r="I957" t="s">
        <v>1122</v>
      </c>
      <c r="J957" t="s">
        <v>334</v>
      </c>
      <c r="K957">
        <v>203</v>
      </c>
      <c r="L957">
        <v>0</v>
      </c>
      <c r="M957" t="s">
        <v>115</v>
      </c>
      <c r="N957" t="str">
        <f t="shared" si="84"/>
        <v>PO-100956</v>
      </c>
      <c r="O957" t="str">
        <f t="shared" si="85"/>
        <v>Delivered</v>
      </c>
      <c r="P957" t="str">
        <f t="shared" si="86"/>
        <v>WH-BOM</v>
      </c>
      <c r="Q957" t="str">
        <f>VLOOKUP(C957, Lookups!$A$2:$D$10, 2, FALSE())</f>
        <v>FastElectronics</v>
      </c>
      <c r="R957" t="str">
        <f>_xlfn.XLOOKUP(D957, Lookups!$A$12:$A$51, Lookups!$C$12:$C$51, "Unknown")</f>
        <v>Networking</v>
      </c>
      <c r="S957" t="str">
        <f>IF(ISBLANK(I957), B957+VLOOKUP(C957, Lookups!$A$2:$D$10, 4, FALSE()), I957)</f>
        <v>2026-08-14</v>
      </c>
      <c r="T957">
        <f t="shared" si="87"/>
        <v>19</v>
      </c>
      <c r="U957" t="str">
        <f t="shared" si="88"/>
        <v>Late</v>
      </c>
      <c r="V957">
        <f t="shared" si="89"/>
        <v>0</v>
      </c>
    </row>
    <row r="958" spans="1:22" x14ac:dyDescent="0.45">
      <c r="A958" t="s">
        <v>1785</v>
      </c>
      <c r="B958" t="s">
        <v>887</v>
      </c>
      <c r="C958" t="s">
        <v>36</v>
      </c>
      <c r="D958" t="s">
        <v>55</v>
      </c>
      <c r="E958" t="s">
        <v>15</v>
      </c>
      <c r="F958">
        <v>109</v>
      </c>
      <c r="G958">
        <v>58434</v>
      </c>
      <c r="H958">
        <v>6369306</v>
      </c>
      <c r="I958" t="s">
        <v>366</v>
      </c>
      <c r="J958" t="s">
        <v>855</v>
      </c>
      <c r="K958">
        <v>109</v>
      </c>
      <c r="L958">
        <v>0</v>
      </c>
      <c r="M958" t="s">
        <v>115</v>
      </c>
      <c r="N958" t="str">
        <f t="shared" si="84"/>
        <v>PO-100957</v>
      </c>
      <c r="O958" t="str">
        <f t="shared" si="85"/>
        <v>Delivered</v>
      </c>
      <c r="P958" t="str">
        <f t="shared" si="86"/>
        <v>WH-BOM</v>
      </c>
      <c r="Q958" t="str">
        <f>VLOOKUP(C958, Lookups!$A$2:$D$10, 2, FALSE())</f>
        <v>NextGen Hardware</v>
      </c>
      <c r="R958" t="str">
        <f>_xlfn.XLOOKUP(D958, Lookups!$A$12:$A$51, Lookups!$C$12:$C$51, "Unknown")</f>
        <v>Electronics</v>
      </c>
      <c r="S958" t="str">
        <f>IF(ISBLANK(I958), B958+VLOOKUP(C958, Lookups!$A$2:$D$10, 4, FALSE()), I958)</f>
        <v>2026-04-16</v>
      </c>
      <c r="T958">
        <f t="shared" si="87"/>
        <v>25</v>
      </c>
      <c r="U958" t="str">
        <f t="shared" si="88"/>
        <v>Late</v>
      </c>
      <c r="V958">
        <f t="shared" si="89"/>
        <v>0</v>
      </c>
    </row>
    <row r="959" spans="1:22" x14ac:dyDescent="0.45">
      <c r="A959" t="s">
        <v>1786</v>
      </c>
      <c r="B959" t="s">
        <v>335</v>
      </c>
      <c r="C959" t="s">
        <v>34</v>
      </c>
      <c r="D959" t="s">
        <v>81</v>
      </c>
      <c r="E959" t="s">
        <v>16</v>
      </c>
      <c r="F959">
        <v>225</v>
      </c>
      <c r="G959">
        <v>55328</v>
      </c>
      <c r="H959">
        <v>12448800</v>
      </c>
      <c r="I959" t="s">
        <v>450</v>
      </c>
      <c r="J959" t="s">
        <v>1223</v>
      </c>
      <c r="K959">
        <v>225</v>
      </c>
      <c r="L959">
        <v>0</v>
      </c>
      <c r="M959" t="s">
        <v>115</v>
      </c>
      <c r="N959" t="str">
        <f t="shared" si="84"/>
        <v>PO-100958</v>
      </c>
      <c r="O959" t="str">
        <f t="shared" si="85"/>
        <v>Delivered</v>
      </c>
      <c r="P959" t="str">
        <f t="shared" si="86"/>
        <v>WH-DEL</v>
      </c>
      <c r="Q959" t="str">
        <f>VLOOKUP(C959, Lookups!$A$2:$D$10, 2, FALSE())</f>
        <v>FastElectronics</v>
      </c>
      <c r="R959" t="str">
        <f>_xlfn.XLOOKUP(D959, Lookups!$A$12:$A$51, Lookups!$C$12:$C$51, "Unknown")</f>
        <v>Electronics</v>
      </c>
      <c r="S959" t="str">
        <f>IF(ISBLANK(I959), B959+VLOOKUP(C959, Lookups!$A$2:$D$10, 4, FALSE()), I959)</f>
        <v>2026-09-12</v>
      </c>
      <c r="T959">
        <f t="shared" si="87"/>
        <v>32</v>
      </c>
      <c r="U959" t="str">
        <f t="shared" si="88"/>
        <v>Late</v>
      </c>
      <c r="V959">
        <f t="shared" si="89"/>
        <v>0</v>
      </c>
    </row>
    <row r="960" spans="1:22" x14ac:dyDescent="0.45">
      <c r="A960" t="s">
        <v>1787</v>
      </c>
      <c r="B960" t="s">
        <v>995</v>
      </c>
      <c r="C960" t="s">
        <v>31</v>
      </c>
      <c r="D960" t="s">
        <v>66</v>
      </c>
      <c r="E960" t="s">
        <v>16</v>
      </c>
      <c r="F960">
        <v>77</v>
      </c>
      <c r="G960">
        <v>29719</v>
      </c>
      <c r="H960">
        <v>2288363</v>
      </c>
      <c r="I960" t="s">
        <v>784</v>
      </c>
      <c r="J960" t="s">
        <v>294</v>
      </c>
      <c r="K960">
        <v>77</v>
      </c>
      <c r="L960">
        <v>0</v>
      </c>
      <c r="M960" t="s">
        <v>115</v>
      </c>
      <c r="N960" t="str">
        <f t="shared" si="84"/>
        <v>PO-100959</v>
      </c>
      <c r="O960" t="str">
        <f t="shared" si="85"/>
        <v>Delivered</v>
      </c>
      <c r="P960" t="str">
        <f t="shared" si="86"/>
        <v>WH-DEL</v>
      </c>
      <c r="Q960" t="str">
        <f>VLOOKUP(C960, Lookups!$A$2:$D$10, 2, FALSE())</f>
        <v>Global Networks</v>
      </c>
      <c r="R960" t="str">
        <f>_xlfn.XLOOKUP(D960, Lookups!$A$12:$A$51, Lookups!$C$12:$C$51, "Unknown")</f>
        <v>Networking</v>
      </c>
      <c r="S960" t="str">
        <f>IF(ISBLANK(I960), B960+VLOOKUP(C960, Lookups!$A$2:$D$10, 4, FALSE()), I960)</f>
        <v>2025-09-12</v>
      </c>
      <c r="T960">
        <f t="shared" si="87"/>
        <v>22</v>
      </c>
      <c r="U960" t="str">
        <f t="shared" si="88"/>
        <v>Late</v>
      </c>
      <c r="V960">
        <f t="shared" si="89"/>
        <v>0</v>
      </c>
    </row>
    <row r="961" spans="1:22" x14ac:dyDescent="0.45">
      <c r="A961" t="s">
        <v>1788</v>
      </c>
      <c r="B961" t="s">
        <v>203</v>
      </c>
      <c r="C961" t="s">
        <v>34</v>
      </c>
      <c r="D961" t="s">
        <v>73</v>
      </c>
      <c r="E961" t="s">
        <v>18</v>
      </c>
      <c r="F961">
        <v>239</v>
      </c>
      <c r="G961">
        <v>58396</v>
      </c>
      <c r="H961">
        <v>13956644</v>
      </c>
      <c r="I961" t="s">
        <v>1002</v>
      </c>
      <c r="J961" t="s">
        <v>1003</v>
      </c>
      <c r="K961">
        <v>239</v>
      </c>
      <c r="L961">
        <v>35</v>
      </c>
      <c r="M961" t="s">
        <v>115</v>
      </c>
      <c r="N961" t="str">
        <f t="shared" si="84"/>
        <v>PO-100960</v>
      </c>
      <c r="O961" t="str">
        <f t="shared" si="85"/>
        <v>Delivered</v>
      </c>
      <c r="P961" t="str">
        <f t="shared" si="86"/>
        <v>WH-PUN</v>
      </c>
      <c r="Q961" t="str">
        <f>VLOOKUP(C961, Lookups!$A$2:$D$10, 2, FALSE())</f>
        <v>FastElectronics</v>
      </c>
      <c r="R961" t="str">
        <f>_xlfn.XLOOKUP(D961, Lookups!$A$12:$A$51, Lookups!$C$12:$C$51, "Unknown")</f>
        <v>Electronics</v>
      </c>
      <c r="S961" t="str">
        <f>IF(ISBLANK(I961), B961+VLOOKUP(C961, Lookups!$A$2:$D$10, 4, FALSE()), I961)</f>
        <v>2026-04-26</v>
      </c>
      <c r="T961">
        <f t="shared" si="87"/>
        <v>19</v>
      </c>
      <c r="U961" t="str">
        <f t="shared" si="88"/>
        <v>Late</v>
      </c>
      <c r="V961">
        <f t="shared" si="89"/>
        <v>0.14644351464435146</v>
      </c>
    </row>
    <row r="962" spans="1:22" x14ac:dyDescent="0.45">
      <c r="A962" t="s">
        <v>1789</v>
      </c>
      <c r="B962" t="s">
        <v>320</v>
      </c>
      <c r="C962" t="s">
        <v>30</v>
      </c>
      <c r="D962" t="s">
        <v>86</v>
      </c>
      <c r="E962" t="s">
        <v>15</v>
      </c>
      <c r="F962">
        <v>160</v>
      </c>
      <c r="G962">
        <v>74871</v>
      </c>
      <c r="H962">
        <v>11979360</v>
      </c>
      <c r="I962" t="s">
        <v>988</v>
      </c>
      <c r="J962" t="s">
        <v>155</v>
      </c>
      <c r="K962">
        <v>160</v>
      </c>
      <c r="L962">
        <v>0</v>
      </c>
      <c r="M962" t="s">
        <v>115</v>
      </c>
      <c r="N962" t="str">
        <f t="shared" ref="N962:N1025" si="90">TRIM(A962)</f>
        <v>PO-100961</v>
      </c>
      <c r="O962" t="str">
        <f t="shared" ref="O962:O1025" si="91">PROPER(TRIM(M962))</f>
        <v>Delivered</v>
      </c>
      <c r="P962" t="str">
        <f t="shared" ref="P962:P1025" si="92">TRIM(E962)</f>
        <v>WH-BOM</v>
      </c>
      <c r="Q962" t="str">
        <f>VLOOKUP(C962, Lookups!$A$2:$D$10, 2, FALSE())</f>
        <v>TechSupply Corp</v>
      </c>
      <c r="R962" t="str">
        <f>_xlfn.XLOOKUP(D962, Lookups!$A$12:$A$51, Lookups!$C$12:$C$51, "Unknown")</f>
        <v>Electronics</v>
      </c>
      <c r="S962" t="str">
        <f>IF(ISBLANK(I962), B962+VLOOKUP(C962, Lookups!$A$2:$D$10, 4, FALSE()), I962)</f>
        <v>2025-10-29</v>
      </c>
      <c r="T962">
        <f t="shared" ref="T962:T1025" si="93">IF(ISBLANK(J962), "", J962-B962)</f>
        <v>15</v>
      </c>
      <c r="U962" t="str">
        <f t="shared" ref="U962:U1025" si="94">IF(O962="Open", "Open", IF(J962&gt;S962, "Late", "On-Time"))</f>
        <v>Late</v>
      </c>
      <c r="V962">
        <f t="shared" ref="V962:V1025" si="95">IF(K962&gt;0, L962/K962, 0)</f>
        <v>0</v>
      </c>
    </row>
    <row r="963" spans="1:22" x14ac:dyDescent="0.45">
      <c r="A963" t="s">
        <v>1790</v>
      </c>
      <c r="B963" t="s">
        <v>983</v>
      </c>
      <c r="C963" t="s">
        <v>30</v>
      </c>
      <c r="D963" t="s">
        <v>86</v>
      </c>
      <c r="E963" t="s">
        <v>15</v>
      </c>
      <c r="F963">
        <v>98</v>
      </c>
      <c r="G963">
        <v>74871</v>
      </c>
      <c r="H963">
        <v>7337358</v>
      </c>
      <c r="I963" t="s">
        <v>408</v>
      </c>
      <c r="J963" t="s">
        <v>523</v>
      </c>
      <c r="K963">
        <v>98</v>
      </c>
      <c r="L963">
        <v>0</v>
      </c>
      <c r="M963" t="s">
        <v>115</v>
      </c>
      <c r="N963" t="str">
        <f t="shared" si="90"/>
        <v>PO-100962</v>
      </c>
      <c r="O963" t="str">
        <f t="shared" si="91"/>
        <v>Delivered</v>
      </c>
      <c r="P963" t="str">
        <f t="shared" si="92"/>
        <v>WH-BOM</v>
      </c>
      <c r="Q963" t="str">
        <f>VLOOKUP(C963, Lookups!$A$2:$D$10, 2, FALSE())</f>
        <v>TechSupply Corp</v>
      </c>
      <c r="R963" t="str">
        <f>_xlfn.XLOOKUP(D963, Lookups!$A$12:$A$51, Lookups!$C$12:$C$51, "Unknown")</f>
        <v>Electronics</v>
      </c>
      <c r="S963" t="str">
        <f>IF(ISBLANK(I963), B963+VLOOKUP(C963, Lookups!$A$2:$D$10, 4, FALSE()), I963)</f>
        <v>2025-05-14</v>
      </c>
      <c r="T963">
        <f t="shared" si="93"/>
        <v>15</v>
      </c>
      <c r="U963" t="str">
        <f t="shared" si="94"/>
        <v>Late</v>
      </c>
      <c r="V963">
        <f t="shared" si="95"/>
        <v>0</v>
      </c>
    </row>
    <row r="964" spans="1:22" x14ac:dyDescent="0.45">
      <c r="A964" t="s">
        <v>1791</v>
      </c>
      <c r="B964" t="s">
        <v>284</v>
      </c>
      <c r="C964" t="s">
        <v>34</v>
      </c>
      <c r="D964" t="s">
        <v>81</v>
      </c>
      <c r="E964" t="s">
        <v>17</v>
      </c>
      <c r="F964">
        <v>219</v>
      </c>
      <c r="G964">
        <v>55328</v>
      </c>
      <c r="H964">
        <v>12116832</v>
      </c>
      <c r="I964" t="s">
        <v>1345</v>
      </c>
      <c r="J964" t="s">
        <v>595</v>
      </c>
      <c r="K964">
        <v>219</v>
      </c>
      <c r="L964">
        <v>0</v>
      </c>
      <c r="M964" t="s">
        <v>115</v>
      </c>
      <c r="N964" t="str">
        <f t="shared" si="90"/>
        <v>PO-100963</v>
      </c>
      <c r="O964" t="str">
        <f t="shared" si="91"/>
        <v>Delivered</v>
      </c>
      <c r="P964" t="str">
        <f t="shared" si="92"/>
        <v>WH-BLR</v>
      </c>
      <c r="Q964" t="str">
        <f>VLOOKUP(C964, Lookups!$A$2:$D$10, 2, FALSE())</f>
        <v>FastElectronics</v>
      </c>
      <c r="R964" t="str">
        <f>_xlfn.XLOOKUP(D964, Lookups!$A$12:$A$51, Lookups!$C$12:$C$51, "Unknown")</f>
        <v>Electronics</v>
      </c>
      <c r="S964" t="str">
        <f>IF(ISBLANK(I964), B964+VLOOKUP(C964, Lookups!$A$2:$D$10, 4, FALSE()), I964)</f>
        <v>2025-03-12</v>
      </c>
      <c r="T964">
        <f t="shared" si="93"/>
        <v>19</v>
      </c>
      <c r="U964" t="str">
        <f t="shared" si="94"/>
        <v>Late</v>
      </c>
      <c r="V964">
        <f t="shared" si="95"/>
        <v>0</v>
      </c>
    </row>
    <row r="965" spans="1:22" x14ac:dyDescent="0.45">
      <c r="A965" t="s">
        <v>1792</v>
      </c>
      <c r="B965" t="s">
        <v>1241</v>
      </c>
      <c r="C965" t="s">
        <v>34</v>
      </c>
      <c r="D965" t="s">
        <v>58</v>
      </c>
      <c r="E965" t="s">
        <v>15</v>
      </c>
      <c r="F965">
        <v>23</v>
      </c>
      <c r="G965">
        <v>100302</v>
      </c>
      <c r="H965">
        <v>2306946</v>
      </c>
      <c r="I965" t="s">
        <v>806</v>
      </c>
      <c r="J965" t="s">
        <v>168</v>
      </c>
      <c r="K965">
        <v>23</v>
      </c>
      <c r="L965">
        <v>0</v>
      </c>
      <c r="M965" t="s">
        <v>115</v>
      </c>
      <c r="N965" t="str">
        <f t="shared" si="90"/>
        <v>PO-100964</v>
      </c>
      <c r="O965" t="str">
        <f t="shared" si="91"/>
        <v>Delivered</v>
      </c>
      <c r="P965" t="str">
        <f t="shared" si="92"/>
        <v>WH-BOM</v>
      </c>
      <c r="Q965" t="str">
        <f>VLOOKUP(C965, Lookups!$A$2:$D$10, 2, FALSE())</f>
        <v>FastElectronics</v>
      </c>
      <c r="R965" t="str">
        <f>_xlfn.XLOOKUP(D965, Lookups!$A$12:$A$51, Lookups!$C$12:$C$51, "Unknown")</f>
        <v>Electronics</v>
      </c>
      <c r="S965" t="str">
        <f>IF(ISBLANK(I965), B965+VLOOKUP(C965, Lookups!$A$2:$D$10, 4, FALSE()), I965)</f>
        <v>2025-05-19</v>
      </c>
      <c r="T965">
        <f t="shared" si="93"/>
        <v>19</v>
      </c>
      <c r="U965" t="str">
        <f t="shared" si="94"/>
        <v>Late</v>
      </c>
      <c r="V965">
        <f t="shared" si="95"/>
        <v>0</v>
      </c>
    </row>
    <row r="966" spans="1:22" x14ac:dyDescent="0.45">
      <c r="A966" t="s">
        <v>1793</v>
      </c>
      <c r="B966" t="s">
        <v>590</v>
      </c>
      <c r="C966" t="s">
        <v>35</v>
      </c>
      <c r="D966" t="s">
        <v>70</v>
      </c>
      <c r="E966" t="s">
        <v>17</v>
      </c>
      <c r="F966">
        <v>117</v>
      </c>
      <c r="G966">
        <v>4287</v>
      </c>
      <c r="H966">
        <v>501579</v>
      </c>
      <c r="I966" t="s">
        <v>851</v>
      </c>
      <c r="J966" t="s">
        <v>851</v>
      </c>
      <c r="K966">
        <v>117</v>
      </c>
      <c r="L966">
        <v>0</v>
      </c>
      <c r="M966" t="s">
        <v>301</v>
      </c>
      <c r="N966" t="str">
        <f t="shared" si="90"/>
        <v>PO-100965</v>
      </c>
      <c r="O966" t="str">
        <f t="shared" si="91"/>
        <v>Delivered</v>
      </c>
      <c r="P966" t="str">
        <f t="shared" si="92"/>
        <v>WH-BLR</v>
      </c>
      <c r="Q966" t="str">
        <f>VLOOKUP(C966, Lookups!$A$2:$D$10, 2, FALSE())</f>
        <v>Peripheral Source</v>
      </c>
      <c r="R966" t="str">
        <f>_xlfn.XLOOKUP(D966, Lookups!$A$12:$A$51, Lookups!$C$12:$C$51, "Unknown")</f>
        <v>Peripherals</v>
      </c>
      <c r="S966" t="str">
        <f>IF(ISBLANK(I966), B966+VLOOKUP(C966, Lookups!$A$2:$D$10, 4, FALSE()), I966)</f>
        <v>2026-01-16</v>
      </c>
      <c r="T966">
        <f t="shared" si="93"/>
        <v>10</v>
      </c>
      <c r="U966" t="str">
        <f t="shared" si="94"/>
        <v>On-Time</v>
      </c>
      <c r="V966">
        <f t="shared" si="95"/>
        <v>0</v>
      </c>
    </row>
    <row r="967" spans="1:22" x14ac:dyDescent="0.45">
      <c r="A967" t="s">
        <v>1794</v>
      </c>
      <c r="B967" t="s">
        <v>327</v>
      </c>
      <c r="C967" t="s">
        <v>36</v>
      </c>
      <c r="D967" t="s">
        <v>62</v>
      </c>
      <c r="E967" t="s">
        <v>18</v>
      </c>
      <c r="F967">
        <v>184</v>
      </c>
      <c r="G967">
        <v>48478</v>
      </c>
      <c r="H967">
        <v>8919952</v>
      </c>
      <c r="I967" t="s">
        <v>880</v>
      </c>
      <c r="J967" t="s">
        <v>636</v>
      </c>
      <c r="K967">
        <v>184</v>
      </c>
      <c r="L967">
        <v>0</v>
      </c>
      <c r="M967" t="s">
        <v>115</v>
      </c>
      <c r="N967" t="str">
        <f t="shared" si="90"/>
        <v>PO-100966</v>
      </c>
      <c r="O967" t="str">
        <f t="shared" si="91"/>
        <v>Delivered</v>
      </c>
      <c r="P967" t="str">
        <f t="shared" si="92"/>
        <v>WH-PUN</v>
      </c>
      <c r="Q967" t="str">
        <f>VLOOKUP(C967, Lookups!$A$2:$D$10, 2, FALSE())</f>
        <v>NextGen Hardware</v>
      </c>
      <c r="R967" t="str">
        <f>_xlfn.XLOOKUP(D967, Lookups!$A$12:$A$51, Lookups!$C$12:$C$51, "Unknown")</f>
        <v>Electronics</v>
      </c>
      <c r="S967" t="str">
        <f>IF(ISBLANK(I967), B967+VLOOKUP(C967, Lookups!$A$2:$D$10, 4, FALSE()), I967)</f>
        <v>2025-06-29</v>
      </c>
      <c r="T967">
        <f t="shared" si="93"/>
        <v>25</v>
      </c>
      <c r="U967" t="str">
        <f t="shared" si="94"/>
        <v>Late</v>
      </c>
      <c r="V967">
        <f t="shared" si="95"/>
        <v>0</v>
      </c>
    </row>
    <row r="968" spans="1:22" x14ac:dyDescent="0.45">
      <c r="A968" t="s">
        <v>1795</v>
      </c>
      <c r="B968" t="s">
        <v>675</v>
      </c>
      <c r="C968" t="s">
        <v>30</v>
      </c>
      <c r="D968" t="s">
        <v>53</v>
      </c>
      <c r="E968" t="s">
        <v>16</v>
      </c>
      <c r="F968">
        <v>158</v>
      </c>
      <c r="G968">
        <v>81048</v>
      </c>
      <c r="H968">
        <v>12805584</v>
      </c>
      <c r="K968">
        <v>0</v>
      </c>
      <c r="L968">
        <v>0</v>
      </c>
      <c r="M968" t="s">
        <v>297</v>
      </c>
      <c r="N968" t="str">
        <f t="shared" si="90"/>
        <v>PO-100967</v>
      </c>
      <c r="O968" t="str">
        <f t="shared" si="91"/>
        <v>Open</v>
      </c>
      <c r="P968" t="str">
        <f t="shared" si="92"/>
        <v>WH-DEL</v>
      </c>
      <c r="Q968" t="str">
        <f>VLOOKUP(C968, Lookups!$A$2:$D$10, 2, FALSE())</f>
        <v>TechSupply Corp</v>
      </c>
      <c r="R968" t="str">
        <f>_xlfn.XLOOKUP(D968, Lookups!$A$12:$A$51, Lookups!$C$12:$C$51, "Unknown")</f>
        <v>Electronics</v>
      </c>
      <c r="S968">
        <f>IF(ISBLANK(I968), B968+VLOOKUP(C968, Lookups!$A$2:$D$10, 4, FALSE()), I968)</f>
        <v>46368</v>
      </c>
      <c r="T968" t="str">
        <f t="shared" si="93"/>
        <v/>
      </c>
      <c r="U968" t="str">
        <f t="shared" si="94"/>
        <v>Open</v>
      </c>
      <c r="V968">
        <f t="shared" si="95"/>
        <v>0</v>
      </c>
    </row>
    <row r="969" spans="1:22" x14ac:dyDescent="0.45">
      <c r="A969" t="s">
        <v>1796</v>
      </c>
      <c r="B969" t="s">
        <v>1170</v>
      </c>
      <c r="C969" t="s">
        <v>34</v>
      </c>
      <c r="D969" t="s">
        <v>76</v>
      </c>
      <c r="E969" t="s">
        <v>17</v>
      </c>
      <c r="F969">
        <v>199</v>
      </c>
      <c r="G969">
        <v>26270</v>
      </c>
      <c r="H969">
        <v>5227730</v>
      </c>
      <c r="I969" t="s">
        <v>1357</v>
      </c>
      <c r="K969">
        <v>0</v>
      </c>
      <c r="L969">
        <v>0</v>
      </c>
      <c r="M969" t="s">
        <v>297</v>
      </c>
      <c r="N969" t="str">
        <f t="shared" si="90"/>
        <v>PO-100968</v>
      </c>
      <c r="O969" t="str">
        <f t="shared" si="91"/>
        <v>Open</v>
      </c>
      <c r="P969" t="str">
        <f t="shared" si="92"/>
        <v>WH-BLR</v>
      </c>
      <c r="Q969" t="str">
        <f>VLOOKUP(C969, Lookups!$A$2:$D$10, 2, FALSE())</f>
        <v>FastElectronics</v>
      </c>
      <c r="R969" t="str">
        <f>_xlfn.XLOOKUP(D969, Lookups!$A$12:$A$51, Lookups!$C$12:$C$51, "Unknown")</f>
        <v>Networking</v>
      </c>
      <c r="S969" t="str">
        <f>IF(ISBLANK(I969), B969+VLOOKUP(C969, Lookups!$A$2:$D$10, 4, FALSE()), I969)</f>
        <v>2026-12-21</v>
      </c>
      <c r="T969" t="str">
        <f t="shared" si="93"/>
        <v/>
      </c>
      <c r="U969" t="str">
        <f t="shared" si="94"/>
        <v>Open</v>
      </c>
      <c r="V969">
        <f t="shared" si="95"/>
        <v>0</v>
      </c>
    </row>
    <row r="970" spans="1:22" x14ac:dyDescent="0.45">
      <c r="A970" t="s">
        <v>1797</v>
      </c>
      <c r="B970" t="s">
        <v>999</v>
      </c>
      <c r="C970" t="s">
        <v>36</v>
      </c>
      <c r="D970" t="s">
        <v>90</v>
      </c>
      <c r="E970" t="s">
        <v>16</v>
      </c>
      <c r="F970">
        <v>246</v>
      </c>
      <c r="G970">
        <v>81434</v>
      </c>
      <c r="H970">
        <v>20032764</v>
      </c>
      <c r="I970" t="s">
        <v>1480</v>
      </c>
      <c r="J970" t="s">
        <v>1337</v>
      </c>
      <c r="K970">
        <v>189</v>
      </c>
      <c r="L970">
        <v>0</v>
      </c>
      <c r="M970" t="s">
        <v>115</v>
      </c>
      <c r="N970" t="str">
        <f t="shared" si="90"/>
        <v>PO-100969</v>
      </c>
      <c r="O970" t="str">
        <f t="shared" si="91"/>
        <v>Delivered</v>
      </c>
      <c r="P970" t="str">
        <f t="shared" si="92"/>
        <v>WH-DEL</v>
      </c>
      <c r="Q970" t="str">
        <f>VLOOKUP(C970, Lookups!$A$2:$D$10, 2, FALSE())</f>
        <v>NextGen Hardware</v>
      </c>
      <c r="R970" t="str">
        <f>_xlfn.XLOOKUP(D970, Lookups!$A$12:$A$51, Lookups!$C$12:$C$51, "Unknown")</f>
        <v>Electronics</v>
      </c>
      <c r="S970" t="str">
        <f>IF(ISBLANK(I970), B970+VLOOKUP(C970, Lookups!$A$2:$D$10, 4, FALSE()), I970)</f>
        <v>2026-09-21</v>
      </c>
      <c r="T970">
        <f t="shared" si="93"/>
        <v>25</v>
      </c>
      <c r="U970" t="str">
        <f t="shared" si="94"/>
        <v>Late</v>
      </c>
      <c r="V970">
        <f t="shared" si="95"/>
        <v>0</v>
      </c>
    </row>
    <row r="971" spans="1:22" x14ac:dyDescent="0.45">
      <c r="A971" t="s">
        <v>1798</v>
      </c>
      <c r="B971" t="s">
        <v>1216</v>
      </c>
      <c r="C971" t="s">
        <v>36</v>
      </c>
      <c r="D971" t="s">
        <v>87</v>
      </c>
      <c r="E971" t="s">
        <v>18</v>
      </c>
      <c r="F971">
        <v>18</v>
      </c>
      <c r="G971">
        <v>82930</v>
      </c>
      <c r="H971">
        <v>1492740</v>
      </c>
      <c r="I971" t="s">
        <v>1084</v>
      </c>
      <c r="J971" t="s">
        <v>1497</v>
      </c>
      <c r="K971">
        <v>18</v>
      </c>
      <c r="L971">
        <v>0</v>
      </c>
      <c r="M971" t="s">
        <v>115</v>
      </c>
      <c r="N971" t="str">
        <f t="shared" si="90"/>
        <v>PO-100970</v>
      </c>
      <c r="O971" t="str">
        <f t="shared" si="91"/>
        <v>Delivered</v>
      </c>
      <c r="P971" t="str">
        <f t="shared" si="92"/>
        <v>WH-PUN</v>
      </c>
      <c r="Q971" t="str">
        <f>VLOOKUP(C971, Lookups!$A$2:$D$10, 2, FALSE())</f>
        <v>NextGen Hardware</v>
      </c>
      <c r="R971" t="str">
        <f>_xlfn.XLOOKUP(D971, Lookups!$A$12:$A$51, Lookups!$C$12:$C$51, "Unknown")</f>
        <v>Electronics</v>
      </c>
      <c r="S971" t="str">
        <f>IF(ISBLANK(I971), B971+VLOOKUP(C971, Lookups!$A$2:$D$10, 4, FALSE()), I971)</f>
        <v>2026-03-20</v>
      </c>
      <c r="T971">
        <f t="shared" si="93"/>
        <v>25</v>
      </c>
      <c r="U971" t="str">
        <f t="shared" si="94"/>
        <v>Late</v>
      </c>
      <c r="V971">
        <f t="shared" si="95"/>
        <v>0</v>
      </c>
    </row>
    <row r="972" spans="1:22" x14ac:dyDescent="0.45">
      <c r="A972" t="s">
        <v>1799</v>
      </c>
      <c r="B972" t="s">
        <v>512</v>
      </c>
      <c r="C972" t="s">
        <v>36</v>
      </c>
      <c r="D972" t="s">
        <v>90</v>
      </c>
      <c r="E972" t="s">
        <v>17</v>
      </c>
      <c r="F972">
        <v>129</v>
      </c>
      <c r="G972">
        <v>81434</v>
      </c>
      <c r="H972">
        <v>10504986</v>
      </c>
      <c r="I972" t="s">
        <v>559</v>
      </c>
      <c r="J972" t="s">
        <v>574</v>
      </c>
      <c r="K972">
        <v>129</v>
      </c>
      <c r="L972">
        <v>0</v>
      </c>
      <c r="M972" t="s">
        <v>115</v>
      </c>
      <c r="N972" t="str">
        <f t="shared" si="90"/>
        <v>PO-100971</v>
      </c>
      <c r="O972" t="str">
        <f t="shared" si="91"/>
        <v>Delivered</v>
      </c>
      <c r="P972" t="str">
        <f t="shared" si="92"/>
        <v>WH-BLR</v>
      </c>
      <c r="Q972" t="str">
        <f>VLOOKUP(C972, Lookups!$A$2:$D$10, 2, FALSE())</f>
        <v>NextGen Hardware</v>
      </c>
      <c r="R972" t="str">
        <f>_xlfn.XLOOKUP(D972, Lookups!$A$12:$A$51, Lookups!$C$12:$C$51, "Unknown")</f>
        <v>Electronics</v>
      </c>
      <c r="S972" t="str">
        <f>IF(ISBLANK(I972), B972+VLOOKUP(C972, Lookups!$A$2:$D$10, 4, FALSE()), I972)</f>
        <v>2026-04-19</v>
      </c>
      <c r="T972">
        <f t="shared" si="93"/>
        <v>36</v>
      </c>
      <c r="U972" t="str">
        <f t="shared" si="94"/>
        <v>Late</v>
      </c>
      <c r="V972">
        <f t="shared" si="95"/>
        <v>0</v>
      </c>
    </row>
    <row r="973" spans="1:22" x14ac:dyDescent="0.45">
      <c r="A973" t="s">
        <v>1800</v>
      </c>
      <c r="B973" t="s">
        <v>1285</v>
      </c>
      <c r="C973" t="s">
        <v>30</v>
      </c>
      <c r="D973" t="s">
        <v>61</v>
      </c>
      <c r="E973" t="s">
        <v>18</v>
      </c>
      <c r="F973">
        <v>67</v>
      </c>
      <c r="G973">
        <v>111237</v>
      </c>
      <c r="H973">
        <v>7452879</v>
      </c>
      <c r="I973" t="s">
        <v>315</v>
      </c>
      <c r="J973" t="s">
        <v>315</v>
      </c>
      <c r="K973">
        <v>67</v>
      </c>
      <c r="L973">
        <v>0</v>
      </c>
      <c r="M973" t="s">
        <v>115</v>
      </c>
      <c r="N973" t="str">
        <f t="shared" si="90"/>
        <v>PO-100972</v>
      </c>
      <c r="O973" t="str">
        <f t="shared" si="91"/>
        <v>Delivered</v>
      </c>
      <c r="P973" t="str">
        <f t="shared" si="92"/>
        <v>WH-PUN</v>
      </c>
      <c r="Q973" t="str">
        <f>VLOOKUP(C973, Lookups!$A$2:$D$10, 2, FALSE())</f>
        <v>TechSupply Corp</v>
      </c>
      <c r="R973" t="str">
        <f>_xlfn.XLOOKUP(D973, Lookups!$A$12:$A$51, Lookups!$C$12:$C$51, "Unknown")</f>
        <v>Electronics</v>
      </c>
      <c r="S973" t="str">
        <f>IF(ISBLANK(I973), B973+VLOOKUP(C973, Lookups!$A$2:$D$10, 4, FALSE()), I973)</f>
        <v>2026-03-07</v>
      </c>
      <c r="T973">
        <f t="shared" si="93"/>
        <v>14</v>
      </c>
      <c r="U973" t="str">
        <f t="shared" si="94"/>
        <v>On-Time</v>
      </c>
      <c r="V973">
        <f t="shared" si="95"/>
        <v>0</v>
      </c>
    </row>
    <row r="974" spans="1:22" x14ac:dyDescent="0.45">
      <c r="A974" t="s">
        <v>1801</v>
      </c>
      <c r="B974" t="s">
        <v>443</v>
      </c>
      <c r="C974" t="s">
        <v>31</v>
      </c>
      <c r="D974" t="s">
        <v>56</v>
      </c>
      <c r="E974" t="s">
        <v>15</v>
      </c>
      <c r="F974">
        <v>24</v>
      </c>
      <c r="G974">
        <v>39270</v>
      </c>
      <c r="H974">
        <v>942480</v>
      </c>
      <c r="I974" t="s">
        <v>963</v>
      </c>
      <c r="J974" t="s">
        <v>963</v>
      </c>
      <c r="K974">
        <v>24</v>
      </c>
      <c r="L974">
        <v>0</v>
      </c>
      <c r="M974" t="s">
        <v>115</v>
      </c>
      <c r="N974" t="str">
        <f t="shared" si="90"/>
        <v>PO-100973</v>
      </c>
      <c r="O974" t="str">
        <f t="shared" si="91"/>
        <v>Delivered</v>
      </c>
      <c r="P974" t="str">
        <f t="shared" si="92"/>
        <v>WH-BOM</v>
      </c>
      <c r="Q974" t="str">
        <f>VLOOKUP(C974, Lookups!$A$2:$D$10, 2, FALSE())</f>
        <v>Global Networks</v>
      </c>
      <c r="R974" t="str">
        <f>_xlfn.XLOOKUP(D974, Lookups!$A$12:$A$51, Lookups!$C$12:$C$51, "Unknown")</f>
        <v>Networking</v>
      </c>
      <c r="S974" t="str">
        <f>IF(ISBLANK(I974), B974+VLOOKUP(C974, Lookups!$A$2:$D$10, 4, FALSE()), I974)</f>
        <v>2026-04-21</v>
      </c>
      <c r="T974">
        <f t="shared" si="93"/>
        <v>21</v>
      </c>
      <c r="U974" t="str">
        <f t="shared" si="94"/>
        <v>On-Time</v>
      </c>
      <c r="V974">
        <f t="shared" si="95"/>
        <v>0</v>
      </c>
    </row>
    <row r="975" spans="1:22" x14ac:dyDescent="0.45">
      <c r="A975" t="s">
        <v>1802</v>
      </c>
      <c r="B975" t="s">
        <v>420</v>
      </c>
      <c r="C975" t="s">
        <v>36</v>
      </c>
      <c r="D975" t="s">
        <v>90</v>
      </c>
      <c r="E975" t="s">
        <v>18</v>
      </c>
      <c r="F975">
        <v>54</v>
      </c>
      <c r="G975">
        <v>81434</v>
      </c>
      <c r="H975">
        <v>4397436</v>
      </c>
      <c r="I975" t="s">
        <v>334</v>
      </c>
      <c r="J975" t="s">
        <v>1295</v>
      </c>
      <c r="K975">
        <v>54</v>
      </c>
      <c r="L975">
        <v>0</v>
      </c>
      <c r="M975" t="s">
        <v>115</v>
      </c>
      <c r="N975" t="str">
        <f t="shared" si="90"/>
        <v>PO-100974</v>
      </c>
      <c r="O975" t="str">
        <f t="shared" si="91"/>
        <v>Delivered</v>
      </c>
      <c r="P975" t="str">
        <f t="shared" si="92"/>
        <v>WH-PUN</v>
      </c>
      <c r="Q975" t="str">
        <f>VLOOKUP(C975, Lookups!$A$2:$D$10, 2, FALSE())</f>
        <v>NextGen Hardware</v>
      </c>
      <c r="R975" t="str">
        <f>_xlfn.XLOOKUP(D975, Lookups!$A$12:$A$51, Lookups!$C$12:$C$51, "Unknown")</f>
        <v>Electronics</v>
      </c>
      <c r="S975" t="str">
        <f>IF(ISBLANK(I975), B975+VLOOKUP(C975, Lookups!$A$2:$D$10, 4, FALSE()), I975)</f>
        <v>2026-08-15</v>
      </c>
      <c r="T975">
        <f t="shared" si="93"/>
        <v>20</v>
      </c>
      <c r="U975" t="str">
        <f t="shared" si="94"/>
        <v>On-Time</v>
      </c>
      <c r="V975">
        <f t="shared" si="95"/>
        <v>0</v>
      </c>
    </row>
    <row r="976" spans="1:22" x14ac:dyDescent="0.45">
      <c r="A976" t="s">
        <v>1803</v>
      </c>
      <c r="B976" t="s">
        <v>182</v>
      </c>
      <c r="C976" t="s">
        <v>36</v>
      </c>
      <c r="D976" t="s">
        <v>62</v>
      </c>
      <c r="E976" t="s">
        <v>17</v>
      </c>
      <c r="F976">
        <v>61</v>
      </c>
      <c r="G976">
        <v>48478</v>
      </c>
      <c r="H976">
        <v>2957158</v>
      </c>
      <c r="I976" t="s">
        <v>296</v>
      </c>
      <c r="J976" t="s">
        <v>780</v>
      </c>
      <c r="K976">
        <v>61</v>
      </c>
      <c r="L976">
        <v>0</v>
      </c>
      <c r="M976" t="s">
        <v>115</v>
      </c>
      <c r="N976" t="str">
        <f t="shared" si="90"/>
        <v>PO-100975</v>
      </c>
      <c r="O976" t="str">
        <f t="shared" si="91"/>
        <v>Delivered</v>
      </c>
      <c r="P976" t="str">
        <f t="shared" si="92"/>
        <v>WH-BLR</v>
      </c>
      <c r="Q976" t="str">
        <f>VLOOKUP(C976, Lookups!$A$2:$D$10, 2, FALSE())</f>
        <v>NextGen Hardware</v>
      </c>
      <c r="R976" t="str">
        <f>_xlfn.XLOOKUP(D976, Lookups!$A$12:$A$51, Lookups!$C$12:$C$51, "Unknown")</f>
        <v>Electronics</v>
      </c>
      <c r="S976" t="str">
        <f>IF(ISBLANK(I976), B976+VLOOKUP(C976, Lookups!$A$2:$D$10, 4, FALSE()), I976)</f>
        <v>2026-11-24</v>
      </c>
      <c r="T976">
        <f t="shared" si="93"/>
        <v>29</v>
      </c>
      <c r="U976" t="str">
        <f t="shared" si="94"/>
        <v>Late</v>
      </c>
      <c r="V976">
        <f t="shared" si="95"/>
        <v>0</v>
      </c>
    </row>
    <row r="977" spans="1:22" x14ac:dyDescent="0.45">
      <c r="A977" t="s">
        <v>1804</v>
      </c>
      <c r="B977" t="s">
        <v>561</v>
      </c>
      <c r="C977" t="s">
        <v>30</v>
      </c>
      <c r="D977" t="s">
        <v>61</v>
      </c>
      <c r="E977" t="s">
        <v>16</v>
      </c>
      <c r="F977">
        <v>167</v>
      </c>
      <c r="G977">
        <v>111237</v>
      </c>
      <c r="H977">
        <v>18576579</v>
      </c>
      <c r="I977" t="s">
        <v>566</v>
      </c>
      <c r="J977" t="s">
        <v>566</v>
      </c>
      <c r="K977">
        <v>167</v>
      </c>
      <c r="L977">
        <v>0</v>
      </c>
      <c r="M977" t="s">
        <v>115</v>
      </c>
      <c r="N977" t="str">
        <f t="shared" si="90"/>
        <v>PO-100976</v>
      </c>
      <c r="O977" t="str">
        <f t="shared" si="91"/>
        <v>Delivered</v>
      </c>
      <c r="P977" t="str">
        <f t="shared" si="92"/>
        <v>WH-DEL</v>
      </c>
      <c r="Q977" t="str">
        <f>VLOOKUP(C977, Lookups!$A$2:$D$10, 2, FALSE())</f>
        <v>TechSupply Corp</v>
      </c>
      <c r="R977" t="str">
        <f>_xlfn.XLOOKUP(D977, Lookups!$A$12:$A$51, Lookups!$C$12:$C$51, "Unknown")</f>
        <v>Electronics</v>
      </c>
      <c r="S977" t="str">
        <f>IF(ISBLANK(I977), B977+VLOOKUP(C977, Lookups!$A$2:$D$10, 4, FALSE()), I977)</f>
        <v>2025-03-09</v>
      </c>
      <c r="T977">
        <f t="shared" si="93"/>
        <v>14</v>
      </c>
      <c r="U977" t="str">
        <f t="shared" si="94"/>
        <v>On-Time</v>
      </c>
      <c r="V977">
        <f t="shared" si="95"/>
        <v>0</v>
      </c>
    </row>
    <row r="978" spans="1:22" x14ac:dyDescent="0.45">
      <c r="A978" t="s">
        <v>1805</v>
      </c>
      <c r="B978" t="s">
        <v>385</v>
      </c>
      <c r="C978" t="s">
        <v>30</v>
      </c>
      <c r="D978" t="s">
        <v>53</v>
      </c>
      <c r="E978" t="s">
        <v>18</v>
      </c>
      <c r="F978">
        <v>154</v>
      </c>
      <c r="G978">
        <v>81048</v>
      </c>
      <c r="H978">
        <v>12481392</v>
      </c>
      <c r="I978" t="s">
        <v>222</v>
      </c>
      <c r="J978" t="s">
        <v>1413</v>
      </c>
      <c r="K978">
        <v>154</v>
      </c>
      <c r="L978">
        <v>0</v>
      </c>
      <c r="M978" t="s">
        <v>178</v>
      </c>
      <c r="N978" t="str">
        <f t="shared" si="90"/>
        <v>PO-100977</v>
      </c>
      <c r="O978" t="str">
        <f t="shared" si="91"/>
        <v>Delivered</v>
      </c>
      <c r="P978" t="str">
        <f t="shared" si="92"/>
        <v>WH-PUN</v>
      </c>
      <c r="Q978" t="str">
        <f>VLOOKUP(C978, Lookups!$A$2:$D$10, 2, FALSE())</f>
        <v>TechSupply Corp</v>
      </c>
      <c r="R978" t="str">
        <f>_xlfn.XLOOKUP(D978, Lookups!$A$12:$A$51, Lookups!$C$12:$C$51, "Unknown")</f>
        <v>Electronics</v>
      </c>
      <c r="S978" t="str">
        <f>IF(ISBLANK(I978), B978+VLOOKUP(C978, Lookups!$A$2:$D$10, 4, FALSE()), I978)</f>
        <v>2026-03-01</v>
      </c>
      <c r="T978">
        <f t="shared" si="93"/>
        <v>15</v>
      </c>
      <c r="U978" t="str">
        <f t="shared" si="94"/>
        <v>Late</v>
      </c>
      <c r="V978">
        <f t="shared" si="95"/>
        <v>0</v>
      </c>
    </row>
    <row r="979" spans="1:22" x14ac:dyDescent="0.45">
      <c r="A979" t="s">
        <v>1806</v>
      </c>
      <c r="B979" t="s">
        <v>120</v>
      </c>
      <c r="C979" t="s">
        <v>31</v>
      </c>
      <c r="D979" t="s">
        <v>77</v>
      </c>
      <c r="E979" t="s">
        <v>17</v>
      </c>
      <c r="F979">
        <v>177</v>
      </c>
      <c r="G979">
        <v>23667</v>
      </c>
      <c r="H979">
        <v>4189059</v>
      </c>
      <c r="I979" t="s">
        <v>668</v>
      </c>
      <c r="J979" t="s">
        <v>264</v>
      </c>
      <c r="K979">
        <v>177</v>
      </c>
      <c r="L979">
        <v>0</v>
      </c>
      <c r="M979" t="s">
        <v>115</v>
      </c>
      <c r="N979" t="str">
        <f t="shared" si="90"/>
        <v>PO-100978</v>
      </c>
      <c r="O979" t="str">
        <f t="shared" si="91"/>
        <v>Delivered</v>
      </c>
      <c r="P979" t="str">
        <f t="shared" si="92"/>
        <v>WH-BLR</v>
      </c>
      <c r="Q979" t="str">
        <f>VLOOKUP(C979, Lookups!$A$2:$D$10, 2, FALSE())</f>
        <v>Global Networks</v>
      </c>
      <c r="R979" t="str">
        <f>_xlfn.XLOOKUP(D979, Lookups!$A$12:$A$51, Lookups!$C$12:$C$51, "Unknown")</f>
        <v>Networking</v>
      </c>
      <c r="S979" t="str">
        <f>IF(ISBLANK(I979), B979+VLOOKUP(C979, Lookups!$A$2:$D$10, 4, FALSE()), I979)</f>
        <v>2025-01-24</v>
      </c>
      <c r="T979">
        <f t="shared" si="93"/>
        <v>28</v>
      </c>
      <c r="U979" t="str">
        <f t="shared" si="94"/>
        <v>Late</v>
      </c>
      <c r="V979">
        <f t="shared" si="95"/>
        <v>0</v>
      </c>
    </row>
    <row r="980" spans="1:22" x14ac:dyDescent="0.45">
      <c r="A980" t="s">
        <v>1807</v>
      </c>
      <c r="B980" t="s">
        <v>638</v>
      </c>
      <c r="C980" t="s">
        <v>35</v>
      </c>
      <c r="D980" t="s">
        <v>60</v>
      </c>
      <c r="E980" t="s">
        <v>17</v>
      </c>
      <c r="F980">
        <v>33</v>
      </c>
      <c r="G980">
        <v>3291</v>
      </c>
      <c r="H980">
        <v>108603</v>
      </c>
      <c r="I980" t="s">
        <v>206</v>
      </c>
      <c r="J980" t="s">
        <v>207</v>
      </c>
      <c r="K980">
        <v>33</v>
      </c>
      <c r="L980">
        <v>0</v>
      </c>
      <c r="M980" t="s">
        <v>115</v>
      </c>
      <c r="N980" t="str">
        <f t="shared" si="90"/>
        <v>PO-100979</v>
      </c>
      <c r="O980" t="str">
        <f t="shared" si="91"/>
        <v>Delivered</v>
      </c>
      <c r="P980" t="str">
        <f t="shared" si="92"/>
        <v>WH-BLR</v>
      </c>
      <c r="Q980" t="str">
        <f>VLOOKUP(C980, Lookups!$A$2:$D$10, 2, FALSE())</f>
        <v>Peripheral Source</v>
      </c>
      <c r="R980" t="str">
        <f>_xlfn.XLOOKUP(D980, Lookups!$A$12:$A$51, Lookups!$C$12:$C$51, "Unknown")</f>
        <v>Peripherals</v>
      </c>
      <c r="S980" t="str">
        <f>IF(ISBLANK(I980), B980+VLOOKUP(C980, Lookups!$A$2:$D$10, 4, FALSE()), I980)</f>
        <v>2025-12-07</v>
      </c>
      <c r="T980">
        <f t="shared" si="93"/>
        <v>17</v>
      </c>
      <c r="U980" t="str">
        <f t="shared" si="94"/>
        <v>Late</v>
      </c>
      <c r="V980">
        <f t="shared" si="95"/>
        <v>0</v>
      </c>
    </row>
    <row r="981" spans="1:22" x14ac:dyDescent="0.45">
      <c r="A981" t="s">
        <v>1808</v>
      </c>
      <c r="B981" t="s">
        <v>764</v>
      </c>
      <c r="C981" t="s">
        <v>34</v>
      </c>
      <c r="D981" t="s">
        <v>54</v>
      </c>
      <c r="E981" t="s">
        <v>18</v>
      </c>
      <c r="F981">
        <v>230</v>
      </c>
      <c r="G981">
        <v>22314</v>
      </c>
      <c r="H981">
        <v>5132220</v>
      </c>
      <c r="I981" t="s">
        <v>566</v>
      </c>
      <c r="J981" t="s">
        <v>476</v>
      </c>
      <c r="K981">
        <v>230</v>
      </c>
      <c r="L981">
        <v>0</v>
      </c>
      <c r="M981" t="s">
        <v>115</v>
      </c>
      <c r="N981" t="str">
        <f t="shared" si="90"/>
        <v>PO-100980</v>
      </c>
      <c r="O981" t="str">
        <f t="shared" si="91"/>
        <v>Delivered</v>
      </c>
      <c r="P981" t="str">
        <f t="shared" si="92"/>
        <v>WH-PUN</v>
      </c>
      <c r="Q981" t="str">
        <f>VLOOKUP(C981, Lookups!$A$2:$D$10, 2, FALSE())</f>
        <v>FastElectronics</v>
      </c>
      <c r="R981" t="str">
        <f>_xlfn.XLOOKUP(D981, Lookups!$A$12:$A$51, Lookups!$C$12:$C$51, "Unknown")</f>
        <v>Networking</v>
      </c>
      <c r="S981" t="str">
        <f>IF(ISBLANK(I981), B981+VLOOKUP(C981, Lookups!$A$2:$D$10, 4, FALSE()), I981)</f>
        <v>2025-03-09</v>
      </c>
      <c r="T981">
        <f t="shared" si="93"/>
        <v>19</v>
      </c>
      <c r="U981" t="str">
        <f t="shared" si="94"/>
        <v>Late</v>
      </c>
      <c r="V981">
        <f t="shared" si="95"/>
        <v>0</v>
      </c>
    </row>
    <row r="982" spans="1:22" x14ac:dyDescent="0.45">
      <c r="A982" t="s">
        <v>1809</v>
      </c>
      <c r="B982" t="s">
        <v>639</v>
      </c>
      <c r="C982" t="s">
        <v>35</v>
      </c>
      <c r="D982" t="s">
        <v>70</v>
      </c>
      <c r="E982" t="s">
        <v>18</v>
      </c>
      <c r="F982">
        <v>209</v>
      </c>
      <c r="G982">
        <v>4287</v>
      </c>
      <c r="H982">
        <v>895983</v>
      </c>
      <c r="I982" t="s">
        <v>859</v>
      </c>
      <c r="J982" t="s">
        <v>859</v>
      </c>
      <c r="K982">
        <v>209</v>
      </c>
      <c r="L982">
        <v>0</v>
      </c>
      <c r="M982" t="s">
        <v>115</v>
      </c>
      <c r="N982" t="str">
        <f t="shared" si="90"/>
        <v>PO-100981</v>
      </c>
      <c r="O982" t="str">
        <f t="shared" si="91"/>
        <v>Delivered</v>
      </c>
      <c r="P982" t="str">
        <f t="shared" si="92"/>
        <v>WH-PUN</v>
      </c>
      <c r="Q982" t="str">
        <f>VLOOKUP(C982, Lookups!$A$2:$D$10, 2, FALSE())</f>
        <v>Peripheral Source</v>
      </c>
      <c r="R982" t="str">
        <f>_xlfn.XLOOKUP(D982, Lookups!$A$12:$A$51, Lookups!$C$12:$C$51, "Unknown")</f>
        <v>Peripherals</v>
      </c>
      <c r="S982" t="str">
        <f>IF(ISBLANK(I982), B982+VLOOKUP(C982, Lookups!$A$2:$D$10, 4, FALSE()), I982)</f>
        <v>2025-12-21</v>
      </c>
      <c r="T982">
        <f t="shared" si="93"/>
        <v>10</v>
      </c>
      <c r="U982" t="str">
        <f t="shared" si="94"/>
        <v>On-Time</v>
      </c>
      <c r="V982">
        <f t="shared" si="95"/>
        <v>0</v>
      </c>
    </row>
    <row r="983" spans="1:22" x14ac:dyDescent="0.45">
      <c r="A983" t="s">
        <v>1810</v>
      </c>
      <c r="B983" t="s">
        <v>180</v>
      </c>
      <c r="C983" t="s">
        <v>31</v>
      </c>
      <c r="D983" t="s">
        <v>85</v>
      </c>
      <c r="E983" t="s">
        <v>15</v>
      </c>
      <c r="F983">
        <v>75</v>
      </c>
      <c r="G983">
        <v>16501</v>
      </c>
      <c r="H983">
        <v>1237575</v>
      </c>
      <c r="I983" t="s">
        <v>736</v>
      </c>
      <c r="J983" t="s">
        <v>734</v>
      </c>
      <c r="K983">
        <v>75</v>
      </c>
      <c r="L983">
        <v>0</v>
      </c>
      <c r="M983" t="s">
        <v>115</v>
      </c>
      <c r="N983" t="str">
        <f t="shared" si="90"/>
        <v>PO-100982</v>
      </c>
      <c r="O983" t="str">
        <f t="shared" si="91"/>
        <v>Delivered</v>
      </c>
      <c r="P983" t="str">
        <f t="shared" si="92"/>
        <v>WH-BOM</v>
      </c>
      <c r="Q983" t="str">
        <f>VLOOKUP(C983, Lookups!$A$2:$D$10, 2, FALSE())</f>
        <v>Global Networks</v>
      </c>
      <c r="R983" t="str">
        <f>_xlfn.XLOOKUP(D983, Lookups!$A$12:$A$51, Lookups!$C$12:$C$51, "Unknown")</f>
        <v>Networking</v>
      </c>
      <c r="S983" t="str">
        <f>IF(ISBLANK(I983), B983+VLOOKUP(C983, Lookups!$A$2:$D$10, 4, FALSE()), I983)</f>
        <v>2026-10-30</v>
      </c>
      <c r="T983">
        <f t="shared" si="93"/>
        <v>28</v>
      </c>
      <c r="U983" t="str">
        <f t="shared" si="94"/>
        <v>Late</v>
      </c>
      <c r="V983">
        <f t="shared" si="95"/>
        <v>0</v>
      </c>
    </row>
    <row r="984" spans="1:22" x14ac:dyDescent="0.45">
      <c r="A984" t="s">
        <v>1811</v>
      </c>
      <c r="B984" t="s">
        <v>631</v>
      </c>
      <c r="C984" t="s">
        <v>30</v>
      </c>
      <c r="D984" t="s">
        <v>52</v>
      </c>
      <c r="E984" t="s">
        <v>17</v>
      </c>
      <c r="F984">
        <v>73</v>
      </c>
      <c r="G984">
        <v>59592</v>
      </c>
      <c r="H984">
        <v>4350216</v>
      </c>
      <c r="I984" t="s">
        <v>196</v>
      </c>
      <c r="J984" t="s">
        <v>290</v>
      </c>
      <c r="K984">
        <v>73</v>
      </c>
      <c r="L984">
        <v>0</v>
      </c>
      <c r="M984" t="s">
        <v>115</v>
      </c>
      <c r="N984" t="str">
        <f t="shared" si="90"/>
        <v>PO-100983</v>
      </c>
      <c r="O984" t="str">
        <f t="shared" si="91"/>
        <v>Delivered</v>
      </c>
      <c r="P984" t="str">
        <f t="shared" si="92"/>
        <v>WH-BLR</v>
      </c>
      <c r="Q984" t="str">
        <f>VLOOKUP(C984, Lookups!$A$2:$D$10, 2, FALSE())</f>
        <v>TechSupply Corp</v>
      </c>
      <c r="R984" t="str">
        <f>_xlfn.XLOOKUP(D984, Lookups!$A$12:$A$51, Lookups!$C$12:$C$51, "Unknown")</f>
        <v>Electronics</v>
      </c>
      <c r="S984" t="str">
        <f>IF(ISBLANK(I984), B984+VLOOKUP(C984, Lookups!$A$2:$D$10, 4, FALSE()), I984)</f>
        <v>2026-07-11</v>
      </c>
      <c r="T984">
        <f t="shared" si="93"/>
        <v>15</v>
      </c>
      <c r="U984" t="str">
        <f t="shared" si="94"/>
        <v>Late</v>
      </c>
      <c r="V984">
        <f t="shared" si="95"/>
        <v>0</v>
      </c>
    </row>
    <row r="985" spans="1:22" x14ac:dyDescent="0.45">
      <c r="A985" t="s">
        <v>1812</v>
      </c>
      <c r="B985" t="s">
        <v>1451</v>
      </c>
      <c r="C985" t="s">
        <v>35</v>
      </c>
      <c r="D985" t="s">
        <v>75</v>
      </c>
      <c r="E985" t="s">
        <v>17</v>
      </c>
      <c r="F985">
        <v>214</v>
      </c>
      <c r="G985">
        <v>4440</v>
      </c>
      <c r="H985">
        <v>950160</v>
      </c>
      <c r="I985" t="s">
        <v>325</v>
      </c>
      <c r="J985" t="s">
        <v>327</v>
      </c>
      <c r="K985">
        <v>214</v>
      </c>
      <c r="L985">
        <v>0</v>
      </c>
      <c r="M985" t="s">
        <v>115</v>
      </c>
      <c r="N985" t="str">
        <f t="shared" si="90"/>
        <v>PO-100984</v>
      </c>
      <c r="O985" t="str">
        <f t="shared" si="91"/>
        <v>Delivered</v>
      </c>
      <c r="P985" t="str">
        <f t="shared" si="92"/>
        <v>WH-BLR</v>
      </c>
      <c r="Q985" t="str">
        <f>VLOOKUP(C985, Lookups!$A$2:$D$10, 2, FALSE())</f>
        <v>Peripheral Source</v>
      </c>
      <c r="R985" t="str">
        <f>_xlfn.XLOOKUP(D985, Lookups!$A$12:$A$51, Lookups!$C$12:$C$51, "Unknown")</f>
        <v>Peripherals</v>
      </c>
      <c r="S985" t="str">
        <f>IF(ISBLANK(I985), B985+VLOOKUP(C985, Lookups!$A$2:$D$10, 4, FALSE()), I985)</f>
        <v>2025-05-26</v>
      </c>
      <c r="T985">
        <f t="shared" si="93"/>
        <v>20</v>
      </c>
      <c r="U985" t="str">
        <f t="shared" si="94"/>
        <v>Late</v>
      </c>
      <c r="V985">
        <f t="shared" si="95"/>
        <v>0</v>
      </c>
    </row>
    <row r="986" spans="1:22" x14ac:dyDescent="0.45">
      <c r="A986" t="s">
        <v>1813</v>
      </c>
      <c r="B986" t="s">
        <v>1279</v>
      </c>
      <c r="C986" t="s">
        <v>31</v>
      </c>
      <c r="D986" t="s">
        <v>85</v>
      </c>
      <c r="E986" t="s">
        <v>18</v>
      </c>
      <c r="F986">
        <v>149</v>
      </c>
      <c r="G986">
        <v>16501</v>
      </c>
      <c r="H986">
        <v>2458649</v>
      </c>
      <c r="I986" t="s">
        <v>177</v>
      </c>
      <c r="J986" t="s">
        <v>177</v>
      </c>
      <c r="K986">
        <v>149</v>
      </c>
      <c r="L986">
        <v>0</v>
      </c>
      <c r="M986" t="s">
        <v>115</v>
      </c>
      <c r="N986" t="str">
        <f t="shared" si="90"/>
        <v>PO-100985</v>
      </c>
      <c r="O986" t="str">
        <f t="shared" si="91"/>
        <v>Delivered</v>
      </c>
      <c r="P986" t="str">
        <f t="shared" si="92"/>
        <v>WH-PUN</v>
      </c>
      <c r="Q986" t="str">
        <f>VLOOKUP(C986, Lookups!$A$2:$D$10, 2, FALSE())</f>
        <v>Global Networks</v>
      </c>
      <c r="R986" t="str">
        <f>_xlfn.XLOOKUP(D986, Lookups!$A$12:$A$51, Lookups!$C$12:$C$51, "Unknown")</f>
        <v>Networking</v>
      </c>
      <c r="S986" t="str">
        <f>IF(ISBLANK(I986), B986+VLOOKUP(C986, Lookups!$A$2:$D$10, 4, FALSE()), I986)</f>
        <v>2026-08-08</v>
      </c>
      <c r="T986">
        <f t="shared" si="93"/>
        <v>21</v>
      </c>
      <c r="U986" t="str">
        <f t="shared" si="94"/>
        <v>On-Time</v>
      </c>
      <c r="V986">
        <f t="shared" si="95"/>
        <v>0</v>
      </c>
    </row>
    <row r="987" spans="1:22" x14ac:dyDescent="0.45">
      <c r="A987" t="s">
        <v>1814</v>
      </c>
      <c r="B987" t="s">
        <v>1639</v>
      </c>
      <c r="C987" t="s">
        <v>30</v>
      </c>
      <c r="D987" t="s">
        <v>59</v>
      </c>
      <c r="E987" t="s">
        <v>16</v>
      </c>
      <c r="F987">
        <v>237</v>
      </c>
      <c r="G987">
        <v>48905</v>
      </c>
      <c r="H987">
        <v>11590485</v>
      </c>
      <c r="I987" t="s">
        <v>792</v>
      </c>
      <c r="J987" t="s">
        <v>469</v>
      </c>
      <c r="K987">
        <v>233</v>
      </c>
      <c r="L987">
        <v>0</v>
      </c>
      <c r="M987" t="s">
        <v>115</v>
      </c>
      <c r="N987" t="str">
        <f t="shared" si="90"/>
        <v>PO-100986</v>
      </c>
      <c r="O987" t="str">
        <f t="shared" si="91"/>
        <v>Delivered</v>
      </c>
      <c r="P987" t="str">
        <f t="shared" si="92"/>
        <v>WH-DEL</v>
      </c>
      <c r="Q987" t="str">
        <f>VLOOKUP(C987, Lookups!$A$2:$D$10, 2, FALSE())</f>
        <v>TechSupply Corp</v>
      </c>
      <c r="R987" t="str">
        <f>_xlfn.XLOOKUP(D987, Lookups!$A$12:$A$51, Lookups!$C$12:$C$51, "Unknown")</f>
        <v>Electronics</v>
      </c>
      <c r="S987" t="str">
        <f>IF(ISBLANK(I987), B987+VLOOKUP(C987, Lookups!$A$2:$D$10, 4, FALSE()), I987)</f>
        <v>2025-07-06</v>
      </c>
      <c r="T987">
        <f t="shared" si="93"/>
        <v>23</v>
      </c>
      <c r="U987" t="str">
        <f t="shared" si="94"/>
        <v>Late</v>
      </c>
      <c r="V987">
        <f t="shared" si="95"/>
        <v>0</v>
      </c>
    </row>
    <row r="988" spans="1:22" x14ac:dyDescent="0.45">
      <c r="A988" t="s">
        <v>1815</v>
      </c>
      <c r="B988" t="s">
        <v>1574</v>
      </c>
      <c r="C988" t="s">
        <v>36</v>
      </c>
      <c r="D988" t="s">
        <v>87</v>
      </c>
      <c r="E988" t="s">
        <v>18</v>
      </c>
      <c r="F988">
        <v>116</v>
      </c>
      <c r="G988">
        <v>82930</v>
      </c>
      <c r="H988">
        <v>9619880</v>
      </c>
      <c r="I988" t="s">
        <v>829</v>
      </c>
      <c r="J988" t="s">
        <v>829</v>
      </c>
      <c r="K988">
        <v>116</v>
      </c>
      <c r="L988">
        <v>0</v>
      </c>
      <c r="M988" t="s">
        <v>115</v>
      </c>
      <c r="N988" t="str">
        <f t="shared" si="90"/>
        <v>PO-100987</v>
      </c>
      <c r="O988" t="str">
        <f t="shared" si="91"/>
        <v>Delivered</v>
      </c>
      <c r="P988" t="str">
        <f t="shared" si="92"/>
        <v>WH-PUN</v>
      </c>
      <c r="Q988" t="str">
        <f>VLOOKUP(C988, Lookups!$A$2:$D$10, 2, FALSE())</f>
        <v>NextGen Hardware</v>
      </c>
      <c r="R988" t="str">
        <f>_xlfn.XLOOKUP(D988, Lookups!$A$12:$A$51, Lookups!$C$12:$C$51, "Unknown")</f>
        <v>Electronics</v>
      </c>
      <c r="S988" t="str">
        <f>IF(ISBLANK(I988), B988+VLOOKUP(C988, Lookups!$A$2:$D$10, 4, FALSE()), I988)</f>
        <v>2025-12-24</v>
      </c>
      <c r="T988">
        <f t="shared" si="93"/>
        <v>24</v>
      </c>
      <c r="U988" t="str">
        <f t="shared" si="94"/>
        <v>On-Time</v>
      </c>
      <c r="V988">
        <f t="shared" si="95"/>
        <v>0</v>
      </c>
    </row>
    <row r="989" spans="1:22" x14ac:dyDescent="0.45">
      <c r="A989" t="s">
        <v>1816</v>
      </c>
      <c r="B989" t="s">
        <v>882</v>
      </c>
      <c r="C989" t="s">
        <v>30</v>
      </c>
      <c r="D989" t="s">
        <v>82</v>
      </c>
      <c r="E989" t="s">
        <v>16</v>
      </c>
      <c r="F989">
        <v>245</v>
      </c>
      <c r="G989">
        <v>83427</v>
      </c>
      <c r="H989">
        <v>20439615</v>
      </c>
      <c r="I989" t="s">
        <v>883</v>
      </c>
      <c r="J989" t="s">
        <v>527</v>
      </c>
      <c r="K989">
        <v>245</v>
      </c>
      <c r="L989">
        <v>0</v>
      </c>
      <c r="M989" t="s">
        <v>115</v>
      </c>
      <c r="N989" t="str">
        <f t="shared" si="90"/>
        <v>PO-100988</v>
      </c>
      <c r="O989" t="str">
        <f t="shared" si="91"/>
        <v>Delivered</v>
      </c>
      <c r="P989" t="str">
        <f t="shared" si="92"/>
        <v>WH-DEL</v>
      </c>
      <c r="Q989" t="str">
        <f>VLOOKUP(C989, Lookups!$A$2:$D$10, 2, FALSE())</f>
        <v>TechSupply Corp</v>
      </c>
      <c r="R989" t="str">
        <f>_xlfn.XLOOKUP(D989, Lookups!$A$12:$A$51, Lookups!$C$12:$C$51, "Unknown")</f>
        <v>Electronics</v>
      </c>
      <c r="S989" t="str">
        <f>IF(ISBLANK(I989), B989+VLOOKUP(C989, Lookups!$A$2:$D$10, 4, FALSE()), I989)</f>
        <v>2026-07-06</v>
      </c>
      <c r="T989">
        <f t="shared" si="93"/>
        <v>15</v>
      </c>
      <c r="U989" t="str">
        <f t="shared" si="94"/>
        <v>Late</v>
      </c>
      <c r="V989">
        <f t="shared" si="95"/>
        <v>0</v>
      </c>
    </row>
    <row r="990" spans="1:22" x14ac:dyDescent="0.45">
      <c r="A990" t="s">
        <v>1817</v>
      </c>
      <c r="B990" t="s">
        <v>300</v>
      </c>
      <c r="C990" t="s">
        <v>34</v>
      </c>
      <c r="D990" t="s">
        <v>68</v>
      </c>
      <c r="E990" t="s">
        <v>16</v>
      </c>
      <c r="F990">
        <v>216</v>
      </c>
      <c r="G990">
        <v>41405</v>
      </c>
      <c r="H990">
        <v>8943480</v>
      </c>
      <c r="I990" t="s">
        <v>1265</v>
      </c>
      <c r="J990" t="s">
        <v>910</v>
      </c>
      <c r="K990">
        <v>216</v>
      </c>
      <c r="L990">
        <v>0</v>
      </c>
      <c r="M990" t="s">
        <v>115</v>
      </c>
      <c r="N990" t="str">
        <f t="shared" si="90"/>
        <v>PO-100989</v>
      </c>
      <c r="O990" t="str">
        <f t="shared" si="91"/>
        <v>Delivered</v>
      </c>
      <c r="P990" t="str">
        <f t="shared" si="92"/>
        <v>WH-DEL</v>
      </c>
      <c r="Q990" t="str">
        <f>VLOOKUP(C990, Lookups!$A$2:$D$10, 2, FALSE())</f>
        <v>FastElectronics</v>
      </c>
      <c r="R990" t="str">
        <f>_xlfn.XLOOKUP(D990, Lookups!$A$12:$A$51, Lookups!$C$12:$C$51, "Unknown")</f>
        <v>Networking</v>
      </c>
      <c r="S990" t="str">
        <f>IF(ISBLANK(I990), B990+VLOOKUP(C990, Lookups!$A$2:$D$10, 4, FALSE()), I990)</f>
        <v>2025-04-07</v>
      </c>
      <c r="T990">
        <f t="shared" si="93"/>
        <v>19</v>
      </c>
      <c r="U990" t="str">
        <f t="shared" si="94"/>
        <v>Late</v>
      </c>
      <c r="V990">
        <f t="shared" si="95"/>
        <v>0</v>
      </c>
    </row>
    <row r="991" spans="1:22" x14ac:dyDescent="0.45">
      <c r="A991" t="s">
        <v>1818</v>
      </c>
      <c r="B991" t="s">
        <v>583</v>
      </c>
      <c r="C991" t="s">
        <v>30</v>
      </c>
      <c r="D991" t="s">
        <v>82</v>
      </c>
      <c r="E991" t="s">
        <v>18</v>
      </c>
      <c r="F991">
        <v>89</v>
      </c>
      <c r="G991">
        <v>83427</v>
      </c>
      <c r="H991">
        <v>7425003</v>
      </c>
      <c r="I991" t="s">
        <v>1106</v>
      </c>
      <c r="J991" t="s">
        <v>506</v>
      </c>
      <c r="K991">
        <v>56</v>
      </c>
      <c r="L991">
        <v>0</v>
      </c>
      <c r="M991" t="s">
        <v>115</v>
      </c>
      <c r="N991" t="str">
        <f t="shared" si="90"/>
        <v>PO-100990</v>
      </c>
      <c r="O991" t="str">
        <f t="shared" si="91"/>
        <v>Delivered</v>
      </c>
      <c r="P991" t="str">
        <f t="shared" si="92"/>
        <v>WH-PUN</v>
      </c>
      <c r="Q991" t="str">
        <f>VLOOKUP(C991, Lookups!$A$2:$D$10, 2, FALSE())</f>
        <v>TechSupply Corp</v>
      </c>
      <c r="R991" t="str">
        <f>_xlfn.XLOOKUP(D991, Lookups!$A$12:$A$51, Lookups!$C$12:$C$51, "Unknown")</f>
        <v>Electronics</v>
      </c>
      <c r="S991" t="str">
        <f>IF(ISBLANK(I991), B991+VLOOKUP(C991, Lookups!$A$2:$D$10, 4, FALSE()), I991)</f>
        <v>2025-05-10</v>
      </c>
      <c r="T991">
        <f t="shared" si="93"/>
        <v>15</v>
      </c>
      <c r="U991" t="str">
        <f t="shared" si="94"/>
        <v>Late</v>
      </c>
      <c r="V991">
        <f t="shared" si="95"/>
        <v>0</v>
      </c>
    </row>
    <row r="992" spans="1:22" x14ac:dyDescent="0.45">
      <c r="A992" t="s">
        <v>1819</v>
      </c>
      <c r="B992" t="s">
        <v>289</v>
      </c>
      <c r="C992" t="s">
        <v>36</v>
      </c>
      <c r="D992" t="s">
        <v>87</v>
      </c>
      <c r="E992" t="s">
        <v>15</v>
      </c>
      <c r="F992">
        <v>130</v>
      </c>
      <c r="G992">
        <v>82930</v>
      </c>
      <c r="H992">
        <v>10780900</v>
      </c>
      <c r="I992" t="s">
        <v>142</v>
      </c>
      <c r="J992" t="s">
        <v>1347</v>
      </c>
      <c r="K992">
        <v>70</v>
      </c>
      <c r="L992">
        <v>0</v>
      </c>
      <c r="M992" t="s">
        <v>115</v>
      </c>
      <c r="N992" t="str">
        <f t="shared" si="90"/>
        <v>PO-100991</v>
      </c>
      <c r="O992" t="str">
        <f t="shared" si="91"/>
        <v>Delivered</v>
      </c>
      <c r="P992" t="str">
        <f t="shared" si="92"/>
        <v>WH-BOM</v>
      </c>
      <c r="Q992" t="str">
        <f>VLOOKUP(C992, Lookups!$A$2:$D$10, 2, FALSE())</f>
        <v>NextGen Hardware</v>
      </c>
      <c r="R992" t="str">
        <f>_xlfn.XLOOKUP(D992, Lookups!$A$12:$A$51, Lookups!$C$12:$C$51, "Unknown")</f>
        <v>Electronics</v>
      </c>
      <c r="S992" t="str">
        <f>IF(ISBLANK(I992), B992+VLOOKUP(C992, Lookups!$A$2:$D$10, 4, FALSE()), I992)</f>
        <v>2026-08-02</v>
      </c>
      <c r="T992">
        <f t="shared" si="93"/>
        <v>31</v>
      </c>
      <c r="U992" t="str">
        <f t="shared" si="94"/>
        <v>Late</v>
      </c>
      <c r="V992">
        <f t="shared" si="95"/>
        <v>0</v>
      </c>
    </row>
    <row r="993" spans="1:22" x14ac:dyDescent="0.45">
      <c r="A993" t="s">
        <v>1820</v>
      </c>
      <c r="B993" t="s">
        <v>798</v>
      </c>
      <c r="C993" t="s">
        <v>36</v>
      </c>
      <c r="D993" t="s">
        <v>71</v>
      </c>
      <c r="E993" t="s">
        <v>17</v>
      </c>
      <c r="F993">
        <v>185</v>
      </c>
      <c r="G993">
        <v>65379</v>
      </c>
      <c r="H993">
        <v>12095115</v>
      </c>
      <c r="I993" t="s">
        <v>703</v>
      </c>
      <c r="J993" t="s">
        <v>375</v>
      </c>
      <c r="K993">
        <v>185</v>
      </c>
      <c r="L993">
        <v>0</v>
      </c>
      <c r="M993" t="s">
        <v>115</v>
      </c>
      <c r="N993" t="str">
        <f t="shared" si="90"/>
        <v>PO-100992</v>
      </c>
      <c r="O993" t="str">
        <f t="shared" si="91"/>
        <v>Delivered</v>
      </c>
      <c r="P993" t="str">
        <f t="shared" si="92"/>
        <v>WH-BLR</v>
      </c>
      <c r="Q993" t="str">
        <f>VLOOKUP(C993, Lookups!$A$2:$D$10, 2, FALSE())</f>
        <v>NextGen Hardware</v>
      </c>
      <c r="R993" t="str">
        <f>_xlfn.XLOOKUP(D993, Lookups!$A$12:$A$51, Lookups!$C$12:$C$51, "Unknown")</f>
        <v>Electronics</v>
      </c>
      <c r="S993" t="str">
        <f>IF(ISBLANK(I993), B993+VLOOKUP(C993, Lookups!$A$2:$D$10, 4, FALSE()), I993)</f>
        <v>2026-06-08</v>
      </c>
      <c r="T993">
        <f t="shared" si="93"/>
        <v>26</v>
      </c>
      <c r="U993" t="str">
        <f t="shared" si="94"/>
        <v>Late</v>
      </c>
      <c r="V993">
        <f t="shared" si="95"/>
        <v>0</v>
      </c>
    </row>
    <row r="994" spans="1:22" x14ac:dyDescent="0.45">
      <c r="A994" t="s">
        <v>1821</v>
      </c>
      <c r="B994" t="s">
        <v>1822</v>
      </c>
      <c r="C994" t="s">
        <v>30</v>
      </c>
      <c r="D994" t="s">
        <v>52</v>
      </c>
      <c r="E994" t="s">
        <v>15</v>
      </c>
      <c r="F994">
        <v>195</v>
      </c>
      <c r="G994">
        <v>59592</v>
      </c>
      <c r="H994">
        <v>11620440</v>
      </c>
      <c r="I994" t="s">
        <v>1024</v>
      </c>
      <c r="J994" t="s">
        <v>1126</v>
      </c>
      <c r="K994">
        <v>195</v>
      </c>
      <c r="L994">
        <v>0</v>
      </c>
      <c r="M994" t="s">
        <v>115</v>
      </c>
      <c r="N994" t="str">
        <f t="shared" si="90"/>
        <v>PO-100993</v>
      </c>
      <c r="O994" t="str">
        <f t="shared" si="91"/>
        <v>Delivered</v>
      </c>
      <c r="P994" t="str">
        <f t="shared" si="92"/>
        <v>WH-BOM</v>
      </c>
      <c r="Q994" t="str">
        <f>VLOOKUP(C994, Lookups!$A$2:$D$10, 2, FALSE())</f>
        <v>TechSupply Corp</v>
      </c>
      <c r="R994" t="str">
        <f>_xlfn.XLOOKUP(D994, Lookups!$A$12:$A$51, Lookups!$C$12:$C$51, "Unknown")</f>
        <v>Electronics</v>
      </c>
      <c r="S994" t="str">
        <f>IF(ISBLANK(I994), B994+VLOOKUP(C994, Lookups!$A$2:$D$10, 4, FALSE()), I994)</f>
        <v>2026-11-17</v>
      </c>
      <c r="T994">
        <f t="shared" si="93"/>
        <v>15</v>
      </c>
      <c r="U994" t="str">
        <f t="shared" si="94"/>
        <v>Late</v>
      </c>
      <c r="V994">
        <f t="shared" si="95"/>
        <v>0</v>
      </c>
    </row>
    <row r="995" spans="1:22" x14ac:dyDescent="0.45">
      <c r="A995" t="s">
        <v>1823</v>
      </c>
      <c r="B995" t="s">
        <v>476</v>
      </c>
      <c r="C995" t="s">
        <v>31</v>
      </c>
      <c r="D995" t="s">
        <v>77</v>
      </c>
      <c r="E995" t="s">
        <v>17</v>
      </c>
      <c r="F995">
        <v>145</v>
      </c>
      <c r="G995">
        <v>23667</v>
      </c>
      <c r="H995">
        <v>3431715</v>
      </c>
      <c r="I995" t="s">
        <v>1737</v>
      </c>
      <c r="J995" t="s">
        <v>1737</v>
      </c>
      <c r="K995">
        <v>145</v>
      </c>
      <c r="L995">
        <v>0</v>
      </c>
      <c r="M995" t="s">
        <v>115</v>
      </c>
      <c r="N995" t="str">
        <f t="shared" si="90"/>
        <v>PO-100994</v>
      </c>
      <c r="O995" t="str">
        <f t="shared" si="91"/>
        <v>Delivered</v>
      </c>
      <c r="P995" t="str">
        <f t="shared" si="92"/>
        <v>WH-BLR</v>
      </c>
      <c r="Q995" t="str">
        <f>VLOOKUP(C995, Lookups!$A$2:$D$10, 2, FALSE())</f>
        <v>Global Networks</v>
      </c>
      <c r="R995" t="str">
        <f>_xlfn.XLOOKUP(D995, Lookups!$A$12:$A$51, Lookups!$C$12:$C$51, "Unknown")</f>
        <v>Networking</v>
      </c>
      <c r="S995" t="str">
        <f>IF(ISBLANK(I995), B995+VLOOKUP(C995, Lookups!$A$2:$D$10, 4, FALSE()), I995)</f>
        <v>2025-03-31</v>
      </c>
      <c r="T995">
        <f t="shared" si="93"/>
        <v>21</v>
      </c>
      <c r="U995" t="str">
        <f t="shared" si="94"/>
        <v>On-Time</v>
      </c>
      <c r="V995">
        <f t="shared" si="95"/>
        <v>0</v>
      </c>
    </row>
    <row r="996" spans="1:22" x14ac:dyDescent="0.45">
      <c r="A996" t="s">
        <v>1824</v>
      </c>
      <c r="B996" t="s">
        <v>185</v>
      </c>
      <c r="C996" t="s">
        <v>37</v>
      </c>
      <c r="D996" t="s">
        <v>69</v>
      </c>
      <c r="E996" t="s">
        <v>18</v>
      </c>
      <c r="F996">
        <v>116</v>
      </c>
      <c r="G996">
        <v>13231</v>
      </c>
      <c r="H996">
        <v>1534796</v>
      </c>
      <c r="I996" t="s">
        <v>476</v>
      </c>
      <c r="J996" t="s">
        <v>497</v>
      </c>
      <c r="K996">
        <v>116</v>
      </c>
      <c r="L996">
        <v>0</v>
      </c>
      <c r="M996" t="s">
        <v>115</v>
      </c>
      <c r="N996" t="str">
        <f t="shared" si="90"/>
        <v>PO-100995</v>
      </c>
      <c r="O996" t="str">
        <f t="shared" si="91"/>
        <v>Delivered</v>
      </c>
      <c r="P996" t="str">
        <f t="shared" si="92"/>
        <v>WH-PUN</v>
      </c>
      <c r="Q996" t="str">
        <f>VLOOKUP(C996, Lookups!$A$2:$D$10, 2, FALSE())</f>
        <v>Premium Desks Ltd</v>
      </c>
      <c r="R996" t="str">
        <f>_xlfn.XLOOKUP(D996, Lookups!$A$12:$A$51, Lookups!$C$12:$C$51, "Unknown")</f>
        <v>Office Furniture</v>
      </c>
      <c r="S996" t="str">
        <f>IF(ISBLANK(I996), B996+VLOOKUP(C996, Lookups!$A$2:$D$10, 4, FALSE()), I996)</f>
        <v>2025-03-10</v>
      </c>
      <c r="T996">
        <f t="shared" si="93"/>
        <v>21</v>
      </c>
      <c r="U996" t="str">
        <f t="shared" si="94"/>
        <v>Late</v>
      </c>
      <c r="V996">
        <f t="shared" si="95"/>
        <v>0</v>
      </c>
    </row>
    <row r="997" spans="1:22" x14ac:dyDescent="0.45">
      <c r="A997" t="s">
        <v>1825</v>
      </c>
      <c r="B997" t="s">
        <v>505</v>
      </c>
      <c r="C997" t="s">
        <v>34</v>
      </c>
      <c r="D997" t="s">
        <v>74</v>
      </c>
      <c r="E997" t="s">
        <v>16</v>
      </c>
      <c r="F997">
        <v>113</v>
      </c>
      <c r="G997">
        <v>94797</v>
      </c>
      <c r="H997">
        <v>10712061</v>
      </c>
      <c r="I997" t="s">
        <v>1190</v>
      </c>
      <c r="J997" t="s">
        <v>983</v>
      </c>
      <c r="K997">
        <v>113</v>
      </c>
      <c r="L997">
        <v>0</v>
      </c>
      <c r="M997" t="s">
        <v>115</v>
      </c>
      <c r="N997" t="str">
        <f t="shared" si="90"/>
        <v>PO-100996</v>
      </c>
      <c r="O997" t="str">
        <f t="shared" si="91"/>
        <v>Delivered</v>
      </c>
      <c r="P997" t="str">
        <f t="shared" si="92"/>
        <v>WH-DEL</v>
      </c>
      <c r="Q997" t="str">
        <f>VLOOKUP(C997, Lookups!$A$2:$D$10, 2, FALSE())</f>
        <v>FastElectronics</v>
      </c>
      <c r="R997" t="str">
        <f>_xlfn.XLOOKUP(D997, Lookups!$A$12:$A$51, Lookups!$C$12:$C$51, "Unknown")</f>
        <v>Electronics</v>
      </c>
      <c r="S997" t="str">
        <f>IF(ISBLANK(I997), B997+VLOOKUP(C997, Lookups!$A$2:$D$10, 4, FALSE()), I997)</f>
        <v>2025-04-29</v>
      </c>
      <c r="T997">
        <f t="shared" si="93"/>
        <v>19</v>
      </c>
      <c r="U997" t="str">
        <f t="shared" si="94"/>
        <v>Late</v>
      </c>
      <c r="V997">
        <f t="shared" si="95"/>
        <v>0</v>
      </c>
    </row>
    <row r="998" spans="1:22" x14ac:dyDescent="0.45">
      <c r="A998" t="s">
        <v>1826</v>
      </c>
      <c r="B998" t="s">
        <v>284</v>
      </c>
      <c r="C998" t="s">
        <v>31</v>
      </c>
      <c r="D998" t="s">
        <v>66</v>
      </c>
      <c r="E998" t="s">
        <v>18</v>
      </c>
      <c r="F998">
        <v>24</v>
      </c>
      <c r="G998">
        <v>29719</v>
      </c>
      <c r="H998">
        <v>713256</v>
      </c>
      <c r="I998" t="s">
        <v>1090</v>
      </c>
      <c r="J998" t="s">
        <v>431</v>
      </c>
      <c r="K998">
        <v>24</v>
      </c>
      <c r="L998">
        <v>0</v>
      </c>
      <c r="M998" t="s">
        <v>115</v>
      </c>
      <c r="N998" t="str">
        <f t="shared" si="90"/>
        <v>PO-100997</v>
      </c>
      <c r="O998" t="str">
        <f t="shared" si="91"/>
        <v>Delivered</v>
      </c>
      <c r="P998" t="str">
        <f t="shared" si="92"/>
        <v>WH-PUN</v>
      </c>
      <c r="Q998" t="str">
        <f>VLOOKUP(C998, Lookups!$A$2:$D$10, 2, FALSE())</f>
        <v>Global Networks</v>
      </c>
      <c r="R998" t="str">
        <f>_xlfn.XLOOKUP(D998, Lookups!$A$12:$A$51, Lookups!$C$12:$C$51, "Unknown")</f>
        <v>Networking</v>
      </c>
      <c r="S998" t="str">
        <f>IF(ISBLANK(I998), B998+VLOOKUP(C998, Lookups!$A$2:$D$10, 4, FALSE()), I998)</f>
        <v>2025-03-15</v>
      </c>
      <c r="T998">
        <f t="shared" si="93"/>
        <v>22</v>
      </c>
      <c r="U998" t="str">
        <f t="shared" si="94"/>
        <v>Late</v>
      </c>
      <c r="V998">
        <f t="shared" si="95"/>
        <v>0</v>
      </c>
    </row>
    <row r="999" spans="1:22" x14ac:dyDescent="0.45">
      <c r="A999" t="s">
        <v>1827</v>
      </c>
      <c r="B999" t="s">
        <v>228</v>
      </c>
      <c r="C999" t="s">
        <v>31</v>
      </c>
      <c r="D999" t="s">
        <v>64</v>
      </c>
      <c r="E999" t="s">
        <v>15</v>
      </c>
      <c r="F999">
        <v>156</v>
      </c>
      <c r="G999">
        <v>36295</v>
      </c>
      <c r="H999">
        <v>5662020</v>
      </c>
      <c r="I999" t="s">
        <v>234</v>
      </c>
      <c r="J999" t="s">
        <v>192</v>
      </c>
      <c r="K999">
        <v>156</v>
      </c>
      <c r="L999">
        <v>0</v>
      </c>
      <c r="M999" t="s">
        <v>115</v>
      </c>
      <c r="N999" t="str">
        <f t="shared" si="90"/>
        <v>PO-100998</v>
      </c>
      <c r="O999" t="str">
        <f t="shared" si="91"/>
        <v>Delivered</v>
      </c>
      <c r="P999" t="str">
        <f t="shared" si="92"/>
        <v>WH-BOM</v>
      </c>
      <c r="Q999" t="str">
        <f>VLOOKUP(C999, Lookups!$A$2:$D$10, 2, FALSE())</f>
        <v>Global Networks</v>
      </c>
      <c r="R999" t="str">
        <f>_xlfn.XLOOKUP(D999, Lookups!$A$12:$A$51, Lookups!$C$12:$C$51, "Unknown")</f>
        <v>Networking</v>
      </c>
      <c r="S999" t="str">
        <f>IF(ISBLANK(I999), B999+VLOOKUP(C999, Lookups!$A$2:$D$10, 4, FALSE()), I999)</f>
        <v>2025-08-03</v>
      </c>
      <c r="T999">
        <f t="shared" si="93"/>
        <v>22</v>
      </c>
      <c r="U999" t="str">
        <f t="shared" si="94"/>
        <v>Late</v>
      </c>
      <c r="V999">
        <f t="shared" si="95"/>
        <v>0</v>
      </c>
    </row>
    <row r="1000" spans="1:22" x14ac:dyDescent="0.45">
      <c r="A1000" t="s">
        <v>1828</v>
      </c>
      <c r="B1000" t="s">
        <v>141</v>
      </c>
      <c r="C1000" t="s">
        <v>35</v>
      </c>
      <c r="D1000" t="s">
        <v>65</v>
      </c>
      <c r="E1000" t="s">
        <v>18</v>
      </c>
      <c r="F1000">
        <v>146</v>
      </c>
      <c r="G1000">
        <v>4936</v>
      </c>
      <c r="H1000">
        <v>720656</v>
      </c>
      <c r="I1000" t="s">
        <v>142</v>
      </c>
      <c r="J1000" t="s">
        <v>142</v>
      </c>
      <c r="K1000">
        <v>146</v>
      </c>
      <c r="L1000">
        <v>0</v>
      </c>
      <c r="M1000" t="s">
        <v>115</v>
      </c>
      <c r="N1000" t="str">
        <f t="shared" si="90"/>
        <v>PO-100999</v>
      </c>
      <c r="O1000" t="str">
        <f t="shared" si="91"/>
        <v>Delivered</v>
      </c>
      <c r="P1000" t="str">
        <f t="shared" si="92"/>
        <v>WH-PUN</v>
      </c>
      <c r="Q1000" t="str">
        <f>VLOOKUP(C1000, Lookups!$A$2:$D$10, 2, FALSE())</f>
        <v>Peripheral Source</v>
      </c>
      <c r="R1000" t="str">
        <f>_xlfn.XLOOKUP(D1000, Lookups!$A$12:$A$51, Lookups!$C$12:$C$51, "Unknown")</f>
        <v>Peripherals</v>
      </c>
      <c r="S1000" t="str">
        <f>IF(ISBLANK(I1000), B1000+VLOOKUP(C1000, Lookups!$A$2:$D$10, 4, FALSE()), I1000)</f>
        <v>2026-08-02</v>
      </c>
      <c r="T1000">
        <f t="shared" si="93"/>
        <v>10</v>
      </c>
      <c r="U1000" t="str">
        <f t="shared" si="94"/>
        <v>On-Time</v>
      </c>
      <c r="V1000">
        <f t="shared" si="95"/>
        <v>0</v>
      </c>
    </row>
    <row r="1001" spans="1:22" x14ac:dyDescent="0.45">
      <c r="A1001" t="s">
        <v>1829</v>
      </c>
      <c r="B1001" t="s">
        <v>318</v>
      </c>
      <c r="C1001" t="s">
        <v>34</v>
      </c>
      <c r="D1001" t="s">
        <v>73</v>
      </c>
      <c r="E1001" t="s">
        <v>18</v>
      </c>
      <c r="F1001">
        <v>162</v>
      </c>
      <c r="G1001">
        <v>58396</v>
      </c>
      <c r="H1001">
        <v>9460152</v>
      </c>
      <c r="I1001" t="s">
        <v>244</v>
      </c>
      <c r="J1001" t="s">
        <v>320</v>
      </c>
      <c r="K1001">
        <v>162</v>
      </c>
      <c r="L1001">
        <v>24</v>
      </c>
      <c r="M1001" t="s">
        <v>115</v>
      </c>
      <c r="N1001" t="str">
        <f t="shared" si="90"/>
        <v>PO-101000</v>
      </c>
      <c r="O1001" t="str">
        <f t="shared" si="91"/>
        <v>Delivered</v>
      </c>
      <c r="P1001" t="str">
        <f t="shared" si="92"/>
        <v>WH-PUN</v>
      </c>
      <c r="Q1001" t="str">
        <f>VLOOKUP(C1001, Lookups!$A$2:$D$10, 2, FALSE())</f>
        <v>FastElectronics</v>
      </c>
      <c r="R1001" t="str">
        <f>_xlfn.XLOOKUP(D1001, Lookups!$A$12:$A$51, Lookups!$C$12:$C$51, "Unknown")</f>
        <v>Electronics</v>
      </c>
      <c r="S1001" t="str">
        <f>IF(ISBLANK(I1001), B1001+VLOOKUP(C1001, Lookups!$A$2:$D$10, 4, FALSE()), I1001)</f>
        <v>2025-10-11</v>
      </c>
      <c r="T1001">
        <f t="shared" si="93"/>
        <v>22</v>
      </c>
      <c r="U1001" t="str">
        <f t="shared" si="94"/>
        <v>Late</v>
      </c>
      <c r="V1001">
        <f t="shared" si="95"/>
        <v>0.14814814814814814</v>
      </c>
    </row>
    <row r="1002" spans="1:22" x14ac:dyDescent="0.45">
      <c r="A1002" t="s">
        <v>1830</v>
      </c>
      <c r="B1002" t="s">
        <v>1100</v>
      </c>
      <c r="C1002" t="s">
        <v>30</v>
      </c>
      <c r="D1002" t="s">
        <v>86</v>
      </c>
      <c r="E1002" t="s">
        <v>17</v>
      </c>
      <c r="F1002">
        <v>138</v>
      </c>
      <c r="G1002">
        <v>74871</v>
      </c>
      <c r="H1002">
        <v>10332198</v>
      </c>
      <c r="I1002" t="s">
        <v>744</v>
      </c>
      <c r="J1002" t="s">
        <v>1148</v>
      </c>
      <c r="K1002">
        <v>115</v>
      </c>
      <c r="L1002">
        <v>4</v>
      </c>
      <c r="M1002" t="s">
        <v>115</v>
      </c>
      <c r="N1002" t="str">
        <f t="shared" si="90"/>
        <v>PO-101001</v>
      </c>
      <c r="O1002" t="str">
        <f t="shared" si="91"/>
        <v>Delivered</v>
      </c>
      <c r="P1002" t="str">
        <f t="shared" si="92"/>
        <v>WH-BLR</v>
      </c>
      <c r="Q1002" t="str">
        <f>VLOOKUP(C1002, Lookups!$A$2:$D$10, 2, FALSE())</f>
        <v>TechSupply Corp</v>
      </c>
      <c r="R1002" t="str">
        <f>_xlfn.XLOOKUP(D1002, Lookups!$A$12:$A$51, Lookups!$C$12:$C$51, "Unknown")</f>
        <v>Electronics</v>
      </c>
      <c r="S1002" t="str">
        <f>IF(ISBLANK(I1002), B1002+VLOOKUP(C1002, Lookups!$A$2:$D$10, 4, FALSE()), I1002)</f>
        <v>2026-11-25</v>
      </c>
      <c r="T1002">
        <f t="shared" si="93"/>
        <v>15</v>
      </c>
      <c r="U1002" t="str">
        <f t="shared" si="94"/>
        <v>Late</v>
      </c>
      <c r="V1002">
        <f t="shared" si="95"/>
        <v>3.4782608695652174E-2</v>
      </c>
    </row>
    <row r="1003" spans="1:22" x14ac:dyDescent="0.45">
      <c r="A1003" t="s">
        <v>1831</v>
      </c>
      <c r="B1003" t="s">
        <v>143</v>
      </c>
      <c r="C1003" t="s">
        <v>37</v>
      </c>
      <c r="D1003" t="s">
        <v>79</v>
      </c>
      <c r="E1003" t="s">
        <v>18</v>
      </c>
      <c r="F1003">
        <v>165</v>
      </c>
      <c r="G1003">
        <v>23054</v>
      </c>
      <c r="H1003">
        <v>3803910</v>
      </c>
      <c r="I1003" t="s">
        <v>334</v>
      </c>
      <c r="J1003" t="s">
        <v>803</v>
      </c>
      <c r="K1003">
        <v>165</v>
      </c>
      <c r="L1003">
        <v>5</v>
      </c>
      <c r="M1003" t="s">
        <v>115</v>
      </c>
      <c r="N1003" t="str">
        <f t="shared" si="90"/>
        <v>PO-101002</v>
      </c>
      <c r="O1003" t="str">
        <f t="shared" si="91"/>
        <v>Delivered</v>
      </c>
      <c r="P1003" t="str">
        <f t="shared" si="92"/>
        <v>WH-PUN</v>
      </c>
      <c r="Q1003" t="str">
        <f>VLOOKUP(C1003, Lookups!$A$2:$D$10, 2, FALSE())</f>
        <v>Premium Desks Ltd</v>
      </c>
      <c r="R1003" t="str">
        <f>_xlfn.XLOOKUP(D1003, Lookups!$A$12:$A$51, Lookups!$C$12:$C$51, "Unknown")</f>
        <v>Office Furniture</v>
      </c>
      <c r="S1003" t="str">
        <f>IF(ISBLANK(I1003), B1003+VLOOKUP(C1003, Lookups!$A$2:$D$10, 4, FALSE()), I1003)</f>
        <v>2026-08-15</v>
      </c>
      <c r="T1003">
        <f t="shared" si="93"/>
        <v>13</v>
      </c>
      <c r="U1003" t="str">
        <f t="shared" si="94"/>
        <v>Late</v>
      </c>
      <c r="V1003">
        <f t="shared" si="95"/>
        <v>3.0303030303030304E-2</v>
      </c>
    </row>
    <row r="1004" spans="1:22" x14ac:dyDescent="0.45">
      <c r="A1004" t="s">
        <v>1832</v>
      </c>
      <c r="B1004" t="s">
        <v>547</v>
      </c>
      <c r="C1004" t="s">
        <v>31</v>
      </c>
      <c r="D1004" t="s">
        <v>56</v>
      </c>
      <c r="E1004" t="s">
        <v>16</v>
      </c>
      <c r="F1004">
        <v>21</v>
      </c>
      <c r="G1004">
        <v>39270</v>
      </c>
      <c r="H1004">
        <v>824670</v>
      </c>
      <c r="I1004" t="s">
        <v>261</v>
      </c>
      <c r="J1004" t="s">
        <v>1080</v>
      </c>
      <c r="K1004">
        <v>21</v>
      </c>
      <c r="L1004">
        <v>0</v>
      </c>
      <c r="M1004" t="s">
        <v>115</v>
      </c>
      <c r="N1004" t="str">
        <f t="shared" si="90"/>
        <v>PO-101003</v>
      </c>
      <c r="O1004" t="str">
        <f t="shared" si="91"/>
        <v>Delivered</v>
      </c>
      <c r="P1004" t="str">
        <f t="shared" si="92"/>
        <v>WH-DEL</v>
      </c>
      <c r="Q1004" t="str">
        <f>VLOOKUP(C1004, Lookups!$A$2:$D$10, 2, FALSE())</f>
        <v>Global Networks</v>
      </c>
      <c r="R1004" t="str">
        <f>_xlfn.XLOOKUP(D1004, Lookups!$A$12:$A$51, Lookups!$C$12:$C$51, "Unknown")</f>
        <v>Networking</v>
      </c>
      <c r="S1004" t="str">
        <f>IF(ISBLANK(I1004), B1004+VLOOKUP(C1004, Lookups!$A$2:$D$10, 4, FALSE()), I1004)</f>
        <v>2026-01-15</v>
      </c>
      <c r="T1004">
        <f t="shared" si="93"/>
        <v>31</v>
      </c>
      <c r="U1004" t="str">
        <f t="shared" si="94"/>
        <v>Late</v>
      </c>
      <c r="V1004">
        <f t="shared" si="95"/>
        <v>0</v>
      </c>
    </row>
    <row r="1005" spans="1:22" x14ac:dyDescent="0.45">
      <c r="A1005" t="s">
        <v>1833</v>
      </c>
      <c r="B1005" t="s">
        <v>1430</v>
      </c>
      <c r="C1005" t="s">
        <v>35</v>
      </c>
      <c r="D1005" t="s">
        <v>60</v>
      </c>
      <c r="E1005" t="s">
        <v>16</v>
      </c>
      <c r="F1005">
        <v>68</v>
      </c>
      <c r="G1005">
        <v>3291</v>
      </c>
      <c r="H1005">
        <v>223788</v>
      </c>
      <c r="I1005" t="s">
        <v>549</v>
      </c>
      <c r="J1005" t="s">
        <v>548</v>
      </c>
      <c r="K1005">
        <v>68</v>
      </c>
      <c r="L1005">
        <v>0</v>
      </c>
      <c r="M1005" t="s">
        <v>115</v>
      </c>
      <c r="N1005" t="str">
        <f t="shared" si="90"/>
        <v>PO-101004</v>
      </c>
      <c r="O1005" t="str">
        <f t="shared" si="91"/>
        <v>Delivered</v>
      </c>
      <c r="P1005" t="str">
        <f t="shared" si="92"/>
        <v>WH-DEL</v>
      </c>
      <c r="Q1005" t="str">
        <f>VLOOKUP(C1005, Lookups!$A$2:$D$10, 2, FALSE())</f>
        <v>Peripheral Source</v>
      </c>
      <c r="R1005" t="str">
        <f>_xlfn.XLOOKUP(D1005, Lookups!$A$12:$A$51, Lookups!$C$12:$C$51, "Unknown")</f>
        <v>Peripherals</v>
      </c>
      <c r="S1005" t="str">
        <f>IF(ISBLANK(I1005), B1005+VLOOKUP(C1005, Lookups!$A$2:$D$10, 4, FALSE()), I1005)</f>
        <v>2026-01-07</v>
      </c>
      <c r="T1005">
        <f t="shared" si="93"/>
        <v>11</v>
      </c>
      <c r="U1005" t="str">
        <f t="shared" si="94"/>
        <v>Late</v>
      </c>
      <c r="V1005">
        <f t="shared" si="95"/>
        <v>0</v>
      </c>
    </row>
    <row r="1006" spans="1:22" x14ac:dyDescent="0.45">
      <c r="A1006" t="s">
        <v>1834</v>
      </c>
      <c r="B1006" t="s">
        <v>455</v>
      </c>
      <c r="C1006" t="s">
        <v>31</v>
      </c>
      <c r="D1006" t="s">
        <v>64</v>
      </c>
      <c r="E1006" t="s">
        <v>18</v>
      </c>
      <c r="F1006">
        <v>159</v>
      </c>
      <c r="G1006">
        <v>36295</v>
      </c>
      <c r="H1006">
        <v>5770905</v>
      </c>
      <c r="I1006" t="s">
        <v>134</v>
      </c>
      <c r="J1006" t="s">
        <v>134</v>
      </c>
      <c r="K1006">
        <v>159</v>
      </c>
      <c r="L1006">
        <v>0</v>
      </c>
      <c r="M1006" t="s">
        <v>115</v>
      </c>
      <c r="N1006" t="str">
        <f t="shared" si="90"/>
        <v>PO-101005</v>
      </c>
      <c r="O1006" t="str">
        <f t="shared" si="91"/>
        <v>Delivered</v>
      </c>
      <c r="P1006" t="str">
        <f t="shared" si="92"/>
        <v>WH-PUN</v>
      </c>
      <c r="Q1006" t="str">
        <f>VLOOKUP(C1006, Lookups!$A$2:$D$10, 2, FALSE())</f>
        <v>Global Networks</v>
      </c>
      <c r="R1006" t="str">
        <f>_xlfn.XLOOKUP(D1006, Lookups!$A$12:$A$51, Lookups!$C$12:$C$51, "Unknown")</f>
        <v>Networking</v>
      </c>
      <c r="S1006" t="str">
        <f>IF(ISBLANK(I1006), B1006+VLOOKUP(C1006, Lookups!$A$2:$D$10, 4, FALSE()), I1006)</f>
        <v>2026-09-03</v>
      </c>
      <c r="T1006">
        <f t="shared" si="93"/>
        <v>21</v>
      </c>
      <c r="U1006" t="str">
        <f t="shared" si="94"/>
        <v>On-Time</v>
      </c>
      <c r="V1006">
        <f t="shared" si="95"/>
        <v>0</v>
      </c>
    </row>
    <row r="1007" spans="1:22" x14ac:dyDescent="0.45">
      <c r="A1007" t="s">
        <v>1835</v>
      </c>
      <c r="B1007" t="s">
        <v>1026</v>
      </c>
      <c r="C1007" t="s">
        <v>35</v>
      </c>
      <c r="D1007" t="s">
        <v>75</v>
      </c>
      <c r="E1007" t="s">
        <v>17</v>
      </c>
      <c r="F1007">
        <v>217</v>
      </c>
      <c r="G1007">
        <v>4440</v>
      </c>
      <c r="H1007">
        <v>963480</v>
      </c>
      <c r="I1007" t="s">
        <v>224</v>
      </c>
      <c r="J1007" t="s">
        <v>419</v>
      </c>
      <c r="K1007">
        <v>217</v>
      </c>
      <c r="L1007">
        <v>0</v>
      </c>
      <c r="M1007" t="s">
        <v>115</v>
      </c>
      <c r="N1007" t="str">
        <f t="shared" si="90"/>
        <v>PO-101006</v>
      </c>
      <c r="O1007" t="str">
        <f t="shared" si="91"/>
        <v>Delivered</v>
      </c>
      <c r="P1007" t="str">
        <f t="shared" si="92"/>
        <v>WH-BLR</v>
      </c>
      <c r="Q1007" t="str">
        <f>VLOOKUP(C1007, Lookups!$A$2:$D$10, 2, FALSE())</f>
        <v>Peripheral Source</v>
      </c>
      <c r="R1007" t="str">
        <f>_xlfn.XLOOKUP(D1007, Lookups!$A$12:$A$51, Lookups!$C$12:$C$51, "Unknown")</f>
        <v>Peripherals</v>
      </c>
      <c r="S1007" t="str">
        <f>IF(ISBLANK(I1007), B1007+VLOOKUP(C1007, Lookups!$A$2:$D$10, 4, FALSE()), I1007)</f>
        <v>2026-07-13</v>
      </c>
      <c r="T1007">
        <f t="shared" si="93"/>
        <v>18</v>
      </c>
      <c r="U1007" t="str">
        <f t="shared" si="94"/>
        <v>Late</v>
      </c>
      <c r="V1007">
        <f t="shared" si="95"/>
        <v>0</v>
      </c>
    </row>
    <row r="1008" spans="1:22" x14ac:dyDescent="0.45">
      <c r="A1008" t="s">
        <v>1836</v>
      </c>
      <c r="B1008" t="s">
        <v>1401</v>
      </c>
      <c r="C1008" t="s">
        <v>34</v>
      </c>
      <c r="D1008" t="s">
        <v>80</v>
      </c>
      <c r="E1008" t="s">
        <v>15</v>
      </c>
      <c r="F1008">
        <v>82</v>
      </c>
      <c r="G1008">
        <v>19090</v>
      </c>
      <c r="H1008">
        <v>1565380</v>
      </c>
      <c r="I1008" t="s">
        <v>1100</v>
      </c>
      <c r="J1008" t="s">
        <v>1100</v>
      </c>
      <c r="K1008">
        <v>82</v>
      </c>
      <c r="L1008">
        <v>0</v>
      </c>
      <c r="M1008" t="s">
        <v>115</v>
      </c>
      <c r="N1008" t="str">
        <f t="shared" si="90"/>
        <v>PO-101007</v>
      </c>
      <c r="O1008" t="str">
        <f t="shared" si="91"/>
        <v>Delivered</v>
      </c>
      <c r="P1008" t="str">
        <f t="shared" si="92"/>
        <v>WH-BOM</v>
      </c>
      <c r="Q1008" t="str">
        <f>VLOOKUP(C1008, Lookups!$A$2:$D$10, 2, FALSE())</f>
        <v>FastElectronics</v>
      </c>
      <c r="R1008" t="str">
        <f>_xlfn.XLOOKUP(D1008, Lookups!$A$12:$A$51, Lookups!$C$12:$C$51, "Unknown")</f>
        <v>Networking</v>
      </c>
      <c r="S1008" t="str">
        <f>IF(ISBLANK(I1008), B1008+VLOOKUP(C1008, Lookups!$A$2:$D$10, 4, FALSE()), I1008)</f>
        <v>2026-11-11</v>
      </c>
      <c r="T1008">
        <f t="shared" si="93"/>
        <v>18</v>
      </c>
      <c r="U1008" t="str">
        <f t="shared" si="94"/>
        <v>On-Time</v>
      </c>
      <c r="V1008">
        <f t="shared" si="95"/>
        <v>0</v>
      </c>
    </row>
    <row r="1009" spans="1:22" x14ac:dyDescent="0.45">
      <c r="A1009" t="s">
        <v>1837</v>
      </c>
      <c r="B1009" t="s">
        <v>366</v>
      </c>
      <c r="C1009" t="s">
        <v>36</v>
      </c>
      <c r="D1009" t="s">
        <v>71</v>
      </c>
      <c r="E1009" t="s">
        <v>15</v>
      </c>
      <c r="F1009">
        <v>212</v>
      </c>
      <c r="G1009">
        <v>65379</v>
      </c>
      <c r="H1009">
        <v>13860348</v>
      </c>
      <c r="I1009" t="s">
        <v>900</v>
      </c>
      <c r="J1009" t="s">
        <v>900</v>
      </c>
      <c r="K1009">
        <v>212</v>
      </c>
      <c r="L1009">
        <v>0</v>
      </c>
      <c r="M1009" t="s">
        <v>115</v>
      </c>
      <c r="N1009" t="str">
        <f t="shared" si="90"/>
        <v>PO-101008</v>
      </c>
      <c r="O1009" t="str">
        <f t="shared" si="91"/>
        <v>Delivered</v>
      </c>
      <c r="P1009" t="str">
        <f t="shared" si="92"/>
        <v>WH-BOM</v>
      </c>
      <c r="Q1009" t="str">
        <f>VLOOKUP(C1009, Lookups!$A$2:$D$10, 2, FALSE())</f>
        <v>NextGen Hardware</v>
      </c>
      <c r="R1009" t="str">
        <f>_xlfn.XLOOKUP(D1009, Lookups!$A$12:$A$51, Lookups!$C$12:$C$51, "Unknown")</f>
        <v>Electronics</v>
      </c>
      <c r="S1009" t="str">
        <f>IF(ISBLANK(I1009), B1009+VLOOKUP(C1009, Lookups!$A$2:$D$10, 4, FALSE()), I1009)</f>
        <v>2026-05-10</v>
      </c>
      <c r="T1009">
        <f t="shared" si="93"/>
        <v>24</v>
      </c>
      <c r="U1009" t="str">
        <f t="shared" si="94"/>
        <v>On-Time</v>
      </c>
      <c r="V1009">
        <f t="shared" si="95"/>
        <v>0</v>
      </c>
    </row>
    <row r="1010" spans="1:22" x14ac:dyDescent="0.45">
      <c r="A1010" t="s">
        <v>1838</v>
      </c>
      <c r="B1010" t="s">
        <v>1200</v>
      </c>
      <c r="C1010" t="s">
        <v>33</v>
      </c>
      <c r="D1010" t="s">
        <v>89</v>
      </c>
      <c r="E1010" t="s">
        <v>18</v>
      </c>
      <c r="F1010">
        <v>50</v>
      </c>
      <c r="G1010">
        <v>11309</v>
      </c>
      <c r="H1010">
        <v>565450</v>
      </c>
      <c r="I1010" t="s">
        <v>1252</v>
      </c>
      <c r="J1010" t="s">
        <v>609</v>
      </c>
      <c r="K1010">
        <v>50</v>
      </c>
      <c r="L1010">
        <v>0</v>
      </c>
      <c r="M1010" t="s">
        <v>115</v>
      </c>
      <c r="N1010" t="str">
        <f t="shared" si="90"/>
        <v>PO-101009</v>
      </c>
      <c r="O1010" t="str">
        <f t="shared" si="91"/>
        <v>Delivered</v>
      </c>
      <c r="P1010" t="str">
        <f t="shared" si="92"/>
        <v>WH-PUN</v>
      </c>
      <c r="Q1010" t="str">
        <f>VLOOKUP(C1010, Lookups!$A$2:$D$10, 2, FALSE())</f>
        <v>MegaFurnish</v>
      </c>
      <c r="R1010" t="str">
        <f>_xlfn.XLOOKUP(D1010, Lookups!$A$12:$A$51, Lookups!$C$12:$C$51, "Unknown")</f>
        <v>Office Furniture</v>
      </c>
      <c r="S1010" t="str">
        <f>IF(ISBLANK(I1010), B1010+VLOOKUP(C1010, Lookups!$A$2:$D$10, 4, FALSE()), I1010)</f>
        <v>2025-10-01</v>
      </c>
      <c r="T1010">
        <f t="shared" si="93"/>
        <v>31</v>
      </c>
      <c r="U1010" t="str">
        <f t="shared" si="94"/>
        <v>Late</v>
      </c>
      <c r="V1010">
        <f t="shared" si="95"/>
        <v>0</v>
      </c>
    </row>
    <row r="1011" spans="1:22" x14ac:dyDescent="0.45">
      <c r="A1011" t="s">
        <v>1839</v>
      </c>
      <c r="B1011" t="s">
        <v>224</v>
      </c>
      <c r="C1011" t="s">
        <v>32</v>
      </c>
      <c r="D1011" t="s">
        <v>67</v>
      </c>
      <c r="E1011" t="s">
        <v>15</v>
      </c>
      <c r="F1011">
        <v>55</v>
      </c>
      <c r="G1011">
        <v>1553</v>
      </c>
      <c r="H1011">
        <v>85415</v>
      </c>
      <c r="I1011" t="s">
        <v>679</v>
      </c>
      <c r="J1011" t="s">
        <v>419</v>
      </c>
      <c r="K1011">
        <v>55</v>
      </c>
      <c r="L1011">
        <v>0</v>
      </c>
      <c r="M1011" t="s">
        <v>115</v>
      </c>
      <c r="N1011" t="str">
        <f t="shared" si="90"/>
        <v>PO-101010</v>
      </c>
      <c r="O1011" t="str">
        <f t="shared" si="91"/>
        <v>Delivered</v>
      </c>
      <c r="P1011" t="str">
        <f t="shared" si="92"/>
        <v>WH-BOM</v>
      </c>
      <c r="Q1011" t="str">
        <f>VLOOKUP(C1011, Lookups!$A$2:$D$10, 2, FALSE())</f>
        <v>OfficeDepot Pro</v>
      </c>
      <c r="R1011" t="str">
        <f>_xlfn.XLOOKUP(D1011, Lookups!$A$12:$A$51, Lookups!$C$12:$C$51, "Unknown")</f>
        <v>Peripherals</v>
      </c>
      <c r="S1011" t="str">
        <f>IF(ISBLANK(I1011), B1011+VLOOKUP(C1011, Lookups!$A$2:$D$10, 4, FALSE()), I1011)</f>
        <v>2026-07-20</v>
      </c>
      <c r="T1011">
        <f t="shared" si="93"/>
        <v>8</v>
      </c>
      <c r="U1011" t="str">
        <f t="shared" si="94"/>
        <v>Late</v>
      </c>
      <c r="V1011">
        <f t="shared" si="95"/>
        <v>0</v>
      </c>
    </row>
    <row r="1012" spans="1:22" x14ac:dyDescent="0.45">
      <c r="A1012" t="s">
        <v>1840</v>
      </c>
      <c r="B1012" t="s">
        <v>1401</v>
      </c>
      <c r="C1012" t="s">
        <v>37</v>
      </c>
      <c r="D1012" t="s">
        <v>79</v>
      </c>
      <c r="E1012" t="s">
        <v>18</v>
      </c>
      <c r="F1012">
        <v>132</v>
      </c>
      <c r="G1012">
        <v>23054</v>
      </c>
      <c r="H1012">
        <v>3043128</v>
      </c>
      <c r="I1012" t="s">
        <v>158</v>
      </c>
      <c r="J1012" t="s">
        <v>674</v>
      </c>
      <c r="K1012">
        <v>132</v>
      </c>
      <c r="L1012">
        <v>0</v>
      </c>
      <c r="M1012" t="s">
        <v>115</v>
      </c>
      <c r="N1012" t="str">
        <f t="shared" si="90"/>
        <v>PO-101011</v>
      </c>
      <c r="O1012" t="str">
        <f t="shared" si="91"/>
        <v>Delivered</v>
      </c>
      <c r="P1012" t="str">
        <f t="shared" si="92"/>
        <v>WH-PUN</v>
      </c>
      <c r="Q1012" t="str">
        <f>VLOOKUP(C1012, Lookups!$A$2:$D$10, 2, FALSE())</f>
        <v>Premium Desks Ltd</v>
      </c>
      <c r="R1012" t="str">
        <f>_xlfn.XLOOKUP(D1012, Lookups!$A$12:$A$51, Lookups!$C$12:$C$51, "Unknown")</f>
        <v>Office Furniture</v>
      </c>
      <c r="S1012" t="str">
        <f>IF(ISBLANK(I1012), B1012+VLOOKUP(C1012, Lookups!$A$2:$D$10, 4, FALSE()), I1012)</f>
        <v>2026-11-05</v>
      </c>
      <c r="T1012">
        <f t="shared" si="93"/>
        <v>26</v>
      </c>
      <c r="U1012" t="str">
        <f t="shared" si="94"/>
        <v>Late</v>
      </c>
      <c r="V1012">
        <f t="shared" si="95"/>
        <v>0</v>
      </c>
    </row>
    <row r="1013" spans="1:22" x14ac:dyDescent="0.45">
      <c r="A1013" t="s">
        <v>1841</v>
      </c>
      <c r="B1013" t="s">
        <v>254</v>
      </c>
      <c r="C1013" t="s">
        <v>31</v>
      </c>
      <c r="D1013" t="s">
        <v>64</v>
      </c>
      <c r="E1013" t="s">
        <v>17</v>
      </c>
      <c r="F1013">
        <v>230</v>
      </c>
      <c r="G1013">
        <v>36295</v>
      </c>
      <c r="H1013">
        <v>8347850</v>
      </c>
      <c r="I1013" t="s">
        <v>372</v>
      </c>
      <c r="J1013" t="s">
        <v>371</v>
      </c>
      <c r="K1013">
        <v>230</v>
      </c>
      <c r="L1013">
        <v>0</v>
      </c>
      <c r="M1013" t="s">
        <v>115</v>
      </c>
      <c r="N1013" t="str">
        <f t="shared" si="90"/>
        <v>PO-101012</v>
      </c>
      <c r="O1013" t="str">
        <f t="shared" si="91"/>
        <v>Delivered</v>
      </c>
      <c r="P1013" t="str">
        <f t="shared" si="92"/>
        <v>WH-BLR</v>
      </c>
      <c r="Q1013" t="str">
        <f>VLOOKUP(C1013, Lookups!$A$2:$D$10, 2, FALSE())</f>
        <v>Global Networks</v>
      </c>
      <c r="R1013" t="str">
        <f>_xlfn.XLOOKUP(D1013, Lookups!$A$12:$A$51, Lookups!$C$12:$C$51, "Unknown")</f>
        <v>Networking</v>
      </c>
      <c r="S1013" t="str">
        <f>IF(ISBLANK(I1013), B1013+VLOOKUP(C1013, Lookups!$A$2:$D$10, 4, FALSE()), I1013)</f>
        <v>2025-12-01</v>
      </c>
      <c r="T1013">
        <f t="shared" si="93"/>
        <v>22</v>
      </c>
      <c r="U1013" t="str">
        <f t="shared" si="94"/>
        <v>Late</v>
      </c>
      <c r="V1013">
        <f t="shared" si="95"/>
        <v>0</v>
      </c>
    </row>
    <row r="1014" spans="1:22" x14ac:dyDescent="0.45">
      <c r="A1014" t="s">
        <v>1842</v>
      </c>
      <c r="B1014" t="s">
        <v>358</v>
      </c>
      <c r="C1014" t="s">
        <v>35</v>
      </c>
      <c r="D1014" t="s">
        <v>75</v>
      </c>
      <c r="E1014" t="s">
        <v>18</v>
      </c>
      <c r="F1014">
        <v>38</v>
      </c>
      <c r="G1014">
        <v>4440</v>
      </c>
      <c r="H1014">
        <v>168720</v>
      </c>
      <c r="I1014" t="s">
        <v>709</v>
      </c>
      <c r="J1014" t="s">
        <v>721</v>
      </c>
      <c r="K1014">
        <v>38</v>
      </c>
      <c r="L1014">
        <v>0</v>
      </c>
      <c r="M1014" t="s">
        <v>115</v>
      </c>
      <c r="N1014" t="str">
        <f t="shared" si="90"/>
        <v>PO-101013</v>
      </c>
      <c r="O1014" t="str">
        <f t="shared" si="91"/>
        <v>Delivered</v>
      </c>
      <c r="P1014" t="str">
        <f t="shared" si="92"/>
        <v>WH-PUN</v>
      </c>
      <c r="Q1014" t="str">
        <f>VLOOKUP(C1014, Lookups!$A$2:$D$10, 2, FALSE())</f>
        <v>Peripheral Source</v>
      </c>
      <c r="R1014" t="str">
        <f>_xlfn.XLOOKUP(D1014, Lookups!$A$12:$A$51, Lookups!$C$12:$C$51, "Unknown")</f>
        <v>Peripherals</v>
      </c>
      <c r="S1014" t="str">
        <f>IF(ISBLANK(I1014), B1014+VLOOKUP(C1014, Lookups!$A$2:$D$10, 4, FALSE()), I1014)</f>
        <v>2026-01-31</v>
      </c>
      <c r="T1014">
        <f t="shared" si="93"/>
        <v>11</v>
      </c>
      <c r="U1014" t="str">
        <f t="shared" si="94"/>
        <v>Late</v>
      </c>
      <c r="V1014">
        <f t="shared" si="95"/>
        <v>0</v>
      </c>
    </row>
    <row r="1015" spans="1:22" x14ac:dyDescent="0.45">
      <c r="A1015" t="s">
        <v>1843</v>
      </c>
      <c r="B1015" t="s">
        <v>292</v>
      </c>
      <c r="C1015" t="s">
        <v>31</v>
      </c>
      <c r="D1015" t="s">
        <v>85</v>
      </c>
      <c r="E1015" t="s">
        <v>15</v>
      </c>
      <c r="F1015">
        <v>223</v>
      </c>
      <c r="G1015">
        <v>16501</v>
      </c>
      <c r="H1015">
        <v>3679723</v>
      </c>
      <c r="I1015" t="s">
        <v>1604</v>
      </c>
      <c r="J1015" t="s">
        <v>403</v>
      </c>
      <c r="K1015">
        <v>214</v>
      </c>
      <c r="L1015">
        <v>0</v>
      </c>
      <c r="M1015" t="s">
        <v>115</v>
      </c>
      <c r="N1015" t="str">
        <f t="shared" si="90"/>
        <v>PO-101014</v>
      </c>
      <c r="O1015" t="str">
        <f t="shared" si="91"/>
        <v>Delivered</v>
      </c>
      <c r="P1015" t="str">
        <f t="shared" si="92"/>
        <v>WH-BOM</v>
      </c>
      <c r="Q1015" t="str">
        <f>VLOOKUP(C1015, Lookups!$A$2:$D$10, 2, FALSE())</f>
        <v>Global Networks</v>
      </c>
      <c r="R1015" t="str">
        <f>_xlfn.XLOOKUP(D1015, Lookups!$A$12:$A$51, Lookups!$C$12:$C$51, "Unknown")</f>
        <v>Networking</v>
      </c>
      <c r="S1015" t="str">
        <f>IF(ISBLANK(I1015), B1015+VLOOKUP(C1015, Lookups!$A$2:$D$10, 4, FALSE()), I1015)</f>
        <v>2025-09-07</v>
      </c>
      <c r="T1015">
        <f t="shared" si="93"/>
        <v>32</v>
      </c>
      <c r="U1015" t="str">
        <f t="shared" si="94"/>
        <v>Late</v>
      </c>
      <c r="V1015">
        <f t="shared" si="95"/>
        <v>0</v>
      </c>
    </row>
    <row r="1016" spans="1:22" x14ac:dyDescent="0.45">
      <c r="A1016" t="s">
        <v>1844</v>
      </c>
      <c r="B1016" t="s">
        <v>908</v>
      </c>
      <c r="C1016" t="s">
        <v>30</v>
      </c>
      <c r="D1016" t="s">
        <v>53</v>
      </c>
      <c r="E1016" t="s">
        <v>17</v>
      </c>
      <c r="F1016">
        <v>42</v>
      </c>
      <c r="G1016">
        <v>81048</v>
      </c>
      <c r="H1016">
        <v>3404016</v>
      </c>
      <c r="I1016" t="s">
        <v>130</v>
      </c>
      <c r="J1016" t="s">
        <v>991</v>
      </c>
      <c r="K1016">
        <v>42</v>
      </c>
      <c r="L1016">
        <v>0</v>
      </c>
      <c r="M1016" t="s">
        <v>115</v>
      </c>
      <c r="N1016" t="str">
        <f t="shared" si="90"/>
        <v>PO-101015</v>
      </c>
      <c r="O1016" t="str">
        <f t="shared" si="91"/>
        <v>Delivered</v>
      </c>
      <c r="P1016" t="str">
        <f t="shared" si="92"/>
        <v>WH-BLR</v>
      </c>
      <c r="Q1016" t="str">
        <f>VLOOKUP(C1016, Lookups!$A$2:$D$10, 2, FALSE())</f>
        <v>TechSupply Corp</v>
      </c>
      <c r="R1016" t="str">
        <f>_xlfn.XLOOKUP(D1016, Lookups!$A$12:$A$51, Lookups!$C$12:$C$51, "Unknown")</f>
        <v>Electronics</v>
      </c>
      <c r="S1016" t="str">
        <f>IF(ISBLANK(I1016), B1016+VLOOKUP(C1016, Lookups!$A$2:$D$10, 4, FALSE()), I1016)</f>
        <v>2026-07-15</v>
      </c>
      <c r="T1016">
        <f t="shared" si="93"/>
        <v>15</v>
      </c>
      <c r="U1016" t="str">
        <f t="shared" si="94"/>
        <v>Late</v>
      </c>
      <c r="V1016">
        <f t="shared" si="95"/>
        <v>0</v>
      </c>
    </row>
    <row r="1017" spans="1:22" x14ac:dyDescent="0.45">
      <c r="A1017" t="s">
        <v>1845</v>
      </c>
      <c r="B1017" t="s">
        <v>1484</v>
      </c>
      <c r="C1017" t="s">
        <v>30</v>
      </c>
      <c r="D1017" t="s">
        <v>88</v>
      </c>
      <c r="E1017" t="s">
        <v>17</v>
      </c>
      <c r="F1017">
        <v>12</v>
      </c>
      <c r="G1017">
        <v>75512</v>
      </c>
      <c r="H1017">
        <v>906144</v>
      </c>
      <c r="I1017" t="s">
        <v>189</v>
      </c>
      <c r="J1017" t="s">
        <v>926</v>
      </c>
      <c r="K1017">
        <v>12</v>
      </c>
      <c r="L1017">
        <v>0</v>
      </c>
      <c r="M1017" t="s">
        <v>115</v>
      </c>
      <c r="N1017" t="str">
        <f t="shared" si="90"/>
        <v>PO-101016</v>
      </c>
      <c r="O1017" t="str">
        <f t="shared" si="91"/>
        <v>Delivered</v>
      </c>
      <c r="P1017" t="str">
        <f t="shared" si="92"/>
        <v>WH-BLR</v>
      </c>
      <c r="Q1017" t="str">
        <f>VLOOKUP(C1017, Lookups!$A$2:$D$10, 2, FALSE())</f>
        <v>TechSupply Corp</v>
      </c>
      <c r="R1017" t="str">
        <f>_xlfn.XLOOKUP(D1017, Lookups!$A$12:$A$51, Lookups!$C$12:$C$51, "Unknown")</f>
        <v>Electronics</v>
      </c>
      <c r="S1017" t="str">
        <f>IF(ISBLANK(I1017), B1017+VLOOKUP(C1017, Lookups!$A$2:$D$10, 4, FALSE()), I1017)</f>
        <v>2025-03-07</v>
      </c>
      <c r="T1017">
        <f t="shared" si="93"/>
        <v>15</v>
      </c>
      <c r="U1017" t="str">
        <f t="shared" si="94"/>
        <v>Late</v>
      </c>
      <c r="V1017">
        <f t="shared" si="95"/>
        <v>0</v>
      </c>
    </row>
    <row r="1018" spans="1:22" x14ac:dyDescent="0.45">
      <c r="A1018" t="s">
        <v>1846</v>
      </c>
      <c r="B1018" t="s">
        <v>1432</v>
      </c>
      <c r="C1018" t="s">
        <v>37</v>
      </c>
      <c r="D1018" t="s">
        <v>78</v>
      </c>
      <c r="E1018" t="s">
        <v>16</v>
      </c>
      <c r="F1018">
        <v>83</v>
      </c>
      <c r="G1018">
        <v>9423</v>
      </c>
      <c r="H1018">
        <v>782109</v>
      </c>
      <c r="I1018" t="s">
        <v>415</v>
      </c>
      <c r="J1018" t="s">
        <v>1459</v>
      </c>
      <c r="K1018">
        <v>83</v>
      </c>
      <c r="L1018">
        <v>0</v>
      </c>
      <c r="M1018" t="s">
        <v>115</v>
      </c>
      <c r="N1018" t="str">
        <f t="shared" si="90"/>
        <v>PO-101017</v>
      </c>
      <c r="O1018" t="str">
        <f t="shared" si="91"/>
        <v>Delivered</v>
      </c>
      <c r="P1018" t="str">
        <f t="shared" si="92"/>
        <v>WH-DEL</v>
      </c>
      <c r="Q1018" t="str">
        <f>VLOOKUP(C1018, Lookups!$A$2:$D$10, 2, FALSE())</f>
        <v>Premium Desks Ltd</v>
      </c>
      <c r="R1018" t="str">
        <f>_xlfn.XLOOKUP(D1018, Lookups!$A$12:$A$51, Lookups!$C$12:$C$51, "Unknown")</f>
        <v>Office Furniture</v>
      </c>
      <c r="S1018" t="str">
        <f>IF(ISBLANK(I1018), B1018+VLOOKUP(C1018, Lookups!$A$2:$D$10, 4, FALSE()), I1018)</f>
        <v>2026-05-17</v>
      </c>
      <c r="T1018">
        <f t="shared" si="93"/>
        <v>13</v>
      </c>
      <c r="U1018" t="str">
        <f t="shared" si="94"/>
        <v>Late</v>
      </c>
      <c r="V1018">
        <f t="shared" si="95"/>
        <v>0</v>
      </c>
    </row>
    <row r="1019" spans="1:22" x14ac:dyDescent="0.45">
      <c r="A1019" t="s">
        <v>1847</v>
      </c>
      <c r="B1019" t="s">
        <v>789</v>
      </c>
      <c r="C1019" t="s">
        <v>35</v>
      </c>
      <c r="D1019" t="s">
        <v>60</v>
      </c>
      <c r="E1019" t="s">
        <v>16</v>
      </c>
      <c r="F1019">
        <v>103</v>
      </c>
      <c r="G1019">
        <v>3291</v>
      </c>
      <c r="H1019">
        <v>338973</v>
      </c>
      <c r="I1019" t="s">
        <v>1848</v>
      </c>
      <c r="J1019" t="s">
        <v>1848</v>
      </c>
      <c r="K1019">
        <v>103</v>
      </c>
      <c r="L1019">
        <v>0</v>
      </c>
      <c r="M1019" t="s">
        <v>115</v>
      </c>
      <c r="N1019" t="str">
        <f t="shared" si="90"/>
        <v>PO-101018</v>
      </c>
      <c r="O1019" t="str">
        <f t="shared" si="91"/>
        <v>Delivered</v>
      </c>
      <c r="P1019" t="str">
        <f t="shared" si="92"/>
        <v>WH-DEL</v>
      </c>
      <c r="Q1019" t="str">
        <f>VLOOKUP(C1019, Lookups!$A$2:$D$10, 2, FALSE())</f>
        <v>Peripheral Source</v>
      </c>
      <c r="R1019" t="str">
        <f>_xlfn.XLOOKUP(D1019, Lookups!$A$12:$A$51, Lookups!$C$12:$C$51, "Unknown")</f>
        <v>Peripherals</v>
      </c>
      <c r="S1019" t="str">
        <f>IF(ISBLANK(I1019), B1019+VLOOKUP(C1019, Lookups!$A$2:$D$10, 4, FALSE()), I1019)</f>
        <v>2026-12-22</v>
      </c>
      <c r="T1019">
        <f t="shared" si="93"/>
        <v>10</v>
      </c>
      <c r="U1019" t="str">
        <f t="shared" si="94"/>
        <v>On-Time</v>
      </c>
      <c r="V1019">
        <f t="shared" si="95"/>
        <v>0</v>
      </c>
    </row>
    <row r="1020" spans="1:22" x14ac:dyDescent="0.45">
      <c r="A1020" t="s">
        <v>1849</v>
      </c>
      <c r="B1020" t="s">
        <v>895</v>
      </c>
      <c r="C1020" t="s">
        <v>36</v>
      </c>
      <c r="D1020" t="s">
        <v>55</v>
      </c>
      <c r="E1020" t="s">
        <v>15</v>
      </c>
      <c r="F1020">
        <v>193</v>
      </c>
      <c r="G1020">
        <v>58434</v>
      </c>
      <c r="H1020">
        <v>11277762</v>
      </c>
      <c r="I1020" t="s">
        <v>403</v>
      </c>
      <c r="J1020" t="s">
        <v>403</v>
      </c>
      <c r="K1020">
        <v>193</v>
      </c>
      <c r="L1020">
        <v>0</v>
      </c>
      <c r="M1020" t="s">
        <v>115</v>
      </c>
      <c r="N1020" t="str">
        <f t="shared" si="90"/>
        <v>PO-101019</v>
      </c>
      <c r="O1020" t="str">
        <f t="shared" si="91"/>
        <v>Delivered</v>
      </c>
      <c r="P1020" t="str">
        <f t="shared" si="92"/>
        <v>WH-BOM</v>
      </c>
      <c r="Q1020" t="str">
        <f>VLOOKUP(C1020, Lookups!$A$2:$D$10, 2, FALSE())</f>
        <v>NextGen Hardware</v>
      </c>
      <c r="R1020" t="str">
        <f>_xlfn.XLOOKUP(D1020, Lookups!$A$12:$A$51, Lookups!$C$12:$C$51, "Unknown")</f>
        <v>Electronics</v>
      </c>
      <c r="S1020" t="str">
        <f>IF(ISBLANK(I1020), B1020+VLOOKUP(C1020, Lookups!$A$2:$D$10, 4, FALSE()), I1020)</f>
        <v>2025-09-18</v>
      </c>
      <c r="T1020">
        <f t="shared" si="93"/>
        <v>24</v>
      </c>
      <c r="U1020" t="str">
        <f t="shared" si="94"/>
        <v>On-Time</v>
      </c>
      <c r="V1020">
        <f t="shared" si="95"/>
        <v>0</v>
      </c>
    </row>
    <row r="1021" spans="1:22" x14ac:dyDescent="0.45">
      <c r="A1021" t="s">
        <v>1850</v>
      </c>
      <c r="B1021" t="s">
        <v>409</v>
      </c>
      <c r="C1021" t="s">
        <v>34</v>
      </c>
      <c r="D1021" t="s">
        <v>81</v>
      </c>
      <c r="E1021" t="s">
        <v>16</v>
      </c>
      <c r="F1021">
        <v>37</v>
      </c>
      <c r="G1021">
        <v>55328</v>
      </c>
      <c r="H1021">
        <v>2047136</v>
      </c>
      <c r="I1021" t="s">
        <v>1288</v>
      </c>
      <c r="J1021" t="s">
        <v>1288</v>
      </c>
      <c r="K1021">
        <v>37</v>
      </c>
      <c r="L1021">
        <v>0</v>
      </c>
      <c r="M1021" t="s">
        <v>115</v>
      </c>
      <c r="N1021" t="str">
        <f t="shared" si="90"/>
        <v>PO-101020</v>
      </c>
      <c r="O1021" t="str">
        <f t="shared" si="91"/>
        <v>Delivered</v>
      </c>
      <c r="P1021" t="str">
        <f t="shared" si="92"/>
        <v>WH-DEL</v>
      </c>
      <c r="Q1021" t="str">
        <f>VLOOKUP(C1021, Lookups!$A$2:$D$10, 2, FALSE())</f>
        <v>FastElectronics</v>
      </c>
      <c r="R1021" t="str">
        <f>_xlfn.XLOOKUP(D1021, Lookups!$A$12:$A$51, Lookups!$C$12:$C$51, "Unknown")</f>
        <v>Electronics</v>
      </c>
      <c r="S1021" t="str">
        <f>IF(ISBLANK(I1021), B1021+VLOOKUP(C1021, Lookups!$A$2:$D$10, 4, FALSE()), I1021)</f>
        <v>2025-06-19</v>
      </c>
      <c r="T1021">
        <f t="shared" si="93"/>
        <v>18</v>
      </c>
      <c r="U1021" t="str">
        <f t="shared" si="94"/>
        <v>On-Time</v>
      </c>
      <c r="V1021">
        <f t="shared" si="95"/>
        <v>0</v>
      </c>
    </row>
    <row r="1022" spans="1:22" x14ac:dyDescent="0.45">
      <c r="A1022" t="s">
        <v>1851</v>
      </c>
      <c r="B1022" t="s">
        <v>792</v>
      </c>
      <c r="C1022" t="s">
        <v>31</v>
      </c>
      <c r="D1022" t="s">
        <v>77</v>
      </c>
      <c r="E1022" t="s">
        <v>17</v>
      </c>
      <c r="F1022">
        <v>243</v>
      </c>
      <c r="G1022">
        <v>23667</v>
      </c>
      <c r="H1022">
        <v>5751081</v>
      </c>
      <c r="I1022" t="s">
        <v>426</v>
      </c>
      <c r="J1022" t="s">
        <v>1300</v>
      </c>
      <c r="K1022">
        <v>243</v>
      </c>
      <c r="L1022">
        <v>0</v>
      </c>
      <c r="M1022" t="s">
        <v>115</v>
      </c>
      <c r="N1022" t="str">
        <f t="shared" si="90"/>
        <v>PO-101021</v>
      </c>
      <c r="O1022" t="str">
        <f t="shared" si="91"/>
        <v>Delivered</v>
      </c>
      <c r="P1022" t="str">
        <f t="shared" si="92"/>
        <v>WH-BLR</v>
      </c>
      <c r="Q1022" t="str">
        <f>VLOOKUP(C1022, Lookups!$A$2:$D$10, 2, FALSE())</f>
        <v>Global Networks</v>
      </c>
      <c r="R1022" t="str">
        <f>_xlfn.XLOOKUP(D1022, Lookups!$A$12:$A$51, Lookups!$C$12:$C$51, "Unknown")</f>
        <v>Networking</v>
      </c>
      <c r="S1022" t="str">
        <f>IF(ISBLANK(I1022), B1022+VLOOKUP(C1022, Lookups!$A$2:$D$10, 4, FALSE()), I1022)</f>
        <v>2025-07-27</v>
      </c>
      <c r="T1022">
        <f t="shared" si="93"/>
        <v>30</v>
      </c>
      <c r="U1022" t="str">
        <f t="shared" si="94"/>
        <v>Late</v>
      </c>
      <c r="V1022">
        <f t="shared" si="95"/>
        <v>0</v>
      </c>
    </row>
    <row r="1023" spans="1:22" x14ac:dyDescent="0.45">
      <c r="A1023" t="s">
        <v>1852</v>
      </c>
      <c r="B1023" t="s">
        <v>1347</v>
      </c>
      <c r="C1023" t="s">
        <v>30</v>
      </c>
      <c r="D1023" t="s">
        <v>52</v>
      </c>
      <c r="E1023" t="s">
        <v>15</v>
      </c>
      <c r="F1023">
        <v>172</v>
      </c>
      <c r="G1023">
        <v>59592</v>
      </c>
      <c r="H1023">
        <v>10249824</v>
      </c>
      <c r="I1023" t="s">
        <v>348</v>
      </c>
      <c r="J1023" t="s">
        <v>520</v>
      </c>
      <c r="K1023">
        <v>172</v>
      </c>
      <c r="L1023">
        <v>0</v>
      </c>
      <c r="M1023" t="s">
        <v>115</v>
      </c>
      <c r="N1023" t="str">
        <f t="shared" si="90"/>
        <v>PO-101022</v>
      </c>
      <c r="O1023" t="str">
        <f t="shared" si="91"/>
        <v>Delivered</v>
      </c>
      <c r="P1023" t="str">
        <f t="shared" si="92"/>
        <v>WH-BOM</v>
      </c>
      <c r="Q1023" t="str">
        <f>VLOOKUP(C1023, Lookups!$A$2:$D$10, 2, FALSE())</f>
        <v>TechSupply Corp</v>
      </c>
      <c r="R1023" t="str">
        <f>_xlfn.XLOOKUP(D1023, Lookups!$A$12:$A$51, Lookups!$C$12:$C$51, "Unknown")</f>
        <v>Electronics</v>
      </c>
      <c r="S1023" t="str">
        <f>IF(ISBLANK(I1023), B1023+VLOOKUP(C1023, Lookups!$A$2:$D$10, 4, FALSE()), I1023)</f>
        <v>2026-08-23</v>
      </c>
      <c r="T1023">
        <f t="shared" si="93"/>
        <v>20</v>
      </c>
      <c r="U1023" t="str">
        <f t="shared" si="94"/>
        <v>Late</v>
      </c>
      <c r="V1023">
        <f t="shared" si="95"/>
        <v>0</v>
      </c>
    </row>
    <row r="1024" spans="1:22" x14ac:dyDescent="0.45">
      <c r="A1024" t="s">
        <v>1853</v>
      </c>
      <c r="B1024" t="s">
        <v>292</v>
      </c>
      <c r="C1024" t="s">
        <v>35</v>
      </c>
      <c r="D1024" t="s">
        <v>65</v>
      </c>
      <c r="E1024" t="s">
        <v>17</v>
      </c>
      <c r="F1024">
        <v>166</v>
      </c>
      <c r="G1024">
        <v>4936</v>
      </c>
      <c r="H1024">
        <v>819376</v>
      </c>
      <c r="I1024" t="s">
        <v>235</v>
      </c>
      <c r="J1024" t="s">
        <v>236</v>
      </c>
      <c r="K1024">
        <v>166</v>
      </c>
      <c r="L1024">
        <v>0</v>
      </c>
      <c r="M1024" t="s">
        <v>115</v>
      </c>
      <c r="N1024" t="str">
        <f t="shared" si="90"/>
        <v>PO-101023</v>
      </c>
      <c r="O1024" t="str">
        <f t="shared" si="91"/>
        <v>Delivered</v>
      </c>
      <c r="P1024" t="str">
        <f t="shared" si="92"/>
        <v>WH-BLR</v>
      </c>
      <c r="Q1024" t="str">
        <f>VLOOKUP(C1024, Lookups!$A$2:$D$10, 2, FALSE())</f>
        <v>Peripheral Source</v>
      </c>
      <c r="R1024" t="str">
        <f>_xlfn.XLOOKUP(D1024, Lookups!$A$12:$A$51, Lookups!$C$12:$C$51, "Unknown")</f>
        <v>Peripherals</v>
      </c>
      <c r="S1024" t="str">
        <f>IF(ISBLANK(I1024), B1024+VLOOKUP(C1024, Lookups!$A$2:$D$10, 4, FALSE()), I1024)</f>
        <v>2025-08-27</v>
      </c>
      <c r="T1024">
        <f t="shared" si="93"/>
        <v>11</v>
      </c>
      <c r="U1024" t="str">
        <f t="shared" si="94"/>
        <v>Late</v>
      </c>
      <c r="V1024">
        <f t="shared" si="95"/>
        <v>0</v>
      </c>
    </row>
    <row r="1025" spans="1:22" x14ac:dyDescent="0.45">
      <c r="A1025" t="s">
        <v>1854</v>
      </c>
      <c r="B1025" t="s">
        <v>791</v>
      </c>
      <c r="C1025" t="s">
        <v>30</v>
      </c>
      <c r="D1025" t="s">
        <v>88</v>
      </c>
      <c r="E1025" t="s">
        <v>16</v>
      </c>
      <c r="F1025">
        <v>223</v>
      </c>
      <c r="G1025">
        <v>75512</v>
      </c>
      <c r="H1025">
        <v>16839176</v>
      </c>
      <c r="I1025" t="s">
        <v>457</v>
      </c>
      <c r="J1025" t="s">
        <v>487</v>
      </c>
      <c r="K1025">
        <v>223</v>
      </c>
      <c r="L1025">
        <v>0</v>
      </c>
      <c r="M1025" t="s">
        <v>115</v>
      </c>
      <c r="N1025" t="str">
        <f t="shared" si="90"/>
        <v>PO-101024</v>
      </c>
      <c r="O1025" t="str">
        <f t="shared" si="91"/>
        <v>Delivered</v>
      </c>
      <c r="P1025" t="str">
        <f t="shared" si="92"/>
        <v>WH-DEL</v>
      </c>
      <c r="Q1025" t="str">
        <f>VLOOKUP(C1025, Lookups!$A$2:$D$10, 2, FALSE())</f>
        <v>TechSupply Corp</v>
      </c>
      <c r="R1025" t="str">
        <f>_xlfn.XLOOKUP(D1025, Lookups!$A$12:$A$51, Lookups!$C$12:$C$51, "Unknown")</f>
        <v>Electronics</v>
      </c>
      <c r="S1025" t="str">
        <f>IF(ISBLANK(I1025), B1025+VLOOKUP(C1025, Lookups!$A$2:$D$10, 4, FALSE()), I1025)</f>
        <v>2025-06-25</v>
      </c>
      <c r="T1025">
        <f t="shared" si="93"/>
        <v>15</v>
      </c>
      <c r="U1025" t="str">
        <f t="shared" si="94"/>
        <v>Late</v>
      </c>
      <c r="V1025">
        <f t="shared" si="95"/>
        <v>0</v>
      </c>
    </row>
    <row r="1026" spans="1:22" x14ac:dyDescent="0.45">
      <c r="A1026" t="s">
        <v>1855</v>
      </c>
      <c r="B1026" t="s">
        <v>789</v>
      </c>
      <c r="C1026" t="s">
        <v>30</v>
      </c>
      <c r="D1026" t="s">
        <v>82</v>
      </c>
      <c r="E1026" t="s">
        <v>18</v>
      </c>
      <c r="F1026">
        <v>214</v>
      </c>
      <c r="G1026">
        <v>83427</v>
      </c>
      <c r="H1026">
        <v>17853378</v>
      </c>
      <c r="I1026" t="s">
        <v>1856</v>
      </c>
      <c r="K1026">
        <v>0</v>
      </c>
      <c r="L1026">
        <v>0</v>
      </c>
      <c r="M1026" t="s">
        <v>297</v>
      </c>
      <c r="N1026" t="str">
        <f t="shared" ref="N1026:N1089" si="96">TRIM(A1026)</f>
        <v>PO-101025</v>
      </c>
      <c r="O1026" t="str">
        <f t="shared" ref="O1026:O1089" si="97">PROPER(TRIM(M1026))</f>
        <v>Open</v>
      </c>
      <c r="P1026" t="str">
        <f t="shared" ref="P1026:P1089" si="98">TRIM(E1026)</f>
        <v>WH-PUN</v>
      </c>
      <c r="Q1026" t="str">
        <f>VLOOKUP(C1026, Lookups!$A$2:$D$10, 2, FALSE())</f>
        <v>TechSupply Corp</v>
      </c>
      <c r="R1026" t="str">
        <f>_xlfn.XLOOKUP(D1026, Lookups!$A$12:$A$51, Lookups!$C$12:$C$51, "Unknown")</f>
        <v>Electronics</v>
      </c>
      <c r="S1026" t="str">
        <f>IF(ISBLANK(I1026), B1026+VLOOKUP(C1026, Lookups!$A$2:$D$10, 4, FALSE()), I1026)</f>
        <v>2026-12-26</v>
      </c>
      <c r="T1026" t="str">
        <f t="shared" ref="T1026:T1089" si="99">IF(ISBLANK(J1026), "", J1026-B1026)</f>
        <v/>
      </c>
      <c r="U1026" t="str">
        <f t="shared" ref="U1026:U1089" si="100">IF(O1026="Open", "Open", IF(J1026&gt;S1026, "Late", "On-Time"))</f>
        <v>Open</v>
      </c>
      <c r="V1026">
        <f t="shared" ref="V1026:V1089" si="101">IF(K1026&gt;0, L1026/K1026, 0)</f>
        <v>0</v>
      </c>
    </row>
    <row r="1027" spans="1:22" x14ac:dyDescent="0.45">
      <c r="A1027" t="s">
        <v>1857</v>
      </c>
      <c r="B1027" t="s">
        <v>135</v>
      </c>
      <c r="C1027" t="s">
        <v>30</v>
      </c>
      <c r="D1027" t="s">
        <v>53</v>
      </c>
      <c r="E1027" t="s">
        <v>16</v>
      </c>
      <c r="F1027">
        <v>52</v>
      </c>
      <c r="G1027">
        <v>81048</v>
      </c>
      <c r="H1027">
        <v>4214496</v>
      </c>
      <c r="I1027" t="s">
        <v>521</v>
      </c>
      <c r="J1027" t="s">
        <v>521</v>
      </c>
      <c r="K1027">
        <v>52</v>
      </c>
      <c r="L1027">
        <v>0</v>
      </c>
      <c r="M1027" t="s">
        <v>115</v>
      </c>
      <c r="N1027" t="str">
        <f t="shared" si="96"/>
        <v>PO-101026</v>
      </c>
      <c r="O1027" t="str">
        <f t="shared" si="97"/>
        <v>Delivered</v>
      </c>
      <c r="P1027" t="str">
        <f t="shared" si="98"/>
        <v>WH-DEL</v>
      </c>
      <c r="Q1027" t="str">
        <f>VLOOKUP(C1027, Lookups!$A$2:$D$10, 2, FALSE())</f>
        <v>TechSupply Corp</v>
      </c>
      <c r="R1027" t="str">
        <f>_xlfn.XLOOKUP(D1027, Lookups!$A$12:$A$51, Lookups!$C$12:$C$51, "Unknown")</f>
        <v>Electronics</v>
      </c>
      <c r="S1027" t="str">
        <f>IF(ISBLANK(I1027), B1027+VLOOKUP(C1027, Lookups!$A$2:$D$10, 4, FALSE()), I1027)</f>
        <v>2026-09-16</v>
      </c>
      <c r="T1027">
        <f t="shared" si="99"/>
        <v>14</v>
      </c>
      <c r="U1027" t="str">
        <f t="shared" si="100"/>
        <v>On-Time</v>
      </c>
      <c r="V1027">
        <f t="shared" si="101"/>
        <v>0</v>
      </c>
    </row>
    <row r="1028" spans="1:22" x14ac:dyDescent="0.45">
      <c r="A1028" t="s">
        <v>1858</v>
      </c>
      <c r="B1028" t="s">
        <v>274</v>
      </c>
      <c r="C1028" t="s">
        <v>31</v>
      </c>
      <c r="D1028" t="s">
        <v>77</v>
      </c>
      <c r="E1028" t="s">
        <v>17</v>
      </c>
      <c r="F1028">
        <v>12</v>
      </c>
      <c r="G1028">
        <v>23667</v>
      </c>
      <c r="H1028">
        <v>284004</v>
      </c>
      <c r="I1028" t="s">
        <v>1475</v>
      </c>
      <c r="J1028" t="s">
        <v>1129</v>
      </c>
      <c r="K1028">
        <v>12</v>
      </c>
      <c r="L1028">
        <v>0</v>
      </c>
      <c r="M1028" t="s">
        <v>115</v>
      </c>
      <c r="N1028" t="str">
        <f t="shared" si="96"/>
        <v>PO-101027</v>
      </c>
      <c r="O1028" t="str">
        <f t="shared" si="97"/>
        <v>Delivered</v>
      </c>
      <c r="P1028" t="str">
        <f t="shared" si="98"/>
        <v>WH-BLR</v>
      </c>
      <c r="Q1028" t="str">
        <f>VLOOKUP(C1028, Lookups!$A$2:$D$10, 2, FALSE())</f>
        <v>Global Networks</v>
      </c>
      <c r="R1028" t="str">
        <f>_xlfn.XLOOKUP(D1028, Lookups!$A$12:$A$51, Lookups!$C$12:$C$51, "Unknown")</f>
        <v>Networking</v>
      </c>
      <c r="S1028" t="str">
        <f>IF(ISBLANK(I1028), B1028+VLOOKUP(C1028, Lookups!$A$2:$D$10, 4, FALSE()), I1028)</f>
        <v>2025-09-20</v>
      </c>
      <c r="T1028">
        <f t="shared" si="99"/>
        <v>26</v>
      </c>
      <c r="U1028" t="str">
        <f t="shared" si="100"/>
        <v>Late</v>
      </c>
      <c r="V1028">
        <f t="shared" si="101"/>
        <v>0</v>
      </c>
    </row>
    <row r="1029" spans="1:22" x14ac:dyDescent="0.45">
      <c r="A1029" t="s">
        <v>1859</v>
      </c>
      <c r="B1029" t="s">
        <v>454</v>
      </c>
      <c r="C1029" t="s">
        <v>34</v>
      </c>
      <c r="D1029" t="s">
        <v>54</v>
      </c>
      <c r="E1029" t="s">
        <v>15</v>
      </c>
      <c r="F1029">
        <v>120</v>
      </c>
      <c r="G1029">
        <v>22314</v>
      </c>
      <c r="H1029">
        <v>2677680</v>
      </c>
      <c r="I1029" t="s">
        <v>1119</v>
      </c>
      <c r="J1029" t="s">
        <v>1271</v>
      </c>
      <c r="K1029">
        <v>120</v>
      </c>
      <c r="L1029">
        <v>0</v>
      </c>
      <c r="M1029" t="s">
        <v>115</v>
      </c>
      <c r="N1029" t="str">
        <f t="shared" si="96"/>
        <v>PO-101028</v>
      </c>
      <c r="O1029" t="str">
        <f t="shared" si="97"/>
        <v>Delivered</v>
      </c>
      <c r="P1029" t="str">
        <f t="shared" si="98"/>
        <v>WH-BOM</v>
      </c>
      <c r="Q1029" t="str">
        <f>VLOOKUP(C1029, Lookups!$A$2:$D$10, 2, FALSE())</f>
        <v>FastElectronics</v>
      </c>
      <c r="R1029" t="str">
        <f>_xlfn.XLOOKUP(D1029, Lookups!$A$12:$A$51, Lookups!$C$12:$C$51, "Unknown")</f>
        <v>Networking</v>
      </c>
      <c r="S1029" t="str">
        <f>IF(ISBLANK(I1029), B1029+VLOOKUP(C1029, Lookups!$A$2:$D$10, 4, FALSE()), I1029)</f>
        <v>2026-08-30</v>
      </c>
      <c r="T1029">
        <f t="shared" si="99"/>
        <v>19</v>
      </c>
      <c r="U1029" t="str">
        <f t="shared" si="100"/>
        <v>Late</v>
      </c>
      <c r="V1029">
        <f t="shared" si="101"/>
        <v>0</v>
      </c>
    </row>
    <row r="1030" spans="1:22" x14ac:dyDescent="0.45">
      <c r="A1030" t="s">
        <v>1860</v>
      </c>
      <c r="B1030" t="s">
        <v>670</v>
      </c>
      <c r="C1030" t="s">
        <v>36</v>
      </c>
      <c r="D1030" t="s">
        <v>71</v>
      </c>
      <c r="E1030" t="s">
        <v>17</v>
      </c>
      <c r="F1030">
        <v>47</v>
      </c>
      <c r="G1030">
        <v>65379</v>
      </c>
      <c r="H1030">
        <v>3072813</v>
      </c>
      <c r="I1030" t="s">
        <v>954</v>
      </c>
      <c r="J1030" t="s">
        <v>1024</v>
      </c>
      <c r="K1030">
        <v>47</v>
      </c>
      <c r="L1030">
        <v>0</v>
      </c>
      <c r="M1030" t="s">
        <v>115</v>
      </c>
      <c r="N1030" t="str">
        <f t="shared" si="96"/>
        <v>PO-101029</v>
      </c>
      <c r="O1030" t="str">
        <f t="shared" si="97"/>
        <v>Delivered</v>
      </c>
      <c r="P1030" t="str">
        <f t="shared" si="98"/>
        <v>WH-BLR</v>
      </c>
      <c r="Q1030" t="str">
        <f>VLOOKUP(C1030, Lookups!$A$2:$D$10, 2, FALSE())</f>
        <v>NextGen Hardware</v>
      </c>
      <c r="R1030" t="str">
        <f>_xlfn.XLOOKUP(D1030, Lookups!$A$12:$A$51, Lookups!$C$12:$C$51, "Unknown")</f>
        <v>Electronics</v>
      </c>
      <c r="S1030" t="str">
        <f>IF(ISBLANK(I1030), B1030+VLOOKUP(C1030, Lookups!$A$2:$D$10, 4, FALSE()), I1030)</f>
        <v>2026-11-16</v>
      </c>
      <c r="T1030">
        <f t="shared" si="99"/>
        <v>25</v>
      </c>
      <c r="U1030" t="str">
        <f t="shared" si="100"/>
        <v>Late</v>
      </c>
      <c r="V1030">
        <f t="shared" si="101"/>
        <v>0</v>
      </c>
    </row>
    <row r="1031" spans="1:22" x14ac:dyDescent="0.45">
      <c r="A1031" t="s">
        <v>1861</v>
      </c>
      <c r="B1031" t="s">
        <v>446</v>
      </c>
      <c r="C1031" t="s">
        <v>35</v>
      </c>
      <c r="D1031" t="s">
        <v>72</v>
      </c>
      <c r="E1031" t="s">
        <v>17</v>
      </c>
      <c r="F1031">
        <v>178</v>
      </c>
      <c r="G1031">
        <v>7754</v>
      </c>
      <c r="H1031">
        <v>1380212</v>
      </c>
      <c r="I1031" t="s">
        <v>401</v>
      </c>
      <c r="J1031" t="s">
        <v>930</v>
      </c>
      <c r="K1031">
        <v>178</v>
      </c>
      <c r="L1031">
        <v>0</v>
      </c>
      <c r="M1031" t="s">
        <v>115</v>
      </c>
      <c r="N1031" t="str">
        <f t="shared" si="96"/>
        <v>PO-101030</v>
      </c>
      <c r="O1031" t="str">
        <f t="shared" si="97"/>
        <v>Delivered</v>
      </c>
      <c r="P1031" t="str">
        <f t="shared" si="98"/>
        <v>WH-BLR</v>
      </c>
      <c r="Q1031" t="str">
        <f>VLOOKUP(C1031, Lookups!$A$2:$D$10, 2, FALSE())</f>
        <v>Peripheral Source</v>
      </c>
      <c r="R1031" t="str">
        <f>_xlfn.XLOOKUP(D1031, Lookups!$A$12:$A$51, Lookups!$C$12:$C$51, "Unknown")</f>
        <v>Peripherals</v>
      </c>
      <c r="S1031" t="str">
        <f>IF(ISBLANK(I1031), B1031+VLOOKUP(C1031, Lookups!$A$2:$D$10, 4, FALSE()), I1031)</f>
        <v>2025-12-09</v>
      </c>
      <c r="T1031">
        <f t="shared" si="99"/>
        <v>11</v>
      </c>
      <c r="U1031" t="str">
        <f t="shared" si="100"/>
        <v>Late</v>
      </c>
      <c r="V1031">
        <f t="shared" si="101"/>
        <v>0</v>
      </c>
    </row>
    <row r="1032" spans="1:22" x14ac:dyDescent="0.45">
      <c r="A1032" t="s">
        <v>1862</v>
      </c>
      <c r="B1032" t="s">
        <v>385</v>
      </c>
      <c r="C1032" t="s">
        <v>35</v>
      </c>
      <c r="D1032" t="s">
        <v>91</v>
      </c>
      <c r="E1032" t="s">
        <v>18</v>
      </c>
      <c r="F1032">
        <v>163</v>
      </c>
      <c r="G1032">
        <v>6707</v>
      </c>
      <c r="H1032">
        <v>1093241</v>
      </c>
      <c r="I1032" t="s">
        <v>1767</v>
      </c>
      <c r="J1032" t="s">
        <v>685</v>
      </c>
      <c r="K1032">
        <v>163</v>
      </c>
      <c r="L1032">
        <v>0</v>
      </c>
      <c r="M1032" t="s">
        <v>115</v>
      </c>
      <c r="N1032" t="str">
        <f t="shared" si="96"/>
        <v>PO-101031</v>
      </c>
      <c r="O1032" t="str">
        <f t="shared" si="97"/>
        <v>Delivered</v>
      </c>
      <c r="P1032" t="str">
        <f t="shared" si="98"/>
        <v>WH-PUN</v>
      </c>
      <c r="Q1032" t="str">
        <f>VLOOKUP(C1032, Lookups!$A$2:$D$10, 2, FALSE())</f>
        <v>Peripheral Source</v>
      </c>
      <c r="R1032" t="str">
        <f>_xlfn.XLOOKUP(D1032, Lookups!$A$12:$A$51, Lookups!$C$12:$C$51, "Unknown")</f>
        <v>Peripherals</v>
      </c>
      <c r="S1032" t="str">
        <f>IF(ISBLANK(I1032), B1032+VLOOKUP(C1032, Lookups!$A$2:$D$10, 4, FALSE()), I1032)</f>
        <v>2026-02-25</v>
      </c>
      <c r="T1032">
        <f t="shared" si="99"/>
        <v>23</v>
      </c>
      <c r="U1032" t="str">
        <f t="shared" si="100"/>
        <v>Late</v>
      </c>
      <c r="V1032">
        <f t="shared" si="101"/>
        <v>0</v>
      </c>
    </row>
    <row r="1033" spans="1:22" x14ac:dyDescent="0.45">
      <c r="A1033" t="s">
        <v>1863</v>
      </c>
      <c r="B1033" t="s">
        <v>577</v>
      </c>
      <c r="C1033" t="s">
        <v>35</v>
      </c>
      <c r="D1033" t="s">
        <v>75</v>
      </c>
      <c r="E1033" t="s">
        <v>17</v>
      </c>
      <c r="F1033">
        <v>156</v>
      </c>
      <c r="G1033">
        <v>4440</v>
      </c>
      <c r="H1033">
        <v>692640</v>
      </c>
      <c r="I1033" t="s">
        <v>204</v>
      </c>
      <c r="J1033" t="s">
        <v>389</v>
      </c>
      <c r="K1033">
        <v>156</v>
      </c>
      <c r="L1033">
        <v>0</v>
      </c>
      <c r="M1033" t="s">
        <v>115</v>
      </c>
      <c r="N1033" t="str">
        <f t="shared" si="96"/>
        <v>PO-101032</v>
      </c>
      <c r="O1033" t="str">
        <f t="shared" si="97"/>
        <v>Delivered</v>
      </c>
      <c r="P1033" t="str">
        <f t="shared" si="98"/>
        <v>WH-BLR</v>
      </c>
      <c r="Q1033" t="str">
        <f>VLOOKUP(C1033, Lookups!$A$2:$D$10, 2, FALSE())</f>
        <v>Peripheral Source</v>
      </c>
      <c r="R1033" t="str">
        <f>_xlfn.XLOOKUP(D1033, Lookups!$A$12:$A$51, Lookups!$C$12:$C$51, "Unknown")</f>
        <v>Peripherals</v>
      </c>
      <c r="S1033" t="str">
        <f>IF(ISBLANK(I1033), B1033+VLOOKUP(C1033, Lookups!$A$2:$D$10, 4, FALSE()), I1033)</f>
        <v>2026-04-09</v>
      </c>
      <c r="T1033">
        <f t="shared" si="99"/>
        <v>7</v>
      </c>
      <c r="U1033" t="str">
        <f t="shared" si="100"/>
        <v>On-Time</v>
      </c>
      <c r="V1033">
        <f t="shared" si="101"/>
        <v>0</v>
      </c>
    </row>
    <row r="1034" spans="1:22" x14ac:dyDescent="0.45">
      <c r="A1034" t="s">
        <v>1864</v>
      </c>
      <c r="B1034" t="s">
        <v>454</v>
      </c>
      <c r="C1034" t="s">
        <v>31</v>
      </c>
      <c r="D1034" t="s">
        <v>77</v>
      </c>
      <c r="E1034" t="s">
        <v>15</v>
      </c>
      <c r="F1034">
        <v>80</v>
      </c>
      <c r="G1034">
        <v>23667</v>
      </c>
      <c r="H1034">
        <v>1893360</v>
      </c>
      <c r="I1034" t="s">
        <v>135</v>
      </c>
      <c r="J1034" t="s">
        <v>135</v>
      </c>
      <c r="K1034">
        <v>80</v>
      </c>
      <c r="L1034">
        <v>0</v>
      </c>
      <c r="M1034" t="s">
        <v>178</v>
      </c>
      <c r="N1034" t="str">
        <f t="shared" si="96"/>
        <v>PO-101033</v>
      </c>
      <c r="O1034" t="str">
        <f t="shared" si="97"/>
        <v>Delivered</v>
      </c>
      <c r="P1034" t="str">
        <f t="shared" si="98"/>
        <v>WH-BOM</v>
      </c>
      <c r="Q1034" t="str">
        <f>VLOOKUP(C1034, Lookups!$A$2:$D$10, 2, FALSE())</f>
        <v>Global Networks</v>
      </c>
      <c r="R1034" t="str">
        <f>_xlfn.XLOOKUP(D1034, Lookups!$A$12:$A$51, Lookups!$C$12:$C$51, "Unknown")</f>
        <v>Networking</v>
      </c>
      <c r="S1034" t="str">
        <f>IF(ISBLANK(I1034), B1034+VLOOKUP(C1034, Lookups!$A$2:$D$10, 4, FALSE()), I1034)</f>
        <v>2026-09-02</v>
      </c>
      <c r="T1034">
        <f t="shared" si="99"/>
        <v>21</v>
      </c>
      <c r="U1034" t="str">
        <f t="shared" si="100"/>
        <v>On-Time</v>
      </c>
      <c r="V1034">
        <f t="shared" si="101"/>
        <v>0</v>
      </c>
    </row>
    <row r="1035" spans="1:22" x14ac:dyDescent="0.45">
      <c r="A1035" t="s">
        <v>1865</v>
      </c>
      <c r="B1035" t="s">
        <v>629</v>
      </c>
      <c r="C1035" t="s">
        <v>34</v>
      </c>
      <c r="D1035" t="s">
        <v>74</v>
      </c>
      <c r="E1035" t="s">
        <v>16</v>
      </c>
      <c r="F1035">
        <v>141</v>
      </c>
      <c r="G1035">
        <v>94797</v>
      </c>
      <c r="H1035">
        <v>13366377</v>
      </c>
      <c r="I1035" t="s">
        <v>191</v>
      </c>
      <c r="J1035" t="s">
        <v>191</v>
      </c>
      <c r="K1035">
        <v>141</v>
      </c>
      <c r="L1035">
        <v>0</v>
      </c>
      <c r="M1035" t="s">
        <v>115</v>
      </c>
      <c r="N1035" t="str">
        <f t="shared" si="96"/>
        <v>PO-101034</v>
      </c>
      <c r="O1035" t="str">
        <f t="shared" si="97"/>
        <v>Delivered</v>
      </c>
      <c r="P1035" t="str">
        <f t="shared" si="98"/>
        <v>WH-DEL</v>
      </c>
      <c r="Q1035" t="str">
        <f>VLOOKUP(C1035, Lookups!$A$2:$D$10, 2, FALSE())</f>
        <v>FastElectronics</v>
      </c>
      <c r="R1035" t="str">
        <f>_xlfn.XLOOKUP(D1035, Lookups!$A$12:$A$51, Lookups!$C$12:$C$51, "Unknown")</f>
        <v>Electronics</v>
      </c>
      <c r="S1035" t="str">
        <f>IF(ISBLANK(I1035), B1035+VLOOKUP(C1035, Lookups!$A$2:$D$10, 4, FALSE()), I1035)</f>
        <v>2025-07-25</v>
      </c>
      <c r="T1035">
        <f t="shared" si="99"/>
        <v>18</v>
      </c>
      <c r="U1035" t="str">
        <f t="shared" si="100"/>
        <v>On-Time</v>
      </c>
      <c r="V1035">
        <f t="shared" si="101"/>
        <v>0</v>
      </c>
    </row>
    <row r="1036" spans="1:22" x14ac:dyDescent="0.45">
      <c r="A1036" t="s">
        <v>1866</v>
      </c>
      <c r="B1036" t="s">
        <v>703</v>
      </c>
      <c r="C1036" t="s">
        <v>34</v>
      </c>
      <c r="D1036" t="s">
        <v>58</v>
      </c>
      <c r="E1036" t="s">
        <v>16</v>
      </c>
      <c r="F1036">
        <v>73</v>
      </c>
      <c r="G1036">
        <v>100302</v>
      </c>
      <c r="H1036">
        <v>7322046</v>
      </c>
      <c r="I1036" t="s">
        <v>510</v>
      </c>
      <c r="J1036" t="s">
        <v>114</v>
      </c>
      <c r="K1036">
        <v>73</v>
      </c>
      <c r="L1036">
        <v>0</v>
      </c>
      <c r="M1036" t="s">
        <v>115</v>
      </c>
      <c r="N1036" t="str">
        <f t="shared" si="96"/>
        <v>PO-101035</v>
      </c>
      <c r="O1036" t="str">
        <f t="shared" si="97"/>
        <v>Delivered</v>
      </c>
      <c r="P1036" t="str">
        <f t="shared" si="98"/>
        <v>WH-DEL</v>
      </c>
      <c r="Q1036" t="str">
        <f>VLOOKUP(C1036, Lookups!$A$2:$D$10, 2, FALSE())</f>
        <v>FastElectronics</v>
      </c>
      <c r="R1036" t="str">
        <f>_xlfn.XLOOKUP(D1036, Lookups!$A$12:$A$51, Lookups!$C$12:$C$51, "Unknown")</f>
        <v>Electronics</v>
      </c>
      <c r="S1036" t="str">
        <f>IF(ISBLANK(I1036), B1036+VLOOKUP(C1036, Lookups!$A$2:$D$10, 4, FALSE()), I1036)</f>
        <v>2026-06-26</v>
      </c>
      <c r="T1036">
        <f t="shared" si="99"/>
        <v>27</v>
      </c>
      <c r="U1036" t="str">
        <f t="shared" si="100"/>
        <v>Late</v>
      </c>
      <c r="V1036">
        <f t="shared" si="101"/>
        <v>0</v>
      </c>
    </row>
    <row r="1037" spans="1:22" x14ac:dyDescent="0.45">
      <c r="A1037" t="s">
        <v>1867</v>
      </c>
      <c r="B1037" t="s">
        <v>646</v>
      </c>
      <c r="C1037" t="s">
        <v>35</v>
      </c>
      <c r="D1037" t="s">
        <v>65</v>
      </c>
      <c r="E1037" t="s">
        <v>15</v>
      </c>
      <c r="F1037">
        <v>56</v>
      </c>
      <c r="G1037">
        <v>4936</v>
      </c>
      <c r="H1037">
        <v>276416</v>
      </c>
      <c r="I1037" t="s">
        <v>1041</v>
      </c>
      <c r="J1037" t="s">
        <v>846</v>
      </c>
      <c r="K1037">
        <v>56</v>
      </c>
      <c r="L1037">
        <v>0</v>
      </c>
      <c r="M1037" t="s">
        <v>115</v>
      </c>
      <c r="N1037" t="str">
        <f t="shared" si="96"/>
        <v>PO-101036</v>
      </c>
      <c r="O1037" t="str">
        <f t="shared" si="97"/>
        <v>Delivered</v>
      </c>
      <c r="P1037" t="str">
        <f t="shared" si="98"/>
        <v>WH-BOM</v>
      </c>
      <c r="Q1037" t="str">
        <f>VLOOKUP(C1037, Lookups!$A$2:$D$10, 2, FALSE())</f>
        <v>Peripheral Source</v>
      </c>
      <c r="R1037" t="str">
        <f>_xlfn.XLOOKUP(D1037, Lookups!$A$12:$A$51, Lookups!$C$12:$C$51, "Unknown")</f>
        <v>Peripherals</v>
      </c>
      <c r="S1037" t="str">
        <f>IF(ISBLANK(I1037), B1037+VLOOKUP(C1037, Lookups!$A$2:$D$10, 4, FALSE()), I1037)</f>
        <v>2026-10-17</v>
      </c>
      <c r="T1037">
        <f t="shared" si="99"/>
        <v>11</v>
      </c>
      <c r="U1037" t="str">
        <f t="shared" si="100"/>
        <v>Late</v>
      </c>
      <c r="V1037">
        <f t="shared" si="101"/>
        <v>0</v>
      </c>
    </row>
    <row r="1038" spans="1:22" x14ac:dyDescent="0.45">
      <c r="A1038" t="s">
        <v>1868</v>
      </c>
      <c r="B1038" t="s">
        <v>328</v>
      </c>
      <c r="C1038" t="s">
        <v>35</v>
      </c>
      <c r="D1038" t="s">
        <v>70</v>
      </c>
      <c r="E1038" t="s">
        <v>18</v>
      </c>
      <c r="F1038">
        <v>248</v>
      </c>
      <c r="G1038">
        <v>4287</v>
      </c>
      <c r="H1038">
        <v>1063176</v>
      </c>
      <c r="I1038" t="s">
        <v>486</v>
      </c>
      <c r="J1038" t="s">
        <v>213</v>
      </c>
      <c r="K1038">
        <v>248</v>
      </c>
      <c r="L1038">
        <v>0</v>
      </c>
      <c r="M1038" t="s">
        <v>115</v>
      </c>
      <c r="N1038" t="str">
        <f t="shared" si="96"/>
        <v>PO-101037</v>
      </c>
      <c r="O1038" t="str">
        <f t="shared" si="97"/>
        <v>Delivered</v>
      </c>
      <c r="P1038" t="str">
        <f t="shared" si="98"/>
        <v>WH-PUN</v>
      </c>
      <c r="Q1038" t="str">
        <f>VLOOKUP(C1038, Lookups!$A$2:$D$10, 2, FALSE())</f>
        <v>Peripheral Source</v>
      </c>
      <c r="R1038" t="str">
        <f>_xlfn.XLOOKUP(D1038, Lookups!$A$12:$A$51, Lookups!$C$12:$C$51, "Unknown")</f>
        <v>Peripherals</v>
      </c>
      <c r="S1038" t="str">
        <f>IF(ISBLANK(I1038), B1038+VLOOKUP(C1038, Lookups!$A$2:$D$10, 4, FALSE()), I1038)</f>
        <v>2025-06-16</v>
      </c>
      <c r="T1038">
        <f t="shared" si="99"/>
        <v>11</v>
      </c>
      <c r="U1038" t="str">
        <f t="shared" si="100"/>
        <v>Late</v>
      </c>
      <c r="V1038">
        <f t="shared" si="101"/>
        <v>0</v>
      </c>
    </row>
    <row r="1039" spans="1:22" x14ac:dyDescent="0.45">
      <c r="A1039" t="s">
        <v>1869</v>
      </c>
      <c r="B1039" t="s">
        <v>791</v>
      </c>
      <c r="C1039" t="s">
        <v>36</v>
      </c>
      <c r="D1039" t="s">
        <v>55</v>
      </c>
      <c r="E1039" t="s">
        <v>16</v>
      </c>
      <c r="F1039">
        <v>68</v>
      </c>
      <c r="G1039">
        <v>58434</v>
      </c>
      <c r="H1039">
        <v>3973512</v>
      </c>
      <c r="I1039" t="s">
        <v>242</v>
      </c>
      <c r="J1039" t="s">
        <v>792</v>
      </c>
      <c r="K1039">
        <v>68</v>
      </c>
      <c r="L1039">
        <v>0</v>
      </c>
      <c r="M1039" t="s">
        <v>115</v>
      </c>
      <c r="N1039" t="str">
        <f t="shared" si="96"/>
        <v>PO-101038</v>
      </c>
      <c r="O1039" t="str">
        <f t="shared" si="97"/>
        <v>Delivered</v>
      </c>
      <c r="P1039" t="str">
        <f t="shared" si="98"/>
        <v>WH-DEL</v>
      </c>
      <c r="Q1039" t="str">
        <f>VLOOKUP(C1039, Lookups!$A$2:$D$10, 2, FALSE())</f>
        <v>NextGen Hardware</v>
      </c>
      <c r="R1039" t="str">
        <f>_xlfn.XLOOKUP(D1039, Lookups!$A$12:$A$51, Lookups!$C$12:$C$51, "Unknown")</f>
        <v>Electronics</v>
      </c>
      <c r="S1039" t="str">
        <f>IF(ISBLANK(I1039), B1039+VLOOKUP(C1039, Lookups!$A$2:$D$10, 4, FALSE()), I1039)</f>
        <v>2025-07-05</v>
      </c>
      <c r="T1039">
        <f t="shared" si="99"/>
        <v>25</v>
      </c>
      <c r="U1039" t="str">
        <f t="shared" si="100"/>
        <v>Late</v>
      </c>
      <c r="V1039">
        <f t="shared" si="101"/>
        <v>0</v>
      </c>
    </row>
    <row r="1040" spans="1:22" x14ac:dyDescent="0.45">
      <c r="A1040" t="s">
        <v>1870</v>
      </c>
      <c r="B1040" t="s">
        <v>1019</v>
      </c>
      <c r="C1040" t="s">
        <v>32</v>
      </c>
      <c r="D1040" t="s">
        <v>67</v>
      </c>
      <c r="E1040" t="s">
        <v>16</v>
      </c>
      <c r="F1040">
        <v>93</v>
      </c>
      <c r="G1040">
        <v>1553</v>
      </c>
      <c r="H1040">
        <v>144429</v>
      </c>
      <c r="I1040" t="s">
        <v>1451</v>
      </c>
      <c r="J1040" t="s">
        <v>1551</v>
      </c>
      <c r="K1040">
        <v>93</v>
      </c>
      <c r="L1040">
        <v>0</v>
      </c>
      <c r="M1040" t="s">
        <v>115</v>
      </c>
      <c r="N1040" t="str">
        <f t="shared" si="96"/>
        <v>PO-101039</v>
      </c>
      <c r="O1040" t="str">
        <f t="shared" si="97"/>
        <v>Delivered</v>
      </c>
      <c r="P1040" t="str">
        <f t="shared" si="98"/>
        <v>WH-DEL</v>
      </c>
      <c r="Q1040" t="str">
        <f>VLOOKUP(C1040, Lookups!$A$2:$D$10, 2, FALSE())</f>
        <v>OfficeDepot Pro</v>
      </c>
      <c r="R1040" t="str">
        <f>_xlfn.XLOOKUP(D1040, Lookups!$A$12:$A$51, Lookups!$C$12:$C$51, "Unknown")</f>
        <v>Peripherals</v>
      </c>
      <c r="S1040" t="str">
        <f>IF(ISBLANK(I1040), B1040+VLOOKUP(C1040, Lookups!$A$2:$D$10, 4, FALSE()), I1040)</f>
        <v>2025-05-16</v>
      </c>
      <c r="T1040">
        <f t="shared" si="99"/>
        <v>9</v>
      </c>
      <c r="U1040" t="str">
        <f t="shared" si="100"/>
        <v>Late</v>
      </c>
      <c r="V1040">
        <f t="shared" si="101"/>
        <v>0</v>
      </c>
    </row>
    <row r="1041" spans="1:22" x14ac:dyDescent="0.45">
      <c r="A1041" t="s">
        <v>1871</v>
      </c>
      <c r="B1041" t="s">
        <v>772</v>
      </c>
      <c r="C1041" t="s">
        <v>35</v>
      </c>
      <c r="D1041" t="s">
        <v>72</v>
      </c>
      <c r="E1041" t="s">
        <v>18</v>
      </c>
      <c r="F1041">
        <v>23</v>
      </c>
      <c r="G1041">
        <v>7754</v>
      </c>
      <c r="H1041">
        <v>178342</v>
      </c>
      <c r="I1041" t="s">
        <v>837</v>
      </c>
      <c r="J1041" t="s">
        <v>580</v>
      </c>
      <c r="K1041">
        <v>23</v>
      </c>
      <c r="L1041">
        <v>0</v>
      </c>
      <c r="M1041" t="s">
        <v>115</v>
      </c>
      <c r="N1041" t="str">
        <f t="shared" si="96"/>
        <v>PO-101040</v>
      </c>
      <c r="O1041" t="str">
        <f t="shared" si="97"/>
        <v>Delivered</v>
      </c>
      <c r="P1041" t="str">
        <f t="shared" si="98"/>
        <v>WH-PUN</v>
      </c>
      <c r="Q1041" t="str">
        <f>VLOOKUP(C1041, Lookups!$A$2:$D$10, 2, FALSE())</f>
        <v>Peripheral Source</v>
      </c>
      <c r="R1041" t="str">
        <f>_xlfn.XLOOKUP(D1041, Lookups!$A$12:$A$51, Lookups!$C$12:$C$51, "Unknown")</f>
        <v>Peripherals</v>
      </c>
      <c r="S1041" t="str">
        <f>IF(ISBLANK(I1041), B1041+VLOOKUP(C1041, Lookups!$A$2:$D$10, 4, FALSE()), I1041)</f>
        <v>2026-01-11</v>
      </c>
      <c r="T1041">
        <f t="shared" si="99"/>
        <v>11</v>
      </c>
      <c r="U1041" t="str">
        <f t="shared" si="100"/>
        <v>Late</v>
      </c>
      <c r="V1041">
        <f t="shared" si="101"/>
        <v>0</v>
      </c>
    </row>
    <row r="1042" spans="1:22" x14ac:dyDescent="0.45">
      <c r="A1042" t="s">
        <v>1872</v>
      </c>
      <c r="B1042" t="s">
        <v>153</v>
      </c>
      <c r="C1042" t="s">
        <v>30</v>
      </c>
      <c r="D1042" t="s">
        <v>61</v>
      </c>
      <c r="E1042" t="s">
        <v>16</v>
      </c>
      <c r="F1042">
        <v>239</v>
      </c>
      <c r="G1042">
        <v>111237</v>
      </c>
      <c r="H1042">
        <v>26585643</v>
      </c>
      <c r="I1042" t="s">
        <v>246</v>
      </c>
      <c r="J1042" t="s">
        <v>200</v>
      </c>
      <c r="K1042">
        <v>239</v>
      </c>
      <c r="L1042">
        <v>0</v>
      </c>
      <c r="M1042" t="s">
        <v>115</v>
      </c>
      <c r="N1042" t="str">
        <f t="shared" si="96"/>
        <v>PO-101041</v>
      </c>
      <c r="O1042" t="str">
        <f t="shared" si="97"/>
        <v>Delivered</v>
      </c>
      <c r="P1042" t="str">
        <f t="shared" si="98"/>
        <v>WH-DEL</v>
      </c>
      <c r="Q1042" t="str">
        <f>VLOOKUP(C1042, Lookups!$A$2:$D$10, 2, FALSE())</f>
        <v>TechSupply Corp</v>
      </c>
      <c r="R1042" t="str">
        <f>_xlfn.XLOOKUP(D1042, Lookups!$A$12:$A$51, Lookups!$C$12:$C$51, "Unknown")</f>
        <v>Electronics</v>
      </c>
      <c r="S1042" t="str">
        <f>IF(ISBLANK(I1042), B1042+VLOOKUP(C1042, Lookups!$A$2:$D$10, 4, FALSE()), I1042)</f>
        <v>2025-10-21</v>
      </c>
      <c r="T1042">
        <f t="shared" si="99"/>
        <v>15</v>
      </c>
      <c r="U1042" t="str">
        <f t="shared" si="100"/>
        <v>Late</v>
      </c>
      <c r="V1042">
        <f t="shared" si="101"/>
        <v>0</v>
      </c>
    </row>
    <row r="1043" spans="1:22" x14ac:dyDescent="0.45">
      <c r="A1043" t="s">
        <v>1873</v>
      </c>
      <c r="B1043" t="s">
        <v>1331</v>
      </c>
      <c r="C1043" t="s">
        <v>35</v>
      </c>
      <c r="D1043" t="s">
        <v>57</v>
      </c>
      <c r="E1043" t="s">
        <v>16</v>
      </c>
      <c r="F1043">
        <v>105</v>
      </c>
      <c r="G1043">
        <v>2212</v>
      </c>
      <c r="H1043">
        <v>232260</v>
      </c>
      <c r="I1043" t="s">
        <v>516</v>
      </c>
      <c r="J1043" t="s">
        <v>516</v>
      </c>
      <c r="K1043">
        <v>105</v>
      </c>
      <c r="L1043">
        <v>0</v>
      </c>
      <c r="M1043" t="s">
        <v>115</v>
      </c>
      <c r="N1043" t="str">
        <f t="shared" si="96"/>
        <v>PO-101042</v>
      </c>
      <c r="O1043" t="str">
        <f t="shared" si="97"/>
        <v>Delivered</v>
      </c>
      <c r="P1043" t="str">
        <f t="shared" si="98"/>
        <v>WH-DEL</v>
      </c>
      <c r="Q1043" t="str">
        <f>VLOOKUP(C1043, Lookups!$A$2:$D$10, 2, FALSE())</f>
        <v>Peripheral Source</v>
      </c>
      <c r="R1043" t="str">
        <f>_xlfn.XLOOKUP(D1043, Lookups!$A$12:$A$51, Lookups!$C$12:$C$51, "Unknown")</f>
        <v>Peripherals</v>
      </c>
      <c r="S1043" t="str">
        <f>IF(ISBLANK(I1043), B1043+VLOOKUP(C1043, Lookups!$A$2:$D$10, 4, FALSE()), I1043)</f>
        <v>2025-03-24</v>
      </c>
      <c r="T1043">
        <f t="shared" si="99"/>
        <v>10</v>
      </c>
      <c r="U1043" t="str">
        <f t="shared" si="100"/>
        <v>On-Time</v>
      </c>
      <c r="V1043">
        <f t="shared" si="101"/>
        <v>0</v>
      </c>
    </row>
    <row r="1044" spans="1:22" x14ac:dyDescent="0.45">
      <c r="A1044" t="s">
        <v>1874</v>
      </c>
      <c r="B1044" t="s">
        <v>258</v>
      </c>
      <c r="C1044" t="s">
        <v>37</v>
      </c>
      <c r="D1044" t="s">
        <v>83</v>
      </c>
      <c r="E1044" t="s">
        <v>15</v>
      </c>
      <c r="F1044">
        <v>160</v>
      </c>
      <c r="G1044">
        <v>19850</v>
      </c>
      <c r="H1044">
        <v>3176000</v>
      </c>
      <c r="I1044" t="s">
        <v>1225</v>
      </c>
      <c r="J1044" t="s">
        <v>561</v>
      </c>
      <c r="K1044">
        <v>160</v>
      </c>
      <c r="L1044">
        <v>0</v>
      </c>
      <c r="M1044" t="s">
        <v>115</v>
      </c>
      <c r="N1044" t="str">
        <f t="shared" si="96"/>
        <v>PO-101043</v>
      </c>
      <c r="O1044" t="str">
        <f t="shared" si="97"/>
        <v>Delivered</v>
      </c>
      <c r="P1044" t="str">
        <f t="shared" si="98"/>
        <v>WH-BOM</v>
      </c>
      <c r="Q1044" t="str">
        <f>VLOOKUP(C1044, Lookups!$A$2:$D$10, 2, FALSE())</f>
        <v>Premium Desks Ltd</v>
      </c>
      <c r="R1044" t="str">
        <f>_xlfn.XLOOKUP(D1044, Lookups!$A$12:$A$51, Lookups!$C$12:$C$51, "Unknown")</f>
        <v>Office Furniture</v>
      </c>
      <c r="S1044" t="str">
        <f>IF(ISBLANK(I1044), B1044+VLOOKUP(C1044, Lookups!$A$2:$D$10, 4, FALSE()), I1044)</f>
        <v>2025-02-18</v>
      </c>
      <c r="T1044">
        <f t="shared" si="99"/>
        <v>17</v>
      </c>
      <c r="U1044" t="str">
        <f t="shared" si="100"/>
        <v>Late</v>
      </c>
      <c r="V1044">
        <f t="shared" si="101"/>
        <v>0</v>
      </c>
    </row>
    <row r="1045" spans="1:22" x14ac:dyDescent="0.45">
      <c r="A1045" t="s">
        <v>1875</v>
      </c>
      <c r="B1045" t="s">
        <v>1776</v>
      </c>
      <c r="C1045" t="s">
        <v>30</v>
      </c>
      <c r="D1045" t="s">
        <v>53</v>
      </c>
      <c r="E1045" t="s">
        <v>17</v>
      </c>
      <c r="F1045">
        <v>193</v>
      </c>
      <c r="G1045">
        <v>81048</v>
      </c>
      <c r="H1045">
        <v>15642264</v>
      </c>
      <c r="I1045" t="s">
        <v>537</v>
      </c>
      <c r="J1045" t="s">
        <v>917</v>
      </c>
      <c r="K1045">
        <v>193</v>
      </c>
      <c r="L1045">
        <v>0</v>
      </c>
      <c r="M1045" t="s">
        <v>115</v>
      </c>
      <c r="N1045" t="str">
        <f t="shared" si="96"/>
        <v>PO-101044</v>
      </c>
      <c r="O1045" t="str">
        <f t="shared" si="97"/>
        <v>Delivered</v>
      </c>
      <c r="P1045" t="str">
        <f t="shared" si="98"/>
        <v>WH-BLR</v>
      </c>
      <c r="Q1045" t="str">
        <f>VLOOKUP(C1045, Lookups!$A$2:$D$10, 2, FALSE())</f>
        <v>TechSupply Corp</v>
      </c>
      <c r="R1045" t="str">
        <f>_xlfn.XLOOKUP(D1045, Lookups!$A$12:$A$51, Lookups!$C$12:$C$51, "Unknown")</f>
        <v>Electronics</v>
      </c>
      <c r="S1045" t="str">
        <f>IF(ISBLANK(I1045), B1045+VLOOKUP(C1045, Lookups!$A$2:$D$10, 4, FALSE()), I1045)</f>
        <v>2026-01-03</v>
      </c>
      <c r="T1045">
        <f t="shared" si="99"/>
        <v>15</v>
      </c>
      <c r="U1045" t="str">
        <f t="shared" si="100"/>
        <v>Late</v>
      </c>
      <c r="V1045">
        <f t="shared" si="101"/>
        <v>0</v>
      </c>
    </row>
    <row r="1046" spans="1:22" x14ac:dyDescent="0.45">
      <c r="A1046" t="s">
        <v>1876</v>
      </c>
      <c r="B1046" t="s">
        <v>1345</v>
      </c>
      <c r="C1046" t="s">
        <v>35</v>
      </c>
      <c r="D1046" t="s">
        <v>91</v>
      </c>
      <c r="E1046" t="s">
        <v>18</v>
      </c>
      <c r="F1046">
        <v>38</v>
      </c>
      <c r="G1046">
        <v>6707</v>
      </c>
      <c r="H1046">
        <v>254866</v>
      </c>
      <c r="I1046" t="s">
        <v>1092</v>
      </c>
      <c r="J1046" t="s">
        <v>1164</v>
      </c>
      <c r="K1046">
        <v>38</v>
      </c>
      <c r="L1046">
        <v>0</v>
      </c>
      <c r="M1046" t="s">
        <v>115</v>
      </c>
      <c r="N1046" t="str">
        <f t="shared" si="96"/>
        <v>PO-101045</v>
      </c>
      <c r="O1046" t="str">
        <f t="shared" si="97"/>
        <v>Delivered</v>
      </c>
      <c r="P1046" t="str">
        <f t="shared" si="98"/>
        <v>WH-PUN</v>
      </c>
      <c r="Q1046" t="str">
        <f>VLOOKUP(C1046, Lookups!$A$2:$D$10, 2, FALSE())</f>
        <v>Peripheral Source</v>
      </c>
      <c r="R1046" t="str">
        <f>_xlfn.XLOOKUP(D1046, Lookups!$A$12:$A$51, Lookups!$C$12:$C$51, "Unknown")</f>
        <v>Peripherals</v>
      </c>
      <c r="S1046" t="str">
        <f>IF(ISBLANK(I1046), B1046+VLOOKUP(C1046, Lookups!$A$2:$D$10, 4, FALSE()), I1046)</f>
        <v>2025-03-22</v>
      </c>
      <c r="T1046">
        <f t="shared" si="99"/>
        <v>11</v>
      </c>
      <c r="U1046" t="str">
        <f t="shared" si="100"/>
        <v>Late</v>
      </c>
      <c r="V1046">
        <f t="shared" si="101"/>
        <v>0</v>
      </c>
    </row>
    <row r="1047" spans="1:22" x14ac:dyDescent="0.45">
      <c r="A1047" t="s">
        <v>1877</v>
      </c>
      <c r="B1047" t="s">
        <v>1508</v>
      </c>
      <c r="C1047" t="s">
        <v>30</v>
      </c>
      <c r="D1047" t="s">
        <v>59</v>
      </c>
      <c r="E1047" t="s">
        <v>18</v>
      </c>
      <c r="F1047">
        <v>120</v>
      </c>
      <c r="G1047">
        <v>48905</v>
      </c>
      <c r="H1047">
        <v>5868600</v>
      </c>
      <c r="I1047" t="s">
        <v>530</v>
      </c>
      <c r="J1047" t="s">
        <v>530</v>
      </c>
      <c r="K1047">
        <v>120</v>
      </c>
      <c r="L1047">
        <v>0</v>
      </c>
      <c r="M1047" t="s">
        <v>115</v>
      </c>
      <c r="N1047" t="str">
        <f t="shared" si="96"/>
        <v>PO-101046</v>
      </c>
      <c r="O1047" t="str">
        <f t="shared" si="97"/>
        <v>Delivered</v>
      </c>
      <c r="P1047" t="str">
        <f t="shared" si="98"/>
        <v>WH-PUN</v>
      </c>
      <c r="Q1047" t="str">
        <f>VLOOKUP(C1047, Lookups!$A$2:$D$10, 2, FALSE())</f>
        <v>TechSupply Corp</v>
      </c>
      <c r="R1047" t="str">
        <f>_xlfn.XLOOKUP(D1047, Lookups!$A$12:$A$51, Lookups!$C$12:$C$51, "Unknown")</f>
        <v>Electronics</v>
      </c>
      <c r="S1047" t="str">
        <f>IF(ISBLANK(I1047), B1047+VLOOKUP(C1047, Lookups!$A$2:$D$10, 4, FALSE()), I1047)</f>
        <v>2026-06-07</v>
      </c>
      <c r="T1047">
        <f t="shared" si="99"/>
        <v>14</v>
      </c>
      <c r="U1047" t="str">
        <f t="shared" si="100"/>
        <v>On-Time</v>
      </c>
      <c r="V1047">
        <f t="shared" si="101"/>
        <v>0</v>
      </c>
    </row>
    <row r="1048" spans="1:22" x14ac:dyDescent="0.45">
      <c r="A1048" t="s">
        <v>1878</v>
      </c>
      <c r="B1048" t="s">
        <v>523</v>
      </c>
      <c r="C1048" t="s">
        <v>37</v>
      </c>
      <c r="D1048" t="s">
        <v>69</v>
      </c>
      <c r="E1048" t="s">
        <v>18</v>
      </c>
      <c r="F1048">
        <v>72</v>
      </c>
      <c r="G1048">
        <v>13231</v>
      </c>
      <c r="H1048">
        <v>952632</v>
      </c>
      <c r="I1048" t="s">
        <v>1593</v>
      </c>
      <c r="J1048" t="s">
        <v>473</v>
      </c>
      <c r="K1048">
        <v>72</v>
      </c>
      <c r="L1048">
        <v>0</v>
      </c>
      <c r="M1048" t="s">
        <v>115</v>
      </c>
      <c r="N1048" t="str">
        <f t="shared" si="96"/>
        <v>PO-101047</v>
      </c>
      <c r="O1048" t="str">
        <f t="shared" si="97"/>
        <v>Delivered</v>
      </c>
      <c r="P1048" t="str">
        <f t="shared" si="98"/>
        <v>WH-PUN</v>
      </c>
      <c r="Q1048" t="str">
        <f>VLOOKUP(C1048, Lookups!$A$2:$D$10, 2, FALSE())</f>
        <v>Premium Desks Ltd</v>
      </c>
      <c r="R1048" t="str">
        <f>_xlfn.XLOOKUP(D1048, Lookups!$A$12:$A$51, Lookups!$C$12:$C$51, "Unknown")</f>
        <v>Office Furniture</v>
      </c>
      <c r="S1048" t="str">
        <f>IF(ISBLANK(I1048), B1048+VLOOKUP(C1048, Lookups!$A$2:$D$10, 4, FALSE()), I1048)</f>
        <v>2025-05-27</v>
      </c>
      <c r="T1048">
        <f t="shared" si="99"/>
        <v>26</v>
      </c>
      <c r="U1048" t="str">
        <f t="shared" si="100"/>
        <v>Late</v>
      </c>
      <c r="V1048">
        <f t="shared" si="101"/>
        <v>0</v>
      </c>
    </row>
    <row r="1049" spans="1:22" x14ac:dyDescent="0.45">
      <c r="A1049" t="s">
        <v>1879</v>
      </c>
      <c r="B1049" t="s">
        <v>1551</v>
      </c>
      <c r="C1049" t="s">
        <v>31</v>
      </c>
      <c r="D1049" t="s">
        <v>56</v>
      </c>
      <c r="E1049" t="s">
        <v>17</v>
      </c>
      <c r="F1049">
        <v>238</v>
      </c>
      <c r="G1049">
        <v>39270</v>
      </c>
      <c r="H1049">
        <v>9346260</v>
      </c>
      <c r="I1049" t="s">
        <v>731</v>
      </c>
      <c r="J1049" t="s">
        <v>832</v>
      </c>
      <c r="K1049">
        <v>238</v>
      </c>
      <c r="L1049">
        <v>0</v>
      </c>
      <c r="M1049" t="s">
        <v>115</v>
      </c>
      <c r="N1049" t="str">
        <f t="shared" si="96"/>
        <v>PO-101048</v>
      </c>
      <c r="O1049" t="str">
        <f t="shared" si="97"/>
        <v>Delivered</v>
      </c>
      <c r="P1049" t="str">
        <f t="shared" si="98"/>
        <v>WH-BLR</v>
      </c>
      <c r="Q1049" t="str">
        <f>VLOOKUP(C1049, Lookups!$A$2:$D$10, 2, FALSE())</f>
        <v>Global Networks</v>
      </c>
      <c r="R1049" t="str">
        <f>_xlfn.XLOOKUP(D1049, Lookups!$A$12:$A$51, Lookups!$C$12:$C$51, "Unknown")</f>
        <v>Networking</v>
      </c>
      <c r="S1049" t="str">
        <f>IF(ISBLANK(I1049), B1049+VLOOKUP(C1049, Lookups!$A$2:$D$10, 4, FALSE()), I1049)</f>
        <v>2025-06-08</v>
      </c>
      <c r="T1049">
        <f t="shared" si="99"/>
        <v>22</v>
      </c>
      <c r="U1049" t="str">
        <f t="shared" si="100"/>
        <v>Late</v>
      </c>
      <c r="V1049">
        <f t="shared" si="101"/>
        <v>0</v>
      </c>
    </row>
    <row r="1050" spans="1:22" x14ac:dyDescent="0.45">
      <c r="A1050" t="s">
        <v>1880</v>
      </c>
      <c r="B1050" t="s">
        <v>1208</v>
      </c>
      <c r="C1050" t="s">
        <v>34</v>
      </c>
      <c r="D1050" t="s">
        <v>81</v>
      </c>
      <c r="E1050" t="s">
        <v>18</v>
      </c>
      <c r="F1050">
        <v>250</v>
      </c>
      <c r="G1050">
        <v>55328</v>
      </c>
      <c r="H1050">
        <v>13832000</v>
      </c>
      <c r="I1050" t="s">
        <v>257</v>
      </c>
      <c r="J1050" t="s">
        <v>941</v>
      </c>
      <c r="K1050">
        <v>250</v>
      </c>
      <c r="L1050">
        <v>36</v>
      </c>
      <c r="M1050" t="s">
        <v>115</v>
      </c>
      <c r="N1050" t="str">
        <f t="shared" si="96"/>
        <v>PO-101049</v>
      </c>
      <c r="O1050" t="str">
        <f t="shared" si="97"/>
        <v>Delivered</v>
      </c>
      <c r="P1050" t="str">
        <f t="shared" si="98"/>
        <v>WH-PUN</v>
      </c>
      <c r="Q1050" t="str">
        <f>VLOOKUP(C1050, Lookups!$A$2:$D$10, 2, FALSE())</f>
        <v>FastElectronics</v>
      </c>
      <c r="R1050" t="str">
        <f>_xlfn.XLOOKUP(D1050, Lookups!$A$12:$A$51, Lookups!$C$12:$C$51, "Unknown")</f>
        <v>Electronics</v>
      </c>
      <c r="S1050" t="str">
        <f>IF(ISBLANK(I1050), B1050+VLOOKUP(C1050, Lookups!$A$2:$D$10, 4, FALSE()), I1050)</f>
        <v>2025-01-19</v>
      </c>
      <c r="T1050">
        <f t="shared" si="99"/>
        <v>20</v>
      </c>
      <c r="U1050" t="str">
        <f t="shared" si="100"/>
        <v>Late</v>
      </c>
      <c r="V1050">
        <f t="shared" si="101"/>
        <v>0.14399999999999999</v>
      </c>
    </row>
    <row r="1051" spans="1:22" x14ac:dyDescent="0.45">
      <c r="A1051" t="s">
        <v>1881</v>
      </c>
      <c r="B1051" t="s">
        <v>615</v>
      </c>
      <c r="C1051" t="s">
        <v>34</v>
      </c>
      <c r="D1051" t="s">
        <v>76</v>
      </c>
      <c r="E1051" t="s">
        <v>17</v>
      </c>
      <c r="F1051">
        <v>180</v>
      </c>
      <c r="G1051">
        <v>26270</v>
      </c>
      <c r="H1051">
        <v>4728600</v>
      </c>
      <c r="I1051" t="s">
        <v>744</v>
      </c>
      <c r="J1051" t="s">
        <v>1148</v>
      </c>
      <c r="K1051">
        <v>180</v>
      </c>
      <c r="L1051">
        <v>7</v>
      </c>
      <c r="M1051" t="s">
        <v>115</v>
      </c>
      <c r="N1051" t="str">
        <f t="shared" si="96"/>
        <v>PO-101050</v>
      </c>
      <c r="O1051" t="str">
        <f t="shared" si="97"/>
        <v>Delivered</v>
      </c>
      <c r="P1051" t="str">
        <f t="shared" si="98"/>
        <v>WH-BLR</v>
      </c>
      <c r="Q1051" t="str">
        <f>VLOOKUP(C1051, Lookups!$A$2:$D$10, 2, FALSE())</f>
        <v>FastElectronics</v>
      </c>
      <c r="R1051" t="str">
        <f>_xlfn.XLOOKUP(D1051, Lookups!$A$12:$A$51, Lookups!$C$12:$C$51, "Unknown")</f>
        <v>Networking</v>
      </c>
      <c r="S1051" t="str">
        <f>IF(ISBLANK(I1051), B1051+VLOOKUP(C1051, Lookups!$A$2:$D$10, 4, FALSE()), I1051)</f>
        <v>2026-11-25</v>
      </c>
      <c r="T1051">
        <f t="shared" si="99"/>
        <v>19</v>
      </c>
      <c r="U1051" t="str">
        <f t="shared" si="100"/>
        <v>Late</v>
      </c>
      <c r="V1051">
        <f t="shared" si="101"/>
        <v>3.888888888888889E-2</v>
      </c>
    </row>
    <row r="1052" spans="1:22" x14ac:dyDescent="0.45">
      <c r="A1052" t="s">
        <v>1882</v>
      </c>
      <c r="B1052" t="s">
        <v>877</v>
      </c>
      <c r="C1052" t="s">
        <v>35</v>
      </c>
      <c r="D1052" t="s">
        <v>65</v>
      </c>
      <c r="E1052" t="s">
        <v>18</v>
      </c>
      <c r="F1052">
        <v>16</v>
      </c>
      <c r="G1052">
        <v>4936</v>
      </c>
      <c r="H1052">
        <v>78976</v>
      </c>
      <c r="I1052" t="s">
        <v>653</v>
      </c>
      <c r="J1052" t="s">
        <v>653</v>
      </c>
      <c r="K1052">
        <v>16</v>
      </c>
      <c r="L1052">
        <v>0</v>
      </c>
      <c r="M1052" t="s">
        <v>115</v>
      </c>
      <c r="N1052" t="str">
        <f t="shared" si="96"/>
        <v>PO-101051</v>
      </c>
      <c r="O1052" t="str">
        <f t="shared" si="97"/>
        <v>Delivered</v>
      </c>
      <c r="P1052" t="str">
        <f t="shared" si="98"/>
        <v>WH-PUN</v>
      </c>
      <c r="Q1052" t="str">
        <f>VLOOKUP(C1052, Lookups!$A$2:$D$10, 2, FALSE())</f>
        <v>Peripheral Source</v>
      </c>
      <c r="R1052" t="str">
        <f>_xlfn.XLOOKUP(D1052, Lookups!$A$12:$A$51, Lookups!$C$12:$C$51, "Unknown")</f>
        <v>Peripherals</v>
      </c>
      <c r="S1052" t="str">
        <f>IF(ISBLANK(I1052), B1052+VLOOKUP(C1052, Lookups!$A$2:$D$10, 4, FALSE()), I1052)</f>
        <v>2026-12-14</v>
      </c>
      <c r="T1052">
        <f t="shared" si="99"/>
        <v>10</v>
      </c>
      <c r="U1052" t="str">
        <f t="shared" si="100"/>
        <v>On-Time</v>
      </c>
      <c r="V1052">
        <f t="shared" si="101"/>
        <v>0</v>
      </c>
    </row>
    <row r="1053" spans="1:22" x14ac:dyDescent="0.45">
      <c r="A1053" t="s">
        <v>1883</v>
      </c>
      <c r="B1053" t="s">
        <v>1092</v>
      </c>
      <c r="C1053" t="s">
        <v>35</v>
      </c>
      <c r="D1053" t="s">
        <v>70</v>
      </c>
      <c r="E1053" t="s">
        <v>18</v>
      </c>
      <c r="F1053">
        <v>197</v>
      </c>
      <c r="G1053">
        <v>4287</v>
      </c>
      <c r="H1053">
        <v>844539</v>
      </c>
      <c r="I1053" t="s">
        <v>1142</v>
      </c>
      <c r="J1053" t="s">
        <v>499</v>
      </c>
      <c r="K1053">
        <v>197</v>
      </c>
      <c r="L1053">
        <v>0</v>
      </c>
      <c r="M1053" t="s">
        <v>115</v>
      </c>
      <c r="N1053" t="str">
        <f t="shared" si="96"/>
        <v>PO-101052</v>
      </c>
      <c r="O1053" t="str">
        <f t="shared" si="97"/>
        <v>Delivered</v>
      </c>
      <c r="P1053" t="str">
        <f t="shared" si="98"/>
        <v>WH-PUN</v>
      </c>
      <c r="Q1053" t="str">
        <f>VLOOKUP(C1053, Lookups!$A$2:$D$10, 2, FALSE())</f>
        <v>Peripheral Source</v>
      </c>
      <c r="R1053" t="str">
        <f>_xlfn.XLOOKUP(D1053, Lookups!$A$12:$A$51, Lookups!$C$12:$C$51, "Unknown")</f>
        <v>Peripherals</v>
      </c>
      <c r="S1053" t="str">
        <f>IF(ISBLANK(I1053), B1053+VLOOKUP(C1053, Lookups!$A$2:$D$10, 4, FALSE()), I1053)</f>
        <v>2025-04-01</v>
      </c>
      <c r="T1053">
        <f t="shared" si="99"/>
        <v>12</v>
      </c>
      <c r="U1053" t="str">
        <f t="shared" si="100"/>
        <v>Late</v>
      </c>
      <c r="V1053">
        <f t="shared" si="101"/>
        <v>0</v>
      </c>
    </row>
    <row r="1054" spans="1:22" x14ac:dyDescent="0.45">
      <c r="A1054" t="s">
        <v>1884</v>
      </c>
      <c r="B1054" t="s">
        <v>1780</v>
      </c>
      <c r="C1054" t="s">
        <v>32</v>
      </c>
      <c r="D1054" t="s">
        <v>84</v>
      </c>
      <c r="E1054" t="s">
        <v>15</v>
      </c>
      <c r="F1054">
        <v>147</v>
      </c>
      <c r="G1054">
        <v>7271</v>
      </c>
      <c r="H1054">
        <v>1068837</v>
      </c>
      <c r="I1054" t="s">
        <v>529</v>
      </c>
      <c r="J1054" t="s">
        <v>529</v>
      </c>
      <c r="K1054">
        <v>147</v>
      </c>
      <c r="L1054">
        <v>0</v>
      </c>
      <c r="M1054" t="s">
        <v>115</v>
      </c>
      <c r="N1054" t="str">
        <f t="shared" si="96"/>
        <v>PO-101053</v>
      </c>
      <c r="O1054" t="str">
        <f t="shared" si="97"/>
        <v>Delivered</v>
      </c>
      <c r="P1054" t="str">
        <f t="shared" si="98"/>
        <v>WH-BOM</v>
      </c>
      <c r="Q1054" t="str">
        <f>VLOOKUP(C1054, Lookups!$A$2:$D$10, 2, FALSE())</f>
        <v>OfficeDepot Pro</v>
      </c>
      <c r="R1054" t="str">
        <f>_xlfn.XLOOKUP(D1054, Lookups!$A$12:$A$51, Lookups!$C$12:$C$51, "Unknown")</f>
        <v>Peripherals</v>
      </c>
      <c r="S1054" t="str">
        <f>IF(ISBLANK(I1054), B1054+VLOOKUP(C1054, Lookups!$A$2:$D$10, 4, FALSE()), I1054)</f>
        <v>2026-05-20</v>
      </c>
      <c r="T1054">
        <f t="shared" si="99"/>
        <v>7</v>
      </c>
      <c r="U1054" t="str">
        <f t="shared" si="100"/>
        <v>On-Time</v>
      </c>
      <c r="V1054">
        <f t="shared" si="101"/>
        <v>0</v>
      </c>
    </row>
    <row r="1055" spans="1:22" x14ac:dyDescent="0.45">
      <c r="A1055" t="s">
        <v>1885</v>
      </c>
      <c r="B1055" t="s">
        <v>164</v>
      </c>
      <c r="C1055" t="s">
        <v>30</v>
      </c>
      <c r="D1055" t="s">
        <v>59</v>
      </c>
      <c r="E1055" t="s">
        <v>18</v>
      </c>
      <c r="F1055">
        <v>250</v>
      </c>
      <c r="G1055">
        <v>48905</v>
      </c>
      <c r="H1055">
        <v>12226250</v>
      </c>
      <c r="I1055" t="s">
        <v>165</v>
      </c>
      <c r="J1055" t="s">
        <v>165</v>
      </c>
      <c r="K1055">
        <v>250</v>
      </c>
      <c r="L1055">
        <v>0</v>
      </c>
      <c r="M1055" t="s">
        <v>115</v>
      </c>
      <c r="N1055" t="str">
        <f t="shared" si="96"/>
        <v>PO-101054</v>
      </c>
      <c r="O1055" t="str">
        <f t="shared" si="97"/>
        <v>Delivered</v>
      </c>
      <c r="P1055" t="str">
        <f t="shared" si="98"/>
        <v>WH-PUN</v>
      </c>
      <c r="Q1055" t="str">
        <f>VLOOKUP(C1055, Lookups!$A$2:$D$10, 2, FALSE())</f>
        <v>TechSupply Corp</v>
      </c>
      <c r="R1055" t="str">
        <f>_xlfn.XLOOKUP(D1055, Lookups!$A$12:$A$51, Lookups!$C$12:$C$51, "Unknown")</f>
        <v>Electronics</v>
      </c>
      <c r="S1055" t="str">
        <f>IF(ISBLANK(I1055), B1055+VLOOKUP(C1055, Lookups!$A$2:$D$10, 4, FALSE()), I1055)</f>
        <v>2026-02-19</v>
      </c>
      <c r="T1055">
        <f t="shared" si="99"/>
        <v>14</v>
      </c>
      <c r="U1055" t="str">
        <f t="shared" si="100"/>
        <v>On-Time</v>
      </c>
      <c r="V1055">
        <f t="shared" si="101"/>
        <v>0</v>
      </c>
    </row>
    <row r="1056" spans="1:22" x14ac:dyDescent="0.45">
      <c r="A1056" t="s">
        <v>1886</v>
      </c>
      <c r="B1056" t="s">
        <v>1026</v>
      </c>
      <c r="C1056" t="s">
        <v>34</v>
      </c>
      <c r="D1056" t="s">
        <v>74</v>
      </c>
      <c r="E1056" t="s">
        <v>15</v>
      </c>
      <c r="F1056">
        <v>145</v>
      </c>
      <c r="G1056">
        <v>94797</v>
      </c>
      <c r="H1056">
        <v>13745565</v>
      </c>
      <c r="I1056" t="s">
        <v>419</v>
      </c>
      <c r="J1056" t="s">
        <v>420</v>
      </c>
      <c r="K1056">
        <v>145</v>
      </c>
      <c r="L1056">
        <v>0</v>
      </c>
      <c r="M1056" t="s">
        <v>115</v>
      </c>
      <c r="N1056" t="str">
        <f t="shared" si="96"/>
        <v>PO-101055</v>
      </c>
      <c r="O1056" t="str">
        <f t="shared" si="97"/>
        <v>Delivered</v>
      </c>
      <c r="P1056" t="str">
        <f t="shared" si="98"/>
        <v>WH-BOM</v>
      </c>
      <c r="Q1056" t="str">
        <f>VLOOKUP(C1056, Lookups!$A$2:$D$10, 2, FALSE())</f>
        <v>FastElectronics</v>
      </c>
      <c r="R1056" t="str">
        <f>_xlfn.XLOOKUP(D1056, Lookups!$A$12:$A$51, Lookups!$C$12:$C$51, "Unknown")</f>
        <v>Electronics</v>
      </c>
      <c r="S1056" t="str">
        <f>IF(ISBLANK(I1056), B1056+VLOOKUP(C1056, Lookups!$A$2:$D$10, 4, FALSE()), I1056)</f>
        <v>2026-07-21</v>
      </c>
      <c r="T1056">
        <f t="shared" si="99"/>
        <v>19</v>
      </c>
      <c r="U1056" t="str">
        <f t="shared" si="100"/>
        <v>Late</v>
      </c>
      <c r="V1056">
        <f t="shared" si="101"/>
        <v>0</v>
      </c>
    </row>
    <row r="1057" spans="1:22" x14ac:dyDescent="0.45">
      <c r="A1057" t="s">
        <v>1887</v>
      </c>
      <c r="B1057" t="s">
        <v>379</v>
      </c>
      <c r="C1057" t="s">
        <v>34</v>
      </c>
      <c r="D1057" t="s">
        <v>74</v>
      </c>
      <c r="E1057" t="s">
        <v>15</v>
      </c>
      <c r="F1057">
        <v>179</v>
      </c>
      <c r="G1057">
        <v>94797</v>
      </c>
      <c r="H1057">
        <v>16968663</v>
      </c>
      <c r="I1057" t="s">
        <v>380</v>
      </c>
      <c r="J1057" t="s">
        <v>189</v>
      </c>
      <c r="K1057">
        <v>179</v>
      </c>
      <c r="L1057">
        <v>0</v>
      </c>
      <c r="M1057" t="s">
        <v>115</v>
      </c>
      <c r="N1057" t="str">
        <f t="shared" si="96"/>
        <v>PO-101056</v>
      </c>
      <c r="O1057" t="str">
        <f t="shared" si="97"/>
        <v>Delivered</v>
      </c>
      <c r="P1057" t="str">
        <f t="shared" si="98"/>
        <v>WH-BOM</v>
      </c>
      <c r="Q1057" t="str">
        <f>VLOOKUP(C1057, Lookups!$A$2:$D$10, 2, FALSE())</f>
        <v>FastElectronics</v>
      </c>
      <c r="R1057" t="str">
        <f>_xlfn.XLOOKUP(D1057, Lookups!$A$12:$A$51, Lookups!$C$12:$C$51, "Unknown")</f>
        <v>Electronics</v>
      </c>
      <c r="S1057" t="str">
        <f>IF(ISBLANK(I1057), B1057+VLOOKUP(C1057, Lookups!$A$2:$D$10, 4, FALSE()), I1057)</f>
        <v>2025-03-06</v>
      </c>
      <c r="T1057">
        <f t="shared" si="99"/>
        <v>19</v>
      </c>
      <c r="U1057" t="str">
        <f t="shared" si="100"/>
        <v>Late</v>
      </c>
      <c r="V1057">
        <f t="shared" si="101"/>
        <v>0</v>
      </c>
    </row>
    <row r="1058" spans="1:22" x14ac:dyDescent="0.45">
      <c r="A1058" t="s">
        <v>1888</v>
      </c>
      <c r="B1058" t="s">
        <v>113</v>
      </c>
      <c r="C1058" t="s">
        <v>36</v>
      </c>
      <c r="D1058" t="s">
        <v>62</v>
      </c>
      <c r="E1058" t="s">
        <v>18</v>
      </c>
      <c r="F1058">
        <v>132</v>
      </c>
      <c r="G1058">
        <v>48478</v>
      </c>
      <c r="H1058">
        <v>6399096</v>
      </c>
      <c r="I1058" t="s">
        <v>175</v>
      </c>
      <c r="J1058" t="s">
        <v>1562</v>
      </c>
      <c r="K1058">
        <v>85</v>
      </c>
      <c r="L1058">
        <v>0</v>
      </c>
      <c r="M1058" t="s">
        <v>115</v>
      </c>
      <c r="N1058" t="str">
        <f t="shared" si="96"/>
        <v>PO-101057</v>
      </c>
      <c r="O1058" t="str">
        <f t="shared" si="97"/>
        <v>Delivered</v>
      </c>
      <c r="P1058" t="str">
        <f t="shared" si="98"/>
        <v>WH-PUN</v>
      </c>
      <c r="Q1058" t="str">
        <f>VLOOKUP(C1058, Lookups!$A$2:$D$10, 2, FALSE())</f>
        <v>NextGen Hardware</v>
      </c>
      <c r="R1058" t="str">
        <f>_xlfn.XLOOKUP(D1058, Lookups!$A$12:$A$51, Lookups!$C$12:$C$51, "Unknown")</f>
        <v>Electronics</v>
      </c>
      <c r="S1058" t="str">
        <f>IF(ISBLANK(I1058), B1058+VLOOKUP(C1058, Lookups!$A$2:$D$10, 4, FALSE()), I1058)</f>
        <v>2026-07-28</v>
      </c>
      <c r="T1058">
        <f t="shared" si="99"/>
        <v>26</v>
      </c>
      <c r="U1058" t="str">
        <f t="shared" si="100"/>
        <v>Late</v>
      </c>
      <c r="V1058">
        <f t="shared" si="101"/>
        <v>0</v>
      </c>
    </row>
    <row r="1059" spans="1:22" x14ac:dyDescent="0.45">
      <c r="A1059" t="s">
        <v>1889</v>
      </c>
      <c r="B1059" t="s">
        <v>473</v>
      </c>
      <c r="C1059" t="s">
        <v>30</v>
      </c>
      <c r="D1059" t="s">
        <v>52</v>
      </c>
      <c r="E1059" t="s">
        <v>15</v>
      </c>
      <c r="F1059">
        <v>182</v>
      </c>
      <c r="G1059">
        <v>59592</v>
      </c>
      <c r="H1059">
        <v>10845744</v>
      </c>
      <c r="I1059" t="s">
        <v>474</v>
      </c>
      <c r="J1059" t="s">
        <v>457</v>
      </c>
      <c r="K1059">
        <v>182</v>
      </c>
      <c r="L1059">
        <v>0</v>
      </c>
      <c r="M1059" t="s">
        <v>115</v>
      </c>
      <c r="N1059" t="str">
        <f t="shared" si="96"/>
        <v>PO-101058</v>
      </c>
      <c r="O1059" t="str">
        <f t="shared" si="97"/>
        <v>Delivered</v>
      </c>
      <c r="P1059" t="str">
        <f t="shared" si="98"/>
        <v>WH-BOM</v>
      </c>
      <c r="Q1059" t="str">
        <f>VLOOKUP(C1059, Lookups!$A$2:$D$10, 2, FALSE())</f>
        <v>TechSupply Corp</v>
      </c>
      <c r="R1059" t="str">
        <f>_xlfn.XLOOKUP(D1059, Lookups!$A$12:$A$51, Lookups!$C$12:$C$51, "Unknown")</f>
        <v>Electronics</v>
      </c>
      <c r="S1059" t="str">
        <f>IF(ISBLANK(I1059), B1059+VLOOKUP(C1059, Lookups!$A$2:$D$10, 4, FALSE()), I1059)</f>
        <v>2025-06-24</v>
      </c>
      <c r="T1059">
        <f t="shared" si="99"/>
        <v>15</v>
      </c>
      <c r="U1059" t="str">
        <f t="shared" si="100"/>
        <v>Late</v>
      </c>
      <c r="V1059">
        <f t="shared" si="101"/>
        <v>0</v>
      </c>
    </row>
    <row r="1060" spans="1:22" x14ac:dyDescent="0.45">
      <c r="A1060" t="s">
        <v>1890</v>
      </c>
      <c r="B1060" t="s">
        <v>367</v>
      </c>
      <c r="C1060" t="s">
        <v>35</v>
      </c>
      <c r="D1060" t="s">
        <v>65</v>
      </c>
      <c r="E1060" t="s">
        <v>17</v>
      </c>
      <c r="F1060">
        <v>117</v>
      </c>
      <c r="G1060">
        <v>4936</v>
      </c>
      <c r="H1060">
        <v>577512</v>
      </c>
      <c r="I1060" t="s">
        <v>1058</v>
      </c>
      <c r="J1060" t="s">
        <v>1002</v>
      </c>
      <c r="K1060">
        <v>117</v>
      </c>
      <c r="L1060">
        <v>0</v>
      </c>
      <c r="M1060" t="s">
        <v>115</v>
      </c>
      <c r="N1060" t="str">
        <f t="shared" si="96"/>
        <v>PO-101059</v>
      </c>
      <c r="O1060" t="str">
        <f t="shared" si="97"/>
        <v>Delivered</v>
      </c>
      <c r="P1060" t="str">
        <f t="shared" si="98"/>
        <v>WH-BLR</v>
      </c>
      <c r="Q1060" t="str">
        <f>VLOOKUP(C1060, Lookups!$A$2:$D$10, 2, FALSE())</f>
        <v>Peripheral Source</v>
      </c>
      <c r="R1060" t="str">
        <f>_xlfn.XLOOKUP(D1060, Lookups!$A$12:$A$51, Lookups!$C$12:$C$51, "Unknown")</f>
        <v>Peripherals</v>
      </c>
      <c r="S1060" t="str">
        <f>IF(ISBLANK(I1060), B1060+VLOOKUP(C1060, Lookups!$A$2:$D$10, 4, FALSE()), I1060)</f>
        <v>2026-04-25</v>
      </c>
      <c r="T1060">
        <f t="shared" si="99"/>
        <v>11</v>
      </c>
      <c r="U1060" t="str">
        <f t="shared" si="100"/>
        <v>Late</v>
      </c>
      <c r="V1060">
        <f t="shared" si="101"/>
        <v>0</v>
      </c>
    </row>
    <row r="1061" spans="1:22" x14ac:dyDescent="0.45">
      <c r="A1061" t="s">
        <v>1891</v>
      </c>
      <c r="B1061" t="s">
        <v>1051</v>
      </c>
      <c r="C1061" t="s">
        <v>30</v>
      </c>
      <c r="D1061" t="s">
        <v>86</v>
      </c>
      <c r="E1061" t="s">
        <v>16</v>
      </c>
      <c r="F1061">
        <v>22</v>
      </c>
      <c r="G1061">
        <v>74871</v>
      </c>
      <c r="H1061">
        <v>1647162</v>
      </c>
      <c r="I1061" t="s">
        <v>438</v>
      </c>
      <c r="J1061" t="s">
        <v>265</v>
      </c>
      <c r="K1061">
        <v>22</v>
      </c>
      <c r="L1061">
        <v>0</v>
      </c>
      <c r="M1061" t="s">
        <v>115</v>
      </c>
      <c r="N1061" t="str">
        <f t="shared" si="96"/>
        <v>PO-101060</v>
      </c>
      <c r="O1061" t="str">
        <f t="shared" si="97"/>
        <v>Delivered</v>
      </c>
      <c r="P1061" t="str">
        <f t="shared" si="98"/>
        <v>WH-DEL</v>
      </c>
      <c r="Q1061" t="str">
        <f>VLOOKUP(C1061, Lookups!$A$2:$D$10, 2, FALSE())</f>
        <v>TechSupply Corp</v>
      </c>
      <c r="R1061" t="str">
        <f>_xlfn.XLOOKUP(D1061, Lookups!$A$12:$A$51, Lookups!$C$12:$C$51, "Unknown")</f>
        <v>Electronics</v>
      </c>
      <c r="S1061" t="str">
        <f>IF(ISBLANK(I1061), B1061+VLOOKUP(C1061, Lookups!$A$2:$D$10, 4, FALSE()), I1061)</f>
        <v>2025-02-13</v>
      </c>
      <c r="T1061">
        <f t="shared" si="99"/>
        <v>15</v>
      </c>
      <c r="U1061" t="str">
        <f t="shared" si="100"/>
        <v>Late</v>
      </c>
      <c r="V1061">
        <f t="shared" si="101"/>
        <v>0</v>
      </c>
    </row>
    <row r="1062" spans="1:22" x14ac:dyDescent="0.45">
      <c r="A1062" t="s">
        <v>1892</v>
      </c>
      <c r="B1062" t="s">
        <v>350</v>
      </c>
      <c r="C1062" t="s">
        <v>33</v>
      </c>
      <c r="D1062" t="s">
        <v>89</v>
      </c>
      <c r="E1062" t="s">
        <v>17</v>
      </c>
      <c r="F1062">
        <v>36</v>
      </c>
      <c r="G1062">
        <v>11309</v>
      </c>
      <c r="H1062">
        <v>407124</v>
      </c>
      <c r="I1062" t="s">
        <v>662</v>
      </c>
      <c r="J1062" t="s">
        <v>663</v>
      </c>
      <c r="K1062">
        <v>36</v>
      </c>
      <c r="L1062">
        <v>0</v>
      </c>
      <c r="M1062" t="s">
        <v>115</v>
      </c>
      <c r="N1062" t="str">
        <f t="shared" si="96"/>
        <v>PO-101061</v>
      </c>
      <c r="O1062" t="str">
        <f t="shared" si="97"/>
        <v>Delivered</v>
      </c>
      <c r="P1062" t="str">
        <f t="shared" si="98"/>
        <v>WH-BLR</v>
      </c>
      <c r="Q1062" t="str">
        <f>VLOOKUP(C1062, Lookups!$A$2:$D$10, 2, FALSE())</f>
        <v>MegaFurnish</v>
      </c>
      <c r="R1062" t="str">
        <f>_xlfn.XLOOKUP(D1062, Lookups!$A$12:$A$51, Lookups!$C$12:$C$51, "Unknown")</f>
        <v>Office Furniture</v>
      </c>
      <c r="S1062" t="str">
        <f>IF(ISBLANK(I1062), B1062+VLOOKUP(C1062, Lookups!$A$2:$D$10, 4, FALSE()), I1062)</f>
        <v>2026-10-05</v>
      </c>
      <c r="T1062">
        <f t="shared" si="99"/>
        <v>31</v>
      </c>
      <c r="U1062" t="str">
        <f t="shared" si="100"/>
        <v>Late</v>
      </c>
      <c r="V1062">
        <f t="shared" si="101"/>
        <v>0</v>
      </c>
    </row>
    <row r="1063" spans="1:22" x14ac:dyDescent="0.45">
      <c r="A1063" t="s">
        <v>1893</v>
      </c>
      <c r="B1063" t="s">
        <v>739</v>
      </c>
      <c r="C1063" t="s">
        <v>37</v>
      </c>
      <c r="D1063" t="s">
        <v>78</v>
      </c>
      <c r="E1063" t="s">
        <v>18</v>
      </c>
      <c r="F1063">
        <v>238</v>
      </c>
      <c r="G1063">
        <v>9423</v>
      </c>
      <c r="H1063">
        <v>2242674</v>
      </c>
      <c r="I1063" t="s">
        <v>434</v>
      </c>
      <c r="J1063" t="s">
        <v>649</v>
      </c>
      <c r="K1063">
        <v>238</v>
      </c>
      <c r="L1063">
        <v>0</v>
      </c>
      <c r="M1063" t="s">
        <v>178</v>
      </c>
      <c r="N1063" t="str">
        <f t="shared" si="96"/>
        <v>PO-101062</v>
      </c>
      <c r="O1063" t="str">
        <f t="shared" si="97"/>
        <v>Delivered</v>
      </c>
      <c r="P1063" t="str">
        <f t="shared" si="98"/>
        <v>WH-PUN</v>
      </c>
      <c r="Q1063" t="str">
        <f>VLOOKUP(C1063, Lookups!$A$2:$D$10, 2, FALSE())</f>
        <v>Premium Desks Ltd</v>
      </c>
      <c r="R1063" t="str">
        <f>_xlfn.XLOOKUP(D1063, Lookups!$A$12:$A$51, Lookups!$C$12:$C$51, "Unknown")</f>
        <v>Office Furniture</v>
      </c>
      <c r="S1063" t="str">
        <f>IF(ISBLANK(I1063), B1063+VLOOKUP(C1063, Lookups!$A$2:$D$10, 4, FALSE()), I1063)</f>
        <v>2025-08-10</v>
      </c>
      <c r="T1063">
        <f t="shared" si="99"/>
        <v>20</v>
      </c>
      <c r="U1063" t="str">
        <f t="shared" si="100"/>
        <v>Late</v>
      </c>
      <c r="V1063">
        <f t="shared" si="101"/>
        <v>0</v>
      </c>
    </row>
    <row r="1064" spans="1:22" x14ac:dyDescent="0.45">
      <c r="A1064" t="s">
        <v>1894</v>
      </c>
      <c r="B1064" t="s">
        <v>361</v>
      </c>
      <c r="C1064" t="s">
        <v>34</v>
      </c>
      <c r="D1064" t="s">
        <v>76</v>
      </c>
      <c r="E1064" t="s">
        <v>18</v>
      </c>
      <c r="F1064">
        <v>125</v>
      </c>
      <c r="G1064">
        <v>26270</v>
      </c>
      <c r="H1064">
        <v>3283750</v>
      </c>
      <c r="I1064" t="s">
        <v>204</v>
      </c>
      <c r="J1064" t="s">
        <v>686</v>
      </c>
      <c r="K1064">
        <v>125</v>
      </c>
      <c r="L1064">
        <v>0</v>
      </c>
      <c r="M1064" t="s">
        <v>115</v>
      </c>
      <c r="N1064" t="str">
        <f t="shared" si="96"/>
        <v>PO-101063</v>
      </c>
      <c r="O1064" t="str">
        <f t="shared" si="97"/>
        <v>Delivered</v>
      </c>
      <c r="P1064" t="str">
        <f t="shared" si="98"/>
        <v>WH-PUN</v>
      </c>
      <c r="Q1064" t="str">
        <f>VLOOKUP(C1064, Lookups!$A$2:$D$10, 2, FALSE())</f>
        <v>FastElectronics</v>
      </c>
      <c r="R1064" t="str">
        <f>_xlfn.XLOOKUP(D1064, Lookups!$A$12:$A$51, Lookups!$C$12:$C$51, "Unknown")</f>
        <v>Networking</v>
      </c>
      <c r="S1064" t="str">
        <f>IF(ISBLANK(I1064), B1064+VLOOKUP(C1064, Lookups!$A$2:$D$10, 4, FALSE()), I1064)</f>
        <v>2026-04-09</v>
      </c>
      <c r="T1064">
        <f t="shared" si="99"/>
        <v>19</v>
      </c>
      <c r="U1064" t="str">
        <f t="shared" si="100"/>
        <v>Late</v>
      </c>
      <c r="V1064">
        <f t="shared" si="101"/>
        <v>0</v>
      </c>
    </row>
    <row r="1065" spans="1:22" x14ac:dyDescent="0.45">
      <c r="A1065" t="s">
        <v>1895</v>
      </c>
      <c r="B1065" t="s">
        <v>477</v>
      </c>
      <c r="C1065" t="s">
        <v>37</v>
      </c>
      <c r="D1065" t="s">
        <v>79</v>
      </c>
      <c r="E1065" t="s">
        <v>17</v>
      </c>
      <c r="F1065">
        <v>100</v>
      </c>
      <c r="G1065">
        <v>23054</v>
      </c>
      <c r="H1065">
        <v>2305400</v>
      </c>
      <c r="I1065" t="s">
        <v>911</v>
      </c>
      <c r="J1065" t="s">
        <v>1165</v>
      </c>
      <c r="K1065">
        <v>100</v>
      </c>
      <c r="L1065">
        <v>0</v>
      </c>
      <c r="M1065" t="s">
        <v>115</v>
      </c>
      <c r="N1065" t="str">
        <f t="shared" si="96"/>
        <v>PO-101064</v>
      </c>
      <c r="O1065" t="str">
        <f t="shared" si="97"/>
        <v>Delivered</v>
      </c>
      <c r="P1065" t="str">
        <f t="shared" si="98"/>
        <v>WH-BLR</v>
      </c>
      <c r="Q1065" t="str">
        <f>VLOOKUP(C1065, Lookups!$A$2:$D$10, 2, FALSE())</f>
        <v>Premium Desks Ltd</v>
      </c>
      <c r="R1065" t="str">
        <f>_xlfn.XLOOKUP(D1065, Lookups!$A$12:$A$51, Lookups!$C$12:$C$51, "Unknown")</f>
        <v>Office Furniture</v>
      </c>
      <c r="S1065" t="str">
        <f>IF(ISBLANK(I1065), B1065+VLOOKUP(C1065, Lookups!$A$2:$D$10, 4, FALSE()), I1065)</f>
        <v>2025-04-09</v>
      </c>
      <c r="T1065">
        <f t="shared" si="99"/>
        <v>13</v>
      </c>
      <c r="U1065" t="str">
        <f t="shared" si="100"/>
        <v>Late</v>
      </c>
      <c r="V1065">
        <f t="shared" si="101"/>
        <v>0</v>
      </c>
    </row>
    <row r="1066" spans="1:22" x14ac:dyDescent="0.45">
      <c r="A1066" t="s">
        <v>1896</v>
      </c>
      <c r="B1066" t="s">
        <v>128</v>
      </c>
      <c r="C1066" t="s">
        <v>35</v>
      </c>
      <c r="D1066" t="s">
        <v>65</v>
      </c>
      <c r="E1066" t="s">
        <v>17</v>
      </c>
      <c r="F1066">
        <v>73</v>
      </c>
      <c r="G1066">
        <v>4936</v>
      </c>
      <c r="H1066">
        <v>360328</v>
      </c>
      <c r="I1066" t="s">
        <v>705</v>
      </c>
      <c r="J1066" t="s">
        <v>705</v>
      </c>
      <c r="K1066">
        <v>73</v>
      </c>
      <c r="L1066">
        <v>0</v>
      </c>
      <c r="M1066" t="s">
        <v>115</v>
      </c>
      <c r="N1066" t="str">
        <f t="shared" si="96"/>
        <v>PO-101065</v>
      </c>
      <c r="O1066" t="str">
        <f t="shared" si="97"/>
        <v>Delivered</v>
      </c>
      <c r="P1066" t="str">
        <f t="shared" si="98"/>
        <v>WH-BLR</v>
      </c>
      <c r="Q1066" t="str">
        <f>VLOOKUP(C1066, Lookups!$A$2:$D$10, 2, FALSE())</f>
        <v>Peripheral Source</v>
      </c>
      <c r="R1066" t="str">
        <f>_xlfn.XLOOKUP(D1066, Lookups!$A$12:$A$51, Lookups!$C$12:$C$51, "Unknown")</f>
        <v>Peripherals</v>
      </c>
      <c r="S1066" t="str">
        <f>IF(ISBLANK(I1066), B1066+VLOOKUP(C1066, Lookups!$A$2:$D$10, 4, FALSE()), I1066)</f>
        <v>2026-02-26</v>
      </c>
      <c r="T1066">
        <f t="shared" si="99"/>
        <v>10</v>
      </c>
      <c r="U1066" t="str">
        <f t="shared" si="100"/>
        <v>On-Time</v>
      </c>
      <c r="V1066">
        <f t="shared" si="101"/>
        <v>0</v>
      </c>
    </row>
    <row r="1067" spans="1:22" x14ac:dyDescent="0.45">
      <c r="A1067" t="s">
        <v>1897</v>
      </c>
      <c r="B1067" t="s">
        <v>1822</v>
      </c>
      <c r="C1067" t="s">
        <v>34</v>
      </c>
      <c r="D1067" t="s">
        <v>80</v>
      </c>
      <c r="E1067" t="s">
        <v>16</v>
      </c>
      <c r="F1067">
        <v>160</v>
      </c>
      <c r="G1067">
        <v>19090</v>
      </c>
      <c r="H1067">
        <v>3054400</v>
      </c>
      <c r="I1067" t="s">
        <v>1101</v>
      </c>
      <c r="J1067" t="s">
        <v>1101</v>
      </c>
      <c r="K1067">
        <v>160</v>
      </c>
      <c r="L1067">
        <v>0</v>
      </c>
      <c r="M1067" t="s">
        <v>115</v>
      </c>
      <c r="N1067" t="str">
        <f t="shared" si="96"/>
        <v>PO-101066</v>
      </c>
      <c r="O1067" t="str">
        <f t="shared" si="97"/>
        <v>Delivered</v>
      </c>
      <c r="P1067" t="str">
        <f t="shared" si="98"/>
        <v>WH-DEL</v>
      </c>
      <c r="Q1067" t="str">
        <f>VLOOKUP(C1067, Lookups!$A$2:$D$10, 2, FALSE())</f>
        <v>FastElectronics</v>
      </c>
      <c r="R1067" t="str">
        <f>_xlfn.XLOOKUP(D1067, Lookups!$A$12:$A$51, Lookups!$C$12:$C$51, "Unknown")</f>
        <v>Networking</v>
      </c>
      <c r="S1067" t="str">
        <f>IF(ISBLANK(I1067), B1067+VLOOKUP(C1067, Lookups!$A$2:$D$10, 4, FALSE()), I1067)</f>
        <v>2026-11-21</v>
      </c>
      <c r="T1067">
        <f t="shared" si="99"/>
        <v>18</v>
      </c>
      <c r="U1067" t="str">
        <f t="shared" si="100"/>
        <v>On-Time</v>
      </c>
      <c r="V1067">
        <f t="shared" si="101"/>
        <v>0</v>
      </c>
    </row>
    <row r="1068" spans="1:22" x14ac:dyDescent="0.45">
      <c r="A1068" t="s">
        <v>1898</v>
      </c>
      <c r="B1068" t="s">
        <v>510</v>
      </c>
      <c r="C1068" t="s">
        <v>34</v>
      </c>
      <c r="D1068" t="s">
        <v>74</v>
      </c>
      <c r="E1068" t="s">
        <v>18</v>
      </c>
      <c r="F1068">
        <v>94</v>
      </c>
      <c r="G1068">
        <v>94797</v>
      </c>
      <c r="H1068">
        <v>8910918</v>
      </c>
      <c r="I1068" t="s">
        <v>514</v>
      </c>
      <c r="J1068" t="s">
        <v>514</v>
      </c>
      <c r="K1068">
        <v>94</v>
      </c>
      <c r="L1068">
        <v>0</v>
      </c>
      <c r="M1068" t="s">
        <v>115</v>
      </c>
      <c r="N1068" t="str">
        <f t="shared" si="96"/>
        <v>PO-101067</v>
      </c>
      <c r="O1068" t="str">
        <f t="shared" si="97"/>
        <v>Delivered</v>
      </c>
      <c r="P1068" t="str">
        <f t="shared" si="98"/>
        <v>WH-PUN</v>
      </c>
      <c r="Q1068" t="str">
        <f>VLOOKUP(C1068, Lookups!$A$2:$D$10, 2, FALSE())</f>
        <v>FastElectronics</v>
      </c>
      <c r="R1068" t="str">
        <f>_xlfn.XLOOKUP(D1068, Lookups!$A$12:$A$51, Lookups!$C$12:$C$51, "Unknown")</f>
        <v>Electronics</v>
      </c>
      <c r="S1068" t="str">
        <f>IF(ISBLANK(I1068), B1068+VLOOKUP(C1068, Lookups!$A$2:$D$10, 4, FALSE()), I1068)</f>
        <v>2026-07-14</v>
      </c>
      <c r="T1068">
        <f t="shared" si="99"/>
        <v>18</v>
      </c>
      <c r="U1068" t="str">
        <f t="shared" si="100"/>
        <v>On-Time</v>
      </c>
      <c r="V1068">
        <f t="shared" si="101"/>
        <v>0</v>
      </c>
    </row>
    <row r="1069" spans="1:22" x14ac:dyDescent="0.45">
      <c r="A1069" t="s">
        <v>1899</v>
      </c>
      <c r="B1069" t="s">
        <v>723</v>
      </c>
      <c r="C1069" t="s">
        <v>30</v>
      </c>
      <c r="D1069" t="s">
        <v>82</v>
      </c>
      <c r="E1069" t="s">
        <v>16</v>
      </c>
      <c r="F1069">
        <v>14</v>
      </c>
      <c r="G1069">
        <v>83427</v>
      </c>
      <c r="H1069">
        <v>1167978</v>
      </c>
      <c r="I1069" t="s">
        <v>1459</v>
      </c>
      <c r="J1069" t="s">
        <v>1459</v>
      </c>
      <c r="K1069">
        <v>14</v>
      </c>
      <c r="L1069">
        <v>0</v>
      </c>
      <c r="M1069" t="s">
        <v>115</v>
      </c>
      <c r="N1069" t="str">
        <f t="shared" si="96"/>
        <v>PO-101068</v>
      </c>
      <c r="O1069" t="str">
        <f t="shared" si="97"/>
        <v>Delivered</v>
      </c>
      <c r="P1069" t="str">
        <f t="shared" si="98"/>
        <v>WH-DEL</v>
      </c>
      <c r="Q1069" t="str">
        <f>VLOOKUP(C1069, Lookups!$A$2:$D$10, 2, FALSE())</f>
        <v>TechSupply Corp</v>
      </c>
      <c r="R1069" t="str">
        <f>_xlfn.XLOOKUP(D1069, Lookups!$A$12:$A$51, Lookups!$C$12:$C$51, "Unknown")</f>
        <v>Electronics</v>
      </c>
      <c r="S1069" t="str">
        <f>IF(ISBLANK(I1069), B1069+VLOOKUP(C1069, Lookups!$A$2:$D$10, 4, FALSE()), I1069)</f>
        <v>2026-05-18</v>
      </c>
      <c r="T1069">
        <f t="shared" si="99"/>
        <v>14</v>
      </c>
      <c r="U1069" t="str">
        <f t="shared" si="100"/>
        <v>On-Time</v>
      </c>
      <c r="V1069">
        <f t="shared" si="101"/>
        <v>0</v>
      </c>
    </row>
    <row r="1070" spans="1:22" x14ac:dyDescent="0.45">
      <c r="A1070" t="s">
        <v>1900</v>
      </c>
      <c r="B1070" t="s">
        <v>535</v>
      </c>
      <c r="C1070" t="s">
        <v>34</v>
      </c>
      <c r="D1070" t="s">
        <v>58</v>
      </c>
      <c r="E1070" t="s">
        <v>16</v>
      </c>
      <c r="F1070">
        <v>224</v>
      </c>
      <c r="G1070">
        <v>100302</v>
      </c>
      <c r="H1070">
        <v>22467648</v>
      </c>
      <c r="I1070" t="s">
        <v>958</v>
      </c>
      <c r="J1070" t="s">
        <v>412</v>
      </c>
      <c r="K1070">
        <v>224</v>
      </c>
      <c r="L1070">
        <v>0</v>
      </c>
      <c r="M1070" t="s">
        <v>115</v>
      </c>
      <c r="N1070" t="str">
        <f t="shared" si="96"/>
        <v>PO-101069</v>
      </c>
      <c r="O1070" t="str">
        <f t="shared" si="97"/>
        <v>Delivered</v>
      </c>
      <c r="P1070" t="str">
        <f t="shared" si="98"/>
        <v>WH-DEL</v>
      </c>
      <c r="Q1070" t="str">
        <f>VLOOKUP(C1070, Lookups!$A$2:$D$10, 2, FALSE())</f>
        <v>FastElectronics</v>
      </c>
      <c r="R1070" t="str">
        <f>_xlfn.XLOOKUP(D1070, Lookups!$A$12:$A$51, Lookups!$C$12:$C$51, "Unknown")</f>
        <v>Electronics</v>
      </c>
      <c r="S1070" t="str">
        <f>IF(ISBLANK(I1070), B1070+VLOOKUP(C1070, Lookups!$A$2:$D$10, 4, FALSE()), I1070)</f>
        <v>2026-05-26</v>
      </c>
      <c r="T1070">
        <f t="shared" si="99"/>
        <v>19</v>
      </c>
      <c r="U1070" t="str">
        <f t="shared" si="100"/>
        <v>Late</v>
      </c>
      <c r="V1070">
        <f t="shared" si="101"/>
        <v>0</v>
      </c>
    </row>
    <row r="1071" spans="1:22" x14ac:dyDescent="0.45">
      <c r="A1071" t="s">
        <v>1901</v>
      </c>
      <c r="B1071" t="s">
        <v>169</v>
      </c>
      <c r="C1071" t="s">
        <v>30</v>
      </c>
      <c r="D1071" t="s">
        <v>52</v>
      </c>
      <c r="E1071" t="s">
        <v>15</v>
      </c>
      <c r="F1071">
        <v>46</v>
      </c>
      <c r="G1071">
        <v>59592</v>
      </c>
      <c r="H1071">
        <v>2741232</v>
      </c>
      <c r="I1071" t="s">
        <v>211</v>
      </c>
      <c r="J1071" t="s">
        <v>211</v>
      </c>
      <c r="K1071">
        <v>46</v>
      </c>
      <c r="L1071">
        <v>0</v>
      </c>
      <c r="M1071" t="s">
        <v>115</v>
      </c>
      <c r="N1071" t="str">
        <f t="shared" si="96"/>
        <v>PO-101070</v>
      </c>
      <c r="O1071" t="str">
        <f t="shared" si="97"/>
        <v>Delivered</v>
      </c>
      <c r="P1071" t="str">
        <f t="shared" si="98"/>
        <v>WH-BOM</v>
      </c>
      <c r="Q1071" t="str">
        <f>VLOOKUP(C1071, Lookups!$A$2:$D$10, 2, FALSE())</f>
        <v>TechSupply Corp</v>
      </c>
      <c r="R1071" t="str">
        <f>_xlfn.XLOOKUP(D1071, Lookups!$A$12:$A$51, Lookups!$C$12:$C$51, "Unknown")</f>
        <v>Electronics</v>
      </c>
      <c r="S1071" t="str">
        <f>IF(ISBLANK(I1071), B1071+VLOOKUP(C1071, Lookups!$A$2:$D$10, 4, FALSE()), I1071)</f>
        <v>2025-06-21</v>
      </c>
      <c r="T1071">
        <f t="shared" si="99"/>
        <v>14</v>
      </c>
      <c r="U1071" t="str">
        <f t="shared" si="100"/>
        <v>On-Time</v>
      </c>
      <c r="V1071">
        <f t="shared" si="101"/>
        <v>0</v>
      </c>
    </row>
    <row r="1072" spans="1:22" x14ac:dyDescent="0.45">
      <c r="A1072" t="s">
        <v>1902</v>
      </c>
      <c r="B1072" t="s">
        <v>404</v>
      </c>
      <c r="C1072" t="s">
        <v>34</v>
      </c>
      <c r="D1072" t="s">
        <v>73</v>
      </c>
      <c r="E1072" t="s">
        <v>17</v>
      </c>
      <c r="F1072">
        <v>16</v>
      </c>
      <c r="G1072">
        <v>58396</v>
      </c>
      <c r="H1072">
        <v>934336</v>
      </c>
      <c r="I1072" t="s">
        <v>651</v>
      </c>
      <c r="J1072" t="s">
        <v>989</v>
      </c>
      <c r="K1072">
        <v>16</v>
      </c>
      <c r="L1072">
        <v>0</v>
      </c>
      <c r="M1072" t="s">
        <v>115</v>
      </c>
      <c r="N1072" t="str">
        <f t="shared" si="96"/>
        <v>PO-101071</v>
      </c>
      <c r="O1072" t="str">
        <f t="shared" si="97"/>
        <v>Delivered</v>
      </c>
      <c r="P1072" t="str">
        <f t="shared" si="98"/>
        <v>WH-BLR</v>
      </c>
      <c r="Q1072" t="str">
        <f>VLOOKUP(C1072, Lookups!$A$2:$D$10, 2, FALSE())</f>
        <v>FastElectronics</v>
      </c>
      <c r="R1072" t="str">
        <f>_xlfn.XLOOKUP(D1072, Lookups!$A$12:$A$51, Lookups!$C$12:$C$51, "Unknown")</f>
        <v>Electronics</v>
      </c>
      <c r="S1072" t="str">
        <f>IF(ISBLANK(I1072), B1072+VLOOKUP(C1072, Lookups!$A$2:$D$10, 4, FALSE()), I1072)</f>
        <v>2025-11-12</v>
      </c>
      <c r="T1072">
        <f t="shared" si="99"/>
        <v>19</v>
      </c>
      <c r="U1072" t="str">
        <f t="shared" si="100"/>
        <v>Late</v>
      </c>
      <c r="V1072">
        <f t="shared" si="101"/>
        <v>0</v>
      </c>
    </row>
    <row r="1073" spans="1:22" x14ac:dyDescent="0.45">
      <c r="A1073" t="s">
        <v>1903</v>
      </c>
      <c r="B1073" t="s">
        <v>1173</v>
      </c>
      <c r="C1073" t="s">
        <v>34</v>
      </c>
      <c r="D1073" t="s">
        <v>54</v>
      </c>
      <c r="E1073" t="s">
        <v>16</v>
      </c>
      <c r="F1073">
        <v>155</v>
      </c>
      <c r="G1073">
        <v>22314</v>
      </c>
      <c r="H1073">
        <v>3458670</v>
      </c>
      <c r="I1073" t="s">
        <v>882</v>
      </c>
      <c r="J1073" t="s">
        <v>304</v>
      </c>
      <c r="K1073">
        <v>155</v>
      </c>
      <c r="L1073">
        <v>0</v>
      </c>
      <c r="M1073" t="s">
        <v>115</v>
      </c>
      <c r="N1073" t="str">
        <f t="shared" si="96"/>
        <v>PO-101072</v>
      </c>
      <c r="O1073" t="str">
        <f t="shared" si="97"/>
        <v>Delivered</v>
      </c>
      <c r="P1073" t="str">
        <f t="shared" si="98"/>
        <v>WH-DEL</v>
      </c>
      <c r="Q1073" t="str">
        <f>VLOOKUP(C1073, Lookups!$A$2:$D$10, 2, FALSE())</f>
        <v>FastElectronics</v>
      </c>
      <c r="R1073" t="str">
        <f>_xlfn.XLOOKUP(D1073, Lookups!$A$12:$A$51, Lookups!$C$12:$C$51, "Unknown")</f>
        <v>Networking</v>
      </c>
      <c r="S1073" t="str">
        <f>IF(ISBLANK(I1073), B1073+VLOOKUP(C1073, Lookups!$A$2:$D$10, 4, FALSE()), I1073)</f>
        <v>2026-06-22</v>
      </c>
      <c r="T1073">
        <f t="shared" si="99"/>
        <v>19</v>
      </c>
      <c r="U1073" t="str">
        <f t="shared" si="100"/>
        <v>Late</v>
      </c>
      <c r="V1073">
        <f t="shared" si="101"/>
        <v>0</v>
      </c>
    </row>
    <row r="1074" spans="1:22" x14ac:dyDescent="0.45">
      <c r="A1074" t="s">
        <v>1904</v>
      </c>
      <c r="B1074" t="s">
        <v>530</v>
      </c>
      <c r="C1074" t="s">
        <v>30</v>
      </c>
      <c r="D1074" t="s">
        <v>82</v>
      </c>
      <c r="E1074" t="s">
        <v>16</v>
      </c>
      <c r="F1074">
        <v>89</v>
      </c>
      <c r="G1074">
        <v>83427</v>
      </c>
      <c r="H1074">
        <v>7425003</v>
      </c>
      <c r="I1074" t="s">
        <v>288</v>
      </c>
      <c r="J1074" t="s">
        <v>882</v>
      </c>
      <c r="K1074">
        <v>89</v>
      </c>
      <c r="L1074">
        <v>0</v>
      </c>
      <c r="M1074" t="s">
        <v>115</v>
      </c>
      <c r="N1074" t="str">
        <f t="shared" si="96"/>
        <v>PO-101073</v>
      </c>
      <c r="O1074" t="str">
        <f t="shared" si="97"/>
        <v>Delivered</v>
      </c>
      <c r="P1074" t="str">
        <f t="shared" si="98"/>
        <v>WH-DEL</v>
      </c>
      <c r="Q1074" t="str">
        <f>VLOOKUP(C1074, Lookups!$A$2:$D$10, 2, FALSE())</f>
        <v>TechSupply Corp</v>
      </c>
      <c r="R1074" t="str">
        <f>_xlfn.XLOOKUP(D1074, Lookups!$A$12:$A$51, Lookups!$C$12:$C$51, "Unknown")</f>
        <v>Electronics</v>
      </c>
      <c r="S1074" t="str">
        <f>IF(ISBLANK(I1074), B1074+VLOOKUP(C1074, Lookups!$A$2:$D$10, 4, FALSE()), I1074)</f>
        <v>2026-06-21</v>
      </c>
      <c r="T1074">
        <f t="shared" si="99"/>
        <v>15</v>
      </c>
      <c r="U1074" t="str">
        <f t="shared" si="100"/>
        <v>Late</v>
      </c>
      <c r="V1074">
        <f t="shared" si="101"/>
        <v>0</v>
      </c>
    </row>
    <row r="1075" spans="1:22" x14ac:dyDescent="0.45">
      <c r="A1075" t="s">
        <v>1905</v>
      </c>
      <c r="B1075" t="s">
        <v>199</v>
      </c>
      <c r="C1075" t="s">
        <v>32</v>
      </c>
      <c r="D1075" t="s">
        <v>67</v>
      </c>
      <c r="E1075" t="s">
        <v>16</v>
      </c>
      <c r="F1075">
        <v>207</v>
      </c>
      <c r="G1075">
        <v>1553</v>
      </c>
      <c r="H1075">
        <v>321471</v>
      </c>
      <c r="I1075" t="s">
        <v>1046</v>
      </c>
      <c r="J1075" t="s">
        <v>1046</v>
      </c>
      <c r="K1075">
        <v>113</v>
      </c>
      <c r="L1075">
        <v>0</v>
      </c>
      <c r="M1075" t="s">
        <v>115</v>
      </c>
      <c r="N1075" t="str">
        <f t="shared" si="96"/>
        <v>PO-101074</v>
      </c>
      <c r="O1075" t="str">
        <f t="shared" si="97"/>
        <v>Delivered</v>
      </c>
      <c r="P1075" t="str">
        <f t="shared" si="98"/>
        <v>WH-DEL</v>
      </c>
      <c r="Q1075" t="str">
        <f>VLOOKUP(C1075, Lookups!$A$2:$D$10, 2, FALSE())</f>
        <v>OfficeDepot Pro</v>
      </c>
      <c r="R1075" t="str">
        <f>_xlfn.XLOOKUP(D1075, Lookups!$A$12:$A$51, Lookups!$C$12:$C$51, "Unknown")</f>
        <v>Peripherals</v>
      </c>
      <c r="S1075" t="str">
        <f>IF(ISBLANK(I1075), B1075+VLOOKUP(C1075, Lookups!$A$2:$D$10, 4, FALSE()), I1075)</f>
        <v>2025-10-23</v>
      </c>
      <c r="T1075">
        <f t="shared" si="99"/>
        <v>7</v>
      </c>
      <c r="U1075" t="str">
        <f t="shared" si="100"/>
        <v>On-Time</v>
      </c>
      <c r="V1075">
        <f t="shared" si="101"/>
        <v>0</v>
      </c>
    </row>
    <row r="1076" spans="1:22" x14ac:dyDescent="0.45">
      <c r="A1076" t="s">
        <v>1906</v>
      </c>
      <c r="B1076" t="s">
        <v>1596</v>
      </c>
      <c r="C1076" t="s">
        <v>36</v>
      </c>
      <c r="D1076" t="s">
        <v>62</v>
      </c>
      <c r="E1076" t="s">
        <v>17</v>
      </c>
      <c r="F1076">
        <v>168</v>
      </c>
      <c r="G1076">
        <v>48478</v>
      </c>
      <c r="H1076">
        <v>8144304</v>
      </c>
      <c r="I1076" t="s">
        <v>639</v>
      </c>
      <c r="J1076" t="s">
        <v>639</v>
      </c>
      <c r="K1076">
        <v>168</v>
      </c>
      <c r="L1076">
        <v>0</v>
      </c>
      <c r="M1076" t="s">
        <v>115</v>
      </c>
      <c r="N1076" t="str">
        <f t="shared" si="96"/>
        <v>PO-101075</v>
      </c>
      <c r="O1076" t="str">
        <f t="shared" si="97"/>
        <v>Delivered</v>
      </c>
      <c r="P1076" t="str">
        <f t="shared" si="98"/>
        <v>WH-BLR</v>
      </c>
      <c r="Q1076" t="str">
        <f>VLOOKUP(C1076, Lookups!$A$2:$D$10, 2, FALSE())</f>
        <v>NextGen Hardware</v>
      </c>
      <c r="R1076" t="str">
        <f>_xlfn.XLOOKUP(D1076, Lookups!$A$12:$A$51, Lookups!$C$12:$C$51, "Unknown")</f>
        <v>Electronics</v>
      </c>
      <c r="S1076" t="str">
        <f>IF(ISBLANK(I1076), B1076+VLOOKUP(C1076, Lookups!$A$2:$D$10, 4, FALSE()), I1076)</f>
        <v>2025-12-11</v>
      </c>
      <c r="T1076">
        <f t="shared" si="99"/>
        <v>24</v>
      </c>
      <c r="U1076" t="str">
        <f t="shared" si="100"/>
        <v>On-Time</v>
      </c>
      <c r="V1076">
        <f t="shared" si="101"/>
        <v>0</v>
      </c>
    </row>
    <row r="1077" spans="1:22" x14ac:dyDescent="0.45">
      <c r="A1077" t="s">
        <v>1907</v>
      </c>
      <c r="B1077" t="s">
        <v>332</v>
      </c>
      <c r="C1077" t="s">
        <v>34</v>
      </c>
      <c r="D1077" t="s">
        <v>58</v>
      </c>
      <c r="E1077" t="s">
        <v>18</v>
      </c>
      <c r="F1077">
        <v>155</v>
      </c>
      <c r="G1077">
        <v>100302</v>
      </c>
      <c r="H1077">
        <v>15546810</v>
      </c>
      <c r="I1077" t="s">
        <v>155</v>
      </c>
      <c r="J1077" t="s">
        <v>905</v>
      </c>
      <c r="K1077">
        <v>155</v>
      </c>
      <c r="L1077">
        <v>0</v>
      </c>
      <c r="M1077" t="s">
        <v>115</v>
      </c>
      <c r="N1077" t="str">
        <f t="shared" si="96"/>
        <v>PO-101076</v>
      </c>
      <c r="O1077" t="str">
        <f t="shared" si="97"/>
        <v>Delivered</v>
      </c>
      <c r="P1077" t="str">
        <f t="shared" si="98"/>
        <v>WH-PUN</v>
      </c>
      <c r="Q1077" t="str">
        <f>VLOOKUP(C1077, Lookups!$A$2:$D$10, 2, FALSE())</f>
        <v>FastElectronics</v>
      </c>
      <c r="R1077" t="str">
        <f>_xlfn.XLOOKUP(D1077, Lookups!$A$12:$A$51, Lookups!$C$12:$C$51, "Unknown")</f>
        <v>Electronics</v>
      </c>
      <c r="S1077" t="str">
        <f>IF(ISBLANK(I1077), B1077+VLOOKUP(C1077, Lookups!$A$2:$D$10, 4, FALSE()), I1077)</f>
        <v>2025-10-30</v>
      </c>
      <c r="T1077">
        <f t="shared" si="99"/>
        <v>19</v>
      </c>
      <c r="U1077" t="str">
        <f t="shared" si="100"/>
        <v>Late</v>
      </c>
      <c r="V1077">
        <f t="shared" si="101"/>
        <v>0</v>
      </c>
    </row>
    <row r="1078" spans="1:22" x14ac:dyDescent="0.45">
      <c r="A1078" t="s">
        <v>1908</v>
      </c>
      <c r="B1078" t="s">
        <v>721</v>
      </c>
      <c r="C1078" t="s">
        <v>30</v>
      </c>
      <c r="D1078" t="s">
        <v>61</v>
      </c>
      <c r="E1078" t="s">
        <v>18</v>
      </c>
      <c r="F1078">
        <v>187</v>
      </c>
      <c r="G1078">
        <v>111237</v>
      </c>
      <c r="H1078">
        <v>20801319</v>
      </c>
      <c r="I1078" t="s">
        <v>385</v>
      </c>
      <c r="J1078" t="s">
        <v>718</v>
      </c>
      <c r="K1078">
        <v>187</v>
      </c>
      <c r="L1078">
        <v>0</v>
      </c>
      <c r="M1078" t="s">
        <v>115</v>
      </c>
      <c r="N1078" t="str">
        <f t="shared" si="96"/>
        <v>PO-101077</v>
      </c>
      <c r="O1078" t="str">
        <f t="shared" si="97"/>
        <v>Delivered</v>
      </c>
      <c r="P1078" t="str">
        <f t="shared" si="98"/>
        <v>WH-PUN</v>
      </c>
      <c r="Q1078" t="str">
        <f>VLOOKUP(C1078, Lookups!$A$2:$D$10, 2, FALSE())</f>
        <v>TechSupply Corp</v>
      </c>
      <c r="R1078" t="str">
        <f>_xlfn.XLOOKUP(D1078, Lookups!$A$12:$A$51, Lookups!$C$12:$C$51, "Unknown")</f>
        <v>Electronics</v>
      </c>
      <c r="S1078" t="str">
        <f>IF(ISBLANK(I1078), B1078+VLOOKUP(C1078, Lookups!$A$2:$D$10, 4, FALSE()), I1078)</f>
        <v>2026-02-15</v>
      </c>
      <c r="T1078">
        <f t="shared" si="99"/>
        <v>10</v>
      </c>
      <c r="U1078" t="str">
        <f t="shared" si="100"/>
        <v>On-Time</v>
      </c>
      <c r="V1078">
        <f t="shared" si="101"/>
        <v>0</v>
      </c>
    </row>
    <row r="1079" spans="1:22" x14ac:dyDescent="0.45">
      <c r="A1079" t="s">
        <v>1909</v>
      </c>
      <c r="B1079" t="s">
        <v>473</v>
      </c>
      <c r="C1079" t="s">
        <v>30</v>
      </c>
      <c r="D1079" t="s">
        <v>61</v>
      </c>
      <c r="E1079" t="s">
        <v>17</v>
      </c>
      <c r="F1079">
        <v>49</v>
      </c>
      <c r="G1079">
        <v>111237</v>
      </c>
      <c r="H1079">
        <v>5450613</v>
      </c>
      <c r="I1079" t="s">
        <v>474</v>
      </c>
      <c r="J1079" t="s">
        <v>457</v>
      </c>
      <c r="K1079">
        <v>49</v>
      </c>
      <c r="L1079">
        <v>2</v>
      </c>
      <c r="M1079" t="s">
        <v>115</v>
      </c>
      <c r="N1079" t="str">
        <f t="shared" si="96"/>
        <v>PO-101078</v>
      </c>
      <c r="O1079" t="str">
        <f t="shared" si="97"/>
        <v>Delivered</v>
      </c>
      <c r="P1079" t="str">
        <f t="shared" si="98"/>
        <v>WH-BLR</v>
      </c>
      <c r="Q1079" t="str">
        <f>VLOOKUP(C1079, Lookups!$A$2:$D$10, 2, FALSE())</f>
        <v>TechSupply Corp</v>
      </c>
      <c r="R1079" t="str">
        <f>_xlfn.XLOOKUP(D1079, Lookups!$A$12:$A$51, Lookups!$C$12:$C$51, "Unknown")</f>
        <v>Electronics</v>
      </c>
      <c r="S1079" t="str">
        <f>IF(ISBLANK(I1079), B1079+VLOOKUP(C1079, Lookups!$A$2:$D$10, 4, FALSE()), I1079)</f>
        <v>2025-06-24</v>
      </c>
      <c r="T1079">
        <f t="shared" si="99"/>
        <v>15</v>
      </c>
      <c r="U1079" t="str">
        <f t="shared" si="100"/>
        <v>Late</v>
      </c>
      <c r="V1079">
        <f t="shared" si="101"/>
        <v>4.0816326530612242E-2</v>
      </c>
    </row>
    <row r="1080" spans="1:22" x14ac:dyDescent="0.45">
      <c r="A1080" t="s">
        <v>1910</v>
      </c>
      <c r="B1080" t="s">
        <v>506</v>
      </c>
      <c r="C1080" t="s">
        <v>32</v>
      </c>
      <c r="D1080" t="s">
        <v>67</v>
      </c>
      <c r="E1080" t="s">
        <v>15</v>
      </c>
      <c r="F1080">
        <v>43</v>
      </c>
      <c r="G1080">
        <v>1553</v>
      </c>
      <c r="H1080">
        <v>66779</v>
      </c>
      <c r="I1080" t="s">
        <v>1551</v>
      </c>
      <c r="J1080" t="s">
        <v>1451</v>
      </c>
      <c r="K1080">
        <v>33</v>
      </c>
      <c r="L1080">
        <v>0</v>
      </c>
      <c r="M1080" t="s">
        <v>115</v>
      </c>
      <c r="N1080" t="str">
        <f t="shared" si="96"/>
        <v>PO-101079</v>
      </c>
      <c r="O1080" t="str">
        <f t="shared" si="97"/>
        <v>Delivered</v>
      </c>
      <c r="P1080" t="str">
        <f t="shared" si="98"/>
        <v>WH-BOM</v>
      </c>
      <c r="Q1080" t="str">
        <f>VLOOKUP(C1080, Lookups!$A$2:$D$10, 2, FALSE())</f>
        <v>OfficeDepot Pro</v>
      </c>
      <c r="R1080" t="str">
        <f>_xlfn.XLOOKUP(D1080, Lookups!$A$12:$A$51, Lookups!$C$12:$C$51, "Unknown")</f>
        <v>Peripherals</v>
      </c>
      <c r="S1080" t="str">
        <f>IF(ISBLANK(I1080), B1080+VLOOKUP(C1080, Lookups!$A$2:$D$10, 4, FALSE()), I1080)</f>
        <v>2025-05-18</v>
      </c>
      <c r="T1080">
        <f t="shared" si="99"/>
        <v>5</v>
      </c>
      <c r="U1080" t="str">
        <f t="shared" si="100"/>
        <v>On-Time</v>
      </c>
      <c r="V1080">
        <f t="shared" si="101"/>
        <v>0</v>
      </c>
    </row>
    <row r="1081" spans="1:22" x14ac:dyDescent="0.45">
      <c r="A1081" t="s">
        <v>1911</v>
      </c>
      <c r="B1081" t="s">
        <v>203</v>
      </c>
      <c r="C1081" t="s">
        <v>34</v>
      </c>
      <c r="D1081" t="s">
        <v>58</v>
      </c>
      <c r="E1081" t="s">
        <v>16</v>
      </c>
      <c r="F1081">
        <v>102</v>
      </c>
      <c r="G1081">
        <v>100302</v>
      </c>
      <c r="H1081">
        <v>10230804</v>
      </c>
      <c r="I1081" t="s">
        <v>1002</v>
      </c>
      <c r="J1081" t="s">
        <v>1227</v>
      </c>
      <c r="K1081">
        <v>102</v>
      </c>
      <c r="L1081">
        <v>0</v>
      </c>
      <c r="M1081" t="s">
        <v>115</v>
      </c>
      <c r="N1081" t="str">
        <f t="shared" si="96"/>
        <v>PO-101080</v>
      </c>
      <c r="O1081" t="str">
        <f t="shared" si="97"/>
        <v>Delivered</v>
      </c>
      <c r="P1081" t="str">
        <f t="shared" si="98"/>
        <v>WH-DEL</v>
      </c>
      <c r="Q1081" t="str">
        <f>VLOOKUP(C1081, Lookups!$A$2:$D$10, 2, FALSE())</f>
        <v>FastElectronics</v>
      </c>
      <c r="R1081" t="str">
        <f>_xlfn.XLOOKUP(D1081, Lookups!$A$12:$A$51, Lookups!$C$12:$C$51, "Unknown")</f>
        <v>Electronics</v>
      </c>
      <c r="S1081" t="str">
        <f>IF(ISBLANK(I1081), B1081+VLOOKUP(C1081, Lookups!$A$2:$D$10, 4, FALSE()), I1081)</f>
        <v>2026-04-26</v>
      </c>
      <c r="T1081">
        <f t="shared" si="99"/>
        <v>25</v>
      </c>
      <c r="U1081" t="str">
        <f t="shared" si="100"/>
        <v>Late</v>
      </c>
      <c r="V1081">
        <f t="shared" si="101"/>
        <v>0</v>
      </c>
    </row>
    <row r="1082" spans="1:22" x14ac:dyDescent="0.45">
      <c r="A1082" t="s">
        <v>1912</v>
      </c>
      <c r="B1082" t="s">
        <v>138</v>
      </c>
      <c r="C1082" t="s">
        <v>34</v>
      </c>
      <c r="D1082" t="s">
        <v>58</v>
      </c>
      <c r="E1082" t="s">
        <v>16</v>
      </c>
      <c r="F1082">
        <v>207</v>
      </c>
      <c r="G1082">
        <v>100302</v>
      </c>
      <c r="H1082">
        <v>20762514</v>
      </c>
      <c r="I1082" t="s">
        <v>319</v>
      </c>
      <c r="J1082" t="s">
        <v>319</v>
      </c>
      <c r="K1082">
        <v>207</v>
      </c>
      <c r="L1082">
        <v>0</v>
      </c>
      <c r="M1082" t="s">
        <v>115</v>
      </c>
      <c r="N1082" t="str">
        <f t="shared" si="96"/>
        <v>PO-101081</v>
      </c>
      <c r="O1082" t="str">
        <f t="shared" si="97"/>
        <v>Delivered</v>
      </c>
      <c r="P1082" t="str">
        <f t="shared" si="98"/>
        <v>WH-DEL</v>
      </c>
      <c r="Q1082" t="str">
        <f>VLOOKUP(C1082, Lookups!$A$2:$D$10, 2, FALSE())</f>
        <v>FastElectronics</v>
      </c>
      <c r="R1082" t="str">
        <f>_xlfn.XLOOKUP(D1082, Lookups!$A$12:$A$51, Lookups!$C$12:$C$51, "Unknown")</f>
        <v>Electronics</v>
      </c>
      <c r="S1082" t="str">
        <f>IF(ISBLANK(I1082), B1082+VLOOKUP(C1082, Lookups!$A$2:$D$10, 4, FALSE()), I1082)</f>
        <v>2025-10-14</v>
      </c>
      <c r="T1082">
        <f t="shared" si="99"/>
        <v>18</v>
      </c>
      <c r="U1082" t="str">
        <f t="shared" si="100"/>
        <v>On-Time</v>
      </c>
      <c r="V1082">
        <f t="shared" si="101"/>
        <v>0</v>
      </c>
    </row>
    <row r="1083" spans="1:22" x14ac:dyDescent="0.45">
      <c r="A1083" t="s">
        <v>1913</v>
      </c>
      <c r="B1083" t="s">
        <v>387</v>
      </c>
      <c r="C1083" t="s">
        <v>34</v>
      </c>
      <c r="D1083" t="s">
        <v>54</v>
      </c>
      <c r="E1083" t="s">
        <v>15</v>
      </c>
      <c r="F1083">
        <v>227</v>
      </c>
      <c r="G1083">
        <v>22314</v>
      </c>
      <c r="H1083">
        <v>5065278</v>
      </c>
      <c r="I1083" t="s">
        <v>338</v>
      </c>
      <c r="J1083" t="s">
        <v>366</v>
      </c>
      <c r="K1083">
        <v>227</v>
      </c>
      <c r="L1083">
        <v>0</v>
      </c>
      <c r="M1083" t="s">
        <v>115</v>
      </c>
      <c r="N1083" t="str">
        <f t="shared" si="96"/>
        <v>PO-101082</v>
      </c>
      <c r="O1083" t="str">
        <f t="shared" si="97"/>
        <v>Delivered</v>
      </c>
      <c r="P1083" t="str">
        <f t="shared" si="98"/>
        <v>WH-BOM</v>
      </c>
      <c r="Q1083" t="str">
        <f>VLOOKUP(C1083, Lookups!$A$2:$D$10, 2, FALSE())</f>
        <v>FastElectronics</v>
      </c>
      <c r="R1083" t="str">
        <f>_xlfn.XLOOKUP(D1083, Lookups!$A$12:$A$51, Lookups!$C$12:$C$51, "Unknown")</f>
        <v>Networking</v>
      </c>
      <c r="S1083" t="str">
        <f>IF(ISBLANK(I1083), B1083+VLOOKUP(C1083, Lookups!$A$2:$D$10, 4, FALSE()), I1083)</f>
        <v>2026-04-05</v>
      </c>
      <c r="T1083">
        <f t="shared" si="99"/>
        <v>29</v>
      </c>
      <c r="U1083" t="str">
        <f t="shared" si="100"/>
        <v>Late</v>
      </c>
      <c r="V1083">
        <f t="shared" si="101"/>
        <v>0</v>
      </c>
    </row>
    <row r="1084" spans="1:22" x14ac:dyDescent="0.45">
      <c r="A1084" t="s">
        <v>1914</v>
      </c>
      <c r="B1084" t="s">
        <v>154</v>
      </c>
      <c r="C1084" t="s">
        <v>37</v>
      </c>
      <c r="D1084" t="s">
        <v>69</v>
      </c>
      <c r="E1084" t="s">
        <v>18</v>
      </c>
      <c r="F1084">
        <v>172</v>
      </c>
      <c r="G1084">
        <v>13231</v>
      </c>
      <c r="H1084">
        <v>2275732</v>
      </c>
      <c r="I1084" t="s">
        <v>890</v>
      </c>
      <c r="J1084" t="s">
        <v>254</v>
      </c>
      <c r="K1084">
        <v>172</v>
      </c>
      <c r="L1084">
        <v>0</v>
      </c>
      <c r="M1084" t="s">
        <v>115</v>
      </c>
      <c r="N1084" t="str">
        <f t="shared" si="96"/>
        <v>PO-101083</v>
      </c>
      <c r="O1084" t="str">
        <f t="shared" si="97"/>
        <v>Delivered</v>
      </c>
      <c r="P1084" t="str">
        <f t="shared" si="98"/>
        <v>WH-PUN</v>
      </c>
      <c r="Q1084" t="str">
        <f>VLOOKUP(C1084, Lookups!$A$2:$D$10, 2, FALSE())</f>
        <v>Premium Desks Ltd</v>
      </c>
      <c r="R1084" t="str">
        <f>_xlfn.XLOOKUP(D1084, Lookups!$A$12:$A$51, Lookups!$C$12:$C$51, "Unknown")</f>
        <v>Office Furniture</v>
      </c>
      <c r="S1084" t="str">
        <f>IF(ISBLANK(I1084), B1084+VLOOKUP(C1084, Lookups!$A$2:$D$10, 4, FALSE()), I1084)</f>
        <v>2025-11-09</v>
      </c>
      <c r="T1084">
        <f t="shared" si="99"/>
        <v>13</v>
      </c>
      <c r="U1084" t="str">
        <f t="shared" si="100"/>
        <v>Late</v>
      </c>
      <c r="V1084">
        <f t="shared" si="101"/>
        <v>0</v>
      </c>
    </row>
    <row r="1085" spans="1:22" x14ac:dyDescent="0.45">
      <c r="A1085" t="s">
        <v>1915</v>
      </c>
      <c r="B1085" t="s">
        <v>372</v>
      </c>
      <c r="C1085" t="s">
        <v>35</v>
      </c>
      <c r="D1085" t="s">
        <v>60</v>
      </c>
      <c r="E1085" t="s">
        <v>18</v>
      </c>
      <c r="F1085">
        <v>110</v>
      </c>
      <c r="G1085">
        <v>3291</v>
      </c>
      <c r="H1085">
        <v>362010</v>
      </c>
      <c r="I1085" t="s">
        <v>639</v>
      </c>
      <c r="J1085" t="s">
        <v>937</v>
      </c>
      <c r="K1085">
        <v>110</v>
      </c>
      <c r="L1085">
        <v>0</v>
      </c>
      <c r="M1085" t="s">
        <v>115</v>
      </c>
      <c r="N1085" t="str">
        <f t="shared" si="96"/>
        <v>PO-101084</v>
      </c>
      <c r="O1085" t="str">
        <f t="shared" si="97"/>
        <v>Delivered</v>
      </c>
      <c r="P1085" t="str">
        <f t="shared" si="98"/>
        <v>WH-PUN</v>
      </c>
      <c r="Q1085" t="str">
        <f>VLOOKUP(C1085, Lookups!$A$2:$D$10, 2, FALSE())</f>
        <v>Peripheral Source</v>
      </c>
      <c r="R1085" t="str">
        <f>_xlfn.XLOOKUP(D1085, Lookups!$A$12:$A$51, Lookups!$C$12:$C$51, "Unknown")</f>
        <v>Peripherals</v>
      </c>
      <c r="S1085" t="str">
        <f>IF(ISBLANK(I1085), B1085+VLOOKUP(C1085, Lookups!$A$2:$D$10, 4, FALSE()), I1085)</f>
        <v>2025-12-11</v>
      </c>
      <c r="T1085">
        <f t="shared" si="99"/>
        <v>11</v>
      </c>
      <c r="U1085" t="str">
        <f t="shared" si="100"/>
        <v>Late</v>
      </c>
      <c r="V1085">
        <f t="shared" si="101"/>
        <v>0</v>
      </c>
    </row>
    <row r="1086" spans="1:22" x14ac:dyDescent="0.45">
      <c r="A1086" t="s">
        <v>1916</v>
      </c>
      <c r="B1086" t="s">
        <v>524</v>
      </c>
      <c r="C1086" t="s">
        <v>36</v>
      </c>
      <c r="D1086" t="s">
        <v>62</v>
      </c>
      <c r="E1086" t="s">
        <v>17</v>
      </c>
      <c r="F1086">
        <v>187</v>
      </c>
      <c r="G1086">
        <v>48478</v>
      </c>
      <c r="H1086">
        <v>9065386</v>
      </c>
      <c r="I1086" t="s">
        <v>1639</v>
      </c>
      <c r="J1086" t="s">
        <v>635</v>
      </c>
      <c r="K1086">
        <v>187</v>
      </c>
      <c r="L1086">
        <v>0</v>
      </c>
      <c r="M1086" t="s">
        <v>115</v>
      </c>
      <c r="N1086" t="str">
        <f t="shared" si="96"/>
        <v>PO-101085</v>
      </c>
      <c r="O1086" t="str">
        <f t="shared" si="97"/>
        <v>Delivered</v>
      </c>
      <c r="P1086" t="str">
        <f t="shared" si="98"/>
        <v>WH-BLR</v>
      </c>
      <c r="Q1086" t="str">
        <f>VLOOKUP(C1086, Lookups!$A$2:$D$10, 2, FALSE())</f>
        <v>NextGen Hardware</v>
      </c>
      <c r="R1086" t="str">
        <f>_xlfn.XLOOKUP(D1086, Lookups!$A$12:$A$51, Lookups!$C$12:$C$51, "Unknown")</f>
        <v>Electronics</v>
      </c>
      <c r="S1086" t="str">
        <f>IF(ISBLANK(I1086), B1086+VLOOKUP(C1086, Lookups!$A$2:$D$10, 4, FALSE()), I1086)</f>
        <v>2025-06-22</v>
      </c>
      <c r="T1086">
        <f t="shared" si="99"/>
        <v>25</v>
      </c>
      <c r="U1086" t="str">
        <f t="shared" si="100"/>
        <v>Late</v>
      </c>
      <c r="V1086">
        <f t="shared" si="101"/>
        <v>0</v>
      </c>
    </row>
    <row r="1087" spans="1:22" x14ac:dyDescent="0.45">
      <c r="A1087" t="s">
        <v>1917</v>
      </c>
      <c r="B1087" t="s">
        <v>469</v>
      </c>
      <c r="C1087" t="s">
        <v>31</v>
      </c>
      <c r="D1087" t="s">
        <v>56</v>
      </c>
      <c r="E1087" t="s">
        <v>16</v>
      </c>
      <c r="F1087">
        <v>232</v>
      </c>
      <c r="G1087">
        <v>39270</v>
      </c>
      <c r="H1087">
        <v>9110640</v>
      </c>
      <c r="I1087" t="s">
        <v>1300</v>
      </c>
      <c r="J1087" t="s">
        <v>1327</v>
      </c>
      <c r="K1087">
        <v>162</v>
      </c>
      <c r="L1087">
        <v>3</v>
      </c>
      <c r="M1087" t="s">
        <v>115</v>
      </c>
      <c r="N1087" t="str">
        <f t="shared" si="96"/>
        <v>PO-101086</v>
      </c>
      <c r="O1087" t="str">
        <f t="shared" si="97"/>
        <v>Delivered</v>
      </c>
      <c r="P1087" t="str">
        <f t="shared" si="98"/>
        <v>WH-DEL</v>
      </c>
      <c r="Q1087" t="str">
        <f>VLOOKUP(C1087, Lookups!$A$2:$D$10, 2, FALSE())</f>
        <v>Global Networks</v>
      </c>
      <c r="R1087" t="str">
        <f>_xlfn.XLOOKUP(D1087, Lookups!$A$12:$A$51, Lookups!$C$12:$C$51, "Unknown")</f>
        <v>Networking</v>
      </c>
      <c r="S1087" t="str">
        <f>IF(ISBLANK(I1087), B1087+VLOOKUP(C1087, Lookups!$A$2:$D$10, 4, FALSE()), I1087)</f>
        <v>2025-08-05</v>
      </c>
      <c r="T1087">
        <f t="shared" si="99"/>
        <v>22</v>
      </c>
      <c r="U1087" t="str">
        <f t="shared" si="100"/>
        <v>Late</v>
      </c>
      <c r="V1087">
        <f t="shared" si="101"/>
        <v>1.8518518518518517E-2</v>
      </c>
    </row>
    <row r="1088" spans="1:22" x14ac:dyDescent="0.45">
      <c r="A1088" t="s">
        <v>1918</v>
      </c>
      <c r="B1088" t="s">
        <v>960</v>
      </c>
      <c r="C1088" t="s">
        <v>30</v>
      </c>
      <c r="D1088" t="s">
        <v>86</v>
      </c>
      <c r="E1088" t="s">
        <v>15</v>
      </c>
      <c r="F1088">
        <v>188</v>
      </c>
      <c r="G1088">
        <v>74871</v>
      </c>
      <c r="H1088">
        <v>14075748</v>
      </c>
      <c r="I1088" t="s">
        <v>481</v>
      </c>
      <c r="J1088" t="s">
        <v>806</v>
      </c>
      <c r="K1088">
        <v>188</v>
      </c>
      <c r="L1088">
        <v>0</v>
      </c>
      <c r="M1088" t="s">
        <v>115</v>
      </c>
      <c r="N1088" t="str">
        <f t="shared" si="96"/>
        <v>PO-101087</v>
      </c>
      <c r="O1088" t="str">
        <f t="shared" si="97"/>
        <v>Delivered</v>
      </c>
      <c r="P1088" t="str">
        <f t="shared" si="98"/>
        <v>WH-BOM</v>
      </c>
      <c r="Q1088" t="str">
        <f>VLOOKUP(C1088, Lookups!$A$2:$D$10, 2, FALSE())</f>
        <v>TechSupply Corp</v>
      </c>
      <c r="R1088" t="str">
        <f>_xlfn.XLOOKUP(D1088, Lookups!$A$12:$A$51, Lookups!$C$12:$C$51, "Unknown")</f>
        <v>Electronics</v>
      </c>
      <c r="S1088" t="str">
        <f>IF(ISBLANK(I1088), B1088+VLOOKUP(C1088, Lookups!$A$2:$D$10, 4, FALSE()), I1088)</f>
        <v>2025-05-07</v>
      </c>
      <c r="T1088">
        <f t="shared" si="99"/>
        <v>26</v>
      </c>
      <c r="U1088" t="str">
        <f t="shared" si="100"/>
        <v>Late</v>
      </c>
      <c r="V1088">
        <f t="shared" si="101"/>
        <v>0</v>
      </c>
    </row>
    <row r="1089" spans="1:22" x14ac:dyDescent="0.45">
      <c r="A1089" t="s">
        <v>1919</v>
      </c>
      <c r="B1089" t="s">
        <v>354</v>
      </c>
      <c r="C1089" t="s">
        <v>34</v>
      </c>
      <c r="D1089" t="s">
        <v>68</v>
      </c>
      <c r="E1089" t="s">
        <v>15</v>
      </c>
      <c r="F1089">
        <v>164</v>
      </c>
      <c r="G1089">
        <v>41405</v>
      </c>
      <c r="H1089">
        <v>6790420</v>
      </c>
      <c r="I1089" t="s">
        <v>518</v>
      </c>
      <c r="J1089" t="s">
        <v>971</v>
      </c>
      <c r="K1089">
        <v>92</v>
      </c>
      <c r="L1089">
        <v>8</v>
      </c>
      <c r="M1089" t="s">
        <v>115</v>
      </c>
      <c r="N1089" t="str">
        <f t="shared" si="96"/>
        <v>PO-101088</v>
      </c>
      <c r="O1089" t="str">
        <f t="shared" si="97"/>
        <v>Delivered</v>
      </c>
      <c r="P1089" t="str">
        <f t="shared" si="98"/>
        <v>WH-BOM</v>
      </c>
      <c r="Q1089" t="str">
        <f>VLOOKUP(C1089, Lookups!$A$2:$D$10, 2, FALSE())</f>
        <v>FastElectronics</v>
      </c>
      <c r="R1089" t="str">
        <f>_xlfn.XLOOKUP(D1089, Lookups!$A$12:$A$51, Lookups!$C$12:$C$51, "Unknown")</f>
        <v>Networking</v>
      </c>
      <c r="S1089" t="str">
        <f>IF(ISBLANK(I1089), B1089+VLOOKUP(C1089, Lookups!$A$2:$D$10, 4, FALSE()), I1089)</f>
        <v>2025-05-23</v>
      </c>
      <c r="T1089">
        <f t="shared" si="99"/>
        <v>19</v>
      </c>
      <c r="U1089" t="str">
        <f t="shared" si="100"/>
        <v>Late</v>
      </c>
      <c r="V1089">
        <f t="shared" si="101"/>
        <v>8.6956521739130432E-2</v>
      </c>
    </row>
    <row r="1090" spans="1:22" x14ac:dyDescent="0.45">
      <c r="A1090" t="s">
        <v>1920</v>
      </c>
      <c r="B1090" t="s">
        <v>1921</v>
      </c>
      <c r="C1090" t="s">
        <v>32</v>
      </c>
      <c r="D1090" t="s">
        <v>84</v>
      </c>
      <c r="E1090" t="s">
        <v>15</v>
      </c>
      <c r="F1090">
        <v>222</v>
      </c>
      <c r="G1090">
        <v>7271</v>
      </c>
      <c r="H1090">
        <v>1614162</v>
      </c>
      <c r="I1090" t="s">
        <v>276</v>
      </c>
      <c r="J1090" t="s">
        <v>960</v>
      </c>
      <c r="K1090">
        <v>222</v>
      </c>
      <c r="L1090">
        <v>0</v>
      </c>
      <c r="M1090" t="s">
        <v>115</v>
      </c>
      <c r="N1090" t="str">
        <f t="shared" ref="N1090:N1153" si="102">TRIM(A1090)</f>
        <v>PO-101089</v>
      </c>
      <c r="O1090" t="str">
        <f t="shared" ref="O1090:O1153" si="103">PROPER(TRIM(M1090))</f>
        <v>Delivered</v>
      </c>
      <c r="P1090" t="str">
        <f t="shared" ref="P1090:P1153" si="104">TRIM(E1090)</f>
        <v>WH-BOM</v>
      </c>
      <c r="Q1090" t="str">
        <f>VLOOKUP(C1090, Lookups!$A$2:$D$10, 2, FALSE())</f>
        <v>OfficeDepot Pro</v>
      </c>
      <c r="R1090" t="str">
        <f>_xlfn.XLOOKUP(D1090, Lookups!$A$12:$A$51, Lookups!$C$12:$C$51, "Unknown")</f>
        <v>Peripherals</v>
      </c>
      <c r="S1090" t="str">
        <f>IF(ISBLANK(I1090), B1090+VLOOKUP(C1090, Lookups!$A$2:$D$10, 4, FALSE()), I1090)</f>
        <v>2025-04-12</v>
      </c>
      <c r="T1090">
        <f t="shared" ref="T1090:T1153" si="105">IF(ISBLANK(J1090), "", J1090-B1090)</f>
        <v>18</v>
      </c>
      <c r="U1090" t="str">
        <f t="shared" ref="U1090:U1153" si="106">IF(O1090="Open", "Open", IF(J1090&gt;S1090, "Late", "On-Time"))</f>
        <v>Late</v>
      </c>
      <c r="V1090">
        <f t="shared" ref="V1090:V1153" si="107">IF(K1090&gt;0, L1090/K1090, 0)</f>
        <v>0</v>
      </c>
    </row>
    <row r="1091" spans="1:22" x14ac:dyDescent="0.45">
      <c r="A1091" t="s">
        <v>1922</v>
      </c>
      <c r="B1091" t="s">
        <v>463</v>
      </c>
      <c r="C1091" t="s">
        <v>34</v>
      </c>
      <c r="D1091" t="s">
        <v>76</v>
      </c>
      <c r="E1091" t="s">
        <v>16</v>
      </c>
      <c r="F1091">
        <v>237</v>
      </c>
      <c r="G1091">
        <v>26270</v>
      </c>
      <c r="H1091">
        <v>6225990</v>
      </c>
      <c r="I1091" t="s">
        <v>206</v>
      </c>
      <c r="J1091" t="s">
        <v>400</v>
      </c>
      <c r="K1091">
        <v>237</v>
      </c>
      <c r="L1091">
        <v>0</v>
      </c>
      <c r="M1091" t="s">
        <v>927</v>
      </c>
      <c r="N1091" t="str">
        <f t="shared" si="102"/>
        <v>PO-101090</v>
      </c>
      <c r="O1091" t="str">
        <f t="shared" si="103"/>
        <v>Delivered</v>
      </c>
      <c r="P1091" t="str">
        <f t="shared" si="104"/>
        <v>WH-DEL</v>
      </c>
      <c r="Q1091" t="str">
        <f>VLOOKUP(C1091, Lookups!$A$2:$D$10, 2, FALSE())</f>
        <v>FastElectronics</v>
      </c>
      <c r="R1091" t="str">
        <f>_xlfn.XLOOKUP(D1091, Lookups!$A$12:$A$51, Lookups!$C$12:$C$51, "Unknown")</f>
        <v>Networking</v>
      </c>
      <c r="S1091" t="str">
        <f>IF(ISBLANK(I1091), B1091+VLOOKUP(C1091, Lookups!$A$2:$D$10, 4, FALSE()), I1091)</f>
        <v>2025-12-07</v>
      </c>
      <c r="T1091">
        <f t="shared" si="105"/>
        <v>19</v>
      </c>
      <c r="U1091" t="str">
        <f t="shared" si="106"/>
        <v>Late</v>
      </c>
      <c r="V1091">
        <f t="shared" si="107"/>
        <v>0</v>
      </c>
    </row>
    <row r="1092" spans="1:22" x14ac:dyDescent="0.45">
      <c r="A1092" t="s">
        <v>1923</v>
      </c>
      <c r="B1092" t="s">
        <v>1300</v>
      </c>
      <c r="C1092" t="s">
        <v>35</v>
      </c>
      <c r="D1092" t="s">
        <v>70</v>
      </c>
      <c r="E1092" t="s">
        <v>15</v>
      </c>
      <c r="F1092">
        <v>21</v>
      </c>
      <c r="G1092">
        <v>4287</v>
      </c>
      <c r="H1092">
        <v>90027</v>
      </c>
      <c r="I1092" t="s">
        <v>1070</v>
      </c>
      <c r="J1092" t="s">
        <v>716</v>
      </c>
      <c r="K1092">
        <v>21</v>
      </c>
      <c r="L1092">
        <v>0</v>
      </c>
      <c r="M1092" t="s">
        <v>115</v>
      </c>
      <c r="N1092" t="str">
        <f t="shared" si="102"/>
        <v>PO-101091</v>
      </c>
      <c r="O1092" t="str">
        <f t="shared" si="103"/>
        <v>Delivered</v>
      </c>
      <c r="P1092" t="str">
        <f t="shared" si="104"/>
        <v>WH-BOM</v>
      </c>
      <c r="Q1092" t="str">
        <f>VLOOKUP(C1092, Lookups!$A$2:$D$10, 2, FALSE())</f>
        <v>Peripheral Source</v>
      </c>
      <c r="R1092" t="str">
        <f>_xlfn.XLOOKUP(D1092, Lookups!$A$12:$A$51, Lookups!$C$12:$C$51, "Unknown")</f>
        <v>Peripherals</v>
      </c>
      <c r="S1092" t="str">
        <f>IF(ISBLANK(I1092), B1092+VLOOKUP(C1092, Lookups!$A$2:$D$10, 4, FALSE()), I1092)</f>
        <v>2025-08-15</v>
      </c>
      <c r="T1092">
        <f t="shared" si="105"/>
        <v>6</v>
      </c>
      <c r="U1092" t="str">
        <f t="shared" si="106"/>
        <v>On-Time</v>
      </c>
      <c r="V1092">
        <f t="shared" si="107"/>
        <v>0</v>
      </c>
    </row>
    <row r="1093" spans="1:22" x14ac:dyDescent="0.45">
      <c r="A1093" t="s">
        <v>1924</v>
      </c>
      <c r="B1093" t="s">
        <v>595</v>
      </c>
      <c r="C1093" t="s">
        <v>31</v>
      </c>
      <c r="D1093" t="s">
        <v>85</v>
      </c>
      <c r="E1093" t="s">
        <v>15</v>
      </c>
      <c r="F1093">
        <v>38</v>
      </c>
      <c r="G1093">
        <v>16501</v>
      </c>
      <c r="H1093">
        <v>627038</v>
      </c>
      <c r="I1093" t="s">
        <v>499</v>
      </c>
      <c r="J1093" t="s">
        <v>499</v>
      </c>
      <c r="K1093">
        <v>38</v>
      </c>
      <c r="L1093">
        <v>0</v>
      </c>
      <c r="M1093" t="s">
        <v>115</v>
      </c>
      <c r="N1093" t="str">
        <f t="shared" si="102"/>
        <v>PO-101092</v>
      </c>
      <c r="O1093" t="str">
        <f t="shared" si="103"/>
        <v>Delivered</v>
      </c>
      <c r="P1093" t="str">
        <f t="shared" si="104"/>
        <v>WH-BOM</v>
      </c>
      <c r="Q1093" t="str">
        <f>VLOOKUP(C1093, Lookups!$A$2:$D$10, 2, FALSE())</f>
        <v>Global Networks</v>
      </c>
      <c r="R1093" t="str">
        <f>_xlfn.XLOOKUP(D1093, Lookups!$A$12:$A$51, Lookups!$C$12:$C$51, "Unknown")</f>
        <v>Networking</v>
      </c>
      <c r="S1093" t="str">
        <f>IF(ISBLANK(I1093), B1093+VLOOKUP(C1093, Lookups!$A$2:$D$10, 4, FALSE()), I1093)</f>
        <v>2025-04-03</v>
      </c>
      <c r="T1093">
        <f t="shared" si="105"/>
        <v>21</v>
      </c>
      <c r="U1093" t="str">
        <f t="shared" si="106"/>
        <v>On-Time</v>
      </c>
      <c r="V1093">
        <f t="shared" si="107"/>
        <v>0</v>
      </c>
    </row>
    <row r="1094" spans="1:22" x14ac:dyDescent="0.45">
      <c r="A1094" t="s">
        <v>1925</v>
      </c>
      <c r="B1094" t="s">
        <v>447</v>
      </c>
      <c r="C1094" t="s">
        <v>35</v>
      </c>
      <c r="D1094" t="s">
        <v>57</v>
      </c>
      <c r="E1094" t="s">
        <v>16</v>
      </c>
      <c r="F1094">
        <v>50</v>
      </c>
      <c r="G1094">
        <v>2212</v>
      </c>
      <c r="H1094">
        <v>110600</v>
      </c>
      <c r="I1094" t="s">
        <v>1302</v>
      </c>
      <c r="J1094" t="s">
        <v>1302</v>
      </c>
      <c r="K1094">
        <v>50</v>
      </c>
      <c r="L1094">
        <v>0</v>
      </c>
      <c r="M1094" t="s">
        <v>115</v>
      </c>
      <c r="N1094" t="str">
        <f t="shared" si="102"/>
        <v>PO-101093</v>
      </c>
      <c r="O1094" t="str">
        <f t="shared" si="103"/>
        <v>Delivered</v>
      </c>
      <c r="P1094" t="str">
        <f t="shared" si="104"/>
        <v>WH-DEL</v>
      </c>
      <c r="Q1094" t="str">
        <f>VLOOKUP(C1094, Lookups!$A$2:$D$10, 2, FALSE())</f>
        <v>Peripheral Source</v>
      </c>
      <c r="R1094" t="str">
        <f>_xlfn.XLOOKUP(D1094, Lookups!$A$12:$A$51, Lookups!$C$12:$C$51, "Unknown")</f>
        <v>Peripherals</v>
      </c>
      <c r="S1094" t="str">
        <f>IF(ISBLANK(I1094), B1094+VLOOKUP(C1094, Lookups!$A$2:$D$10, 4, FALSE()), I1094)</f>
        <v>2025-12-27</v>
      </c>
      <c r="T1094">
        <f t="shared" si="105"/>
        <v>10</v>
      </c>
      <c r="U1094" t="str">
        <f t="shared" si="106"/>
        <v>On-Time</v>
      </c>
      <c r="V1094">
        <f t="shared" si="107"/>
        <v>0</v>
      </c>
    </row>
    <row r="1095" spans="1:22" x14ac:dyDescent="0.45">
      <c r="A1095" t="s">
        <v>1926</v>
      </c>
      <c r="B1095" t="s">
        <v>120</v>
      </c>
      <c r="C1095" t="s">
        <v>36</v>
      </c>
      <c r="D1095" t="s">
        <v>71</v>
      </c>
      <c r="E1095" t="s">
        <v>17</v>
      </c>
      <c r="F1095">
        <v>125</v>
      </c>
      <c r="G1095">
        <v>65379</v>
      </c>
      <c r="H1095">
        <v>8172375</v>
      </c>
      <c r="I1095" t="s">
        <v>763</v>
      </c>
      <c r="J1095" t="s">
        <v>437</v>
      </c>
      <c r="K1095">
        <v>125</v>
      </c>
      <c r="L1095">
        <v>0</v>
      </c>
      <c r="M1095" t="s">
        <v>115</v>
      </c>
      <c r="N1095" t="str">
        <f t="shared" si="102"/>
        <v>PO-101094</v>
      </c>
      <c r="O1095" t="str">
        <f t="shared" si="103"/>
        <v>Delivered</v>
      </c>
      <c r="P1095" t="str">
        <f t="shared" si="104"/>
        <v>WH-BLR</v>
      </c>
      <c r="Q1095" t="str">
        <f>VLOOKUP(C1095, Lookups!$A$2:$D$10, 2, FALSE())</f>
        <v>NextGen Hardware</v>
      </c>
      <c r="R1095" t="str">
        <f>_xlfn.XLOOKUP(D1095, Lookups!$A$12:$A$51, Lookups!$C$12:$C$51, "Unknown")</f>
        <v>Electronics</v>
      </c>
      <c r="S1095" t="str">
        <f>IF(ISBLANK(I1095), B1095+VLOOKUP(C1095, Lookups!$A$2:$D$10, 4, FALSE()), I1095)</f>
        <v>2025-01-27</v>
      </c>
      <c r="T1095">
        <f t="shared" si="105"/>
        <v>31</v>
      </c>
      <c r="U1095" t="str">
        <f t="shared" si="106"/>
        <v>Late</v>
      </c>
      <c r="V1095">
        <f t="shared" si="107"/>
        <v>0</v>
      </c>
    </row>
    <row r="1096" spans="1:22" x14ac:dyDescent="0.45">
      <c r="A1096" t="s">
        <v>1927</v>
      </c>
      <c r="B1096" t="s">
        <v>460</v>
      </c>
      <c r="C1096" t="s">
        <v>36</v>
      </c>
      <c r="D1096" t="s">
        <v>55</v>
      </c>
      <c r="E1096" t="s">
        <v>18</v>
      </c>
      <c r="F1096">
        <v>126</v>
      </c>
      <c r="G1096">
        <v>58434</v>
      </c>
      <c r="H1096">
        <v>7362684</v>
      </c>
      <c r="I1096" t="s">
        <v>247</v>
      </c>
      <c r="J1096" t="s">
        <v>232</v>
      </c>
      <c r="K1096">
        <v>126</v>
      </c>
      <c r="L1096">
        <v>0</v>
      </c>
      <c r="M1096" t="s">
        <v>115</v>
      </c>
      <c r="N1096" t="str">
        <f t="shared" si="102"/>
        <v>PO-101095</v>
      </c>
      <c r="O1096" t="str">
        <f t="shared" si="103"/>
        <v>Delivered</v>
      </c>
      <c r="P1096" t="str">
        <f t="shared" si="104"/>
        <v>WH-PUN</v>
      </c>
      <c r="Q1096" t="str">
        <f>VLOOKUP(C1096, Lookups!$A$2:$D$10, 2, FALSE())</f>
        <v>NextGen Hardware</v>
      </c>
      <c r="R1096" t="str">
        <f>_xlfn.XLOOKUP(D1096, Lookups!$A$12:$A$51, Lookups!$C$12:$C$51, "Unknown")</f>
        <v>Electronics</v>
      </c>
      <c r="S1096" t="str">
        <f>IF(ISBLANK(I1096), B1096+VLOOKUP(C1096, Lookups!$A$2:$D$10, 4, FALSE()), I1096)</f>
        <v>2025-11-02</v>
      </c>
      <c r="T1096">
        <f t="shared" si="105"/>
        <v>36</v>
      </c>
      <c r="U1096" t="str">
        <f t="shared" si="106"/>
        <v>Late</v>
      </c>
      <c r="V1096">
        <f t="shared" si="107"/>
        <v>0</v>
      </c>
    </row>
    <row r="1097" spans="1:22" x14ac:dyDescent="0.45">
      <c r="A1097" t="s">
        <v>1928</v>
      </c>
      <c r="B1097" t="s">
        <v>1327</v>
      </c>
      <c r="C1097" t="s">
        <v>31</v>
      </c>
      <c r="D1097" t="s">
        <v>56</v>
      </c>
      <c r="E1097" t="s">
        <v>15</v>
      </c>
      <c r="F1097">
        <v>60</v>
      </c>
      <c r="G1097">
        <v>39270</v>
      </c>
      <c r="H1097">
        <v>2356200</v>
      </c>
      <c r="I1097" t="s">
        <v>235</v>
      </c>
      <c r="J1097" t="s">
        <v>728</v>
      </c>
      <c r="K1097">
        <v>60</v>
      </c>
      <c r="L1097">
        <v>0</v>
      </c>
      <c r="M1097" t="s">
        <v>927</v>
      </c>
      <c r="N1097" t="str">
        <f t="shared" si="102"/>
        <v>PO-101096</v>
      </c>
      <c r="O1097" t="str">
        <f t="shared" si="103"/>
        <v>Delivered</v>
      </c>
      <c r="P1097" t="str">
        <f t="shared" si="104"/>
        <v>WH-BOM</v>
      </c>
      <c r="Q1097" t="str">
        <f>VLOOKUP(C1097, Lookups!$A$2:$D$10, 2, FALSE())</f>
        <v>Global Networks</v>
      </c>
      <c r="R1097" t="str">
        <f>_xlfn.XLOOKUP(D1097, Lookups!$A$12:$A$51, Lookups!$C$12:$C$51, "Unknown")</f>
        <v>Networking</v>
      </c>
      <c r="S1097" t="str">
        <f>IF(ISBLANK(I1097), B1097+VLOOKUP(C1097, Lookups!$A$2:$D$10, 4, FALSE()), I1097)</f>
        <v>2025-08-27</v>
      </c>
      <c r="T1097">
        <f t="shared" si="105"/>
        <v>35</v>
      </c>
      <c r="U1097" t="str">
        <f t="shared" si="106"/>
        <v>Late</v>
      </c>
      <c r="V1097">
        <f t="shared" si="107"/>
        <v>0</v>
      </c>
    </row>
    <row r="1098" spans="1:22" x14ac:dyDescent="0.45">
      <c r="A1098" t="s">
        <v>1929</v>
      </c>
      <c r="B1098" t="s">
        <v>343</v>
      </c>
      <c r="C1098" t="s">
        <v>37</v>
      </c>
      <c r="D1098" t="s">
        <v>69</v>
      </c>
      <c r="E1098" t="s">
        <v>17</v>
      </c>
      <c r="F1098">
        <v>131</v>
      </c>
      <c r="G1098">
        <v>13231</v>
      </c>
      <c r="H1098">
        <v>1733261</v>
      </c>
      <c r="I1098" t="s">
        <v>128</v>
      </c>
      <c r="J1098" t="s">
        <v>1413</v>
      </c>
      <c r="K1098">
        <v>131</v>
      </c>
      <c r="L1098">
        <v>0</v>
      </c>
      <c r="M1098" t="s">
        <v>115</v>
      </c>
      <c r="N1098" t="str">
        <f t="shared" si="102"/>
        <v>PO-101097</v>
      </c>
      <c r="O1098" t="str">
        <f t="shared" si="103"/>
        <v>Delivered</v>
      </c>
      <c r="P1098" t="str">
        <f t="shared" si="104"/>
        <v>WH-BLR</v>
      </c>
      <c r="Q1098" t="str">
        <f>VLOOKUP(C1098, Lookups!$A$2:$D$10, 2, FALSE())</f>
        <v>Premium Desks Ltd</v>
      </c>
      <c r="R1098" t="str">
        <f>_xlfn.XLOOKUP(D1098, Lookups!$A$12:$A$51, Lookups!$C$12:$C$51, "Unknown")</f>
        <v>Office Furniture</v>
      </c>
      <c r="S1098" t="str">
        <f>IF(ISBLANK(I1098), B1098+VLOOKUP(C1098, Lookups!$A$2:$D$10, 4, FALSE()), I1098)</f>
        <v>2026-02-16</v>
      </c>
      <c r="T1098">
        <f t="shared" si="105"/>
        <v>26</v>
      </c>
      <c r="U1098" t="str">
        <f t="shared" si="106"/>
        <v>Late</v>
      </c>
      <c r="V1098">
        <f t="shared" si="107"/>
        <v>0</v>
      </c>
    </row>
    <row r="1099" spans="1:22" x14ac:dyDescent="0.45">
      <c r="A1099" t="s">
        <v>1930</v>
      </c>
      <c r="B1099" t="s">
        <v>688</v>
      </c>
      <c r="C1099" t="s">
        <v>36</v>
      </c>
      <c r="D1099" t="s">
        <v>90</v>
      </c>
      <c r="E1099" t="s">
        <v>17</v>
      </c>
      <c r="F1099">
        <v>212</v>
      </c>
      <c r="G1099">
        <v>81434</v>
      </c>
      <c r="H1099">
        <v>17264008</v>
      </c>
      <c r="I1099" t="s">
        <v>1405</v>
      </c>
      <c r="J1099" t="s">
        <v>413</v>
      </c>
      <c r="K1099">
        <v>212</v>
      </c>
      <c r="L1099">
        <v>0</v>
      </c>
      <c r="M1099" t="s">
        <v>115</v>
      </c>
      <c r="N1099" t="str">
        <f t="shared" si="102"/>
        <v>PO-101098</v>
      </c>
      <c r="O1099" t="str">
        <f t="shared" si="103"/>
        <v>Delivered</v>
      </c>
      <c r="P1099" t="str">
        <f t="shared" si="104"/>
        <v>WH-BLR</v>
      </c>
      <c r="Q1099" t="str">
        <f>VLOOKUP(C1099, Lookups!$A$2:$D$10, 2, FALSE())</f>
        <v>NextGen Hardware</v>
      </c>
      <c r="R1099" t="str">
        <f>_xlfn.XLOOKUP(D1099, Lookups!$A$12:$A$51, Lookups!$C$12:$C$51, "Unknown")</f>
        <v>Electronics</v>
      </c>
      <c r="S1099" t="str">
        <f>IF(ISBLANK(I1099), B1099+VLOOKUP(C1099, Lookups!$A$2:$D$10, 4, FALSE()), I1099)</f>
        <v>2026-05-23</v>
      </c>
      <c r="T1099">
        <f t="shared" si="105"/>
        <v>37</v>
      </c>
      <c r="U1099" t="str">
        <f t="shared" si="106"/>
        <v>Late</v>
      </c>
      <c r="V1099">
        <f t="shared" si="107"/>
        <v>0</v>
      </c>
    </row>
    <row r="1100" spans="1:22" x14ac:dyDescent="0.45">
      <c r="A1100" t="s">
        <v>1931</v>
      </c>
      <c r="B1100" t="s">
        <v>389</v>
      </c>
      <c r="C1100" t="s">
        <v>34</v>
      </c>
      <c r="D1100" t="s">
        <v>68</v>
      </c>
      <c r="E1100" t="s">
        <v>17</v>
      </c>
      <c r="F1100">
        <v>168</v>
      </c>
      <c r="G1100">
        <v>41405</v>
      </c>
      <c r="H1100">
        <v>6956040</v>
      </c>
      <c r="I1100" t="s">
        <v>218</v>
      </c>
      <c r="J1100" t="s">
        <v>1058</v>
      </c>
      <c r="K1100">
        <v>113</v>
      </c>
      <c r="L1100">
        <v>0</v>
      </c>
      <c r="M1100" t="s">
        <v>115</v>
      </c>
      <c r="N1100" t="str">
        <f t="shared" si="102"/>
        <v>PO-101099</v>
      </c>
      <c r="O1100" t="str">
        <f t="shared" si="103"/>
        <v>Delivered</v>
      </c>
      <c r="P1100" t="str">
        <f t="shared" si="104"/>
        <v>WH-BLR</v>
      </c>
      <c r="Q1100" t="str">
        <f>VLOOKUP(C1100, Lookups!$A$2:$D$10, 2, FALSE())</f>
        <v>FastElectronics</v>
      </c>
      <c r="R1100" t="str">
        <f>_xlfn.XLOOKUP(D1100, Lookups!$A$12:$A$51, Lookups!$C$12:$C$51, "Unknown")</f>
        <v>Networking</v>
      </c>
      <c r="S1100" t="str">
        <f>IF(ISBLANK(I1100), B1100+VLOOKUP(C1100, Lookups!$A$2:$D$10, 4, FALSE()), I1100)</f>
        <v>2026-04-24</v>
      </c>
      <c r="T1100">
        <f t="shared" si="105"/>
        <v>19</v>
      </c>
      <c r="U1100" t="str">
        <f t="shared" si="106"/>
        <v>Late</v>
      </c>
      <c r="V1100">
        <f t="shared" si="107"/>
        <v>0</v>
      </c>
    </row>
    <row r="1101" spans="1:22" x14ac:dyDescent="0.45">
      <c r="A1101" t="s">
        <v>1932</v>
      </c>
      <c r="B1101" t="s">
        <v>269</v>
      </c>
      <c r="C1101" t="s">
        <v>31</v>
      </c>
      <c r="D1101" t="s">
        <v>66</v>
      </c>
      <c r="E1101" t="s">
        <v>18</v>
      </c>
      <c r="F1101">
        <v>201</v>
      </c>
      <c r="G1101">
        <v>29719</v>
      </c>
      <c r="H1101">
        <v>5973519</v>
      </c>
      <c r="I1101" t="s">
        <v>506</v>
      </c>
      <c r="J1101" t="s">
        <v>277</v>
      </c>
      <c r="K1101">
        <v>180</v>
      </c>
      <c r="L1101">
        <v>0</v>
      </c>
      <c r="M1101" t="s">
        <v>115</v>
      </c>
      <c r="N1101" t="str">
        <f t="shared" si="102"/>
        <v>PO-101100</v>
      </c>
      <c r="O1101" t="str">
        <f t="shared" si="103"/>
        <v>Delivered</v>
      </c>
      <c r="P1101" t="str">
        <f t="shared" si="104"/>
        <v>WH-PUN</v>
      </c>
      <c r="Q1101" t="str">
        <f>VLOOKUP(C1101, Lookups!$A$2:$D$10, 2, FALSE())</f>
        <v>Global Networks</v>
      </c>
      <c r="R1101" t="str">
        <f>_xlfn.XLOOKUP(D1101, Lookups!$A$12:$A$51, Lookups!$C$12:$C$51, "Unknown")</f>
        <v>Networking</v>
      </c>
      <c r="S1101" t="str">
        <f>IF(ISBLANK(I1101), B1101+VLOOKUP(C1101, Lookups!$A$2:$D$10, 4, FALSE()), I1101)</f>
        <v>2025-05-11</v>
      </c>
      <c r="T1101">
        <f t="shared" si="105"/>
        <v>22</v>
      </c>
      <c r="U1101" t="str">
        <f t="shared" si="106"/>
        <v>Late</v>
      </c>
      <c r="V1101">
        <f t="shared" si="107"/>
        <v>0</v>
      </c>
    </row>
    <row r="1102" spans="1:22" x14ac:dyDescent="0.45">
      <c r="A1102" t="s">
        <v>1933</v>
      </c>
      <c r="B1102" t="s">
        <v>551</v>
      </c>
      <c r="C1102" t="s">
        <v>31</v>
      </c>
      <c r="D1102" t="s">
        <v>56</v>
      </c>
      <c r="E1102" t="s">
        <v>15</v>
      </c>
      <c r="F1102">
        <v>223</v>
      </c>
      <c r="G1102">
        <v>39270</v>
      </c>
      <c r="H1102">
        <v>8757210</v>
      </c>
      <c r="I1102" t="s">
        <v>777</v>
      </c>
      <c r="J1102" t="s">
        <v>777</v>
      </c>
      <c r="K1102">
        <v>223</v>
      </c>
      <c r="L1102">
        <v>0</v>
      </c>
      <c r="M1102" t="s">
        <v>115</v>
      </c>
      <c r="N1102" t="str">
        <f t="shared" si="102"/>
        <v>PO-101101</v>
      </c>
      <c r="O1102" t="str">
        <f t="shared" si="103"/>
        <v>Delivered</v>
      </c>
      <c r="P1102" t="str">
        <f t="shared" si="104"/>
        <v>WH-BOM</v>
      </c>
      <c r="Q1102" t="str">
        <f>VLOOKUP(C1102, Lookups!$A$2:$D$10, 2, FALSE())</f>
        <v>Global Networks</v>
      </c>
      <c r="R1102" t="str">
        <f>_xlfn.XLOOKUP(D1102, Lookups!$A$12:$A$51, Lookups!$C$12:$C$51, "Unknown")</f>
        <v>Networking</v>
      </c>
      <c r="S1102" t="str">
        <f>IF(ISBLANK(I1102), B1102+VLOOKUP(C1102, Lookups!$A$2:$D$10, 4, FALSE()), I1102)</f>
        <v>2025-11-25</v>
      </c>
      <c r="T1102">
        <f t="shared" si="105"/>
        <v>21</v>
      </c>
      <c r="U1102" t="str">
        <f t="shared" si="106"/>
        <v>On-Time</v>
      </c>
      <c r="V1102">
        <f t="shared" si="107"/>
        <v>0</v>
      </c>
    </row>
    <row r="1103" spans="1:22" x14ac:dyDescent="0.45">
      <c r="A1103" t="s">
        <v>1934</v>
      </c>
      <c r="B1103" t="s">
        <v>540</v>
      </c>
      <c r="C1103" t="s">
        <v>34</v>
      </c>
      <c r="D1103" t="s">
        <v>74</v>
      </c>
      <c r="E1103" t="s">
        <v>16</v>
      </c>
      <c r="F1103">
        <v>250</v>
      </c>
      <c r="G1103">
        <v>94797</v>
      </c>
      <c r="H1103">
        <v>23699250</v>
      </c>
      <c r="I1103" t="s">
        <v>1058</v>
      </c>
      <c r="J1103" t="s">
        <v>1095</v>
      </c>
      <c r="K1103">
        <v>250</v>
      </c>
      <c r="L1103">
        <v>0</v>
      </c>
      <c r="M1103" t="s">
        <v>115</v>
      </c>
      <c r="N1103" t="str">
        <f t="shared" si="102"/>
        <v>PO-101102</v>
      </c>
      <c r="O1103" t="str">
        <f t="shared" si="103"/>
        <v>Delivered</v>
      </c>
      <c r="P1103" t="str">
        <f t="shared" si="104"/>
        <v>WH-DEL</v>
      </c>
      <c r="Q1103" t="str">
        <f>VLOOKUP(C1103, Lookups!$A$2:$D$10, 2, FALSE())</f>
        <v>FastElectronics</v>
      </c>
      <c r="R1103" t="str">
        <f>_xlfn.XLOOKUP(D1103, Lookups!$A$12:$A$51, Lookups!$C$12:$C$51, "Unknown")</f>
        <v>Electronics</v>
      </c>
      <c r="S1103" t="str">
        <f>IF(ISBLANK(I1103), B1103+VLOOKUP(C1103, Lookups!$A$2:$D$10, 4, FALSE()), I1103)</f>
        <v>2026-04-25</v>
      </c>
      <c r="T1103">
        <f t="shared" si="105"/>
        <v>30</v>
      </c>
      <c r="U1103" t="str">
        <f t="shared" si="106"/>
        <v>Late</v>
      </c>
      <c r="V1103">
        <f t="shared" si="107"/>
        <v>0</v>
      </c>
    </row>
    <row r="1104" spans="1:22" x14ac:dyDescent="0.45">
      <c r="A1104" t="s">
        <v>1935</v>
      </c>
      <c r="B1104" t="s">
        <v>718</v>
      </c>
      <c r="C1104" t="s">
        <v>32</v>
      </c>
      <c r="D1104" t="s">
        <v>67</v>
      </c>
      <c r="E1104" t="s">
        <v>15</v>
      </c>
      <c r="F1104">
        <v>185</v>
      </c>
      <c r="G1104">
        <v>1553</v>
      </c>
      <c r="H1104">
        <v>287305</v>
      </c>
      <c r="I1104" t="s">
        <v>441</v>
      </c>
      <c r="J1104" t="s">
        <v>441</v>
      </c>
      <c r="K1104">
        <v>160</v>
      </c>
      <c r="L1104">
        <v>0</v>
      </c>
      <c r="M1104" t="s">
        <v>115</v>
      </c>
      <c r="N1104" t="str">
        <f t="shared" si="102"/>
        <v>PO-101103</v>
      </c>
      <c r="O1104" t="str">
        <f t="shared" si="103"/>
        <v>Delivered</v>
      </c>
      <c r="P1104" t="str">
        <f t="shared" si="104"/>
        <v>WH-BOM</v>
      </c>
      <c r="Q1104" t="str">
        <f>VLOOKUP(C1104, Lookups!$A$2:$D$10, 2, FALSE())</f>
        <v>OfficeDepot Pro</v>
      </c>
      <c r="R1104" t="str">
        <f>_xlfn.XLOOKUP(D1104, Lookups!$A$12:$A$51, Lookups!$C$12:$C$51, "Unknown")</f>
        <v>Peripherals</v>
      </c>
      <c r="S1104" t="str">
        <f>IF(ISBLANK(I1104), B1104+VLOOKUP(C1104, Lookups!$A$2:$D$10, 4, FALSE()), I1104)</f>
        <v>2026-02-18</v>
      </c>
      <c r="T1104">
        <f t="shared" si="105"/>
        <v>7</v>
      </c>
      <c r="U1104" t="str">
        <f t="shared" si="106"/>
        <v>On-Time</v>
      </c>
      <c r="V1104">
        <f t="shared" si="107"/>
        <v>0</v>
      </c>
    </row>
    <row r="1105" spans="1:22" x14ac:dyDescent="0.45">
      <c r="A1105" t="s">
        <v>1936</v>
      </c>
      <c r="B1105" t="s">
        <v>157</v>
      </c>
      <c r="C1105" t="s">
        <v>34</v>
      </c>
      <c r="D1105" t="s">
        <v>73</v>
      </c>
      <c r="E1105" t="s">
        <v>17</v>
      </c>
      <c r="F1105">
        <v>114</v>
      </c>
      <c r="G1105">
        <v>58396</v>
      </c>
      <c r="H1105">
        <v>6657144</v>
      </c>
      <c r="I1105" t="s">
        <v>922</v>
      </c>
      <c r="J1105" t="s">
        <v>922</v>
      </c>
      <c r="K1105">
        <v>114</v>
      </c>
      <c r="L1105">
        <v>0</v>
      </c>
      <c r="M1105" t="s">
        <v>115</v>
      </c>
      <c r="N1105" t="str">
        <f t="shared" si="102"/>
        <v>PO-101104</v>
      </c>
      <c r="O1105" t="str">
        <f t="shared" si="103"/>
        <v>Delivered</v>
      </c>
      <c r="P1105" t="str">
        <f t="shared" si="104"/>
        <v>WH-BLR</v>
      </c>
      <c r="Q1105" t="str">
        <f>VLOOKUP(C1105, Lookups!$A$2:$D$10, 2, FALSE())</f>
        <v>FastElectronics</v>
      </c>
      <c r="R1105" t="str">
        <f>_xlfn.XLOOKUP(D1105, Lookups!$A$12:$A$51, Lookups!$C$12:$C$51, "Unknown")</f>
        <v>Electronics</v>
      </c>
      <c r="S1105" t="str">
        <f>IF(ISBLANK(I1105), B1105+VLOOKUP(C1105, Lookups!$A$2:$D$10, 4, FALSE()), I1105)</f>
        <v>2026-11-09</v>
      </c>
      <c r="T1105">
        <f t="shared" si="105"/>
        <v>18</v>
      </c>
      <c r="U1105" t="str">
        <f t="shared" si="106"/>
        <v>On-Time</v>
      </c>
      <c r="V1105">
        <f t="shared" si="107"/>
        <v>0</v>
      </c>
    </row>
    <row r="1106" spans="1:22" x14ac:dyDescent="0.45">
      <c r="A1106" t="s">
        <v>1937</v>
      </c>
      <c r="B1106" t="s">
        <v>127</v>
      </c>
      <c r="C1106" t="s">
        <v>35</v>
      </c>
      <c r="D1106" t="s">
        <v>70</v>
      </c>
      <c r="E1106" t="s">
        <v>15</v>
      </c>
      <c r="F1106">
        <v>25</v>
      </c>
      <c r="G1106">
        <v>4287</v>
      </c>
      <c r="H1106">
        <v>107175</v>
      </c>
      <c r="I1106" t="s">
        <v>423</v>
      </c>
      <c r="J1106" t="s">
        <v>815</v>
      </c>
      <c r="K1106">
        <v>25</v>
      </c>
      <c r="L1106">
        <v>0</v>
      </c>
      <c r="M1106" t="s">
        <v>115</v>
      </c>
      <c r="N1106" t="str">
        <f t="shared" si="102"/>
        <v>PO-101105</v>
      </c>
      <c r="O1106" t="str">
        <f t="shared" si="103"/>
        <v>Delivered</v>
      </c>
      <c r="P1106" t="str">
        <f t="shared" si="104"/>
        <v>WH-BOM</v>
      </c>
      <c r="Q1106" t="str">
        <f>VLOOKUP(C1106, Lookups!$A$2:$D$10, 2, FALSE())</f>
        <v>Peripheral Source</v>
      </c>
      <c r="R1106" t="str">
        <f>_xlfn.XLOOKUP(D1106, Lookups!$A$12:$A$51, Lookups!$C$12:$C$51, "Unknown")</f>
        <v>Peripherals</v>
      </c>
      <c r="S1106" t="str">
        <f>IF(ISBLANK(I1106), B1106+VLOOKUP(C1106, Lookups!$A$2:$D$10, 4, FALSE()), I1106)</f>
        <v>2026-02-12</v>
      </c>
      <c r="T1106">
        <f t="shared" si="105"/>
        <v>11</v>
      </c>
      <c r="U1106" t="str">
        <f t="shared" si="106"/>
        <v>Late</v>
      </c>
      <c r="V1106">
        <f t="shared" si="107"/>
        <v>0</v>
      </c>
    </row>
    <row r="1107" spans="1:22" x14ac:dyDescent="0.45">
      <c r="A1107" t="s">
        <v>1938</v>
      </c>
      <c r="B1107" t="s">
        <v>657</v>
      </c>
      <c r="C1107" t="s">
        <v>36</v>
      </c>
      <c r="D1107" t="s">
        <v>71</v>
      </c>
      <c r="E1107" t="s">
        <v>18</v>
      </c>
      <c r="F1107">
        <v>208</v>
      </c>
      <c r="G1107">
        <v>65379</v>
      </c>
      <c r="H1107">
        <v>13598832</v>
      </c>
      <c r="I1107" t="s">
        <v>658</v>
      </c>
      <c r="J1107" t="s">
        <v>659</v>
      </c>
      <c r="K1107">
        <v>208</v>
      </c>
      <c r="L1107">
        <v>0</v>
      </c>
      <c r="M1107" t="s">
        <v>115</v>
      </c>
      <c r="N1107" t="str">
        <f t="shared" si="102"/>
        <v>PO-101106</v>
      </c>
      <c r="O1107" t="str">
        <f t="shared" si="103"/>
        <v>Delivered</v>
      </c>
      <c r="P1107" t="str">
        <f t="shared" si="104"/>
        <v>WH-PUN</v>
      </c>
      <c r="Q1107" t="str">
        <f>VLOOKUP(C1107, Lookups!$A$2:$D$10, 2, FALSE())</f>
        <v>NextGen Hardware</v>
      </c>
      <c r="R1107" t="str">
        <f>_xlfn.XLOOKUP(D1107, Lookups!$A$12:$A$51, Lookups!$C$12:$C$51, "Unknown")</f>
        <v>Electronics</v>
      </c>
      <c r="S1107" t="str">
        <f>IF(ISBLANK(I1107), B1107+VLOOKUP(C1107, Lookups!$A$2:$D$10, 4, FALSE()), I1107)</f>
        <v>2026-09-30</v>
      </c>
      <c r="T1107">
        <f t="shared" si="105"/>
        <v>25</v>
      </c>
      <c r="U1107" t="str">
        <f t="shared" si="106"/>
        <v>Late</v>
      </c>
      <c r="V1107">
        <f t="shared" si="107"/>
        <v>0</v>
      </c>
    </row>
    <row r="1108" spans="1:22" x14ac:dyDescent="0.45">
      <c r="A1108" t="s">
        <v>1939</v>
      </c>
      <c r="B1108" t="s">
        <v>218</v>
      </c>
      <c r="C1108" t="s">
        <v>30</v>
      </c>
      <c r="D1108" t="s">
        <v>52</v>
      </c>
      <c r="E1108" t="s">
        <v>16</v>
      </c>
      <c r="F1108">
        <v>113</v>
      </c>
      <c r="G1108">
        <v>59592</v>
      </c>
      <c r="H1108">
        <v>6733896</v>
      </c>
      <c r="I1108" t="s">
        <v>535</v>
      </c>
      <c r="J1108" t="s">
        <v>535</v>
      </c>
      <c r="K1108">
        <v>113</v>
      </c>
      <c r="L1108">
        <v>0</v>
      </c>
      <c r="M1108" t="s">
        <v>115</v>
      </c>
      <c r="N1108" t="str">
        <f t="shared" si="102"/>
        <v>PO-101107</v>
      </c>
      <c r="O1108" t="str">
        <f t="shared" si="103"/>
        <v>Delivered</v>
      </c>
      <c r="P1108" t="str">
        <f t="shared" si="104"/>
        <v>WH-DEL</v>
      </c>
      <c r="Q1108" t="str">
        <f>VLOOKUP(C1108, Lookups!$A$2:$D$10, 2, FALSE())</f>
        <v>TechSupply Corp</v>
      </c>
      <c r="R1108" t="str">
        <f>_xlfn.XLOOKUP(D1108, Lookups!$A$12:$A$51, Lookups!$C$12:$C$51, "Unknown")</f>
        <v>Electronics</v>
      </c>
      <c r="S1108" t="str">
        <f>IF(ISBLANK(I1108), B1108+VLOOKUP(C1108, Lookups!$A$2:$D$10, 4, FALSE()), I1108)</f>
        <v>2026-05-08</v>
      </c>
      <c r="T1108">
        <f t="shared" si="105"/>
        <v>14</v>
      </c>
      <c r="U1108" t="str">
        <f t="shared" si="106"/>
        <v>On-Time</v>
      </c>
      <c r="V1108">
        <f t="shared" si="107"/>
        <v>0</v>
      </c>
    </row>
    <row r="1109" spans="1:22" x14ac:dyDescent="0.45">
      <c r="A1109" t="s">
        <v>1940</v>
      </c>
      <c r="B1109" t="s">
        <v>444</v>
      </c>
      <c r="C1109" t="s">
        <v>34</v>
      </c>
      <c r="D1109" t="s">
        <v>81</v>
      </c>
      <c r="E1109" t="s">
        <v>15</v>
      </c>
      <c r="F1109">
        <v>202</v>
      </c>
      <c r="G1109">
        <v>55328</v>
      </c>
      <c r="H1109">
        <v>11176256</v>
      </c>
      <c r="I1109" t="s">
        <v>573</v>
      </c>
      <c r="J1109" t="s">
        <v>411</v>
      </c>
      <c r="K1109">
        <v>202</v>
      </c>
      <c r="L1109">
        <v>0</v>
      </c>
      <c r="M1109" t="s">
        <v>115</v>
      </c>
      <c r="N1109" t="str">
        <f t="shared" si="102"/>
        <v>PO-101108</v>
      </c>
      <c r="O1109" t="str">
        <f t="shared" si="103"/>
        <v>Delivered</v>
      </c>
      <c r="P1109" t="str">
        <f t="shared" si="104"/>
        <v>WH-BOM</v>
      </c>
      <c r="Q1109" t="str">
        <f>VLOOKUP(C1109, Lookups!$A$2:$D$10, 2, FALSE())</f>
        <v>FastElectronics</v>
      </c>
      <c r="R1109" t="str">
        <f>_xlfn.XLOOKUP(D1109, Lookups!$A$12:$A$51, Lookups!$C$12:$C$51, "Unknown")</f>
        <v>Electronics</v>
      </c>
      <c r="S1109" t="str">
        <f>IF(ISBLANK(I1109), B1109+VLOOKUP(C1109, Lookups!$A$2:$D$10, 4, FALSE()), I1109)</f>
        <v>2026-04-30</v>
      </c>
      <c r="T1109">
        <f t="shared" si="105"/>
        <v>27</v>
      </c>
      <c r="U1109" t="str">
        <f t="shared" si="106"/>
        <v>Late</v>
      </c>
      <c r="V1109">
        <f t="shared" si="107"/>
        <v>0</v>
      </c>
    </row>
    <row r="1110" spans="1:22" x14ac:dyDescent="0.45">
      <c r="A1110" t="s">
        <v>1941</v>
      </c>
      <c r="B1110" t="s">
        <v>171</v>
      </c>
      <c r="C1110" t="s">
        <v>30</v>
      </c>
      <c r="D1110" t="s">
        <v>82</v>
      </c>
      <c r="E1110" t="s">
        <v>17</v>
      </c>
      <c r="F1110">
        <v>156</v>
      </c>
      <c r="G1110">
        <v>83427</v>
      </c>
      <c r="H1110">
        <v>13014612</v>
      </c>
      <c r="I1110" t="s">
        <v>274</v>
      </c>
      <c r="J1110" t="s">
        <v>274</v>
      </c>
      <c r="K1110">
        <v>156</v>
      </c>
      <c r="L1110">
        <v>0</v>
      </c>
      <c r="M1110" t="s">
        <v>115</v>
      </c>
      <c r="N1110" t="str">
        <f t="shared" si="102"/>
        <v>PO-101109</v>
      </c>
      <c r="O1110" t="str">
        <f t="shared" si="103"/>
        <v>Delivered</v>
      </c>
      <c r="P1110" t="str">
        <f t="shared" si="104"/>
        <v>WH-BLR</v>
      </c>
      <c r="Q1110" t="str">
        <f>VLOOKUP(C1110, Lookups!$A$2:$D$10, 2, FALSE())</f>
        <v>TechSupply Corp</v>
      </c>
      <c r="R1110" t="str">
        <f>_xlfn.XLOOKUP(D1110, Lookups!$A$12:$A$51, Lookups!$C$12:$C$51, "Unknown")</f>
        <v>Electronics</v>
      </c>
      <c r="S1110" t="str">
        <f>IF(ISBLANK(I1110), B1110+VLOOKUP(C1110, Lookups!$A$2:$D$10, 4, FALSE()), I1110)</f>
        <v>2025-08-30</v>
      </c>
      <c r="T1110">
        <f t="shared" si="105"/>
        <v>14</v>
      </c>
      <c r="U1110" t="str">
        <f t="shared" si="106"/>
        <v>On-Time</v>
      </c>
      <c r="V1110">
        <f t="shared" si="107"/>
        <v>0</v>
      </c>
    </row>
    <row r="1111" spans="1:22" x14ac:dyDescent="0.45">
      <c r="A1111" t="s">
        <v>1942</v>
      </c>
      <c r="B1111" t="s">
        <v>782</v>
      </c>
      <c r="C1111" t="s">
        <v>34</v>
      </c>
      <c r="D1111" t="s">
        <v>80</v>
      </c>
      <c r="E1111" t="s">
        <v>15</v>
      </c>
      <c r="F1111">
        <v>38</v>
      </c>
      <c r="G1111">
        <v>19090</v>
      </c>
      <c r="H1111">
        <v>725420</v>
      </c>
      <c r="I1111" t="s">
        <v>188</v>
      </c>
      <c r="J1111" t="s">
        <v>188</v>
      </c>
      <c r="K1111">
        <v>38</v>
      </c>
      <c r="L1111">
        <v>0</v>
      </c>
      <c r="M1111" t="s">
        <v>115</v>
      </c>
      <c r="N1111" t="str">
        <f t="shared" si="102"/>
        <v>PO-101110</v>
      </c>
      <c r="O1111" t="str">
        <f t="shared" si="103"/>
        <v>Delivered</v>
      </c>
      <c r="P1111" t="str">
        <f t="shared" si="104"/>
        <v>WH-BOM</v>
      </c>
      <c r="Q1111" t="str">
        <f>VLOOKUP(C1111, Lookups!$A$2:$D$10, 2, FALSE())</f>
        <v>FastElectronics</v>
      </c>
      <c r="R1111" t="str">
        <f>_xlfn.XLOOKUP(D1111, Lookups!$A$12:$A$51, Lookups!$C$12:$C$51, "Unknown")</f>
        <v>Networking</v>
      </c>
      <c r="S1111" t="str">
        <f>IF(ISBLANK(I1111), B1111+VLOOKUP(C1111, Lookups!$A$2:$D$10, 4, FALSE()), I1111)</f>
        <v>2025-02-25</v>
      </c>
      <c r="T1111">
        <f t="shared" si="105"/>
        <v>18</v>
      </c>
      <c r="U1111" t="str">
        <f t="shared" si="106"/>
        <v>On-Time</v>
      </c>
      <c r="V1111">
        <f t="shared" si="107"/>
        <v>0</v>
      </c>
    </row>
    <row r="1112" spans="1:22" x14ac:dyDescent="0.45">
      <c r="A1112" t="s">
        <v>1943</v>
      </c>
      <c r="B1112" t="s">
        <v>685</v>
      </c>
      <c r="C1112" t="s">
        <v>36</v>
      </c>
      <c r="D1112" t="s">
        <v>55</v>
      </c>
      <c r="E1112" t="s">
        <v>15</v>
      </c>
      <c r="F1112">
        <v>81</v>
      </c>
      <c r="G1112">
        <v>58434</v>
      </c>
      <c r="H1112">
        <v>4733154</v>
      </c>
      <c r="I1112" t="s">
        <v>149</v>
      </c>
      <c r="J1112" t="s">
        <v>149</v>
      </c>
      <c r="K1112">
        <v>81</v>
      </c>
      <c r="L1112">
        <v>0</v>
      </c>
      <c r="M1112" t="s">
        <v>115</v>
      </c>
      <c r="N1112" t="str">
        <f t="shared" si="102"/>
        <v>PO-101111</v>
      </c>
      <c r="O1112" t="str">
        <f t="shared" si="103"/>
        <v>Delivered</v>
      </c>
      <c r="P1112" t="str">
        <f t="shared" si="104"/>
        <v>WH-BOM</v>
      </c>
      <c r="Q1112" t="str">
        <f>VLOOKUP(C1112, Lookups!$A$2:$D$10, 2, FALSE())</f>
        <v>NextGen Hardware</v>
      </c>
      <c r="R1112" t="str">
        <f>_xlfn.XLOOKUP(D1112, Lookups!$A$12:$A$51, Lookups!$C$12:$C$51, "Unknown")</f>
        <v>Electronics</v>
      </c>
      <c r="S1112" t="str">
        <f>IF(ISBLANK(I1112), B1112+VLOOKUP(C1112, Lookups!$A$2:$D$10, 4, FALSE()), I1112)</f>
        <v>2026-04-03</v>
      </c>
      <c r="T1112">
        <f t="shared" si="105"/>
        <v>24</v>
      </c>
      <c r="U1112" t="str">
        <f t="shared" si="106"/>
        <v>On-Time</v>
      </c>
      <c r="V1112">
        <f t="shared" si="107"/>
        <v>0</v>
      </c>
    </row>
    <row r="1113" spans="1:22" x14ac:dyDescent="0.45">
      <c r="A1113" t="s">
        <v>1944</v>
      </c>
      <c r="B1113" t="s">
        <v>154</v>
      </c>
      <c r="C1113" t="s">
        <v>35</v>
      </c>
      <c r="D1113" t="s">
        <v>57</v>
      </c>
      <c r="E1113" t="s">
        <v>17</v>
      </c>
      <c r="F1113">
        <v>95</v>
      </c>
      <c r="G1113">
        <v>2212</v>
      </c>
      <c r="H1113">
        <v>210140</v>
      </c>
      <c r="I1113" t="s">
        <v>231</v>
      </c>
      <c r="J1113" t="s">
        <v>1407</v>
      </c>
      <c r="K1113">
        <v>95</v>
      </c>
      <c r="L1113">
        <v>0</v>
      </c>
      <c r="M1113" t="s">
        <v>115</v>
      </c>
      <c r="N1113" t="str">
        <f t="shared" si="102"/>
        <v>PO-101112</v>
      </c>
      <c r="O1113" t="str">
        <f t="shared" si="103"/>
        <v>Delivered</v>
      </c>
      <c r="P1113" t="str">
        <f t="shared" si="104"/>
        <v>WH-BLR</v>
      </c>
      <c r="Q1113" t="str">
        <f>VLOOKUP(C1113, Lookups!$A$2:$D$10, 2, FALSE())</f>
        <v>Peripheral Source</v>
      </c>
      <c r="R1113" t="str">
        <f>_xlfn.XLOOKUP(D1113, Lookups!$A$12:$A$51, Lookups!$C$12:$C$51, "Unknown")</f>
        <v>Peripherals</v>
      </c>
      <c r="S1113" t="str">
        <f>IF(ISBLANK(I1113), B1113+VLOOKUP(C1113, Lookups!$A$2:$D$10, 4, FALSE()), I1113)</f>
        <v>2025-11-07</v>
      </c>
      <c r="T1113">
        <f t="shared" si="105"/>
        <v>11</v>
      </c>
      <c r="U1113" t="str">
        <f t="shared" si="106"/>
        <v>Late</v>
      </c>
      <c r="V1113">
        <f t="shared" si="107"/>
        <v>0</v>
      </c>
    </row>
    <row r="1114" spans="1:22" x14ac:dyDescent="0.45">
      <c r="A1114" t="s">
        <v>1945</v>
      </c>
      <c r="B1114" t="s">
        <v>235</v>
      </c>
      <c r="C1114" t="s">
        <v>31</v>
      </c>
      <c r="D1114" t="s">
        <v>85</v>
      </c>
      <c r="E1114" t="s">
        <v>17</v>
      </c>
      <c r="F1114">
        <v>179</v>
      </c>
      <c r="G1114">
        <v>16501</v>
      </c>
      <c r="H1114">
        <v>2953679</v>
      </c>
      <c r="I1114" t="s">
        <v>1783</v>
      </c>
      <c r="J1114" t="s">
        <v>403</v>
      </c>
      <c r="K1114">
        <v>179</v>
      </c>
      <c r="L1114">
        <v>0</v>
      </c>
      <c r="M1114" t="s">
        <v>115</v>
      </c>
      <c r="N1114" t="str">
        <f t="shared" si="102"/>
        <v>PO-101113</v>
      </c>
      <c r="O1114" t="str">
        <f t="shared" si="103"/>
        <v>Delivered</v>
      </c>
      <c r="P1114" t="str">
        <f t="shared" si="104"/>
        <v>WH-BLR</v>
      </c>
      <c r="Q1114" t="str">
        <f>VLOOKUP(C1114, Lookups!$A$2:$D$10, 2, FALSE())</f>
        <v>Global Networks</v>
      </c>
      <c r="R1114" t="str">
        <f>_xlfn.XLOOKUP(D1114, Lookups!$A$12:$A$51, Lookups!$C$12:$C$51, "Unknown")</f>
        <v>Networking</v>
      </c>
      <c r="S1114" t="str">
        <f>IF(ISBLANK(I1114), B1114+VLOOKUP(C1114, Lookups!$A$2:$D$10, 4, FALSE()), I1114)</f>
        <v>2025-09-17</v>
      </c>
      <c r="T1114">
        <f t="shared" si="105"/>
        <v>22</v>
      </c>
      <c r="U1114" t="str">
        <f t="shared" si="106"/>
        <v>Late</v>
      </c>
      <c r="V1114">
        <f t="shared" si="107"/>
        <v>0</v>
      </c>
    </row>
    <row r="1115" spans="1:22" x14ac:dyDescent="0.45">
      <c r="A1115" t="s">
        <v>1946</v>
      </c>
      <c r="B1115" t="s">
        <v>422</v>
      </c>
      <c r="C1115" t="s">
        <v>36</v>
      </c>
      <c r="D1115" t="s">
        <v>62</v>
      </c>
      <c r="E1115" t="s">
        <v>16</v>
      </c>
      <c r="F1115">
        <v>155</v>
      </c>
      <c r="G1115">
        <v>48478</v>
      </c>
      <c r="H1115">
        <v>7514090</v>
      </c>
      <c r="I1115" t="s">
        <v>423</v>
      </c>
      <c r="J1115" t="s">
        <v>815</v>
      </c>
      <c r="K1115">
        <v>155</v>
      </c>
      <c r="L1115">
        <v>7</v>
      </c>
      <c r="M1115" t="s">
        <v>115</v>
      </c>
      <c r="N1115" t="str">
        <f t="shared" si="102"/>
        <v>PO-101114</v>
      </c>
      <c r="O1115" t="str">
        <f t="shared" si="103"/>
        <v>Delivered</v>
      </c>
      <c r="P1115" t="str">
        <f t="shared" si="104"/>
        <v>WH-DEL</v>
      </c>
      <c r="Q1115" t="str">
        <f>VLOOKUP(C1115, Lookups!$A$2:$D$10, 2, FALSE())</f>
        <v>NextGen Hardware</v>
      </c>
      <c r="R1115" t="str">
        <f>_xlfn.XLOOKUP(D1115, Lookups!$A$12:$A$51, Lookups!$C$12:$C$51, "Unknown")</f>
        <v>Electronics</v>
      </c>
      <c r="S1115" t="str">
        <f>IF(ISBLANK(I1115), B1115+VLOOKUP(C1115, Lookups!$A$2:$D$10, 4, FALSE()), I1115)</f>
        <v>2026-02-12</v>
      </c>
      <c r="T1115">
        <f t="shared" si="105"/>
        <v>25</v>
      </c>
      <c r="U1115" t="str">
        <f t="shared" si="106"/>
        <v>Late</v>
      </c>
      <c r="V1115">
        <f t="shared" si="107"/>
        <v>4.5161290322580643E-2</v>
      </c>
    </row>
    <row r="1116" spans="1:22" x14ac:dyDescent="0.45">
      <c r="A1116" t="s">
        <v>1947</v>
      </c>
      <c r="B1116" t="s">
        <v>236</v>
      </c>
      <c r="C1116" t="s">
        <v>35</v>
      </c>
      <c r="D1116" t="s">
        <v>75</v>
      </c>
      <c r="E1116" t="s">
        <v>16</v>
      </c>
      <c r="F1116">
        <v>242</v>
      </c>
      <c r="G1116">
        <v>4440</v>
      </c>
      <c r="H1116">
        <v>1074480</v>
      </c>
      <c r="I1116" t="s">
        <v>1604</v>
      </c>
      <c r="J1116" t="s">
        <v>1584</v>
      </c>
      <c r="K1116">
        <v>200</v>
      </c>
      <c r="L1116">
        <v>0</v>
      </c>
      <c r="M1116" t="s">
        <v>115</v>
      </c>
      <c r="N1116" t="str">
        <f t="shared" si="102"/>
        <v>PO-101115</v>
      </c>
      <c r="O1116" t="str">
        <f t="shared" si="103"/>
        <v>Delivered</v>
      </c>
      <c r="P1116" t="str">
        <f t="shared" si="104"/>
        <v>WH-DEL</v>
      </c>
      <c r="Q1116" t="str">
        <f>VLOOKUP(C1116, Lookups!$A$2:$D$10, 2, FALSE())</f>
        <v>Peripheral Source</v>
      </c>
      <c r="R1116" t="str">
        <f>_xlfn.XLOOKUP(D1116, Lookups!$A$12:$A$51, Lookups!$C$12:$C$51, "Unknown")</f>
        <v>Peripherals</v>
      </c>
      <c r="S1116" t="str">
        <f>IF(ISBLANK(I1116), B1116+VLOOKUP(C1116, Lookups!$A$2:$D$10, 4, FALSE()), I1116)</f>
        <v>2025-09-07</v>
      </c>
      <c r="T1116">
        <f t="shared" si="105"/>
        <v>24</v>
      </c>
      <c r="U1116" t="str">
        <f t="shared" si="106"/>
        <v>Late</v>
      </c>
      <c r="V1116">
        <f t="shared" si="107"/>
        <v>0</v>
      </c>
    </row>
    <row r="1117" spans="1:22" x14ac:dyDescent="0.45">
      <c r="A1117" t="s">
        <v>1948</v>
      </c>
      <c r="B1117" t="s">
        <v>348</v>
      </c>
      <c r="C1117" t="s">
        <v>33</v>
      </c>
      <c r="D1117" t="s">
        <v>89</v>
      </c>
      <c r="E1117" t="s">
        <v>16</v>
      </c>
      <c r="F1117">
        <v>108</v>
      </c>
      <c r="G1117">
        <v>11309</v>
      </c>
      <c r="H1117">
        <v>1221372</v>
      </c>
      <c r="I1117" t="s">
        <v>1337</v>
      </c>
      <c r="J1117" t="s">
        <v>495</v>
      </c>
      <c r="K1117">
        <v>108</v>
      </c>
      <c r="L1117">
        <v>0</v>
      </c>
      <c r="M1117" t="s">
        <v>115</v>
      </c>
      <c r="N1117" t="str">
        <f t="shared" si="102"/>
        <v>PO-101116</v>
      </c>
      <c r="O1117" t="str">
        <f t="shared" si="103"/>
        <v>Delivered</v>
      </c>
      <c r="P1117" t="str">
        <f t="shared" si="104"/>
        <v>WH-DEL</v>
      </c>
      <c r="Q1117" t="str">
        <f>VLOOKUP(C1117, Lookups!$A$2:$D$10, 2, FALSE())</f>
        <v>MegaFurnish</v>
      </c>
      <c r="R1117" t="str">
        <f>_xlfn.XLOOKUP(D1117, Lookups!$A$12:$A$51, Lookups!$C$12:$C$51, "Unknown")</f>
        <v>Office Furniture</v>
      </c>
      <c r="S1117" t="str">
        <f>IF(ISBLANK(I1117), B1117+VLOOKUP(C1117, Lookups!$A$2:$D$10, 4, FALSE()), I1117)</f>
        <v>2026-09-22</v>
      </c>
      <c r="T1117">
        <f t="shared" si="105"/>
        <v>31</v>
      </c>
      <c r="U1117" t="str">
        <f t="shared" si="106"/>
        <v>Late</v>
      </c>
      <c r="V1117">
        <f t="shared" si="107"/>
        <v>0</v>
      </c>
    </row>
    <row r="1118" spans="1:22" x14ac:dyDescent="0.45">
      <c r="A1118" t="s">
        <v>1949</v>
      </c>
      <c r="B1118" t="s">
        <v>805</v>
      </c>
      <c r="C1118" t="s">
        <v>35</v>
      </c>
      <c r="D1118" t="s">
        <v>91</v>
      </c>
      <c r="E1118" t="s">
        <v>18</v>
      </c>
      <c r="F1118">
        <v>175</v>
      </c>
      <c r="G1118">
        <v>6707</v>
      </c>
      <c r="H1118">
        <v>1173725</v>
      </c>
      <c r="I1118" t="s">
        <v>354</v>
      </c>
      <c r="J1118" t="s">
        <v>354</v>
      </c>
      <c r="K1118">
        <v>175</v>
      </c>
      <c r="L1118">
        <v>0</v>
      </c>
      <c r="M1118" t="s">
        <v>115</v>
      </c>
      <c r="N1118" t="str">
        <f t="shared" si="102"/>
        <v>PO-101117</v>
      </c>
      <c r="O1118" t="str">
        <f t="shared" si="103"/>
        <v>Delivered</v>
      </c>
      <c r="P1118" t="str">
        <f t="shared" si="104"/>
        <v>WH-PUN</v>
      </c>
      <c r="Q1118" t="str">
        <f>VLOOKUP(C1118, Lookups!$A$2:$D$10, 2, FALSE())</f>
        <v>Peripheral Source</v>
      </c>
      <c r="R1118" t="str">
        <f>_xlfn.XLOOKUP(D1118, Lookups!$A$12:$A$51, Lookups!$C$12:$C$51, "Unknown")</f>
        <v>Peripherals</v>
      </c>
      <c r="S1118" t="str">
        <f>IF(ISBLANK(I1118), B1118+VLOOKUP(C1118, Lookups!$A$2:$D$10, 4, FALSE()), I1118)</f>
        <v>2025-05-05</v>
      </c>
      <c r="T1118">
        <f t="shared" si="105"/>
        <v>10</v>
      </c>
      <c r="U1118" t="str">
        <f t="shared" si="106"/>
        <v>On-Time</v>
      </c>
      <c r="V1118">
        <f t="shared" si="107"/>
        <v>0</v>
      </c>
    </row>
    <row r="1119" spans="1:22" x14ac:dyDescent="0.45">
      <c r="A1119" t="s">
        <v>1950</v>
      </c>
      <c r="B1119" t="s">
        <v>1740</v>
      </c>
      <c r="C1119" t="s">
        <v>36</v>
      </c>
      <c r="D1119" t="s">
        <v>71</v>
      </c>
      <c r="E1119" t="s">
        <v>18</v>
      </c>
      <c r="F1119">
        <v>187</v>
      </c>
      <c r="G1119">
        <v>65379</v>
      </c>
      <c r="H1119">
        <v>12225873</v>
      </c>
      <c r="I1119" t="s">
        <v>520</v>
      </c>
      <c r="J1119" t="s">
        <v>1119</v>
      </c>
      <c r="K1119">
        <v>187</v>
      </c>
      <c r="L1119">
        <v>0</v>
      </c>
      <c r="M1119" t="s">
        <v>115</v>
      </c>
      <c r="N1119" t="str">
        <f t="shared" si="102"/>
        <v>PO-101118</v>
      </c>
      <c r="O1119" t="str">
        <f t="shared" si="103"/>
        <v>Delivered</v>
      </c>
      <c r="P1119" t="str">
        <f t="shared" si="104"/>
        <v>WH-PUN</v>
      </c>
      <c r="Q1119" t="str">
        <f>VLOOKUP(C1119, Lookups!$A$2:$D$10, 2, FALSE())</f>
        <v>NextGen Hardware</v>
      </c>
      <c r="R1119" t="str">
        <f>_xlfn.XLOOKUP(D1119, Lookups!$A$12:$A$51, Lookups!$C$12:$C$51, "Unknown")</f>
        <v>Electronics</v>
      </c>
      <c r="S1119" t="str">
        <f>IF(ISBLANK(I1119), B1119+VLOOKUP(C1119, Lookups!$A$2:$D$10, 4, FALSE()), I1119)</f>
        <v>2026-08-29</v>
      </c>
      <c r="T1119">
        <f t="shared" si="105"/>
        <v>25</v>
      </c>
      <c r="U1119" t="str">
        <f t="shared" si="106"/>
        <v>Late</v>
      </c>
      <c r="V1119">
        <f t="shared" si="107"/>
        <v>0</v>
      </c>
    </row>
    <row r="1120" spans="1:22" x14ac:dyDescent="0.45">
      <c r="A1120" t="s">
        <v>1951</v>
      </c>
      <c r="B1120" t="s">
        <v>327</v>
      </c>
      <c r="C1120" t="s">
        <v>31</v>
      </c>
      <c r="D1120" t="s">
        <v>64</v>
      </c>
      <c r="E1120" t="s">
        <v>17</v>
      </c>
      <c r="F1120">
        <v>226</v>
      </c>
      <c r="G1120">
        <v>36295</v>
      </c>
      <c r="H1120">
        <v>8202670</v>
      </c>
      <c r="I1120" t="s">
        <v>487</v>
      </c>
      <c r="J1120" t="s">
        <v>214</v>
      </c>
      <c r="K1120">
        <v>226</v>
      </c>
      <c r="L1120">
        <v>0</v>
      </c>
      <c r="M1120" t="s">
        <v>115</v>
      </c>
      <c r="N1120" t="str">
        <f t="shared" si="102"/>
        <v>PO-101119</v>
      </c>
      <c r="O1120" t="str">
        <f t="shared" si="103"/>
        <v>Delivered</v>
      </c>
      <c r="P1120" t="str">
        <f t="shared" si="104"/>
        <v>WH-BLR</v>
      </c>
      <c r="Q1120" t="str">
        <f>VLOOKUP(C1120, Lookups!$A$2:$D$10, 2, FALSE())</f>
        <v>Global Networks</v>
      </c>
      <c r="R1120" t="str">
        <f>_xlfn.XLOOKUP(D1120, Lookups!$A$12:$A$51, Lookups!$C$12:$C$51, "Unknown")</f>
        <v>Networking</v>
      </c>
      <c r="S1120" t="str">
        <f>IF(ISBLANK(I1120), B1120+VLOOKUP(C1120, Lookups!$A$2:$D$10, 4, FALSE()), I1120)</f>
        <v>2025-06-26</v>
      </c>
      <c r="T1120">
        <f t="shared" si="105"/>
        <v>22</v>
      </c>
      <c r="U1120" t="str">
        <f t="shared" si="106"/>
        <v>Late</v>
      </c>
      <c r="V1120">
        <f t="shared" si="107"/>
        <v>0</v>
      </c>
    </row>
    <row r="1121" spans="1:22" x14ac:dyDescent="0.45">
      <c r="A1121" t="s">
        <v>1952</v>
      </c>
      <c r="B1121" t="s">
        <v>1211</v>
      </c>
      <c r="C1121" t="s">
        <v>30</v>
      </c>
      <c r="D1121" t="s">
        <v>61</v>
      </c>
      <c r="E1121" t="s">
        <v>18</v>
      </c>
      <c r="F1121">
        <v>178</v>
      </c>
      <c r="G1121">
        <v>111237</v>
      </c>
      <c r="H1121">
        <v>19800186</v>
      </c>
      <c r="I1121" t="s">
        <v>981</v>
      </c>
      <c r="J1121" t="s">
        <v>1111</v>
      </c>
      <c r="K1121">
        <v>178</v>
      </c>
      <c r="L1121">
        <v>0</v>
      </c>
      <c r="M1121" t="s">
        <v>115</v>
      </c>
      <c r="N1121" t="str">
        <f t="shared" si="102"/>
        <v>PO-101120</v>
      </c>
      <c r="O1121" t="str">
        <f t="shared" si="103"/>
        <v>Delivered</v>
      </c>
      <c r="P1121" t="str">
        <f t="shared" si="104"/>
        <v>WH-PUN</v>
      </c>
      <c r="Q1121" t="str">
        <f>VLOOKUP(C1121, Lookups!$A$2:$D$10, 2, FALSE())</f>
        <v>TechSupply Corp</v>
      </c>
      <c r="R1121" t="str">
        <f>_xlfn.XLOOKUP(D1121, Lookups!$A$12:$A$51, Lookups!$C$12:$C$51, "Unknown")</f>
        <v>Electronics</v>
      </c>
      <c r="S1121" t="str">
        <f>IF(ISBLANK(I1121), B1121+VLOOKUP(C1121, Lookups!$A$2:$D$10, 4, FALSE()), I1121)</f>
        <v>2026-10-13</v>
      </c>
      <c r="T1121">
        <f t="shared" si="105"/>
        <v>15</v>
      </c>
      <c r="U1121" t="str">
        <f t="shared" si="106"/>
        <v>Late</v>
      </c>
      <c r="V1121">
        <f t="shared" si="107"/>
        <v>0</v>
      </c>
    </row>
    <row r="1122" spans="1:22" x14ac:dyDescent="0.45">
      <c r="A1122" t="s">
        <v>1953</v>
      </c>
      <c r="B1122" t="s">
        <v>1092</v>
      </c>
      <c r="C1122" t="s">
        <v>32</v>
      </c>
      <c r="D1122" t="s">
        <v>67</v>
      </c>
      <c r="E1122" t="s">
        <v>17</v>
      </c>
      <c r="F1122">
        <v>157</v>
      </c>
      <c r="G1122">
        <v>1553</v>
      </c>
      <c r="H1122">
        <v>243821</v>
      </c>
      <c r="I1122" t="s">
        <v>478</v>
      </c>
      <c r="J1122" t="s">
        <v>432</v>
      </c>
      <c r="K1122">
        <v>157</v>
      </c>
      <c r="L1122">
        <v>0</v>
      </c>
      <c r="M1122" t="s">
        <v>115</v>
      </c>
      <c r="N1122" t="str">
        <f t="shared" si="102"/>
        <v>PO-101121</v>
      </c>
      <c r="O1122" t="str">
        <f t="shared" si="103"/>
        <v>Delivered</v>
      </c>
      <c r="P1122" t="str">
        <f t="shared" si="104"/>
        <v>WH-BLR</v>
      </c>
      <c r="Q1122" t="str">
        <f>VLOOKUP(C1122, Lookups!$A$2:$D$10, 2, FALSE())</f>
        <v>OfficeDepot Pro</v>
      </c>
      <c r="R1122" t="str">
        <f>_xlfn.XLOOKUP(D1122, Lookups!$A$12:$A$51, Lookups!$C$12:$C$51, "Unknown")</f>
        <v>Peripherals</v>
      </c>
      <c r="S1122" t="str">
        <f>IF(ISBLANK(I1122), B1122+VLOOKUP(C1122, Lookups!$A$2:$D$10, 4, FALSE()), I1122)</f>
        <v>2025-03-29</v>
      </c>
      <c r="T1122">
        <f t="shared" si="105"/>
        <v>3</v>
      </c>
      <c r="U1122" t="str">
        <f t="shared" si="106"/>
        <v>On-Time</v>
      </c>
      <c r="V1122">
        <f t="shared" si="107"/>
        <v>0</v>
      </c>
    </row>
    <row r="1123" spans="1:22" x14ac:dyDescent="0.45">
      <c r="A1123" t="s">
        <v>1954</v>
      </c>
      <c r="B1123" t="s">
        <v>521</v>
      </c>
      <c r="C1123" t="s">
        <v>34</v>
      </c>
      <c r="D1123" t="s">
        <v>76</v>
      </c>
      <c r="E1123" t="s">
        <v>18</v>
      </c>
      <c r="F1123">
        <v>249</v>
      </c>
      <c r="G1123">
        <v>26270</v>
      </c>
      <c r="H1123">
        <v>6541230</v>
      </c>
      <c r="I1123" t="s">
        <v>451</v>
      </c>
      <c r="J1123" t="s">
        <v>663</v>
      </c>
      <c r="K1123">
        <v>249</v>
      </c>
      <c r="L1123">
        <v>0</v>
      </c>
      <c r="M1123" t="s">
        <v>115</v>
      </c>
      <c r="N1123" t="str">
        <f t="shared" si="102"/>
        <v>PO-101122</v>
      </c>
      <c r="O1123" t="str">
        <f t="shared" si="103"/>
        <v>Delivered</v>
      </c>
      <c r="P1123" t="str">
        <f t="shared" si="104"/>
        <v>WH-PUN</v>
      </c>
      <c r="Q1123" t="str">
        <f>VLOOKUP(C1123, Lookups!$A$2:$D$10, 2, FALSE())</f>
        <v>FastElectronics</v>
      </c>
      <c r="R1123" t="str">
        <f>_xlfn.XLOOKUP(D1123, Lookups!$A$12:$A$51, Lookups!$C$12:$C$51, "Unknown")</f>
        <v>Networking</v>
      </c>
      <c r="S1123" t="str">
        <f>IF(ISBLANK(I1123), B1123+VLOOKUP(C1123, Lookups!$A$2:$D$10, 4, FALSE()), I1123)</f>
        <v>2026-10-04</v>
      </c>
      <c r="T1123">
        <f t="shared" si="105"/>
        <v>20</v>
      </c>
      <c r="U1123" t="str">
        <f t="shared" si="106"/>
        <v>Late</v>
      </c>
      <c r="V1123">
        <f t="shared" si="107"/>
        <v>0</v>
      </c>
    </row>
    <row r="1124" spans="1:22" x14ac:dyDescent="0.45">
      <c r="A1124" t="s">
        <v>1955</v>
      </c>
      <c r="B1124" t="s">
        <v>1018</v>
      </c>
      <c r="C1124" t="s">
        <v>30</v>
      </c>
      <c r="D1124" t="s">
        <v>82</v>
      </c>
      <c r="E1124" t="s">
        <v>913</v>
      </c>
      <c r="F1124">
        <v>221</v>
      </c>
      <c r="G1124">
        <v>83427</v>
      </c>
      <c r="H1124">
        <v>18437367</v>
      </c>
      <c r="I1124" t="s">
        <v>844</v>
      </c>
      <c r="J1124" t="s">
        <v>844</v>
      </c>
      <c r="K1124">
        <v>221</v>
      </c>
      <c r="L1124">
        <v>0</v>
      </c>
      <c r="M1124" t="s">
        <v>115</v>
      </c>
      <c r="N1124" t="str">
        <f t="shared" si="102"/>
        <v>PO-101123</v>
      </c>
      <c r="O1124" t="str">
        <f t="shared" si="103"/>
        <v>Delivered</v>
      </c>
      <c r="P1124" t="str">
        <f t="shared" si="104"/>
        <v>WH-DEL</v>
      </c>
      <c r="Q1124" t="str">
        <f>VLOOKUP(C1124, Lookups!$A$2:$D$10, 2, FALSE())</f>
        <v>TechSupply Corp</v>
      </c>
      <c r="R1124" t="str">
        <f>_xlfn.XLOOKUP(D1124, Lookups!$A$12:$A$51, Lookups!$C$12:$C$51, "Unknown")</f>
        <v>Electronics</v>
      </c>
      <c r="S1124" t="str">
        <f>IF(ISBLANK(I1124), B1124+VLOOKUP(C1124, Lookups!$A$2:$D$10, 4, FALSE()), I1124)</f>
        <v>2025-04-28</v>
      </c>
      <c r="T1124">
        <f t="shared" si="105"/>
        <v>14</v>
      </c>
      <c r="U1124" t="str">
        <f t="shared" si="106"/>
        <v>On-Time</v>
      </c>
      <c r="V1124">
        <f t="shared" si="107"/>
        <v>0</v>
      </c>
    </row>
    <row r="1125" spans="1:22" x14ac:dyDescent="0.45">
      <c r="A1125" t="s">
        <v>1956</v>
      </c>
      <c r="B1125" t="s">
        <v>127</v>
      </c>
      <c r="C1125" t="s">
        <v>35</v>
      </c>
      <c r="D1125" t="s">
        <v>60</v>
      </c>
      <c r="E1125" t="s">
        <v>17</v>
      </c>
      <c r="F1125">
        <v>16</v>
      </c>
      <c r="G1125">
        <v>3291</v>
      </c>
      <c r="H1125">
        <v>52656</v>
      </c>
      <c r="I1125" t="s">
        <v>423</v>
      </c>
      <c r="J1125" t="s">
        <v>423</v>
      </c>
      <c r="K1125">
        <v>16</v>
      </c>
      <c r="L1125">
        <v>0</v>
      </c>
      <c r="M1125" t="s">
        <v>115</v>
      </c>
      <c r="N1125" t="str">
        <f t="shared" si="102"/>
        <v>PO-101124</v>
      </c>
      <c r="O1125" t="str">
        <f t="shared" si="103"/>
        <v>Delivered</v>
      </c>
      <c r="P1125" t="str">
        <f t="shared" si="104"/>
        <v>WH-BLR</v>
      </c>
      <c r="Q1125" t="str">
        <f>VLOOKUP(C1125, Lookups!$A$2:$D$10, 2, FALSE())</f>
        <v>Peripheral Source</v>
      </c>
      <c r="R1125" t="str">
        <f>_xlfn.XLOOKUP(D1125, Lookups!$A$12:$A$51, Lookups!$C$12:$C$51, "Unknown")</f>
        <v>Peripherals</v>
      </c>
      <c r="S1125" t="str">
        <f>IF(ISBLANK(I1125), B1125+VLOOKUP(C1125, Lookups!$A$2:$D$10, 4, FALSE()), I1125)</f>
        <v>2026-02-12</v>
      </c>
      <c r="T1125">
        <f t="shared" si="105"/>
        <v>10</v>
      </c>
      <c r="U1125" t="str">
        <f t="shared" si="106"/>
        <v>On-Time</v>
      </c>
      <c r="V1125">
        <f t="shared" si="107"/>
        <v>0</v>
      </c>
    </row>
    <row r="1126" spans="1:22" x14ac:dyDescent="0.45">
      <c r="A1126" t="s">
        <v>1957</v>
      </c>
      <c r="B1126" t="s">
        <v>356</v>
      </c>
      <c r="C1126" t="s">
        <v>31</v>
      </c>
      <c r="D1126" t="s">
        <v>77</v>
      </c>
      <c r="E1126" t="s">
        <v>17</v>
      </c>
      <c r="F1126">
        <v>112</v>
      </c>
      <c r="G1126">
        <v>23667</v>
      </c>
      <c r="H1126">
        <v>2650704</v>
      </c>
      <c r="I1126" t="s">
        <v>969</v>
      </c>
      <c r="J1126" t="s">
        <v>809</v>
      </c>
      <c r="K1126">
        <v>74</v>
      </c>
      <c r="L1126">
        <v>0</v>
      </c>
      <c r="M1126" t="s">
        <v>115</v>
      </c>
      <c r="N1126" t="str">
        <f t="shared" si="102"/>
        <v>PO-101125</v>
      </c>
      <c r="O1126" t="str">
        <f t="shared" si="103"/>
        <v>Delivered</v>
      </c>
      <c r="P1126" t="str">
        <f t="shared" si="104"/>
        <v>WH-BLR</v>
      </c>
      <c r="Q1126" t="str">
        <f>VLOOKUP(C1126, Lookups!$A$2:$D$10, 2, FALSE())</f>
        <v>Global Networks</v>
      </c>
      <c r="R1126" t="str">
        <f>_xlfn.XLOOKUP(D1126, Lookups!$A$12:$A$51, Lookups!$C$12:$C$51, "Unknown")</f>
        <v>Networking</v>
      </c>
      <c r="S1126" t="str">
        <f>IF(ISBLANK(I1126), B1126+VLOOKUP(C1126, Lookups!$A$2:$D$10, 4, FALSE()), I1126)</f>
        <v>2025-10-18</v>
      </c>
      <c r="T1126">
        <f t="shared" si="105"/>
        <v>20</v>
      </c>
      <c r="U1126" t="str">
        <f t="shared" si="106"/>
        <v>On-Time</v>
      </c>
      <c r="V1126">
        <f t="shared" si="107"/>
        <v>0</v>
      </c>
    </row>
    <row r="1127" spans="1:22" x14ac:dyDescent="0.45">
      <c r="A1127" t="s">
        <v>1958</v>
      </c>
      <c r="B1127" t="s">
        <v>663</v>
      </c>
      <c r="C1127" t="s">
        <v>35</v>
      </c>
      <c r="D1127" t="s">
        <v>72</v>
      </c>
      <c r="E1127" t="s">
        <v>17</v>
      </c>
      <c r="F1127">
        <v>134</v>
      </c>
      <c r="G1127">
        <v>7754</v>
      </c>
      <c r="H1127">
        <v>1039036</v>
      </c>
      <c r="I1127" t="s">
        <v>1198</v>
      </c>
      <c r="J1127" t="s">
        <v>182</v>
      </c>
      <c r="K1127">
        <v>134</v>
      </c>
      <c r="L1127">
        <v>0</v>
      </c>
      <c r="M1127" t="s">
        <v>115</v>
      </c>
      <c r="N1127" t="str">
        <f t="shared" si="102"/>
        <v>PO-101126</v>
      </c>
      <c r="O1127" t="str">
        <f t="shared" si="103"/>
        <v>Delivered</v>
      </c>
      <c r="P1127" t="str">
        <f t="shared" si="104"/>
        <v>WH-BLR</v>
      </c>
      <c r="Q1127" t="str">
        <f>VLOOKUP(C1127, Lookups!$A$2:$D$10, 2, FALSE())</f>
        <v>Peripheral Source</v>
      </c>
      <c r="R1127" t="str">
        <f>_xlfn.XLOOKUP(D1127, Lookups!$A$12:$A$51, Lookups!$C$12:$C$51, "Unknown")</f>
        <v>Peripherals</v>
      </c>
      <c r="S1127" t="str">
        <f>IF(ISBLANK(I1127), B1127+VLOOKUP(C1127, Lookups!$A$2:$D$10, 4, FALSE()), I1127)</f>
        <v>2026-10-16</v>
      </c>
      <c r="T1127">
        <f t="shared" si="105"/>
        <v>25</v>
      </c>
      <c r="U1127" t="str">
        <f t="shared" si="106"/>
        <v>Late</v>
      </c>
      <c r="V1127">
        <f t="shared" si="107"/>
        <v>0</v>
      </c>
    </row>
    <row r="1128" spans="1:22" x14ac:dyDescent="0.45">
      <c r="A1128" t="s">
        <v>1959</v>
      </c>
      <c r="B1128" t="s">
        <v>1114</v>
      </c>
      <c r="C1128" t="s">
        <v>35</v>
      </c>
      <c r="D1128" t="s">
        <v>60</v>
      </c>
      <c r="E1128" t="s">
        <v>18</v>
      </c>
      <c r="F1128">
        <v>188</v>
      </c>
      <c r="G1128">
        <v>3291</v>
      </c>
      <c r="H1128">
        <v>618708</v>
      </c>
      <c r="I1128" t="s">
        <v>145</v>
      </c>
      <c r="J1128" t="s">
        <v>145</v>
      </c>
      <c r="K1128">
        <v>188</v>
      </c>
      <c r="L1128">
        <v>0</v>
      </c>
      <c r="M1128" t="s">
        <v>115</v>
      </c>
      <c r="N1128" t="str">
        <f t="shared" si="102"/>
        <v>PO-101127</v>
      </c>
      <c r="O1128" t="str">
        <f t="shared" si="103"/>
        <v>Delivered</v>
      </c>
      <c r="P1128" t="str">
        <f t="shared" si="104"/>
        <v>WH-PUN</v>
      </c>
      <c r="Q1128" t="str">
        <f>VLOOKUP(C1128, Lookups!$A$2:$D$10, 2, FALSE())</f>
        <v>Peripheral Source</v>
      </c>
      <c r="R1128" t="str">
        <f>_xlfn.XLOOKUP(D1128, Lookups!$A$12:$A$51, Lookups!$C$12:$C$51, "Unknown")</f>
        <v>Peripherals</v>
      </c>
      <c r="S1128" t="str">
        <f>IF(ISBLANK(I1128), B1128+VLOOKUP(C1128, Lookups!$A$2:$D$10, 4, FALSE()), I1128)</f>
        <v>2025-09-24</v>
      </c>
      <c r="T1128">
        <f t="shared" si="105"/>
        <v>10</v>
      </c>
      <c r="U1128" t="str">
        <f t="shared" si="106"/>
        <v>On-Time</v>
      </c>
      <c r="V1128">
        <f t="shared" si="107"/>
        <v>0</v>
      </c>
    </row>
    <row r="1129" spans="1:22" x14ac:dyDescent="0.45">
      <c r="A1129" t="s">
        <v>1960</v>
      </c>
      <c r="B1129" t="s">
        <v>423</v>
      </c>
      <c r="C1129" t="s">
        <v>33</v>
      </c>
      <c r="D1129" t="s">
        <v>89</v>
      </c>
      <c r="E1129" t="s">
        <v>16</v>
      </c>
      <c r="F1129">
        <v>102</v>
      </c>
      <c r="G1129">
        <v>11309</v>
      </c>
      <c r="H1129">
        <v>1153518</v>
      </c>
      <c r="I1129" t="s">
        <v>935</v>
      </c>
      <c r="J1129" t="s">
        <v>935</v>
      </c>
      <c r="K1129">
        <v>102</v>
      </c>
      <c r="L1129">
        <v>0</v>
      </c>
      <c r="M1129" t="s">
        <v>115</v>
      </c>
      <c r="N1129" t="str">
        <f t="shared" si="102"/>
        <v>PO-101128</v>
      </c>
      <c r="O1129" t="str">
        <f t="shared" si="103"/>
        <v>Delivered</v>
      </c>
      <c r="P1129" t="str">
        <f t="shared" si="104"/>
        <v>WH-DEL</v>
      </c>
      <c r="Q1129" t="str">
        <f>VLOOKUP(C1129, Lookups!$A$2:$D$10, 2, FALSE())</f>
        <v>MegaFurnish</v>
      </c>
      <c r="R1129" t="str">
        <f>_xlfn.XLOOKUP(D1129, Lookups!$A$12:$A$51, Lookups!$C$12:$C$51, "Unknown")</f>
        <v>Office Furniture</v>
      </c>
      <c r="S1129" t="str">
        <f>IF(ISBLANK(I1129), B1129+VLOOKUP(C1129, Lookups!$A$2:$D$10, 4, FALSE()), I1129)</f>
        <v>2026-03-14</v>
      </c>
      <c r="T1129">
        <f t="shared" si="105"/>
        <v>30</v>
      </c>
      <c r="U1129" t="str">
        <f t="shared" si="106"/>
        <v>On-Time</v>
      </c>
      <c r="V1129">
        <f t="shared" si="107"/>
        <v>0</v>
      </c>
    </row>
    <row r="1130" spans="1:22" x14ac:dyDescent="0.45">
      <c r="A1130" t="s">
        <v>1961</v>
      </c>
      <c r="B1130" t="s">
        <v>214</v>
      </c>
      <c r="C1130" t="s">
        <v>34</v>
      </c>
      <c r="D1130" t="s">
        <v>76</v>
      </c>
      <c r="E1130" t="s">
        <v>15</v>
      </c>
      <c r="F1130">
        <v>11</v>
      </c>
      <c r="G1130">
        <v>26270</v>
      </c>
      <c r="H1130">
        <v>288970</v>
      </c>
      <c r="I1130" t="s">
        <v>469</v>
      </c>
      <c r="J1130" t="s">
        <v>760</v>
      </c>
      <c r="K1130">
        <v>11</v>
      </c>
      <c r="L1130">
        <v>0</v>
      </c>
      <c r="M1130" t="s">
        <v>115</v>
      </c>
      <c r="N1130" t="str">
        <f t="shared" si="102"/>
        <v>PO-101129</v>
      </c>
      <c r="O1130" t="str">
        <f t="shared" si="103"/>
        <v>Delivered</v>
      </c>
      <c r="P1130" t="str">
        <f t="shared" si="104"/>
        <v>WH-BOM</v>
      </c>
      <c r="Q1130" t="str">
        <f>VLOOKUP(C1130, Lookups!$A$2:$D$10, 2, FALSE())</f>
        <v>FastElectronics</v>
      </c>
      <c r="R1130" t="str">
        <f>_xlfn.XLOOKUP(D1130, Lookups!$A$12:$A$51, Lookups!$C$12:$C$51, "Unknown")</f>
        <v>Networking</v>
      </c>
      <c r="S1130" t="str">
        <f>IF(ISBLANK(I1130), B1130+VLOOKUP(C1130, Lookups!$A$2:$D$10, 4, FALSE()), I1130)</f>
        <v>2025-07-15</v>
      </c>
      <c r="T1130">
        <f t="shared" si="105"/>
        <v>21</v>
      </c>
      <c r="U1130" t="str">
        <f t="shared" si="106"/>
        <v>Late</v>
      </c>
      <c r="V1130">
        <f t="shared" si="107"/>
        <v>0</v>
      </c>
    </row>
    <row r="1131" spans="1:22" x14ac:dyDescent="0.45">
      <c r="A1131" t="s">
        <v>1962</v>
      </c>
      <c r="B1131" t="s">
        <v>352</v>
      </c>
      <c r="C1131" t="s">
        <v>36</v>
      </c>
      <c r="D1131" t="s">
        <v>55</v>
      </c>
      <c r="E1131" t="s">
        <v>15</v>
      </c>
      <c r="F1131">
        <v>219</v>
      </c>
      <c r="G1131">
        <v>58434</v>
      </c>
      <c r="H1131">
        <v>12797046</v>
      </c>
      <c r="I1131" t="s">
        <v>1551</v>
      </c>
      <c r="J1131" t="s">
        <v>1551</v>
      </c>
      <c r="K1131">
        <v>219</v>
      </c>
      <c r="L1131">
        <v>0</v>
      </c>
      <c r="M1131" t="s">
        <v>115</v>
      </c>
      <c r="N1131" t="str">
        <f t="shared" si="102"/>
        <v>PO-101130</v>
      </c>
      <c r="O1131" t="str">
        <f t="shared" si="103"/>
        <v>Delivered</v>
      </c>
      <c r="P1131" t="str">
        <f t="shared" si="104"/>
        <v>WH-BOM</v>
      </c>
      <c r="Q1131" t="str">
        <f>VLOOKUP(C1131, Lookups!$A$2:$D$10, 2, FALSE())</f>
        <v>NextGen Hardware</v>
      </c>
      <c r="R1131" t="str">
        <f>_xlfn.XLOOKUP(D1131, Lookups!$A$12:$A$51, Lookups!$C$12:$C$51, "Unknown")</f>
        <v>Electronics</v>
      </c>
      <c r="S1131" t="str">
        <f>IF(ISBLANK(I1131), B1131+VLOOKUP(C1131, Lookups!$A$2:$D$10, 4, FALSE()), I1131)</f>
        <v>2025-05-18</v>
      </c>
      <c r="T1131">
        <f t="shared" si="105"/>
        <v>24</v>
      </c>
      <c r="U1131" t="str">
        <f t="shared" si="106"/>
        <v>On-Time</v>
      </c>
      <c r="V1131">
        <f t="shared" si="107"/>
        <v>0</v>
      </c>
    </row>
    <row r="1132" spans="1:22" x14ac:dyDescent="0.45">
      <c r="A1132" t="s">
        <v>1963</v>
      </c>
      <c r="B1132" t="s">
        <v>366</v>
      </c>
      <c r="C1132" t="s">
        <v>31</v>
      </c>
      <c r="D1132" t="s">
        <v>64</v>
      </c>
      <c r="E1132" t="s">
        <v>17</v>
      </c>
      <c r="F1132">
        <v>211</v>
      </c>
      <c r="G1132">
        <v>36295</v>
      </c>
      <c r="H1132">
        <v>7658245</v>
      </c>
      <c r="I1132" t="s">
        <v>1095</v>
      </c>
      <c r="J1132" t="s">
        <v>1095</v>
      </c>
      <c r="K1132">
        <v>211</v>
      </c>
      <c r="L1132">
        <v>0</v>
      </c>
      <c r="M1132" t="s">
        <v>115</v>
      </c>
      <c r="N1132" t="str">
        <f t="shared" si="102"/>
        <v>PO-101131</v>
      </c>
      <c r="O1132" t="str">
        <f t="shared" si="103"/>
        <v>Delivered</v>
      </c>
      <c r="P1132" t="str">
        <f t="shared" si="104"/>
        <v>WH-BLR</v>
      </c>
      <c r="Q1132" t="str">
        <f>VLOOKUP(C1132, Lookups!$A$2:$D$10, 2, FALSE())</f>
        <v>Global Networks</v>
      </c>
      <c r="R1132" t="str">
        <f>_xlfn.XLOOKUP(D1132, Lookups!$A$12:$A$51, Lookups!$C$12:$C$51, "Unknown")</f>
        <v>Networking</v>
      </c>
      <c r="S1132" t="str">
        <f>IF(ISBLANK(I1132), B1132+VLOOKUP(C1132, Lookups!$A$2:$D$10, 4, FALSE()), I1132)</f>
        <v>2026-05-07</v>
      </c>
      <c r="T1132">
        <f t="shared" si="105"/>
        <v>21</v>
      </c>
      <c r="U1132" t="str">
        <f t="shared" si="106"/>
        <v>On-Time</v>
      </c>
      <c r="V1132">
        <f t="shared" si="107"/>
        <v>0</v>
      </c>
    </row>
    <row r="1133" spans="1:22" x14ac:dyDescent="0.45">
      <c r="A1133" t="s">
        <v>1964</v>
      </c>
      <c r="B1133" t="s">
        <v>895</v>
      </c>
      <c r="C1133" t="s">
        <v>30</v>
      </c>
      <c r="D1133" t="s">
        <v>52</v>
      </c>
      <c r="E1133" t="s">
        <v>15</v>
      </c>
      <c r="F1133">
        <v>182</v>
      </c>
      <c r="G1133">
        <v>59592</v>
      </c>
      <c r="H1133">
        <v>10845744</v>
      </c>
      <c r="I1133" t="s">
        <v>137</v>
      </c>
      <c r="J1133" t="s">
        <v>137</v>
      </c>
      <c r="K1133">
        <v>182</v>
      </c>
      <c r="L1133">
        <v>0</v>
      </c>
      <c r="M1133" t="s">
        <v>115</v>
      </c>
      <c r="N1133" t="str">
        <f t="shared" si="102"/>
        <v>PO-101132</v>
      </c>
      <c r="O1133" t="str">
        <f t="shared" si="103"/>
        <v>Delivered</v>
      </c>
      <c r="P1133" t="str">
        <f t="shared" si="104"/>
        <v>WH-BOM</v>
      </c>
      <c r="Q1133" t="str">
        <f>VLOOKUP(C1133, Lookups!$A$2:$D$10, 2, FALSE())</f>
        <v>TechSupply Corp</v>
      </c>
      <c r="R1133" t="str">
        <f>_xlfn.XLOOKUP(D1133, Lookups!$A$12:$A$51, Lookups!$C$12:$C$51, "Unknown")</f>
        <v>Electronics</v>
      </c>
      <c r="S1133" t="str">
        <f>IF(ISBLANK(I1133), B1133+VLOOKUP(C1133, Lookups!$A$2:$D$10, 4, FALSE()), I1133)</f>
        <v>2025-09-08</v>
      </c>
      <c r="T1133">
        <f t="shared" si="105"/>
        <v>14</v>
      </c>
      <c r="U1133" t="str">
        <f t="shared" si="106"/>
        <v>On-Time</v>
      </c>
      <c r="V1133">
        <f t="shared" si="107"/>
        <v>0</v>
      </c>
    </row>
    <row r="1134" spans="1:22" x14ac:dyDescent="0.45">
      <c r="A1134" t="s">
        <v>1965</v>
      </c>
      <c r="B1134" t="s">
        <v>231</v>
      </c>
      <c r="C1134" t="s">
        <v>34</v>
      </c>
      <c r="D1134" t="s">
        <v>76</v>
      </c>
      <c r="E1134" t="s">
        <v>15</v>
      </c>
      <c r="F1134">
        <v>205</v>
      </c>
      <c r="G1134">
        <v>26270</v>
      </c>
      <c r="H1134">
        <v>5385350</v>
      </c>
      <c r="I1134" t="s">
        <v>777</v>
      </c>
      <c r="J1134" t="s">
        <v>399</v>
      </c>
      <c r="K1134">
        <v>205</v>
      </c>
      <c r="L1134">
        <v>0</v>
      </c>
      <c r="M1134" t="s">
        <v>115</v>
      </c>
      <c r="N1134" t="str">
        <f t="shared" si="102"/>
        <v>PO-101133</v>
      </c>
      <c r="O1134" t="str">
        <f t="shared" si="103"/>
        <v>Delivered</v>
      </c>
      <c r="P1134" t="str">
        <f t="shared" si="104"/>
        <v>WH-BOM</v>
      </c>
      <c r="Q1134" t="str">
        <f>VLOOKUP(C1134, Lookups!$A$2:$D$10, 2, FALSE())</f>
        <v>FastElectronics</v>
      </c>
      <c r="R1134" t="str">
        <f>_xlfn.XLOOKUP(D1134, Lookups!$A$12:$A$51, Lookups!$C$12:$C$51, "Unknown")</f>
        <v>Networking</v>
      </c>
      <c r="S1134" t="str">
        <f>IF(ISBLANK(I1134), B1134+VLOOKUP(C1134, Lookups!$A$2:$D$10, 4, FALSE()), I1134)</f>
        <v>2025-11-25</v>
      </c>
      <c r="T1134">
        <f t="shared" si="105"/>
        <v>19</v>
      </c>
      <c r="U1134" t="str">
        <f t="shared" si="106"/>
        <v>Late</v>
      </c>
      <c r="V1134">
        <f t="shared" si="107"/>
        <v>0</v>
      </c>
    </row>
    <row r="1135" spans="1:22" x14ac:dyDescent="0.45">
      <c r="A1135" t="s">
        <v>1966</v>
      </c>
      <c r="B1135" t="s">
        <v>604</v>
      </c>
      <c r="C1135" t="s">
        <v>31</v>
      </c>
      <c r="D1135" t="s">
        <v>56</v>
      </c>
      <c r="E1135" t="s">
        <v>15</v>
      </c>
      <c r="F1135">
        <v>77</v>
      </c>
      <c r="G1135">
        <v>39270</v>
      </c>
      <c r="H1135">
        <v>3023790</v>
      </c>
      <c r="I1135" t="s">
        <v>1673</v>
      </c>
      <c r="J1135" t="s">
        <v>1673</v>
      </c>
      <c r="K1135">
        <v>77</v>
      </c>
      <c r="L1135">
        <v>0</v>
      </c>
      <c r="M1135" t="s">
        <v>115</v>
      </c>
      <c r="N1135" t="str">
        <f t="shared" si="102"/>
        <v>PO-101134</v>
      </c>
      <c r="O1135" t="str">
        <f t="shared" si="103"/>
        <v>Delivered</v>
      </c>
      <c r="P1135" t="str">
        <f t="shared" si="104"/>
        <v>WH-BOM</v>
      </c>
      <c r="Q1135" t="str">
        <f>VLOOKUP(C1135, Lookups!$A$2:$D$10, 2, FALSE())</f>
        <v>Global Networks</v>
      </c>
      <c r="R1135" t="str">
        <f>_xlfn.XLOOKUP(D1135, Lookups!$A$12:$A$51, Lookups!$C$12:$C$51, "Unknown")</f>
        <v>Networking</v>
      </c>
      <c r="S1135" t="str">
        <f>IF(ISBLANK(I1135), B1135+VLOOKUP(C1135, Lookups!$A$2:$D$10, 4, FALSE()), I1135)</f>
        <v>2025-09-02</v>
      </c>
      <c r="T1135">
        <f t="shared" si="105"/>
        <v>21</v>
      </c>
      <c r="U1135" t="str">
        <f t="shared" si="106"/>
        <v>On-Time</v>
      </c>
      <c r="V1135">
        <f t="shared" si="107"/>
        <v>0</v>
      </c>
    </row>
    <row r="1136" spans="1:22" x14ac:dyDescent="0.45">
      <c r="A1136" t="s">
        <v>1967</v>
      </c>
      <c r="B1136" t="s">
        <v>217</v>
      </c>
      <c r="C1136" t="s">
        <v>32</v>
      </c>
      <c r="D1136" t="s">
        <v>67</v>
      </c>
      <c r="E1136" t="s">
        <v>18</v>
      </c>
      <c r="F1136">
        <v>229</v>
      </c>
      <c r="G1136">
        <v>1553</v>
      </c>
      <c r="H1136">
        <v>355637</v>
      </c>
      <c r="I1136" t="s">
        <v>573</v>
      </c>
      <c r="J1136" t="s">
        <v>574</v>
      </c>
      <c r="K1136">
        <v>229</v>
      </c>
      <c r="L1136">
        <v>0</v>
      </c>
      <c r="M1136" t="s">
        <v>115</v>
      </c>
      <c r="N1136" t="str">
        <f t="shared" si="102"/>
        <v>PO-101135</v>
      </c>
      <c r="O1136" t="str">
        <f t="shared" si="103"/>
        <v>Delivered</v>
      </c>
      <c r="P1136" t="str">
        <f t="shared" si="104"/>
        <v>WH-PUN</v>
      </c>
      <c r="Q1136" t="str">
        <f>VLOOKUP(C1136, Lookups!$A$2:$D$10, 2, FALSE())</f>
        <v>OfficeDepot Pro</v>
      </c>
      <c r="R1136" t="str">
        <f>_xlfn.XLOOKUP(D1136, Lookups!$A$12:$A$51, Lookups!$C$12:$C$51, "Unknown")</f>
        <v>Peripherals</v>
      </c>
      <c r="S1136" t="str">
        <f>IF(ISBLANK(I1136), B1136+VLOOKUP(C1136, Lookups!$A$2:$D$10, 4, FALSE()), I1136)</f>
        <v>2026-04-30</v>
      </c>
      <c r="T1136">
        <f t="shared" si="105"/>
        <v>8</v>
      </c>
      <c r="U1136" t="str">
        <f t="shared" si="106"/>
        <v>Late</v>
      </c>
      <c r="V1136">
        <f t="shared" si="107"/>
        <v>0</v>
      </c>
    </row>
    <row r="1137" spans="1:22" x14ac:dyDescent="0.45">
      <c r="A1137" t="s">
        <v>1968</v>
      </c>
      <c r="B1137" t="s">
        <v>595</v>
      </c>
      <c r="C1137" t="s">
        <v>36</v>
      </c>
      <c r="D1137" t="s">
        <v>90</v>
      </c>
      <c r="E1137" t="s">
        <v>16</v>
      </c>
      <c r="F1137">
        <v>42</v>
      </c>
      <c r="G1137">
        <v>81434</v>
      </c>
      <c r="H1137">
        <v>3420228</v>
      </c>
      <c r="I1137" t="s">
        <v>397</v>
      </c>
      <c r="J1137" t="s">
        <v>397</v>
      </c>
      <c r="K1137">
        <v>42</v>
      </c>
      <c r="L1137">
        <v>2</v>
      </c>
      <c r="M1137" t="s">
        <v>115</v>
      </c>
      <c r="N1137" t="str">
        <f t="shared" si="102"/>
        <v>PO-101136</v>
      </c>
      <c r="O1137" t="str">
        <f t="shared" si="103"/>
        <v>Delivered</v>
      </c>
      <c r="P1137" t="str">
        <f t="shared" si="104"/>
        <v>WH-DEL</v>
      </c>
      <c r="Q1137" t="str">
        <f>VLOOKUP(C1137, Lookups!$A$2:$D$10, 2, FALSE())</f>
        <v>NextGen Hardware</v>
      </c>
      <c r="R1137" t="str">
        <f>_xlfn.XLOOKUP(D1137, Lookups!$A$12:$A$51, Lookups!$C$12:$C$51, "Unknown")</f>
        <v>Electronics</v>
      </c>
      <c r="S1137" t="str">
        <f>IF(ISBLANK(I1137), B1137+VLOOKUP(C1137, Lookups!$A$2:$D$10, 4, FALSE()), I1137)</f>
        <v>2025-04-06</v>
      </c>
      <c r="T1137">
        <f t="shared" si="105"/>
        <v>24</v>
      </c>
      <c r="U1137" t="str">
        <f t="shared" si="106"/>
        <v>On-Time</v>
      </c>
      <c r="V1137">
        <f t="shared" si="107"/>
        <v>4.7619047619047616E-2</v>
      </c>
    </row>
    <row r="1138" spans="1:22" x14ac:dyDescent="0.45">
      <c r="A1138" t="s">
        <v>1969</v>
      </c>
      <c r="B1138" t="s">
        <v>432</v>
      </c>
      <c r="C1138" t="s">
        <v>31</v>
      </c>
      <c r="D1138" t="s">
        <v>85</v>
      </c>
      <c r="E1138" t="s">
        <v>18</v>
      </c>
      <c r="F1138">
        <v>220</v>
      </c>
      <c r="G1138">
        <v>16501</v>
      </c>
      <c r="H1138">
        <v>3630220</v>
      </c>
      <c r="I1138" t="s">
        <v>1456</v>
      </c>
      <c r="J1138" t="s">
        <v>571</v>
      </c>
      <c r="K1138">
        <v>220</v>
      </c>
      <c r="L1138">
        <v>0</v>
      </c>
      <c r="M1138" t="s">
        <v>115</v>
      </c>
      <c r="N1138" t="str">
        <f t="shared" si="102"/>
        <v>PO-101137</v>
      </c>
      <c r="O1138" t="str">
        <f t="shared" si="103"/>
        <v>Delivered</v>
      </c>
      <c r="P1138" t="str">
        <f t="shared" si="104"/>
        <v>WH-PUN</v>
      </c>
      <c r="Q1138" t="str">
        <f>VLOOKUP(C1138, Lookups!$A$2:$D$10, 2, FALSE())</f>
        <v>Global Networks</v>
      </c>
      <c r="R1138" t="str">
        <f>_xlfn.XLOOKUP(D1138, Lookups!$A$12:$A$51, Lookups!$C$12:$C$51, "Unknown")</f>
        <v>Networking</v>
      </c>
      <c r="S1138" t="str">
        <f>IF(ISBLANK(I1138), B1138+VLOOKUP(C1138, Lookups!$A$2:$D$10, 4, FALSE()), I1138)</f>
        <v>2025-04-15</v>
      </c>
      <c r="T1138">
        <f t="shared" si="105"/>
        <v>22</v>
      </c>
      <c r="U1138" t="str">
        <f t="shared" si="106"/>
        <v>Late</v>
      </c>
      <c r="V1138">
        <f t="shared" si="107"/>
        <v>0</v>
      </c>
    </row>
    <row r="1139" spans="1:22" x14ac:dyDescent="0.45">
      <c r="A1139" t="s">
        <v>1970</v>
      </c>
      <c r="B1139" t="s">
        <v>662</v>
      </c>
      <c r="C1139" t="s">
        <v>31</v>
      </c>
      <c r="D1139" t="s">
        <v>66</v>
      </c>
      <c r="E1139" t="s">
        <v>15</v>
      </c>
      <c r="F1139">
        <v>49</v>
      </c>
      <c r="G1139">
        <v>29719</v>
      </c>
      <c r="H1139">
        <v>1456231</v>
      </c>
      <c r="I1139" t="s">
        <v>281</v>
      </c>
      <c r="J1139" t="s">
        <v>1401</v>
      </c>
      <c r="K1139">
        <v>49</v>
      </c>
      <c r="L1139">
        <v>0</v>
      </c>
      <c r="M1139" t="s">
        <v>115</v>
      </c>
      <c r="N1139" t="str">
        <f t="shared" si="102"/>
        <v>PO-101138</v>
      </c>
      <c r="O1139" t="str">
        <f t="shared" si="103"/>
        <v>Delivered</v>
      </c>
      <c r="P1139" t="str">
        <f t="shared" si="104"/>
        <v>WH-BOM</v>
      </c>
      <c r="Q1139" t="str">
        <f>VLOOKUP(C1139, Lookups!$A$2:$D$10, 2, FALSE())</f>
        <v>Global Networks</v>
      </c>
      <c r="R1139" t="str">
        <f>_xlfn.XLOOKUP(D1139, Lookups!$A$12:$A$51, Lookups!$C$12:$C$51, "Unknown")</f>
        <v>Networking</v>
      </c>
      <c r="S1139" t="str">
        <f>IF(ISBLANK(I1139), B1139+VLOOKUP(C1139, Lookups!$A$2:$D$10, 4, FALSE()), I1139)</f>
        <v>2026-10-26</v>
      </c>
      <c r="T1139">
        <f t="shared" si="105"/>
        <v>19</v>
      </c>
      <c r="U1139" t="str">
        <f t="shared" si="106"/>
        <v>On-Time</v>
      </c>
      <c r="V1139">
        <f t="shared" si="107"/>
        <v>0</v>
      </c>
    </row>
    <row r="1140" spans="1:22" x14ac:dyDescent="0.45">
      <c r="A1140" t="s">
        <v>1971</v>
      </c>
      <c r="B1140" t="s">
        <v>887</v>
      </c>
      <c r="C1140" t="s">
        <v>36</v>
      </c>
      <c r="D1140" t="s">
        <v>90</v>
      </c>
      <c r="E1140" t="s">
        <v>16</v>
      </c>
      <c r="F1140">
        <v>118</v>
      </c>
      <c r="G1140">
        <v>81434</v>
      </c>
      <c r="H1140">
        <v>9609212</v>
      </c>
      <c r="I1140" t="s">
        <v>366</v>
      </c>
      <c r="J1140" t="s">
        <v>855</v>
      </c>
      <c r="K1140">
        <v>118</v>
      </c>
      <c r="L1140">
        <v>0</v>
      </c>
      <c r="M1140" t="s">
        <v>115</v>
      </c>
      <c r="N1140" t="str">
        <f t="shared" si="102"/>
        <v>PO-101139</v>
      </c>
      <c r="O1140" t="str">
        <f t="shared" si="103"/>
        <v>Delivered</v>
      </c>
      <c r="P1140" t="str">
        <f t="shared" si="104"/>
        <v>WH-DEL</v>
      </c>
      <c r="Q1140" t="str">
        <f>VLOOKUP(C1140, Lookups!$A$2:$D$10, 2, FALSE())</f>
        <v>NextGen Hardware</v>
      </c>
      <c r="R1140" t="str">
        <f>_xlfn.XLOOKUP(D1140, Lookups!$A$12:$A$51, Lookups!$C$12:$C$51, "Unknown")</f>
        <v>Electronics</v>
      </c>
      <c r="S1140" t="str">
        <f>IF(ISBLANK(I1140), B1140+VLOOKUP(C1140, Lookups!$A$2:$D$10, 4, FALSE()), I1140)</f>
        <v>2026-04-16</v>
      </c>
      <c r="T1140">
        <f t="shared" si="105"/>
        <v>25</v>
      </c>
      <c r="U1140" t="str">
        <f t="shared" si="106"/>
        <v>Late</v>
      </c>
      <c r="V1140">
        <f t="shared" si="107"/>
        <v>0</v>
      </c>
    </row>
    <row r="1141" spans="1:22" x14ac:dyDescent="0.45">
      <c r="A1141" t="s">
        <v>1972</v>
      </c>
      <c r="B1141" t="s">
        <v>566</v>
      </c>
      <c r="C1141" t="s">
        <v>37</v>
      </c>
      <c r="D1141" t="s">
        <v>78</v>
      </c>
      <c r="E1141" t="s">
        <v>18</v>
      </c>
      <c r="F1141">
        <v>121</v>
      </c>
      <c r="G1141">
        <v>9423</v>
      </c>
      <c r="H1141">
        <v>1140183</v>
      </c>
      <c r="I1141" t="s">
        <v>562</v>
      </c>
      <c r="J1141" t="s">
        <v>562</v>
      </c>
      <c r="K1141">
        <v>121</v>
      </c>
      <c r="L1141">
        <v>0</v>
      </c>
      <c r="M1141" t="s">
        <v>115</v>
      </c>
      <c r="N1141" t="str">
        <f t="shared" si="102"/>
        <v>PO-101140</v>
      </c>
      <c r="O1141" t="str">
        <f t="shared" si="103"/>
        <v>Delivered</v>
      </c>
      <c r="P1141" t="str">
        <f t="shared" si="104"/>
        <v>WH-PUN</v>
      </c>
      <c r="Q1141" t="str">
        <f>VLOOKUP(C1141, Lookups!$A$2:$D$10, 2, FALSE())</f>
        <v>Premium Desks Ltd</v>
      </c>
      <c r="R1141" t="str">
        <f>_xlfn.XLOOKUP(D1141, Lookups!$A$12:$A$51, Lookups!$C$12:$C$51, "Unknown")</f>
        <v>Office Furniture</v>
      </c>
      <c r="S1141" t="str">
        <f>IF(ISBLANK(I1141), B1141+VLOOKUP(C1141, Lookups!$A$2:$D$10, 4, FALSE()), I1141)</f>
        <v>2025-03-21</v>
      </c>
      <c r="T1141">
        <f t="shared" si="105"/>
        <v>12</v>
      </c>
      <c r="U1141" t="str">
        <f t="shared" si="106"/>
        <v>On-Time</v>
      </c>
      <c r="V1141">
        <f t="shared" si="107"/>
        <v>0</v>
      </c>
    </row>
    <row r="1142" spans="1:22" x14ac:dyDescent="0.45">
      <c r="A1142" t="s">
        <v>1973</v>
      </c>
      <c r="B1142" t="s">
        <v>672</v>
      </c>
      <c r="C1142" t="s">
        <v>31</v>
      </c>
      <c r="D1142" t="s">
        <v>56</v>
      </c>
      <c r="E1142" t="s">
        <v>16</v>
      </c>
      <c r="F1142">
        <v>178</v>
      </c>
      <c r="G1142">
        <v>39270</v>
      </c>
      <c r="H1142">
        <v>6990060</v>
      </c>
      <c r="I1142" t="s">
        <v>1102</v>
      </c>
      <c r="J1142" t="s">
        <v>789</v>
      </c>
      <c r="K1142">
        <v>178</v>
      </c>
      <c r="L1142">
        <v>0</v>
      </c>
      <c r="M1142" t="s">
        <v>115</v>
      </c>
      <c r="N1142" t="str">
        <f t="shared" si="102"/>
        <v>PO-101141</v>
      </c>
      <c r="O1142" t="str">
        <f t="shared" si="103"/>
        <v>Delivered</v>
      </c>
      <c r="P1142" t="str">
        <f t="shared" si="104"/>
        <v>WH-DEL</v>
      </c>
      <c r="Q1142" t="str">
        <f>VLOOKUP(C1142, Lookups!$A$2:$D$10, 2, FALSE())</f>
        <v>Global Networks</v>
      </c>
      <c r="R1142" t="str">
        <f>_xlfn.XLOOKUP(D1142, Lookups!$A$12:$A$51, Lookups!$C$12:$C$51, "Unknown")</f>
        <v>Networking</v>
      </c>
      <c r="S1142" t="str">
        <f>IF(ISBLANK(I1142), B1142+VLOOKUP(C1142, Lookups!$A$2:$D$10, 4, FALSE()), I1142)</f>
        <v>2026-12-05</v>
      </c>
      <c r="T1142">
        <f t="shared" si="105"/>
        <v>28</v>
      </c>
      <c r="U1142" t="str">
        <f t="shared" si="106"/>
        <v>Late</v>
      </c>
      <c r="V1142">
        <f t="shared" si="107"/>
        <v>0</v>
      </c>
    </row>
    <row r="1143" spans="1:22" x14ac:dyDescent="0.45">
      <c r="A1143" t="s">
        <v>1974</v>
      </c>
      <c r="B1143" t="s">
        <v>209</v>
      </c>
      <c r="C1143" t="s">
        <v>31</v>
      </c>
      <c r="D1143" t="s">
        <v>77</v>
      </c>
      <c r="E1143" t="s">
        <v>18</v>
      </c>
      <c r="F1143">
        <v>243</v>
      </c>
      <c r="G1143">
        <v>23667</v>
      </c>
      <c r="H1143">
        <v>5751081</v>
      </c>
      <c r="I1143" t="s">
        <v>635</v>
      </c>
      <c r="J1143" t="s">
        <v>1187</v>
      </c>
      <c r="K1143">
        <v>243</v>
      </c>
      <c r="L1143">
        <v>0</v>
      </c>
      <c r="M1143" t="s">
        <v>115</v>
      </c>
      <c r="N1143" t="str">
        <f t="shared" si="102"/>
        <v>PO-101142</v>
      </c>
      <c r="O1143" t="str">
        <f t="shared" si="103"/>
        <v>Delivered</v>
      </c>
      <c r="P1143" t="str">
        <f t="shared" si="104"/>
        <v>WH-PUN</v>
      </c>
      <c r="Q1143" t="str">
        <f>VLOOKUP(C1143, Lookups!$A$2:$D$10, 2, FALSE())</f>
        <v>Global Networks</v>
      </c>
      <c r="R1143" t="str">
        <f>_xlfn.XLOOKUP(D1143, Lookups!$A$12:$A$51, Lookups!$C$12:$C$51, "Unknown")</f>
        <v>Networking</v>
      </c>
      <c r="S1143" t="str">
        <f>IF(ISBLANK(I1143), B1143+VLOOKUP(C1143, Lookups!$A$2:$D$10, 4, FALSE()), I1143)</f>
        <v>2025-06-23</v>
      </c>
      <c r="T1143">
        <f t="shared" si="105"/>
        <v>29</v>
      </c>
      <c r="U1143" t="str">
        <f t="shared" si="106"/>
        <v>Late</v>
      </c>
      <c r="V1143">
        <f t="shared" si="107"/>
        <v>0</v>
      </c>
    </row>
    <row r="1144" spans="1:22" x14ac:dyDescent="0.45">
      <c r="A1144" t="s">
        <v>1975</v>
      </c>
      <c r="B1144" t="s">
        <v>1615</v>
      </c>
      <c r="C1144" t="s">
        <v>34</v>
      </c>
      <c r="D1144" t="s">
        <v>68</v>
      </c>
      <c r="E1144" t="s">
        <v>17</v>
      </c>
      <c r="F1144">
        <v>226</v>
      </c>
      <c r="G1144">
        <v>41405</v>
      </c>
      <c r="H1144">
        <v>9357530</v>
      </c>
      <c r="I1144" t="s">
        <v>493</v>
      </c>
      <c r="J1144" t="s">
        <v>493</v>
      </c>
      <c r="K1144">
        <v>226</v>
      </c>
      <c r="L1144">
        <v>0</v>
      </c>
      <c r="M1144" t="s">
        <v>115</v>
      </c>
      <c r="N1144" t="str">
        <f t="shared" si="102"/>
        <v>PO-101143</v>
      </c>
      <c r="O1144" t="str">
        <f t="shared" si="103"/>
        <v>Delivered</v>
      </c>
      <c r="P1144" t="str">
        <f t="shared" si="104"/>
        <v>WH-BLR</v>
      </c>
      <c r="Q1144" t="str">
        <f>VLOOKUP(C1144, Lookups!$A$2:$D$10, 2, FALSE())</f>
        <v>FastElectronics</v>
      </c>
      <c r="R1144" t="str">
        <f>_xlfn.XLOOKUP(D1144, Lookups!$A$12:$A$51, Lookups!$C$12:$C$51, "Unknown")</f>
        <v>Networking</v>
      </c>
      <c r="S1144" t="str">
        <f>IF(ISBLANK(I1144), B1144+VLOOKUP(C1144, Lookups!$A$2:$D$10, 4, FALSE()), I1144)</f>
        <v>2026-09-08</v>
      </c>
      <c r="T1144">
        <f t="shared" si="105"/>
        <v>18</v>
      </c>
      <c r="U1144" t="str">
        <f t="shared" si="106"/>
        <v>On-Time</v>
      </c>
      <c r="V1144">
        <f t="shared" si="107"/>
        <v>0</v>
      </c>
    </row>
    <row r="1145" spans="1:22" x14ac:dyDescent="0.45">
      <c r="A1145" t="s">
        <v>1976</v>
      </c>
      <c r="B1145" t="s">
        <v>222</v>
      </c>
      <c r="C1145" t="s">
        <v>34</v>
      </c>
      <c r="D1145" t="s">
        <v>68</v>
      </c>
      <c r="E1145" t="s">
        <v>17</v>
      </c>
      <c r="F1145">
        <v>87</v>
      </c>
      <c r="G1145">
        <v>41405</v>
      </c>
      <c r="H1145">
        <v>3602235</v>
      </c>
      <c r="I1145" t="s">
        <v>619</v>
      </c>
      <c r="J1145" t="s">
        <v>1084</v>
      </c>
      <c r="K1145">
        <v>87</v>
      </c>
      <c r="L1145">
        <v>0</v>
      </c>
      <c r="M1145" t="s">
        <v>115</v>
      </c>
      <c r="N1145" t="str">
        <f t="shared" si="102"/>
        <v>PO-101144</v>
      </c>
      <c r="O1145" t="str">
        <f t="shared" si="103"/>
        <v>Delivered</v>
      </c>
      <c r="P1145" t="str">
        <f t="shared" si="104"/>
        <v>WH-BLR</v>
      </c>
      <c r="Q1145" t="str">
        <f>VLOOKUP(C1145, Lookups!$A$2:$D$10, 2, FALSE())</f>
        <v>FastElectronics</v>
      </c>
      <c r="R1145" t="str">
        <f>_xlfn.XLOOKUP(D1145, Lookups!$A$12:$A$51, Lookups!$C$12:$C$51, "Unknown")</f>
        <v>Networking</v>
      </c>
      <c r="S1145" t="str">
        <f>IF(ISBLANK(I1145), B1145+VLOOKUP(C1145, Lookups!$A$2:$D$10, 4, FALSE()), I1145)</f>
        <v>2026-03-19</v>
      </c>
      <c r="T1145">
        <f t="shared" si="105"/>
        <v>19</v>
      </c>
      <c r="U1145" t="str">
        <f t="shared" si="106"/>
        <v>Late</v>
      </c>
      <c r="V1145">
        <f t="shared" si="107"/>
        <v>0</v>
      </c>
    </row>
    <row r="1146" spans="1:22" x14ac:dyDescent="0.45">
      <c r="A1146" t="s">
        <v>1977</v>
      </c>
      <c r="B1146" t="s">
        <v>646</v>
      </c>
      <c r="C1146" t="s">
        <v>37</v>
      </c>
      <c r="D1146" t="s">
        <v>79</v>
      </c>
      <c r="E1146" t="s">
        <v>18</v>
      </c>
      <c r="F1146">
        <v>139</v>
      </c>
      <c r="G1146">
        <v>23054</v>
      </c>
      <c r="H1146">
        <v>3204506</v>
      </c>
      <c r="I1146" t="s">
        <v>181</v>
      </c>
      <c r="J1146" t="s">
        <v>157</v>
      </c>
      <c r="K1146">
        <v>97</v>
      </c>
      <c r="L1146">
        <v>0</v>
      </c>
      <c r="M1146" t="s">
        <v>115</v>
      </c>
      <c r="N1146" t="str">
        <f t="shared" si="102"/>
        <v>PO-101145</v>
      </c>
      <c r="O1146" t="str">
        <f t="shared" si="103"/>
        <v>Delivered</v>
      </c>
      <c r="P1146" t="str">
        <f t="shared" si="104"/>
        <v>WH-PUN</v>
      </c>
      <c r="Q1146" t="str">
        <f>VLOOKUP(C1146, Lookups!$A$2:$D$10, 2, FALSE())</f>
        <v>Premium Desks Ltd</v>
      </c>
      <c r="R1146" t="str">
        <f>_xlfn.XLOOKUP(D1146, Lookups!$A$12:$A$51, Lookups!$C$12:$C$51, "Unknown")</f>
        <v>Office Furniture</v>
      </c>
      <c r="S1146" t="str">
        <f>IF(ISBLANK(I1146), B1146+VLOOKUP(C1146, Lookups!$A$2:$D$10, 4, FALSE()), I1146)</f>
        <v>2026-10-19</v>
      </c>
      <c r="T1146">
        <f t="shared" si="105"/>
        <v>15</v>
      </c>
      <c r="U1146" t="str">
        <f t="shared" si="106"/>
        <v>Late</v>
      </c>
      <c r="V1146">
        <f t="shared" si="107"/>
        <v>0</v>
      </c>
    </row>
    <row r="1147" spans="1:22" x14ac:dyDescent="0.45">
      <c r="A1147" t="s">
        <v>1978</v>
      </c>
      <c r="B1147" t="s">
        <v>1979</v>
      </c>
      <c r="C1147" t="s">
        <v>34</v>
      </c>
      <c r="D1147" t="s">
        <v>68</v>
      </c>
      <c r="E1147" t="s">
        <v>15</v>
      </c>
      <c r="F1147">
        <v>164</v>
      </c>
      <c r="G1147">
        <v>41405</v>
      </c>
      <c r="H1147">
        <v>6790420</v>
      </c>
      <c r="I1147" t="s">
        <v>443</v>
      </c>
      <c r="J1147" t="s">
        <v>443</v>
      </c>
      <c r="K1147">
        <v>164</v>
      </c>
      <c r="L1147">
        <v>0</v>
      </c>
      <c r="M1147" t="s">
        <v>115</v>
      </c>
      <c r="N1147" t="str">
        <f t="shared" si="102"/>
        <v>PO-101146</v>
      </c>
      <c r="O1147" t="str">
        <f t="shared" si="103"/>
        <v>Delivered</v>
      </c>
      <c r="P1147" t="str">
        <f t="shared" si="104"/>
        <v>WH-BOM</v>
      </c>
      <c r="Q1147" t="str">
        <f>VLOOKUP(C1147, Lookups!$A$2:$D$10, 2, FALSE())</f>
        <v>FastElectronics</v>
      </c>
      <c r="R1147" t="str">
        <f>_xlfn.XLOOKUP(D1147, Lookups!$A$12:$A$51, Lookups!$C$12:$C$51, "Unknown")</f>
        <v>Networking</v>
      </c>
      <c r="S1147" t="str">
        <f>IF(ISBLANK(I1147), B1147+VLOOKUP(C1147, Lookups!$A$2:$D$10, 4, FALSE()), I1147)</f>
        <v>2026-03-31</v>
      </c>
      <c r="T1147">
        <f t="shared" si="105"/>
        <v>18</v>
      </c>
      <c r="U1147" t="str">
        <f t="shared" si="106"/>
        <v>On-Time</v>
      </c>
      <c r="V1147">
        <f t="shared" si="107"/>
        <v>0</v>
      </c>
    </row>
    <row r="1148" spans="1:22" x14ac:dyDescent="0.45">
      <c r="A1148" t="s">
        <v>1980</v>
      </c>
      <c r="B1148" t="s">
        <v>478</v>
      </c>
      <c r="C1148" t="s">
        <v>34</v>
      </c>
      <c r="D1148" t="s">
        <v>73</v>
      </c>
      <c r="E1148" t="s">
        <v>17</v>
      </c>
      <c r="F1148">
        <v>189</v>
      </c>
      <c r="G1148">
        <v>58396</v>
      </c>
      <c r="H1148">
        <v>11036844</v>
      </c>
      <c r="I1148" t="s">
        <v>571</v>
      </c>
      <c r="J1148" t="s">
        <v>571</v>
      </c>
      <c r="K1148">
        <v>189</v>
      </c>
      <c r="L1148">
        <v>0</v>
      </c>
      <c r="M1148" t="s">
        <v>115</v>
      </c>
      <c r="N1148" t="str">
        <f t="shared" si="102"/>
        <v>PO-101147</v>
      </c>
      <c r="O1148" t="str">
        <f t="shared" si="103"/>
        <v>Delivered</v>
      </c>
      <c r="P1148" t="str">
        <f t="shared" si="104"/>
        <v>WH-BLR</v>
      </c>
      <c r="Q1148" t="str">
        <f>VLOOKUP(C1148, Lookups!$A$2:$D$10, 2, FALSE())</f>
        <v>FastElectronics</v>
      </c>
      <c r="R1148" t="str">
        <f>_xlfn.XLOOKUP(D1148, Lookups!$A$12:$A$51, Lookups!$C$12:$C$51, "Unknown")</f>
        <v>Electronics</v>
      </c>
      <c r="S1148" t="str">
        <f>IF(ISBLANK(I1148), B1148+VLOOKUP(C1148, Lookups!$A$2:$D$10, 4, FALSE()), I1148)</f>
        <v>2025-04-16</v>
      </c>
      <c r="T1148">
        <f t="shared" si="105"/>
        <v>18</v>
      </c>
      <c r="U1148" t="str">
        <f t="shared" si="106"/>
        <v>On-Time</v>
      </c>
      <c r="V1148">
        <f t="shared" si="107"/>
        <v>0</v>
      </c>
    </row>
    <row r="1149" spans="1:22" x14ac:dyDescent="0.45">
      <c r="A1149" t="s">
        <v>1981</v>
      </c>
      <c r="B1149" t="s">
        <v>210</v>
      </c>
      <c r="C1149" t="s">
        <v>30</v>
      </c>
      <c r="D1149" t="s">
        <v>82</v>
      </c>
      <c r="E1149" t="s">
        <v>18</v>
      </c>
      <c r="F1149">
        <v>247</v>
      </c>
      <c r="G1149">
        <v>83427</v>
      </c>
      <c r="H1149">
        <v>20606469</v>
      </c>
      <c r="I1149" t="s">
        <v>1133</v>
      </c>
      <c r="J1149" t="s">
        <v>1133</v>
      </c>
      <c r="K1149">
        <v>247</v>
      </c>
      <c r="L1149">
        <v>0</v>
      </c>
      <c r="M1149" t="s">
        <v>115</v>
      </c>
      <c r="N1149" t="str">
        <f t="shared" si="102"/>
        <v>PO-101148</v>
      </c>
      <c r="O1149" t="str">
        <f t="shared" si="103"/>
        <v>Delivered</v>
      </c>
      <c r="P1149" t="str">
        <f t="shared" si="104"/>
        <v>WH-PUN</v>
      </c>
      <c r="Q1149" t="str">
        <f>VLOOKUP(C1149, Lookups!$A$2:$D$10, 2, FALSE())</f>
        <v>TechSupply Corp</v>
      </c>
      <c r="R1149" t="str">
        <f>_xlfn.XLOOKUP(D1149, Lookups!$A$12:$A$51, Lookups!$C$12:$C$51, "Unknown")</f>
        <v>Electronics</v>
      </c>
      <c r="S1149" t="str">
        <f>IF(ISBLANK(I1149), B1149+VLOOKUP(C1149, Lookups!$A$2:$D$10, 4, FALSE()), I1149)</f>
        <v>2025-07-04</v>
      </c>
      <c r="T1149">
        <f t="shared" si="105"/>
        <v>14</v>
      </c>
      <c r="U1149" t="str">
        <f t="shared" si="106"/>
        <v>On-Time</v>
      </c>
      <c r="V1149">
        <f t="shared" si="107"/>
        <v>0</v>
      </c>
    </row>
    <row r="1150" spans="1:22" x14ac:dyDescent="0.45">
      <c r="A1150" t="s">
        <v>1982</v>
      </c>
      <c r="B1150" t="s">
        <v>745</v>
      </c>
      <c r="C1150" t="s">
        <v>30</v>
      </c>
      <c r="D1150" t="s">
        <v>61</v>
      </c>
      <c r="E1150" t="s">
        <v>15</v>
      </c>
      <c r="F1150">
        <v>192</v>
      </c>
      <c r="G1150">
        <v>111237</v>
      </c>
      <c r="H1150">
        <v>21357504</v>
      </c>
      <c r="I1150" t="s">
        <v>1983</v>
      </c>
      <c r="J1150" t="s">
        <v>1357</v>
      </c>
      <c r="K1150">
        <v>192</v>
      </c>
      <c r="L1150">
        <v>0</v>
      </c>
      <c r="M1150" t="s">
        <v>115</v>
      </c>
      <c r="N1150" t="str">
        <f t="shared" si="102"/>
        <v>PO-101149</v>
      </c>
      <c r="O1150" t="str">
        <f t="shared" si="103"/>
        <v>Delivered</v>
      </c>
      <c r="P1150" t="str">
        <f t="shared" si="104"/>
        <v>WH-BOM</v>
      </c>
      <c r="Q1150" t="str">
        <f>VLOOKUP(C1150, Lookups!$A$2:$D$10, 2, FALSE())</f>
        <v>TechSupply Corp</v>
      </c>
      <c r="R1150" t="str">
        <f>_xlfn.XLOOKUP(D1150, Lookups!$A$12:$A$51, Lookups!$C$12:$C$51, "Unknown")</f>
        <v>Electronics</v>
      </c>
      <c r="S1150" t="str">
        <f>IF(ISBLANK(I1150), B1150+VLOOKUP(C1150, Lookups!$A$2:$D$10, 4, FALSE()), I1150)</f>
        <v>2026-12-20</v>
      </c>
      <c r="T1150">
        <f t="shared" si="105"/>
        <v>15</v>
      </c>
      <c r="U1150" t="str">
        <f t="shared" si="106"/>
        <v>Late</v>
      </c>
      <c r="V1150">
        <f t="shared" si="107"/>
        <v>0</v>
      </c>
    </row>
    <row r="1151" spans="1:22" x14ac:dyDescent="0.45">
      <c r="A1151" t="s">
        <v>1984</v>
      </c>
      <c r="B1151" t="s">
        <v>1442</v>
      </c>
      <c r="C1151" t="s">
        <v>31</v>
      </c>
      <c r="D1151" t="s">
        <v>77</v>
      </c>
      <c r="E1151" t="s">
        <v>18</v>
      </c>
      <c r="F1151">
        <v>195</v>
      </c>
      <c r="G1151">
        <v>23667</v>
      </c>
      <c r="H1151">
        <v>4615065</v>
      </c>
      <c r="I1151" t="s">
        <v>1326</v>
      </c>
      <c r="J1151" t="s">
        <v>426</v>
      </c>
      <c r="K1151">
        <v>195</v>
      </c>
      <c r="L1151">
        <v>0</v>
      </c>
      <c r="M1151" t="s">
        <v>115</v>
      </c>
      <c r="N1151" t="str">
        <f t="shared" si="102"/>
        <v>PO-101150</v>
      </c>
      <c r="O1151" t="str">
        <f t="shared" si="103"/>
        <v>Delivered</v>
      </c>
      <c r="P1151" t="str">
        <f t="shared" si="104"/>
        <v>WH-PUN</v>
      </c>
      <c r="Q1151" t="str">
        <f>VLOOKUP(C1151, Lookups!$A$2:$D$10, 2, FALSE())</f>
        <v>Global Networks</v>
      </c>
      <c r="R1151" t="str">
        <f>_xlfn.XLOOKUP(D1151, Lookups!$A$12:$A$51, Lookups!$C$12:$C$51, "Unknown")</f>
        <v>Networking</v>
      </c>
      <c r="S1151" t="str">
        <f>IF(ISBLANK(I1151), B1151+VLOOKUP(C1151, Lookups!$A$2:$D$10, 4, FALSE()), I1151)</f>
        <v>2025-07-23</v>
      </c>
      <c r="T1151">
        <f t="shared" si="105"/>
        <v>25</v>
      </c>
      <c r="U1151" t="str">
        <f t="shared" si="106"/>
        <v>Late</v>
      </c>
      <c r="V1151">
        <f t="shared" si="107"/>
        <v>0</v>
      </c>
    </row>
    <row r="1152" spans="1:22" x14ac:dyDescent="0.45">
      <c r="A1152" t="s">
        <v>1985</v>
      </c>
      <c r="B1152" t="s">
        <v>431</v>
      </c>
      <c r="C1152" t="s">
        <v>30</v>
      </c>
      <c r="D1152" t="s">
        <v>86</v>
      </c>
      <c r="E1152" t="s">
        <v>15</v>
      </c>
      <c r="F1152">
        <v>54</v>
      </c>
      <c r="G1152">
        <v>74871</v>
      </c>
      <c r="H1152">
        <v>4043034</v>
      </c>
      <c r="I1152" t="s">
        <v>1158</v>
      </c>
      <c r="J1152" t="s">
        <v>1737</v>
      </c>
      <c r="K1152">
        <v>54</v>
      </c>
      <c r="L1152">
        <v>0</v>
      </c>
      <c r="M1152" t="s">
        <v>115</v>
      </c>
      <c r="N1152" t="str">
        <f t="shared" si="102"/>
        <v>PO-101151</v>
      </c>
      <c r="O1152" t="str">
        <f t="shared" si="103"/>
        <v>Delivered</v>
      </c>
      <c r="P1152" t="str">
        <f t="shared" si="104"/>
        <v>WH-BOM</v>
      </c>
      <c r="Q1152" t="str">
        <f>VLOOKUP(C1152, Lookups!$A$2:$D$10, 2, FALSE())</f>
        <v>TechSupply Corp</v>
      </c>
      <c r="R1152" t="str">
        <f>_xlfn.XLOOKUP(D1152, Lookups!$A$12:$A$51, Lookups!$C$12:$C$51, "Unknown")</f>
        <v>Electronics</v>
      </c>
      <c r="S1152" t="str">
        <f>IF(ISBLANK(I1152), B1152+VLOOKUP(C1152, Lookups!$A$2:$D$10, 4, FALSE()), I1152)</f>
        <v>2025-03-30</v>
      </c>
      <c r="T1152">
        <f t="shared" si="105"/>
        <v>15</v>
      </c>
      <c r="U1152" t="str">
        <f t="shared" si="106"/>
        <v>Late</v>
      </c>
      <c r="V1152">
        <f t="shared" si="107"/>
        <v>0</v>
      </c>
    </row>
    <row r="1153" spans="1:22" x14ac:dyDescent="0.45">
      <c r="A1153" t="s">
        <v>1986</v>
      </c>
      <c r="B1153" t="s">
        <v>415</v>
      </c>
      <c r="C1153" t="s">
        <v>34</v>
      </c>
      <c r="D1153" t="s">
        <v>81</v>
      </c>
      <c r="E1153" t="s">
        <v>16</v>
      </c>
      <c r="F1153">
        <v>194</v>
      </c>
      <c r="G1153">
        <v>55328</v>
      </c>
      <c r="H1153">
        <v>10733632</v>
      </c>
      <c r="I1153" t="s">
        <v>1173</v>
      </c>
      <c r="J1153" t="s">
        <v>1173</v>
      </c>
      <c r="K1153">
        <v>194</v>
      </c>
      <c r="L1153">
        <v>0</v>
      </c>
      <c r="M1153" t="s">
        <v>115</v>
      </c>
      <c r="N1153" t="str">
        <f t="shared" si="102"/>
        <v>PO-101152</v>
      </c>
      <c r="O1153" t="str">
        <f t="shared" si="103"/>
        <v>Delivered</v>
      </c>
      <c r="P1153" t="str">
        <f t="shared" si="104"/>
        <v>WH-DEL</v>
      </c>
      <c r="Q1153" t="str">
        <f>VLOOKUP(C1153, Lookups!$A$2:$D$10, 2, FALSE())</f>
        <v>FastElectronics</v>
      </c>
      <c r="R1153" t="str">
        <f>_xlfn.XLOOKUP(D1153, Lookups!$A$12:$A$51, Lookups!$C$12:$C$51, "Unknown")</f>
        <v>Electronics</v>
      </c>
      <c r="S1153" t="str">
        <f>IF(ISBLANK(I1153), B1153+VLOOKUP(C1153, Lookups!$A$2:$D$10, 4, FALSE()), I1153)</f>
        <v>2026-06-04</v>
      </c>
      <c r="T1153">
        <f t="shared" si="105"/>
        <v>18</v>
      </c>
      <c r="U1153" t="str">
        <f t="shared" si="106"/>
        <v>On-Time</v>
      </c>
      <c r="V1153">
        <f t="shared" si="107"/>
        <v>0</v>
      </c>
    </row>
    <row r="1154" spans="1:22" x14ac:dyDescent="0.45">
      <c r="A1154" t="s">
        <v>1987</v>
      </c>
      <c r="B1154" t="s">
        <v>1463</v>
      </c>
      <c r="C1154" t="s">
        <v>33</v>
      </c>
      <c r="D1154" t="s">
        <v>89</v>
      </c>
      <c r="E1154" t="s">
        <v>17</v>
      </c>
      <c r="F1154">
        <v>205</v>
      </c>
      <c r="G1154">
        <v>11309</v>
      </c>
      <c r="H1154">
        <v>2318345</v>
      </c>
      <c r="I1154" t="s">
        <v>842</v>
      </c>
      <c r="J1154" t="s">
        <v>842</v>
      </c>
      <c r="K1154">
        <v>205</v>
      </c>
      <c r="L1154">
        <v>0</v>
      </c>
      <c r="M1154" t="s">
        <v>115</v>
      </c>
      <c r="N1154" t="str">
        <f t="shared" ref="N1154:N1217" si="108">TRIM(A1154)</f>
        <v>PO-101153</v>
      </c>
      <c r="O1154" t="str">
        <f t="shared" ref="O1154:O1217" si="109">PROPER(TRIM(M1154))</f>
        <v>Delivered</v>
      </c>
      <c r="P1154" t="str">
        <f t="shared" ref="P1154:P1217" si="110">TRIM(E1154)</f>
        <v>WH-BLR</v>
      </c>
      <c r="Q1154" t="str">
        <f>VLOOKUP(C1154, Lookups!$A$2:$D$10, 2, FALSE())</f>
        <v>MegaFurnish</v>
      </c>
      <c r="R1154" t="str">
        <f>_xlfn.XLOOKUP(D1154, Lookups!$A$12:$A$51, Lookups!$C$12:$C$51, "Unknown")</f>
        <v>Office Furniture</v>
      </c>
      <c r="S1154" t="str">
        <f>IF(ISBLANK(I1154), B1154+VLOOKUP(C1154, Lookups!$A$2:$D$10, 4, FALSE()), I1154)</f>
        <v>2026-06-15</v>
      </c>
      <c r="T1154">
        <f t="shared" ref="T1154:T1217" si="111">IF(ISBLANK(J1154), "", J1154-B1154)</f>
        <v>30</v>
      </c>
      <c r="U1154" t="str">
        <f t="shared" ref="U1154:U1217" si="112">IF(O1154="Open", "Open", IF(J1154&gt;S1154, "Late", "On-Time"))</f>
        <v>On-Time</v>
      </c>
      <c r="V1154">
        <f t="shared" ref="V1154:V1217" si="113">IF(K1154&gt;0, L1154/K1154, 0)</f>
        <v>0</v>
      </c>
    </row>
    <row r="1155" spans="1:22" x14ac:dyDescent="0.45">
      <c r="A1155" t="s">
        <v>1988</v>
      </c>
      <c r="B1155" t="s">
        <v>1140</v>
      </c>
      <c r="C1155" t="s">
        <v>35</v>
      </c>
      <c r="D1155" t="s">
        <v>57</v>
      </c>
      <c r="E1155" t="s">
        <v>15</v>
      </c>
      <c r="F1155">
        <v>26</v>
      </c>
      <c r="G1155">
        <v>2212</v>
      </c>
      <c r="H1155">
        <v>57512</v>
      </c>
      <c r="I1155" t="s">
        <v>766</v>
      </c>
      <c r="J1155" t="s">
        <v>766</v>
      </c>
      <c r="K1155">
        <v>26</v>
      </c>
      <c r="L1155">
        <v>0</v>
      </c>
      <c r="M1155" t="s">
        <v>115</v>
      </c>
      <c r="N1155" t="str">
        <f t="shared" si="108"/>
        <v>PO-101154</v>
      </c>
      <c r="O1155" t="str">
        <f t="shared" si="109"/>
        <v>Delivered</v>
      </c>
      <c r="P1155" t="str">
        <f t="shared" si="110"/>
        <v>WH-BOM</v>
      </c>
      <c r="Q1155" t="str">
        <f>VLOOKUP(C1155, Lookups!$A$2:$D$10, 2, FALSE())</f>
        <v>Peripheral Source</v>
      </c>
      <c r="R1155" t="str">
        <f>_xlfn.XLOOKUP(D1155, Lookups!$A$12:$A$51, Lookups!$C$12:$C$51, "Unknown")</f>
        <v>Peripherals</v>
      </c>
      <c r="S1155" t="str">
        <f>IF(ISBLANK(I1155), B1155+VLOOKUP(C1155, Lookups!$A$2:$D$10, 4, FALSE()), I1155)</f>
        <v>2026-12-10</v>
      </c>
      <c r="T1155">
        <f t="shared" si="111"/>
        <v>10</v>
      </c>
      <c r="U1155" t="str">
        <f t="shared" si="112"/>
        <v>On-Time</v>
      </c>
      <c r="V1155">
        <f t="shared" si="113"/>
        <v>0</v>
      </c>
    </row>
    <row r="1156" spans="1:22" x14ac:dyDescent="0.45">
      <c r="A1156" t="s">
        <v>1989</v>
      </c>
      <c r="B1156" t="s">
        <v>604</v>
      </c>
      <c r="C1156" t="s">
        <v>31</v>
      </c>
      <c r="D1156" t="s">
        <v>85</v>
      </c>
      <c r="E1156" t="s">
        <v>18</v>
      </c>
      <c r="F1156">
        <v>47</v>
      </c>
      <c r="G1156">
        <v>16501</v>
      </c>
      <c r="H1156">
        <v>775547</v>
      </c>
      <c r="I1156" t="s">
        <v>1673</v>
      </c>
      <c r="J1156" t="s">
        <v>172</v>
      </c>
      <c r="K1156">
        <v>47</v>
      </c>
      <c r="L1156">
        <v>0</v>
      </c>
      <c r="M1156" t="s">
        <v>115</v>
      </c>
      <c r="N1156" t="str">
        <f t="shared" si="108"/>
        <v>PO-101155</v>
      </c>
      <c r="O1156" t="str">
        <f t="shared" si="109"/>
        <v>Delivered</v>
      </c>
      <c r="P1156" t="str">
        <f t="shared" si="110"/>
        <v>WH-PUN</v>
      </c>
      <c r="Q1156" t="str">
        <f>VLOOKUP(C1156, Lookups!$A$2:$D$10, 2, FALSE())</f>
        <v>Global Networks</v>
      </c>
      <c r="R1156" t="str">
        <f>_xlfn.XLOOKUP(D1156, Lookups!$A$12:$A$51, Lookups!$C$12:$C$51, "Unknown")</f>
        <v>Networking</v>
      </c>
      <c r="S1156" t="str">
        <f>IF(ISBLANK(I1156), B1156+VLOOKUP(C1156, Lookups!$A$2:$D$10, 4, FALSE()), I1156)</f>
        <v>2025-09-02</v>
      </c>
      <c r="T1156">
        <f t="shared" si="111"/>
        <v>22</v>
      </c>
      <c r="U1156" t="str">
        <f t="shared" si="112"/>
        <v>Late</v>
      </c>
      <c r="V1156">
        <f t="shared" si="113"/>
        <v>0</v>
      </c>
    </row>
    <row r="1157" spans="1:22" x14ac:dyDescent="0.45">
      <c r="A1157" t="s">
        <v>1990</v>
      </c>
      <c r="B1157" t="s">
        <v>387</v>
      </c>
      <c r="C1157" t="s">
        <v>34</v>
      </c>
      <c r="D1157" t="s">
        <v>58</v>
      </c>
      <c r="E1157" t="s">
        <v>15</v>
      </c>
      <c r="F1157">
        <v>51</v>
      </c>
      <c r="G1157">
        <v>100302</v>
      </c>
      <c r="H1157">
        <v>5115402</v>
      </c>
      <c r="I1157" t="s">
        <v>338</v>
      </c>
      <c r="J1157" t="s">
        <v>389</v>
      </c>
      <c r="K1157">
        <v>51</v>
      </c>
      <c r="L1157">
        <v>0</v>
      </c>
      <c r="M1157" t="s">
        <v>115</v>
      </c>
      <c r="N1157" t="str">
        <f t="shared" si="108"/>
        <v>PO-101156</v>
      </c>
      <c r="O1157" t="str">
        <f t="shared" si="109"/>
        <v>Delivered</v>
      </c>
      <c r="P1157" t="str">
        <f t="shared" si="110"/>
        <v>WH-BOM</v>
      </c>
      <c r="Q1157" t="str">
        <f>VLOOKUP(C1157, Lookups!$A$2:$D$10, 2, FALSE())</f>
        <v>FastElectronics</v>
      </c>
      <c r="R1157" t="str">
        <f>_xlfn.XLOOKUP(D1157, Lookups!$A$12:$A$51, Lookups!$C$12:$C$51, "Unknown")</f>
        <v>Electronics</v>
      </c>
      <c r="S1157" t="str">
        <f>IF(ISBLANK(I1157), B1157+VLOOKUP(C1157, Lookups!$A$2:$D$10, 4, FALSE()), I1157)</f>
        <v>2026-04-05</v>
      </c>
      <c r="T1157">
        <f t="shared" si="111"/>
        <v>19</v>
      </c>
      <c r="U1157" t="str">
        <f t="shared" si="112"/>
        <v>Late</v>
      </c>
      <c r="V1157">
        <f t="shared" si="113"/>
        <v>0</v>
      </c>
    </row>
    <row r="1158" spans="1:22" x14ac:dyDescent="0.45">
      <c r="A1158" t="s">
        <v>1991</v>
      </c>
      <c r="B1158" t="s">
        <v>894</v>
      </c>
      <c r="C1158" t="s">
        <v>30</v>
      </c>
      <c r="D1158" t="s">
        <v>53</v>
      </c>
      <c r="E1158" t="s">
        <v>15</v>
      </c>
      <c r="F1158">
        <v>149</v>
      </c>
      <c r="G1158">
        <v>81048</v>
      </c>
      <c r="H1158">
        <v>12076152</v>
      </c>
      <c r="I1158" t="s">
        <v>1070</v>
      </c>
      <c r="J1158" t="s">
        <v>1236</v>
      </c>
      <c r="K1158">
        <v>149</v>
      </c>
      <c r="L1158">
        <v>17</v>
      </c>
      <c r="M1158" t="s">
        <v>115</v>
      </c>
      <c r="N1158" t="str">
        <f t="shared" si="108"/>
        <v>PO-101157</v>
      </c>
      <c r="O1158" t="str">
        <f t="shared" si="109"/>
        <v>Delivered</v>
      </c>
      <c r="P1158" t="str">
        <f t="shared" si="110"/>
        <v>WH-BOM</v>
      </c>
      <c r="Q1158" t="str">
        <f>VLOOKUP(C1158, Lookups!$A$2:$D$10, 2, FALSE())</f>
        <v>TechSupply Corp</v>
      </c>
      <c r="R1158" t="str">
        <f>_xlfn.XLOOKUP(D1158, Lookups!$A$12:$A$51, Lookups!$C$12:$C$51, "Unknown")</f>
        <v>Electronics</v>
      </c>
      <c r="S1158" t="str">
        <f>IF(ISBLANK(I1158), B1158+VLOOKUP(C1158, Lookups!$A$2:$D$10, 4, FALSE()), I1158)</f>
        <v>2025-08-15</v>
      </c>
      <c r="T1158">
        <f t="shared" si="111"/>
        <v>22</v>
      </c>
      <c r="U1158" t="str">
        <f t="shared" si="112"/>
        <v>Late</v>
      </c>
      <c r="V1158">
        <f t="shared" si="113"/>
        <v>0.11409395973154363</v>
      </c>
    </row>
    <row r="1159" spans="1:22" x14ac:dyDescent="0.45">
      <c r="A1159" t="s">
        <v>1992</v>
      </c>
      <c r="B1159" t="s">
        <v>525</v>
      </c>
      <c r="C1159" t="s">
        <v>30</v>
      </c>
      <c r="D1159" t="s">
        <v>88</v>
      </c>
      <c r="E1159" t="s">
        <v>16</v>
      </c>
      <c r="F1159">
        <v>170</v>
      </c>
      <c r="G1159">
        <v>75512</v>
      </c>
      <c r="H1159">
        <v>12837040</v>
      </c>
      <c r="I1159" t="s">
        <v>162</v>
      </c>
      <c r="J1159" t="s">
        <v>162</v>
      </c>
      <c r="K1159">
        <v>170</v>
      </c>
      <c r="L1159">
        <v>0</v>
      </c>
      <c r="M1159" t="s">
        <v>115</v>
      </c>
      <c r="N1159" t="str">
        <f t="shared" si="108"/>
        <v>PO-101158</v>
      </c>
      <c r="O1159" t="str">
        <f t="shared" si="109"/>
        <v>Delivered</v>
      </c>
      <c r="P1159" t="str">
        <f t="shared" si="110"/>
        <v>WH-DEL</v>
      </c>
      <c r="Q1159" t="str">
        <f>VLOOKUP(C1159, Lookups!$A$2:$D$10, 2, FALSE())</f>
        <v>TechSupply Corp</v>
      </c>
      <c r="R1159" t="str">
        <f>_xlfn.XLOOKUP(D1159, Lookups!$A$12:$A$51, Lookups!$C$12:$C$51, "Unknown")</f>
        <v>Electronics</v>
      </c>
      <c r="S1159" t="str">
        <f>IF(ISBLANK(I1159), B1159+VLOOKUP(C1159, Lookups!$A$2:$D$10, 4, FALSE()), I1159)</f>
        <v>2025-06-13</v>
      </c>
      <c r="T1159">
        <f t="shared" si="111"/>
        <v>14</v>
      </c>
      <c r="U1159" t="str">
        <f t="shared" si="112"/>
        <v>On-Time</v>
      </c>
      <c r="V1159">
        <f t="shared" si="113"/>
        <v>0</v>
      </c>
    </row>
    <row r="1160" spans="1:22" x14ac:dyDescent="0.45">
      <c r="A1160" t="s">
        <v>1993</v>
      </c>
      <c r="B1160" t="s">
        <v>457</v>
      </c>
      <c r="C1160" t="s">
        <v>30</v>
      </c>
      <c r="D1160" t="s">
        <v>59</v>
      </c>
      <c r="E1160" t="s">
        <v>15</v>
      </c>
      <c r="F1160">
        <v>237</v>
      </c>
      <c r="G1160">
        <v>48905</v>
      </c>
      <c r="H1160">
        <v>11590485</v>
      </c>
      <c r="I1160" t="s">
        <v>229</v>
      </c>
      <c r="J1160" t="s">
        <v>229</v>
      </c>
      <c r="K1160">
        <v>199</v>
      </c>
      <c r="L1160">
        <v>0</v>
      </c>
      <c r="M1160" t="s">
        <v>115</v>
      </c>
      <c r="N1160" t="str">
        <f t="shared" si="108"/>
        <v>PO-101159</v>
      </c>
      <c r="O1160" t="str">
        <f t="shared" si="109"/>
        <v>Delivered</v>
      </c>
      <c r="P1160" t="str">
        <f t="shared" si="110"/>
        <v>WH-BOM</v>
      </c>
      <c r="Q1160" t="str">
        <f>VLOOKUP(C1160, Lookups!$A$2:$D$10, 2, FALSE())</f>
        <v>TechSupply Corp</v>
      </c>
      <c r="R1160" t="str">
        <f>_xlfn.XLOOKUP(D1160, Lookups!$A$12:$A$51, Lookups!$C$12:$C$51, "Unknown")</f>
        <v>Electronics</v>
      </c>
      <c r="S1160" t="str">
        <f>IF(ISBLANK(I1160), B1160+VLOOKUP(C1160, Lookups!$A$2:$D$10, 4, FALSE()), I1160)</f>
        <v>2025-07-09</v>
      </c>
      <c r="T1160">
        <f t="shared" si="111"/>
        <v>14</v>
      </c>
      <c r="U1160" t="str">
        <f t="shared" si="112"/>
        <v>On-Time</v>
      </c>
      <c r="V1160">
        <f t="shared" si="113"/>
        <v>0</v>
      </c>
    </row>
    <row r="1161" spans="1:22" x14ac:dyDescent="0.45">
      <c r="A1161" t="s">
        <v>1994</v>
      </c>
      <c r="B1161" t="s">
        <v>935</v>
      </c>
      <c r="C1161" t="s">
        <v>34</v>
      </c>
      <c r="D1161" t="s">
        <v>74</v>
      </c>
      <c r="E1161" t="s">
        <v>17</v>
      </c>
      <c r="F1161">
        <v>149</v>
      </c>
      <c r="G1161">
        <v>94797</v>
      </c>
      <c r="H1161">
        <v>14124753</v>
      </c>
      <c r="I1161" t="s">
        <v>362</v>
      </c>
      <c r="J1161" t="s">
        <v>362</v>
      </c>
      <c r="K1161">
        <v>91</v>
      </c>
      <c r="L1161">
        <v>10</v>
      </c>
      <c r="M1161" t="s">
        <v>115</v>
      </c>
      <c r="N1161" t="str">
        <f t="shared" si="108"/>
        <v>PO-101160</v>
      </c>
      <c r="O1161" t="str">
        <f t="shared" si="109"/>
        <v>Delivered</v>
      </c>
      <c r="P1161" t="str">
        <f t="shared" si="110"/>
        <v>WH-BLR</v>
      </c>
      <c r="Q1161" t="str">
        <f>VLOOKUP(C1161, Lookups!$A$2:$D$10, 2, FALSE())</f>
        <v>FastElectronics</v>
      </c>
      <c r="R1161" t="str">
        <f>_xlfn.XLOOKUP(D1161, Lookups!$A$12:$A$51, Lookups!$C$12:$C$51, "Unknown")</f>
        <v>Electronics</v>
      </c>
      <c r="S1161" t="str">
        <f>IF(ISBLANK(I1161), B1161+VLOOKUP(C1161, Lookups!$A$2:$D$10, 4, FALSE()), I1161)</f>
        <v>2026-04-01</v>
      </c>
      <c r="T1161">
        <f t="shared" si="111"/>
        <v>18</v>
      </c>
      <c r="U1161" t="str">
        <f t="shared" si="112"/>
        <v>On-Time</v>
      </c>
      <c r="V1161">
        <f t="shared" si="113"/>
        <v>0.10989010989010989</v>
      </c>
    </row>
    <row r="1162" spans="1:22" x14ac:dyDescent="0.45">
      <c r="A1162" t="s">
        <v>1995</v>
      </c>
      <c r="B1162" t="s">
        <v>338</v>
      </c>
      <c r="C1162" t="s">
        <v>30</v>
      </c>
      <c r="D1162" t="s">
        <v>53</v>
      </c>
      <c r="E1162" t="s">
        <v>17</v>
      </c>
      <c r="F1162">
        <v>45</v>
      </c>
      <c r="G1162">
        <v>81048</v>
      </c>
      <c r="H1162">
        <v>3647160</v>
      </c>
      <c r="I1162" t="s">
        <v>559</v>
      </c>
      <c r="J1162" t="s">
        <v>339</v>
      </c>
      <c r="K1162">
        <v>45</v>
      </c>
      <c r="L1162">
        <v>6</v>
      </c>
      <c r="M1162" t="s">
        <v>115</v>
      </c>
      <c r="N1162" t="str">
        <f t="shared" si="108"/>
        <v>PO-101161</v>
      </c>
      <c r="O1162" t="str">
        <f t="shared" si="109"/>
        <v>Delivered</v>
      </c>
      <c r="P1162" t="str">
        <f t="shared" si="110"/>
        <v>WH-BLR</v>
      </c>
      <c r="Q1162" t="str">
        <f>VLOOKUP(C1162, Lookups!$A$2:$D$10, 2, FALSE())</f>
        <v>TechSupply Corp</v>
      </c>
      <c r="R1162" t="str">
        <f>_xlfn.XLOOKUP(D1162, Lookups!$A$12:$A$51, Lookups!$C$12:$C$51, "Unknown")</f>
        <v>Electronics</v>
      </c>
      <c r="S1162" t="str">
        <f>IF(ISBLANK(I1162), B1162+VLOOKUP(C1162, Lookups!$A$2:$D$10, 4, FALSE()), I1162)</f>
        <v>2026-04-19</v>
      </c>
      <c r="T1162">
        <f t="shared" si="111"/>
        <v>15</v>
      </c>
      <c r="U1162" t="str">
        <f t="shared" si="112"/>
        <v>Late</v>
      </c>
      <c r="V1162">
        <f t="shared" si="113"/>
        <v>0.13333333333333333</v>
      </c>
    </row>
    <row r="1163" spans="1:22" x14ac:dyDescent="0.45">
      <c r="A1163" t="s">
        <v>1996</v>
      </c>
      <c r="B1163" t="s">
        <v>239</v>
      </c>
      <c r="C1163" t="s">
        <v>37</v>
      </c>
      <c r="D1163" t="s">
        <v>83</v>
      </c>
      <c r="E1163" t="s">
        <v>18</v>
      </c>
      <c r="F1163">
        <v>205</v>
      </c>
      <c r="G1163">
        <v>19850</v>
      </c>
      <c r="H1163">
        <v>4069250</v>
      </c>
      <c r="I1163" t="s">
        <v>487</v>
      </c>
      <c r="J1163" t="s">
        <v>214</v>
      </c>
      <c r="K1163">
        <v>205</v>
      </c>
      <c r="L1163">
        <v>0</v>
      </c>
      <c r="M1163" t="s">
        <v>115</v>
      </c>
      <c r="N1163" t="str">
        <f t="shared" si="108"/>
        <v>PO-101162</v>
      </c>
      <c r="O1163" t="str">
        <f t="shared" si="109"/>
        <v>Delivered</v>
      </c>
      <c r="P1163" t="str">
        <f t="shared" si="110"/>
        <v>WH-PUN</v>
      </c>
      <c r="Q1163" t="str">
        <f>VLOOKUP(C1163, Lookups!$A$2:$D$10, 2, FALSE())</f>
        <v>Premium Desks Ltd</v>
      </c>
      <c r="R1163" t="str">
        <f>_xlfn.XLOOKUP(D1163, Lookups!$A$12:$A$51, Lookups!$C$12:$C$51, "Unknown")</f>
        <v>Office Furniture</v>
      </c>
      <c r="S1163" t="str">
        <f>IF(ISBLANK(I1163), B1163+VLOOKUP(C1163, Lookups!$A$2:$D$10, 4, FALSE()), I1163)</f>
        <v>2025-06-26</v>
      </c>
      <c r="T1163">
        <f t="shared" si="111"/>
        <v>13</v>
      </c>
      <c r="U1163" t="str">
        <f t="shared" si="112"/>
        <v>Late</v>
      </c>
      <c r="V1163">
        <f t="shared" si="113"/>
        <v>0</v>
      </c>
    </row>
    <row r="1164" spans="1:22" x14ac:dyDescent="0.45">
      <c r="A1164" t="s">
        <v>1997</v>
      </c>
      <c r="B1164" t="s">
        <v>371</v>
      </c>
      <c r="C1164" t="s">
        <v>34</v>
      </c>
      <c r="D1164" t="s">
        <v>74</v>
      </c>
      <c r="E1164" t="s">
        <v>17</v>
      </c>
      <c r="F1164">
        <v>33</v>
      </c>
      <c r="G1164">
        <v>94797</v>
      </c>
      <c r="H1164">
        <v>3128301</v>
      </c>
      <c r="I1164" t="s">
        <v>1776</v>
      </c>
      <c r="J1164" t="s">
        <v>1776</v>
      </c>
      <c r="K1164">
        <v>27</v>
      </c>
      <c r="L1164">
        <v>0</v>
      </c>
      <c r="M1164" t="s">
        <v>115</v>
      </c>
      <c r="N1164" t="str">
        <f t="shared" si="108"/>
        <v>PO-101163</v>
      </c>
      <c r="O1164" t="str">
        <f t="shared" si="109"/>
        <v>Delivered</v>
      </c>
      <c r="P1164" t="str">
        <f t="shared" si="110"/>
        <v>WH-BLR</v>
      </c>
      <c r="Q1164" t="str">
        <f>VLOOKUP(C1164, Lookups!$A$2:$D$10, 2, FALSE())</f>
        <v>FastElectronics</v>
      </c>
      <c r="R1164" t="str">
        <f>_xlfn.XLOOKUP(D1164, Lookups!$A$12:$A$51, Lookups!$C$12:$C$51, "Unknown")</f>
        <v>Electronics</v>
      </c>
      <c r="S1164" t="str">
        <f>IF(ISBLANK(I1164), B1164+VLOOKUP(C1164, Lookups!$A$2:$D$10, 4, FALSE()), I1164)</f>
        <v>2025-12-20</v>
      </c>
      <c r="T1164">
        <f t="shared" si="111"/>
        <v>18</v>
      </c>
      <c r="U1164" t="str">
        <f t="shared" si="112"/>
        <v>On-Time</v>
      </c>
      <c r="V1164">
        <f t="shared" si="113"/>
        <v>0</v>
      </c>
    </row>
    <row r="1165" spans="1:22" x14ac:dyDescent="0.45">
      <c r="A1165" t="s">
        <v>1998</v>
      </c>
      <c r="B1165" t="s">
        <v>437</v>
      </c>
      <c r="C1165" t="s">
        <v>32</v>
      </c>
      <c r="D1165" t="s">
        <v>84</v>
      </c>
      <c r="E1165" t="s">
        <v>15</v>
      </c>
      <c r="F1165">
        <v>168</v>
      </c>
      <c r="G1165">
        <v>7271</v>
      </c>
      <c r="H1165">
        <v>1221528</v>
      </c>
      <c r="I1165" t="s">
        <v>564</v>
      </c>
      <c r="J1165" t="s">
        <v>1486</v>
      </c>
      <c r="K1165">
        <v>168</v>
      </c>
      <c r="L1165">
        <v>0</v>
      </c>
      <c r="M1165" t="s">
        <v>115</v>
      </c>
      <c r="N1165" t="str">
        <f t="shared" si="108"/>
        <v>PO-101164</v>
      </c>
      <c r="O1165" t="str">
        <f t="shared" si="109"/>
        <v>Delivered</v>
      </c>
      <c r="P1165" t="str">
        <f t="shared" si="110"/>
        <v>WH-BOM</v>
      </c>
      <c r="Q1165" t="str">
        <f>VLOOKUP(C1165, Lookups!$A$2:$D$10, 2, FALSE())</f>
        <v>OfficeDepot Pro</v>
      </c>
      <c r="R1165" t="str">
        <f>_xlfn.XLOOKUP(D1165, Lookups!$A$12:$A$51, Lookups!$C$12:$C$51, "Unknown")</f>
        <v>Peripherals</v>
      </c>
      <c r="S1165" t="str">
        <f>IF(ISBLANK(I1165), B1165+VLOOKUP(C1165, Lookups!$A$2:$D$10, 4, FALSE()), I1165)</f>
        <v>2025-02-10</v>
      </c>
      <c r="T1165">
        <f t="shared" si="111"/>
        <v>8</v>
      </c>
      <c r="U1165" t="str">
        <f t="shared" si="112"/>
        <v>Late</v>
      </c>
      <c r="V1165">
        <f t="shared" si="113"/>
        <v>0</v>
      </c>
    </row>
    <row r="1166" spans="1:22" x14ac:dyDescent="0.45">
      <c r="A1166" t="s">
        <v>1999</v>
      </c>
      <c r="B1166" t="s">
        <v>214</v>
      </c>
      <c r="C1166" t="s">
        <v>35</v>
      </c>
      <c r="D1166" t="s">
        <v>65</v>
      </c>
      <c r="E1166" t="s">
        <v>15</v>
      </c>
      <c r="F1166">
        <v>13</v>
      </c>
      <c r="G1166">
        <v>4936</v>
      </c>
      <c r="H1166">
        <v>64168</v>
      </c>
      <c r="I1166" t="s">
        <v>629</v>
      </c>
      <c r="J1166" t="s">
        <v>425</v>
      </c>
      <c r="K1166">
        <v>13</v>
      </c>
      <c r="L1166">
        <v>0</v>
      </c>
      <c r="M1166" t="s">
        <v>115</v>
      </c>
      <c r="N1166" t="str">
        <f t="shared" si="108"/>
        <v>PO-101165</v>
      </c>
      <c r="O1166" t="str">
        <f t="shared" si="109"/>
        <v>Delivered</v>
      </c>
      <c r="P1166" t="str">
        <f t="shared" si="110"/>
        <v>WH-BOM</v>
      </c>
      <c r="Q1166" t="str">
        <f>VLOOKUP(C1166, Lookups!$A$2:$D$10, 2, FALSE())</f>
        <v>Peripheral Source</v>
      </c>
      <c r="R1166" t="str">
        <f>_xlfn.XLOOKUP(D1166, Lookups!$A$12:$A$51, Lookups!$C$12:$C$51, "Unknown")</f>
        <v>Peripherals</v>
      </c>
      <c r="S1166" t="str">
        <f>IF(ISBLANK(I1166), B1166+VLOOKUP(C1166, Lookups!$A$2:$D$10, 4, FALSE()), I1166)</f>
        <v>2025-07-07</v>
      </c>
      <c r="T1166">
        <f t="shared" si="111"/>
        <v>6</v>
      </c>
      <c r="U1166" t="str">
        <f t="shared" si="112"/>
        <v>On-Time</v>
      </c>
      <c r="V1166">
        <f t="shared" si="113"/>
        <v>0</v>
      </c>
    </row>
    <row r="1167" spans="1:22" x14ac:dyDescent="0.45">
      <c r="A1167" t="s">
        <v>2000</v>
      </c>
      <c r="B1167" t="s">
        <v>293</v>
      </c>
      <c r="C1167" t="s">
        <v>35</v>
      </c>
      <c r="D1167" t="s">
        <v>72</v>
      </c>
      <c r="E1167" t="s">
        <v>15</v>
      </c>
      <c r="F1167">
        <v>49</v>
      </c>
      <c r="G1167">
        <v>7754</v>
      </c>
      <c r="H1167">
        <v>379946</v>
      </c>
      <c r="I1167" t="s">
        <v>1114</v>
      </c>
      <c r="J1167" t="s">
        <v>1114</v>
      </c>
      <c r="K1167">
        <v>30</v>
      </c>
      <c r="L1167">
        <v>0</v>
      </c>
      <c r="M1167" t="s">
        <v>115</v>
      </c>
      <c r="N1167" t="str">
        <f t="shared" si="108"/>
        <v>PO-101166</v>
      </c>
      <c r="O1167" t="str">
        <f t="shared" si="109"/>
        <v>Delivered</v>
      </c>
      <c r="P1167" t="str">
        <f t="shared" si="110"/>
        <v>WH-BOM</v>
      </c>
      <c r="Q1167" t="str">
        <f>VLOOKUP(C1167, Lookups!$A$2:$D$10, 2, FALSE())</f>
        <v>Peripheral Source</v>
      </c>
      <c r="R1167" t="str">
        <f>_xlfn.XLOOKUP(D1167, Lookups!$A$12:$A$51, Lookups!$C$12:$C$51, "Unknown")</f>
        <v>Peripherals</v>
      </c>
      <c r="S1167" t="str">
        <f>IF(ISBLANK(I1167), B1167+VLOOKUP(C1167, Lookups!$A$2:$D$10, 4, FALSE()), I1167)</f>
        <v>2025-09-14</v>
      </c>
      <c r="T1167">
        <f t="shared" si="111"/>
        <v>10</v>
      </c>
      <c r="U1167" t="str">
        <f t="shared" si="112"/>
        <v>On-Time</v>
      </c>
      <c r="V1167">
        <f t="shared" si="113"/>
        <v>0</v>
      </c>
    </row>
    <row r="1168" spans="1:22" x14ac:dyDescent="0.45">
      <c r="A1168" t="s">
        <v>2001</v>
      </c>
      <c r="B1168" t="s">
        <v>382</v>
      </c>
      <c r="C1168" t="s">
        <v>30</v>
      </c>
      <c r="D1168" t="s">
        <v>61</v>
      </c>
      <c r="E1168" t="s">
        <v>17</v>
      </c>
      <c r="F1168">
        <v>60</v>
      </c>
      <c r="G1168">
        <v>111237</v>
      </c>
      <c r="H1168">
        <v>6674220</v>
      </c>
      <c r="I1168" t="s">
        <v>1697</v>
      </c>
      <c r="J1168" t="s">
        <v>955</v>
      </c>
      <c r="K1168">
        <v>60</v>
      </c>
      <c r="L1168">
        <v>0</v>
      </c>
      <c r="M1168" t="s">
        <v>115</v>
      </c>
      <c r="N1168" t="str">
        <f t="shared" si="108"/>
        <v>PO-101167</v>
      </c>
      <c r="O1168" t="str">
        <f t="shared" si="109"/>
        <v>Delivered</v>
      </c>
      <c r="P1168" t="str">
        <f t="shared" si="110"/>
        <v>WH-BLR</v>
      </c>
      <c r="Q1168" t="str">
        <f>VLOOKUP(C1168, Lookups!$A$2:$D$10, 2, FALSE())</f>
        <v>TechSupply Corp</v>
      </c>
      <c r="R1168" t="str">
        <f>_xlfn.XLOOKUP(D1168, Lookups!$A$12:$A$51, Lookups!$C$12:$C$51, "Unknown")</f>
        <v>Electronics</v>
      </c>
      <c r="S1168" t="str">
        <f>IF(ISBLANK(I1168), B1168+VLOOKUP(C1168, Lookups!$A$2:$D$10, 4, FALSE()), I1168)</f>
        <v>2026-12-15</v>
      </c>
      <c r="T1168">
        <f t="shared" si="111"/>
        <v>15</v>
      </c>
      <c r="U1168" t="str">
        <f t="shared" si="112"/>
        <v>Late</v>
      </c>
      <c r="V1168">
        <f t="shared" si="113"/>
        <v>0</v>
      </c>
    </row>
    <row r="1169" spans="1:22" x14ac:dyDescent="0.45">
      <c r="A1169" t="s">
        <v>2002</v>
      </c>
      <c r="B1169" t="s">
        <v>1044</v>
      </c>
      <c r="C1169" t="s">
        <v>30</v>
      </c>
      <c r="D1169" t="s">
        <v>61</v>
      </c>
      <c r="E1169" t="s">
        <v>15</v>
      </c>
      <c r="F1169">
        <v>231</v>
      </c>
      <c r="G1169">
        <v>111237</v>
      </c>
      <c r="H1169">
        <v>25695747</v>
      </c>
      <c r="I1169" t="s">
        <v>1343</v>
      </c>
      <c r="J1169" t="s">
        <v>335</v>
      </c>
      <c r="K1169">
        <v>231</v>
      </c>
      <c r="L1169">
        <v>0</v>
      </c>
      <c r="M1169" t="s">
        <v>115</v>
      </c>
      <c r="N1169" t="str">
        <f t="shared" si="108"/>
        <v>PO-101168</v>
      </c>
      <c r="O1169" t="str">
        <f t="shared" si="109"/>
        <v>Delivered</v>
      </c>
      <c r="P1169" t="str">
        <f t="shared" si="110"/>
        <v>WH-BOM</v>
      </c>
      <c r="Q1169" t="str">
        <f>VLOOKUP(C1169, Lookups!$A$2:$D$10, 2, FALSE())</f>
        <v>TechSupply Corp</v>
      </c>
      <c r="R1169" t="str">
        <f>_xlfn.XLOOKUP(D1169, Lookups!$A$12:$A$51, Lookups!$C$12:$C$51, "Unknown")</f>
        <v>Electronics</v>
      </c>
      <c r="S1169" t="str">
        <f>IF(ISBLANK(I1169), B1169+VLOOKUP(C1169, Lookups!$A$2:$D$10, 4, FALSE()), I1169)</f>
        <v>2026-08-24</v>
      </c>
      <c r="T1169">
        <f t="shared" si="111"/>
        <v>15</v>
      </c>
      <c r="U1169" t="str">
        <f t="shared" si="112"/>
        <v>Late</v>
      </c>
      <c r="V1169">
        <f t="shared" si="113"/>
        <v>0</v>
      </c>
    </row>
    <row r="1170" spans="1:22" x14ac:dyDescent="0.45">
      <c r="A1170" t="s">
        <v>2003</v>
      </c>
      <c r="B1170" t="s">
        <v>1395</v>
      </c>
      <c r="C1170" t="s">
        <v>37</v>
      </c>
      <c r="D1170" t="s">
        <v>79</v>
      </c>
      <c r="E1170" t="s">
        <v>18</v>
      </c>
      <c r="F1170">
        <v>224</v>
      </c>
      <c r="G1170">
        <v>23054</v>
      </c>
      <c r="H1170">
        <v>5164096</v>
      </c>
      <c r="I1170" t="s">
        <v>1497</v>
      </c>
      <c r="J1170" t="s">
        <v>361</v>
      </c>
      <c r="K1170">
        <v>138</v>
      </c>
      <c r="L1170">
        <v>0</v>
      </c>
      <c r="M1170" t="s">
        <v>115</v>
      </c>
      <c r="N1170" t="str">
        <f t="shared" si="108"/>
        <v>PO-101169</v>
      </c>
      <c r="O1170" t="str">
        <f t="shared" si="109"/>
        <v>Delivered</v>
      </c>
      <c r="P1170" t="str">
        <f t="shared" si="110"/>
        <v>WH-PUN</v>
      </c>
      <c r="Q1170" t="str">
        <f>VLOOKUP(C1170, Lookups!$A$2:$D$10, 2, FALSE())</f>
        <v>Premium Desks Ltd</v>
      </c>
      <c r="R1170" t="str">
        <f>_xlfn.XLOOKUP(D1170, Lookups!$A$12:$A$51, Lookups!$C$12:$C$51, "Unknown")</f>
        <v>Office Furniture</v>
      </c>
      <c r="S1170" t="str">
        <f>IF(ISBLANK(I1170), B1170+VLOOKUP(C1170, Lookups!$A$2:$D$10, 4, FALSE()), I1170)</f>
        <v>2026-03-21</v>
      </c>
      <c r="T1170">
        <f t="shared" si="111"/>
        <v>13</v>
      </c>
      <c r="U1170" t="str">
        <f t="shared" si="112"/>
        <v>Late</v>
      </c>
      <c r="V1170">
        <f t="shared" si="113"/>
        <v>0</v>
      </c>
    </row>
    <row r="1171" spans="1:22" x14ac:dyDescent="0.45">
      <c r="A1171" t="s">
        <v>2004</v>
      </c>
      <c r="B1171" t="s">
        <v>403</v>
      </c>
      <c r="C1171" t="s">
        <v>35</v>
      </c>
      <c r="D1171" t="s">
        <v>75</v>
      </c>
      <c r="E1171" t="s">
        <v>17</v>
      </c>
      <c r="F1171">
        <v>242</v>
      </c>
      <c r="G1171">
        <v>4440</v>
      </c>
      <c r="H1171">
        <v>1074480</v>
      </c>
      <c r="I1171" t="s">
        <v>729</v>
      </c>
      <c r="J1171" t="s">
        <v>729</v>
      </c>
      <c r="K1171">
        <v>242</v>
      </c>
      <c r="L1171">
        <v>0</v>
      </c>
      <c r="M1171" t="s">
        <v>115</v>
      </c>
      <c r="N1171" t="str">
        <f t="shared" si="108"/>
        <v>PO-101170</v>
      </c>
      <c r="O1171" t="str">
        <f t="shared" si="109"/>
        <v>Delivered</v>
      </c>
      <c r="P1171" t="str">
        <f t="shared" si="110"/>
        <v>WH-BLR</v>
      </c>
      <c r="Q1171" t="str">
        <f>VLOOKUP(C1171, Lookups!$A$2:$D$10, 2, FALSE())</f>
        <v>Peripheral Source</v>
      </c>
      <c r="R1171" t="str">
        <f>_xlfn.XLOOKUP(D1171, Lookups!$A$12:$A$51, Lookups!$C$12:$C$51, "Unknown")</f>
        <v>Peripherals</v>
      </c>
      <c r="S1171" t="str">
        <f>IF(ISBLANK(I1171), B1171+VLOOKUP(C1171, Lookups!$A$2:$D$10, 4, FALSE()), I1171)</f>
        <v>2025-09-28</v>
      </c>
      <c r="T1171">
        <f t="shared" si="111"/>
        <v>10</v>
      </c>
      <c r="U1171" t="str">
        <f t="shared" si="112"/>
        <v>On-Time</v>
      </c>
      <c r="V1171">
        <f t="shared" si="113"/>
        <v>0</v>
      </c>
    </row>
    <row r="1172" spans="1:22" x14ac:dyDescent="0.45">
      <c r="A1172" t="s">
        <v>2005</v>
      </c>
      <c r="B1172" t="s">
        <v>729</v>
      </c>
      <c r="C1172" t="s">
        <v>33</v>
      </c>
      <c r="D1172" t="s">
        <v>89</v>
      </c>
      <c r="E1172" t="s">
        <v>18</v>
      </c>
      <c r="F1172">
        <v>11</v>
      </c>
      <c r="G1172">
        <v>11309</v>
      </c>
      <c r="H1172">
        <v>124399</v>
      </c>
      <c r="I1172" t="s">
        <v>154</v>
      </c>
      <c r="J1172" t="s">
        <v>231</v>
      </c>
      <c r="K1172">
        <v>11</v>
      </c>
      <c r="L1172">
        <v>0</v>
      </c>
      <c r="M1172" t="s">
        <v>115</v>
      </c>
      <c r="N1172" t="str">
        <f t="shared" si="108"/>
        <v>PO-101171</v>
      </c>
      <c r="O1172" t="str">
        <f t="shared" si="109"/>
        <v>Delivered</v>
      </c>
      <c r="P1172" t="str">
        <f t="shared" si="110"/>
        <v>WH-PUN</v>
      </c>
      <c r="Q1172" t="str">
        <f>VLOOKUP(C1172, Lookups!$A$2:$D$10, 2, FALSE())</f>
        <v>MegaFurnish</v>
      </c>
      <c r="R1172" t="str">
        <f>_xlfn.XLOOKUP(D1172, Lookups!$A$12:$A$51, Lookups!$C$12:$C$51, "Unknown")</f>
        <v>Office Furniture</v>
      </c>
      <c r="S1172" t="str">
        <f>IF(ISBLANK(I1172), B1172+VLOOKUP(C1172, Lookups!$A$2:$D$10, 4, FALSE()), I1172)</f>
        <v>2025-10-28</v>
      </c>
      <c r="T1172">
        <f t="shared" si="111"/>
        <v>40</v>
      </c>
      <c r="U1172" t="str">
        <f t="shared" si="112"/>
        <v>Late</v>
      </c>
      <c r="V1172">
        <f t="shared" si="113"/>
        <v>0</v>
      </c>
    </row>
    <row r="1173" spans="1:22" x14ac:dyDescent="0.45">
      <c r="A1173" t="s">
        <v>2006</v>
      </c>
      <c r="B1173" t="s">
        <v>947</v>
      </c>
      <c r="C1173" t="s">
        <v>36</v>
      </c>
      <c r="D1173" t="s">
        <v>87</v>
      </c>
      <c r="E1173" t="s">
        <v>15</v>
      </c>
      <c r="F1173">
        <v>35</v>
      </c>
      <c r="G1173">
        <v>82930</v>
      </c>
      <c r="H1173">
        <v>2902550</v>
      </c>
      <c r="I1173" t="s">
        <v>1621</v>
      </c>
      <c r="J1173" t="s">
        <v>1621</v>
      </c>
      <c r="K1173">
        <v>35</v>
      </c>
      <c r="L1173">
        <v>0</v>
      </c>
      <c r="M1173" t="s">
        <v>115</v>
      </c>
      <c r="N1173" t="str">
        <f t="shared" si="108"/>
        <v>PO-101172</v>
      </c>
      <c r="O1173" t="str">
        <f t="shared" si="109"/>
        <v>Delivered</v>
      </c>
      <c r="P1173" t="str">
        <f t="shared" si="110"/>
        <v>WH-BOM</v>
      </c>
      <c r="Q1173" t="str">
        <f>VLOOKUP(C1173, Lookups!$A$2:$D$10, 2, FALSE())</f>
        <v>NextGen Hardware</v>
      </c>
      <c r="R1173" t="str">
        <f>_xlfn.XLOOKUP(D1173, Lookups!$A$12:$A$51, Lookups!$C$12:$C$51, "Unknown")</f>
        <v>Electronics</v>
      </c>
      <c r="S1173" t="str">
        <f>IF(ISBLANK(I1173), B1173+VLOOKUP(C1173, Lookups!$A$2:$D$10, 4, FALSE()), I1173)</f>
        <v>2025-12-30</v>
      </c>
      <c r="T1173">
        <f t="shared" si="111"/>
        <v>24</v>
      </c>
      <c r="U1173" t="str">
        <f t="shared" si="112"/>
        <v>On-Time</v>
      </c>
      <c r="V1173">
        <f t="shared" si="113"/>
        <v>0</v>
      </c>
    </row>
    <row r="1174" spans="1:22" x14ac:dyDescent="0.45">
      <c r="A1174" t="s">
        <v>2007</v>
      </c>
      <c r="B1174" t="s">
        <v>998</v>
      </c>
      <c r="C1174" t="s">
        <v>37</v>
      </c>
      <c r="D1174" t="s">
        <v>78</v>
      </c>
      <c r="E1174" t="s">
        <v>16</v>
      </c>
      <c r="F1174">
        <v>142</v>
      </c>
      <c r="G1174">
        <v>9423</v>
      </c>
      <c r="H1174">
        <v>1338066</v>
      </c>
      <c r="I1174" t="s">
        <v>1119</v>
      </c>
      <c r="J1174" t="s">
        <v>134</v>
      </c>
      <c r="K1174">
        <v>142</v>
      </c>
      <c r="L1174">
        <v>0</v>
      </c>
      <c r="M1174" t="s">
        <v>115</v>
      </c>
      <c r="N1174" t="str">
        <f t="shared" si="108"/>
        <v>PO-101173</v>
      </c>
      <c r="O1174" t="str">
        <f t="shared" si="109"/>
        <v>Delivered</v>
      </c>
      <c r="P1174" t="str">
        <f t="shared" si="110"/>
        <v>WH-DEL</v>
      </c>
      <c r="Q1174" t="str">
        <f>VLOOKUP(C1174, Lookups!$A$2:$D$10, 2, FALSE())</f>
        <v>Premium Desks Ltd</v>
      </c>
      <c r="R1174" t="str">
        <f>_xlfn.XLOOKUP(D1174, Lookups!$A$12:$A$51, Lookups!$C$12:$C$51, "Unknown")</f>
        <v>Office Furniture</v>
      </c>
      <c r="S1174" t="str">
        <f>IF(ISBLANK(I1174), B1174+VLOOKUP(C1174, Lookups!$A$2:$D$10, 4, FALSE()), I1174)</f>
        <v>2026-08-30</v>
      </c>
      <c r="T1174">
        <f t="shared" si="111"/>
        <v>16</v>
      </c>
      <c r="U1174" t="str">
        <f t="shared" si="112"/>
        <v>Late</v>
      </c>
      <c r="V1174">
        <f t="shared" si="113"/>
        <v>0</v>
      </c>
    </row>
    <row r="1175" spans="1:22" x14ac:dyDescent="0.45">
      <c r="A1175" t="s">
        <v>2008</v>
      </c>
      <c r="B1175" t="s">
        <v>2009</v>
      </c>
      <c r="C1175" t="s">
        <v>35</v>
      </c>
      <c r="D1175" t="s">
        <v>72</v>
      </c>
      <c r="E1175" t="s">
        <v>15</v>
      </c>
      <c r="F1175">
        <v>177</v>
      </c>
      <c r="G1175">
        <v>7754</v>
      </c>
      <c r="H1175">
        <v>1372458</v>
      </c>
      <c r="I1175" t="s">
        <v>121</v>
      </c>
      <c r="J1175" t="s">
        <v>1273</v>
      </c>
      <c r="K1175">
        <v>177</v>
      </c>
      <c r="L1175">
        <v>0</v>
      </c>
      <c r="M1175" t="s">
        <v>115</v>
      </c>
      <c r="N1175" t="str">
        <f t="shared" si="108"/>
        <v>PO-101174</v>
      </c>
      <c r="O1175" t="str">
        <f t="shared" si="109"/>
        <v>Delivered</v>
      </c>
      <c r="P1175" t="str">
        <f t="shared" si="110"/>
        <v>WH-BOM</v>
      </c>
      <c r="Q1175" t="str">
        <f>VLOOKUP(C1175, Lookups!$A$2:$D$10, 2, FALSE())</f>
        <v>Peripheral Source</v>
      </c>
      <c r="R1175" t="str">
        <f>_xlfn.XLOOKUP(D1175, Lookups!$A$12:$A$51, Lookups!$C$12:$C$51, "Unknown")</f>
        <v>Peripherals</v>
      </c>
      <c r="S1175" t="str">
        <f>IF(ISBLANK(I1175), B1175+VLOOKUP(C1175, Lookups!$A$2:$D$10, 4, FALSE()), I1175)</f>
        <v>2025-01-17</v>
      </c>
      <c r="T1175">
        <f t="shared" si="111"/>
        <v>11</v>
      </c>
      <c r="U1175" t="str">
        <f t="shared" si="112"/>
        <v>Late</v>
      </c>
      <c r="V1175">
        <f t="shared" si="113"/>
        <v>0</v>
      </c>
    </row>
    <row r="1176" spans="1:22" x14ac:dyDescent="0.45">
      <c r="A1176" t="s">
        <v>2010</v>
      </c>
      <c r="B1176" t="s">
        <v>1413</v>
      </c>
      <c r="C1176" t="s">
        <v>34</v>
      </c>
      <c r="D1176" t="s">
        <v>58</v>
      </c>
      <c r="E1176" t="s">
        <v>16</v>
      </c>
      <c r="F1176">
        <v>41</v>
      </c>
      <c r="G1176">
        <v>100302</v>
      </c>
      <c r="H1176">
        <v>4112382</v>
      </c>
      <c r="I1176" t="s">
        <v>1084</v>
      </c>
      <c r="J1176" t="s">
        <v>1084</v>
      </c>
      <c r="K1176">
        <v>41</v>
      </c>
      <c r="L1176">
        <v>0</v>
      </c>
      <c r="M1176" t="s">
        <v>115</v>
      </c>
      <c r="N1176" t="str">
        <f t="shared" si="108"/>
        <v>PO-101175</v>
      </c>
      <c r="O1176" t="str">
        <f t="shared" si="109"/>
        <v>Delivered</v>
      </c>
      <c r="P1176" t="str">
        <f t="shared" si="110"/>
        <v>WH-DEL</v>
      </c>
      <c r="Q1176" t="str">
        <f>VLOOKUP(C1176, Lookups!$A$2:$D$10, 2, FALSE())</f>
        <v>FastElectronics</v>
      </c>
      <c r="R1176" t="str">
        <f>_xlfn.XLOOKUP(D1176, Lookups!$A$12:$A$51, Lookups!$C$12:$C$51, "Unknown")</f>
        <v>Electronics</v>
      </c>
      <c r="S1176" t="str">
        <f>IF(ISBLANK(I1176), B1176+VLOOKUP(C1176, Lookups!$A$2:$D$10, 4, FALSE()), I1176)</f>
        <v>2026-03-20</v>
      </c>
      <c r="T1176">
        <f t="shared" si="111"/>
        <v>18</v>
      </c>
      <c r="U1176" t="str">
        <f t="shared" si="112"/>
        <v>On-Time</v>
      </c>
      <c r="V1176">
        <f t="shared" si="113"/>
        <v>0</v>
      </c>
    </row>
    <row r="1177" spans="1:22" x14ac:dyDescent="0.45">
      <c r="A1177" t="s">
        <v>2011</v>
      </c>
      <c r="B1177" t="s">
        <v>137</v>
      </c>
      <c r="C1177" t="s">
        <v>36</v>
      </c>
      <c r="D1177" t="s">
        <v>62</v>
      </c>
      <c r="E1177" t="s">
        <v>16</v>
      </c>
      <c r="F1177">
        <v>179</v>
      </c>
      <c r="G1177">
        <v>48478</v>
      </c>
      <c r="H1177">
        <v>8677562</v>
      </c>
      <c r="I1177" t="s">
        <v>609</v>
      </c>
      <c r="J1177" t="s">
        <v>609</v>
      </c>
      <c r="K1177">
        <v>179</v>
      </c>
      <c r="L1177">
        <v>0</v>
      </c>
      <c r="M1177" t="s">
        <v>115</v>
      </c>
      <c r="N1177" t="str">
        <f t="shared" si="108"/>
        <v>PO-101176</v>
      </c>
      <c r="O1177" t="str">
        <f t="shared" si="109"/>
        <v>Delivered</v>
      </c>
      <c r="P1177" t="str">
        <f t="shared" si="110"/>
        <v>WH-DEL</v>
      </c>
      <c r="Q1177" t="str">
        <f>VLOOKUP(C1177, Lookups!$A$2:$D$10, 2, FALSE())</f>
        <v>NextGen Hardware</v>
      </c>
      <c r="R1177" t="str">
        <f>_xlfn.XLOOKUP(D1177, Lookups!$A$12:$A$51, Lookups!$C$12:$C$51, "Unknown")</f>
        <v>Electronics</v>
      </c>
      <c r="S1177" t="str">
        <f>IF(ISBLANK(I1177), B1177+VLOOKUP(C1177, Lookups!$A$2:$D$10, 4, FALSE()), I1177)</f>
        <v>2025-10-02</v>
      </c>
      <c r="T1177">
        <f t="shared" si="111"/>
        <v>24</v>
      </c>
      <c r="U1177" t="str">
        <f t="shared" si="112"/>
        <v>On-Time</v>
      </c>
      <c r="V1177">
        <f t="shared" si="113"/>
        <v>0</v>
      </c>
    </row>
    <row r="1178" spans="1:22" x14ac:dyDescent="0.45">
      <c r="A1178" t="s">
        <v>2012</v>
      </c>
      <c r="B1178" t="s">
        <v>1549</v>
      </c>
      <c r="C1178" t="s">
        <v>34</v>
      </c>
      <c r="D1178" t="s">
        <v>81</v>
      </c>
      <c r="E1178" t="s">
        <v>18</v>
      </c>
      <c r="F1178">
        <v>172</v>
      </c>
      <c r="G1178">
        <v>55328</v>
      </c>
      <c r="H1178">
        <v>9516416</v>
      </c>
      <c r="I1178" t="s">
        <v>192</v>
      </c>
      <c r="J1178" t="s">
        <v>1300</v>
      </c>
      <c r="K1178">
        <v>172</v>
      </c>
      <c r="L1178">
        <v>0</v>
      </c>
      <c r="M1178" t="s">
        <v>115</v>
      </c>
      <c r="N1178" t="str">
        <f t="shared" si="108"/>
        <v>PO-101177</v>
      </c>
      <c r="O1178" t="str">
        <f t="shared" si="109"/>
        <v>Delivered</v>
      </c>
      <c r="P1178" t="str">
        <f t="shared" si="110"/>
        <v>WH-PUN</v>
      </c>
      <c r="Q1178" t="str">
        <f>VLOOKUP(C1178, Lookups!$A$2:$D$10, 2, FALSE())</f>
        <v>FastElectronics</v>
      </c>
      <c r="R1178" t="str">
        <f>_xlfn.XLOOKUP(D1178, Lookups!$A$12:$A$51, Lookups!$C$12:$C$51, "Unknown")</f>
        <v>Electronics</v>
      </c>
      <c r="S1178" t="str">
        <f>IF(ISBLANK(I1178), B1178+VLOOKUP(C1178, Lookups!$A$2:$D$10, 4, FALSE()), I1178)</f>
        <v>2025-08-04</v>
      </c>
      <c r="T1178">
        <f t="shared" si="111"/>
        <v>19</v>
      </c>
      <c r="U1178" t="str">
        <f t="shared" si="112"/>
        <v>Late</v>
      </c>
      <c r="V1178">
        <f t="shared" si="113"/>
        <v>0</v>
      </c>
    </row>
    <row r="1179" spans="1:22" x14ac:dyDescent="0.45">
      <c r="A1179" t="s">
        <v>2013</v>
      </c>
      <c r="B1179" t="s">
        <v>254</v>
      </c>
      <c r="C1179" t="s">
        <v>37</v>
      </c>
      <c r="D1179" t="s">
        <v>83</v>
      </c>
      <c r="E1179" t="s">
        <v>18</v>
      </c>
      <c r="F1179">
        <v>54</v>
      </c>
      <c r="G1179">
        <v>19850</v>
      </c>
      <c r="H1179">
        <v>1071900</v>
      </c>
      <c r="I1179" t="s">
        <v>552</v>
      </c>
      <c r="J1179" t="s">
        <v>552</v>
      </c>
      <c r="K1179">
        <v>54</v>
      </c>
      <c r="L1179">
        <v>2</v>
      </c>
      <c r="M1179" t="s">
        <v>115</v>
      </c>
      <c r="N1179" t="str">
        <f t="shared" si="108"/>
        <v>PO-101178</v>
      </c>
      <c r="O1179" t="str">
        <f t="shared" si="109"/>
        <v>Delivered</v>
      </c>
      <c r="P1179" t="str">
        <f t="shared" si="110"/>
        <v>WH-PUN</v>
      </c>
      <c r="Q1179" t="str">
        <f>VLOOKUP(C1179, Lookups!$A$2:$D$10, 2, FALSE())</f>
        <v>Premium Desks Ltd</v>
      </c>
      <c r="R1179" t="str">
        <f>_xlfn.XLOOKUP(D1179, Lookups!$A$12:$A$51, Lookups!$C$12:$C$51, "Unknown")</f>
        <v>Office Furniture</v>
      </c>
      <c r="S1179" t="str">
        <f>IF(ISBLANK(I1179), B1179+VLOOKUP(C1179, Lookups!$A$2:$D$10, 4, FALSE()), I1179)</f>
        <v>2025-11-22</v>
      </c>
      <c r="T1179">
        <f t="shared" si="111"/>
        <v>12</v>
      </c>
      <c r="U1179" t="str">
        <f t="shared" si="112"/>
        <v>On-Time</v>
      </c>
      <c r="V1179">
        <f t="shared" si="113"/>
        <v>3.7037037037037035E-2</v>
      </c>
    </row>
    <row r="1180" spans="1:22" x14ac:dyDescent="0.45">
      <c r="A1180" t="s">
        <v>2014</v>
      </c>
      <c r="B1180" t="s">
        <v>1737</v>
      </c>
      <c r="C1180" t="s">
        <v>30</v>
      </c>
      <c r="D1180" t="s">
        <v>59</v>
      </c>
      <c r="E1180" t="s">
        <v>17</v>
      </c>
      <c r="F1180">
        <v>208</v>
      </c>
      <c r="G1180">
        <v>48905</v>
      </c>
      <c r="H1180">
        <v>10172240</v>
      </c>
      <c r="I1180" t="s">
        <v>1018</v>
      </c>
      <c r="J1180" t="s">
        <v>582</v>
      </c>
      <c r="K1180">
        <v>208</v>
      </c>
      <c r="L1180">
        <v>0</v>
      </c>
      <c r="M1180" t="s">
        <v>115</v>
      </c>
      <c r="N1180" t="str">
        <f t="shared" si="108"/>
        <v>PO-101179</v>
      </c>
      <c r="O1180" t="str">
        <f t="shared" si="109"/>
        <v>Delivered</v>
      </c>
      <c r="P1180" t="str">
        <f t="shared" si="110"/>
        <v>WH-BLR</v>
      </c>
      <c r="Q1180" t="str">
        <f>VLOOKUP(C1180, Lookups!$A$2:$D$10, 2, FALSE())</f>
        <v>TechSupply Corp</v>
      </c>
      <c r="R1180" t="str">
        <f>_xlfn.XLOOKUP(D1180, Lookups!$A$12:$A$51, Lookups!$C$12:$C$51, "Unknown")</f>
        <v>Electronics</v>
      </c>
      <c r="S1180" t="str">
        <f>IF(ISBLANK(I1180), B1180+VLOOKUP(C1180, Lookups!$A$2:$D$10, 4, FALSE()), I1180)</f>
        <v>2025-04-14</v>
      </c>
      <c r="T1180">
        <f t="shared" si="111"/>
        <v>21</v>
      </c>
      <c r="U1180" t="str">
        <f t="shared" si="112"/>
        <v>Late</v>
      </c>
      <c r="V1180">
        <f t="shared" si="113"/>
        <v>0</v>
      </c>
    </row>
    <row r="1181" spans="1:22" x14ac:dyDescent="0.45">
      <c r="A1181" t="s">
        <v>2015</v>
      </c>
      <c r="B1181" t="s">
        <v>242</v>
      </c>
      <c r="C1181" t="s">
        <v>34</v>
      </c>
      <c r="D1181" t="s">
        <v>81</v>
      </c>
      <c r="E1181" t="s">
        <v>18</v>
      </c>
      <c r="F1181">
        <v>190</v>
      </c>
      <c r="G1181">
        <v>55328</v>
      </c>
      <c r="H1181">
        <v>10512320</v>
      </c>
      <c r="I1181" t="s">
        <v>1326</v>
      </c>
      <c r="J1181" t="s">
        <v>1326</v>
      </c>
      <c r="K1181">
        <v>190</v>
      </c>
      <c r="L1181">
        <v>0</v>
      </c>
      <c r="M1181" t="s">
        <v>115</v>
      </c>
      <c r="N1181" t="str">
        <f t="shared" si="108"/>
        <v>PO-101180</v>
      </c>
      <c r="O1181" t="str">
        <f t="shared" si="109"/>
        <v>Delivered</v>
      </c>
      <c r="P1181" t="str">
        <f t="shared" si="110"/>
        <v>WH-PUN</v>
      </c>
      <c r="Q1181" t="str">
        <f>VLOOKUP(C1181, Lookups!$A$2:$D$10, 2, FALSE())</f>
        <v>FastElectronics</v>
      </c>
      <c r="R1181" t="str">
        <f>_xlfn.XLOOKUP(D1181, Lookups!$A$12:$A$51, Lookups!$C$12:$C$51, "Unknown")</f>
        <v>Electronics</v>
      </c>
      <c r="S1181" t="str">
        <f>IF(ISBLANK(I1181), B1181+VLOOKUP(C1181, Lookups!$A$2:$D$10, 4, FALSE()), I1181)</f>
        <v>2025-07-23</v>
      </c>
      <c r="T1181">
        <f t="shared" si="111"/>
        <v>18</v>
      </c>
      <c r="U1181" t="str">
        <f t="shared" si="112"/>
        <v>On-Time</v>
      </c>
      <c r="V1181">
        <f t="shared" si="113"/>
        <v>0</v>
      </c>
    </row>
    <row r="1182" spans="1:22" x14ac:dyDescent="0.45">
      <c r="A1182" t="s">
        <v>2016</v>
      </c>
      <c r="B1182" t="s">
        <v>362</v>
      </c>
      <c r="C1182" t="s">
        <v>37</v>
      </c>
      <c r="D1182" t="s">
        <v>69</v>
      </c>
      <c r="E1182" t="s">
        <v>15</v>
      </c>
      <c r="F1182">
        <v>70</v>
      </c>
      <c r="G1182">
        <v>13231</v>
      </c>
      <c r="H1182">
        <v>926170</v>
      </c>
      <c r="I1182" t="s">
        <v>150</v>
      </c>
      <c r="J1182" t="s">
        <v>339</v>
      </c>
      <c r="K1182">
        <v>70</v>
      </c>
      <c r="L1182">
        <v>0</v>
      </c>
      <c r="M1182" t="s">
        <v>927</v>
      </c>
      <c r="N1182" t="str">
        <f t="shared" si="108"/>
        <v>PO-101181</v>
      </c>
      <c r="O1182" t="str">
        <f t="shared" si="109"/>
        <v>Delivered</v>
      </c>
      <c r="P1182" t="str">
        <f t="shared" si="110"/>
        <v>WH-BOM</v>
      </c>
      <c r="Q1182" t="str">
        <f>VLOOKUP(C1182, Lookups!$A$2:$D$10, 2, FALSE())</f>
        <v>Premium Desks Ltd</v>
      </c>
      <c r="R1182" t="str">
        <f>_xlfn.XLOOKUP(D1182, Lookups!$A$12:$A$51, Lookups!$C$12:$C$51, "Unknown")</f>
        <v>Office Furniture</v>
      </c>
      <c r="S1182" t="str">
        <f>IF(ISBLANK(I1182), B1182+VLOOKUP(C1182, Lookups!$A$2:$D$10, 4, FALSE()), I1182)</f>
        <v>2026-04-13</v>
      </c>
      <c r="T1182">
        <f t="shared" si="111"/>
        <v>19</v>
      </c>
      <c r="U1182" t="str">
        <f t="shared" si="112"/>
        <v>Late</v>
      </c>
      <c r="V1182">
        <f t="shared" si="113"/>
        <v>0</v>
      </c>
    </row>
    <row r="1183" spans="1:22" x14ac:dyDescent="0.45">
      <c r="A1183" t="s">
        <v>2017</v>
      </c>
      <c r="B1183" t="s">
        <v>1173</v>
      </c>
      <c r="C1183" t="s">
        <v>30</v>
      </c>
      <c r="D1183" t="s">
        <v>52</v>
      </c>
      <c r="E1183" t="s">
        <v>18</v>
      </c>
      <c r="F1183">
        <v>40</v>
      </c>
      <c r="G1183">
        <v>59592</v>
      </c>
      <c r="H1183">
        <v>2383680</v>
      </c>
      <c r="I1183" t="s">
        <v>2018</v>
      </c>
      <c r="J1183" t="s">
        <v>1218</v>
      </c>
      <c r="K1183">
        <v>29</v>
      </c>
      <c r="L1183">
        <v>0</v>
      </c>
      <c r="M1183" t="s">
        <v>115</v>
      </c>
      <c r="N1183" t="str">
        <f t="shared" si="108"/>
        <v>PO-101182</v>
      </c>
      <c r="O1183" t="str">
        <f t="shared" si="109"/>
        <v>Delivered</v>
      </c>
      <c r="P1183" t="str">
        <f t="shared" si="110"/>
        <v>WH-PUN</v>
      </c>
      <c r="Q1183" t="str">
        <f>VLOOKUP(C1183, Lookups!$A$2:$D$10, 2, FALSE())</f>
        <v>TechSupply Corp</v>
      </c>
      <c r="R1183" t="str">
        <f>_xlfn.XLOOKUP(D1183, Lookups!$A$12:$A$51, Lookups!$C$12:$C$51, "Unknown")</f>
        <v>Electronics</v>
      </c>
      <c r="S1183" t="str">
        <f>IF(ISBLANK(I1183), B1183+VLOOKUP(C1183, Lookups!$A$2:$D$10, 4, FALSE()), I1183)</f>
        <v>2026-06-18</v>
      </c>
      <c r="T1183">
        <f t="shared" si="111"/>
        <v>15</v>
      </c>
      <c r="U1183" t="str">
        <f t="shared" si="112"/>
        <v>Late</v>
      </c>
      <c r="V1183">
        <f t="shared" si="113"/>
        <v>0</v>
      </c>
    </row>
    <row r="1184" spans="1:22" x14ac:dyDescent="0.45">
      <c r="A1184" t="s">
        <v>2019</v>
      </c>
      <c r="B1184" t="s">
        <v>523</v>
      </c>
      <c r="C1184" t="s">
        <v>36</v>
      </c>
      <c r="D1184" t="s">
        <v>63</v>
      </c>
      <c r="E1184" t="s">
        <v>16</v>
      </c>
      <c r="F1184">
        <v>104</v>
      </c>
      <c r="G1184">
        <v>71062</v>
      </c>
      <c r="H1184">
        <v>7390448</v>
      </c>
      <c r="I1184" t="s">
        <v>731</v>
      </c>
      <c r="J1184" t="s">
        <v>832</v>
      </c>
      <c r="K1184">
        <v>104</v>
      </c>
      <c r="L1184">
        <v>0</v>
      </c>
      <c r="M1184" t="s">
        <v>115</v>
      </c>
      <c r="N1184" t="str">
        <f t="shared" si="108"/>
        <v>PO-101183</v>
      </c>
      <c r="O1184" t="str">
        <f t="shared" si="109"/>
        <v>Delivered</v>
      </c>
      <c r="P1184" t="str">
        <f t="shared" si="110"/>
        <v>WH-DEL</v>
      </c>
      <c r="Q1184" t="str">
        <f>VLOOKUP(C1184, Lookups!$A$2:$D$10, 2, FALSE())</f>
        <v>NextGen Hardware</v>
      </c>
      <c r="R1184" t="str">
        <f>_xlfn.XLOOKUP(D1184, Lookups!$A$12:$A$51, Lookups!$C$12:$C$51, "Unknown")</f>
        <v>Electronics</v>
      </c>
      <c r="S1184" t="str">
        <f>IF(ISBLANK(I1184), B1184+VLOOKUP(C1184, Lookups!$A$2:$D$10, 4, FALSE()), I1184)</f>
        <v>2025-06-08</v>
      </c>
      <c r="T1184">
        <f t="shared" si="111"/>
        <v>25</v>
      </c>
      <c r="U1184" t="str">
        <f t="shared" si="112"/>
        <v>Late</v>
      </c>
      <c r="V1184">
        <f t="shared" si="113"/>
        <v>0</v>
      </c>
    </row>
    <row r="1185" spans="1:22" x14ac:dyDescent="0.45">
      <c r="A1185" t="s">
        <v>2020</v>
      </c>
      <c r="B1185" t="s">
        <v>921</v>
      </c>
      <c r="C1185" t="s">
        <v>35</v>
      </c>
      <c r="D1185" t="s">
        <v>75</v>
      </c>
      <c r="E1185" t="s">
        <v>16</v>
      </c>
      <c r="F1185">
        <v>21</v>
      </c>
      <c r="G1185">
        <v>4440</v>
      </c>
      <c r="H1185">
        <v>93240</v>
      </c>
      <c r="I1185" t="s">
        <v>1126</v>
      </c>
      <c r="J1185" t="s">
        <v>674</v>
      </c>
      <c r="K1185">
        <v>21</v>
      </c>
      <c r="L1185">
        <v>0</v>
      </c>
      <c r="M1185" t="s">
        <v>115</v>
      </c>
      <c r="N1185" t="str">
        <f t="shared" si="108"/>
        <v>PO-101184</v>
      </c>
      <c r="O1185" t="str">
        <f t="shared" si="109"/>
        <v>Delivered</v>
      </c>
      <c r="P1185" t="str">
        <f t="shared" si="110"/>
        <v>WH-DEL</v>
      </c>
      <c r="Q1185" t="str">
        <f>VLOOKUP(C1185, Lookups!$A$2:$D$10, 2, FALSE())</f>
        <v>Peripheral Source</v>
      </c>
      <c r="R1185" t="str">
        <f>_xlfn.XLOOKUP(D1185, Lookups!$A$12:$A$51, Lookups!$C$12:$C$51, "Unknown")</f>
        <v>Peripherals</v>
      </c>
      <c r="S1185" t="str">
        <f>IF(ISBLANK(I1185), B1185+VLOOKUP(C1185, Lookups!$A$2:$D$10, 4, FALSE()), I1185)</f>
        <v>2026-11-18</v>
      </c>
      <c r="T1185">
        <f t="shared" si="111"/>
        <v>11</v>
      </c>
      <c r="U1185" t="str">
        <f t="shared" si="112"/>
        <v>Late</v>
      </c>
      <c r="V1185">
        <f t="shared" si="113"/>
        <v>0</v>
      </c>
    </row>
    <row r="1186" spans="1:22" x14ac:dyDescent="0.45">
      <c r="A1186" t="s">
        <v>2021</v>
      </c>
      <c r="B1186" t="s">
        <v>362</v>
      </c>
      <c r="C1186" t="s">
        <v>37</v>
      </c>
      <c r="D1186" t="s">
        <v>83</v>
      </c>
      <c r="E1186" t="s">
        <v>15</v>
      </c>
      <c r="F1186">
        <v>37</v>
      </c>
      <c r="G1186">
        <v>19850</v>
      </c>
      <c r="H1186">
        <v>734450</v>
      </c>
      <c r="I1186" t="s">
        <v>150</v>
      </c>
      <c r="J1186" t="s">
        <v>151</v>
      </c>
      <c r="K1186">
        <v>37</v>
      </c>
      <c r="L1186">
        <v>0</v>
      </c>
      <c r="M1186" t="s">
        <v>115</v>
      </c>
      <c r="N1186" t="str">
        <f t="shared" si="108"/>
        <v>PO-101185</v>
      </c>
      <c r="O1186" t="str">
        <f t="shared" si="109"/>
        <v>Delivered</v>
      </c>
      <c r="P1186" t="str">
        <f t="shared" si="110"/>
        <v>WH-BOM</v>
      </c>
      <c r="Q1186" t="str">
        <f>VLOOKUP(C1186, Lookups!$A$2:$D$10, 2, FALSE())</f>
        <v>Premium Desks Ltd</v>
      </c>
      <c r="R1186" t="str">
        <f>_xlfn.XLOOKUP(D1186, Lookups!$A$12:$A$51, Lookups!$C$12:$C$51, "Unknown")</f>
        <v>Office Furniture</v>
      </c>
      <c r="S1186" t="str">
        <f>IF(ISBLANK(I1186), B1186+VLOOKUP(C1186, Lookups!$A$2:$D$10, 4, FALSE()), I1186)</f>
        <v>2026-04-13</v>
      </c>
      <c r="T1186">
        <f t="shared" si="111"/>
        <v>13</v>
      </c>
      <c r="U1186" t="str">
        <f t="shared" si="112"/>
        <v>Late</v>
      </c>
      <c r="V1186">
        <f t="shared" si="113"/>
        <v>0</v>
      </c>
    </row>
    <row r="1187" spans="1:22" x14ac:dyDescent="0.45">
      <c r="A1187" t="s">
        <v>2022</v>
      </c>
      <c r="B1187" t="s">
        <v>292</v>
      </c>
      <c r="C1187" t="s">
        <v>30</v>
      </c>
      <c r="D1187" t="s">
        <v>53</v>
      </c>
      <c r="E1187" t="s">
        <v>17</v>
      </c>
      <c r="F1187">
        <v>204</v>
      </c>
      <c r="G1187">
        <v>81048</v>
      </c>
      <c r="H1187">
        <v>16533792</v>
      </c>
      <c r="I1187" t="s">
        <v>598</v>
      </c>
      <c r="J1187" t="s">
        <v>1200</v>
      </c>
      <c r="K1187">
        <v>204</v>
      </c>
      <c r="L1187">
        <v>0</v>
      </c>
      <c r="M1187" t="s">
        <v>115</v>
      </c>
      <c r="N1187" t="str">
        <f t="shared" si="108"/>
        <v>PO-101186</v>
      </c>
      <c r="O1187" t="str">
        <f t="shared" si="109"/>
        <v>Delivered</v>
      </c>
      <c r="P1187" t="str">
        <f t="shared" si="110"/>
        <v>WH-BLR</v>
      </c>
      <c r="Q1187" t="str">
        <f>VLOOKUP(C1187, Lookups!$A$2:$D$10, 2, FALSE())</f>
        <v>TechSupply Corp</v>
      </c>
      <c r="R1187" t="str">
        <f>_xlfn.XLOOKUP(D1187, Lookups!$A$12:$A$51, Lookups!$C$12:$C$51, "Unknown")</f>
        <v>Electronics</v>
      </c>
      <c r="S1187" t="str">
        <f>IF(ISBLANK(I1187), B1187+VLOOKUP(C1187, Lookups!$A$2:$D$10, 4, FALSE()), I1187)</f>
        <v>2025-08-31</v>
      </c>
      <c r="T1187">
        <f t="shared" si="111"/>
        <v>15</v>
      </c>
      <c r="U1187" t="str">
        <f t="shared" si="112"/>
        <v>Late</v>
      </c>
      <c r="V1187">
        <f t="shared" si="113"/>
        <v>0</v>
      </c>
    </row>
    <row r="1188" spans="1:22" x14ac:dyDescent="0.45">
      <c r="A1188" t="s">
        <v>2023</v>
      </c>
      <c r="B1188" t="s">
        <v>1114</v>
      </c>
      <c r="C1188" t="s">
        <v>35</v>
      </c>
      <c r="D1188" t="s">
        <v>72</v>
      </c>
      <c r="E1188" t="s">
        <v>15</v>
      </c>
      <c r="F1188">
        <v>32</v>
      </c>
      <c r="G1188">
        <v>7754</v>
      </c>
      <c r="H1188">
        <v>248128</v>
      </c>
      <c r="I1188" t="s">
        <v>145</v>
      </c>
      <c r="J1188" t="s">
        <v>145</v>
      </c>
      <c r="K1188">
        <v>32</v>
      </c>
      <c r="L1188">
        <v>0</v>
      </c>
      <c r="M1188" t="s">
        <v>115</v>
      </c>
      <c r="N1188" t="str">
        <f t="shared" si="108"/>
        <v>PO-101187</v>
      </c>
      <c r="O1188" t="str">
        <f t="shared" si="109"/>
        <v>Delivered</v>
      </c>
      <c r="P1188" t="str">
        <f t="shared" si="110"/>
        <v>WH-BOM</v>
      </c>
      <c r="Q1188" t="str">
        <f>VLOOKUP(C1188, Lookups!$A$2:$D$10, 2, FALSE())</f>
        <v>Peripheral Source</v>
      </c>
      <c r="R1188" t="str">
        <f>_xlfn.XLOOKUP(D1188, Lookups!$A$12:$A$51, Lookups!$C$12:$C$51, "Unknown")</f>
        <v>Peripherals</v>
      </c>
      <c r="S1188" t="str">
        <f>IF(ISBLANK(I1188), B1188+VLOOKUP(C1188, Lookups!$A$2:$D$10, 4, FALSE()), I1188)</f>
        <v>2025-09-24</v>
      </c>
      <c r="T1188">
        <f t="shared" si="111"/>
        <v>10</v>
      </c>
      <c r="U1188" t="str">
        <f t="shared" si="112"/>
        <v>On-Time</v>
      </c>
      <c r="V1188">
        <f t="shared" si="113"/>
        <v>0</v>
      </c>
    </row>
    <row r="1189" spans="1:22" x14ac:dyDescent="0.45">
      <c r="A1189" t="s">
        <v>2024</v>
      </c>
      <c r="B1189" t="s">
        <v>772</v>
      </c>
      <c r="C1189" t="s">
        <v>31</v>
      </c>
      <c r="D1189" t="s">
        <v>85</v>
      </c>
      <c r="E1189" t="s">
        <v>18</v>
      </c>
      <c r="F1189">
        <v>243</v>
      </c>
      <c r="G1189">
        <v>16501</v>
      </c>
      <c r="H1189">
        <v>4009743</v>
      </c>
      <c r="I1189" t="s">
        <v>720</v>
      </c>
      <c r="J1189" t="s">
        <v>720</v>
      </c>
      <c r="K1189">
        <v>243</v>
      </c>
      <c r="L1189">
        <v>0</v>
      </c>
      <c r="M1189" t="s">
        <v>115</v>
      </c>
      <c r="N1189" t="str">
        <f t="shared" si="108"/>
        <v>PO-101188</v>
      </c>
      <c r="O1189" t="str">
        <f t="shared" si="109"/>
        <v>Delivered</v>
      </c>
      <c r="P1189" t="str">
        <f t="shared" si="110"/>
        <v>WH-PUN</v>
      </c>
      <c r="Q1189" t="str">
        <f>VLOOKUP(C1189, Lookups!$A$2:$D$10, 2, FALSE())</f>
        <v>Global Networks</v>
      </c>
      <c r="R1189" t="str">
        <f>_xlfn.XLOOKUP(D1189, Lookups!$A$12:$A$51, Lookups!$C$12:$C$51, "Unknown")</f>
        <v>Networking</v>
      </c>
      <c r="S1189" t="str">
        <f>IF(ISBLANK(I1189), B1189+VLOOKUP(C1189, Lookups!$A$2:$D$10, 4, FALSE()), I1189)</f>
        <v>2026-01-22</v>
      </c>
      <c r="T1189">
        <f t="shared" si="111"/>
        <v>21</v>
      </c>
      <c r="U1189" t="str">
        <f t="shared" si="112"/>
        <v>On-Time</v>
      </c>
      <c r="V1189">
        <f t="shared" si="113"/>
        <v>0</v>
      </c>
    </row>
    <row r="1190" spans="1:22" x14ac:dyDescent="0.45">
      <c r="A1190" t="s">
        <v>2025</v>
      </c>
      <c r="B1190" t="s">
        <v>211</v>
      </c>
      <c r="C1190" t="s">
        <v>36</v>
      </c>
      <c r="D1190" t="s">
        <v>63</v>
      </c>
      <c r="E1190" t="s">
        <v>15</v>
      </c>
      <c r="F1190">
        <v>208</v>
      </c>
      <c r="G1190">
        <v>71062</v>
      </c>
      <c r="H1190">
        <v>14780896</v>
      </c>
      <c r="I1190" t="s">
        <v>469</v>
      </c>
      <c r="J1190" t="s">
        <v>458</v>
      </c>
      <c r="K1190">
        <v>208</v>
      </c>
      <c r="L1190">
        <v>0</v>
      </c>
      <c r="M1190" t="s">
        <v>115</v>
      </c>
      <c r="N1190" t="str">
        <f t="shared" si="108"/>
        <v>PO-101189</v>
      </c>
      <c r="O1190" t="str">
        <f t="shared" si="109"/>
        <v>Delivered</v>
      </c>
      <c r="P1190" t="str">
        <f t="shared" si="110"/>
        <v>WH-BOM</v>
      </c>
      <c r="Q1190" t="str">
        <f>VLOOKUP(C1190, Lookups!$A$2:$D$10, 2, FALSE())</f>
        <v>NextGen Hardware</v>
      </c>
      <c r="R1190" t="str">
        <f>_xlfn.XLOOKUP(D1190, Lookups!$A$12:$A$51, Lookups!$C$12:$C$51, "Unknown")</f>
        <v>Electronics</v>
      </c>
      <c r="S1190" t="str">
        <f>IF(ISBLANK(I1190), B1190+VLOOKUP(C1190, Lookups!$A$2:$D$10, 4, FALSE()), I1190)</f>
        <v>2025-07-15</v>
      </c>
      <c r="T1190">
        <f t="shared" si="111"/>
        <v>23</v>
      </c>
      <c r="U1190" t="str">
        <f t="shared" si="112"/>
        <v>On-Time</v>
      </c>
      <c r="V1190">
        <f t="shared" si="113"/>
        <v>0</v>
      </c>
    </row>
    <row r="1191" spans="1:22" x14ac:dyDescent="0.45">
      <c r="A1191" t="s">
        <v>2026</v>
      </c>
      <c r="B1191" t="s">
        <v>591</v>
      </c>
      <c r="C1191" t="s">
        <v>36</v>
      </c>
      <c r="D1191" t="s">
        <v>55</v>
      </c>
      <c r="E1191" t="s">
        <v>15</v>
      </c>
      <c r="F1191">
        <v>244</v>
      </c>
      <c r="G1191">
        <v>58434</v>
      </c>
      <c r="H1191">
        <v>14257896</v>
      </c>
      <c r="I1191" t="s">
        <v>815</v>
      </c>
      <c r="J1191" t="s">
        <v>220</v>
      </c>
      <c r="K1191">
        <v>244</v>
      </c>
      <c r="L1191">
        <v>0</v>
      </c>
      <c r="M1191" t="s">
        <v>115</v>
      </c>
      <c r="N1191" t="str">
        <f t="shared" si="108"/>
        <v>PO-101190</v>
      </c>
      <c r="O1191" t="str">
        <f t="shared" si="109"/>
        <v>Delivered</v>
      </c>
      <c r="P1191" t="str">
        <f t="shared" si="110"/>
        <v>WH-BOM</v>
      </c>
      <c r="Q1191" t="str">
        <f>VLOOKUP(C1191, Lookups!$A$2:$D$10, 2, FALSE())</f>
        <v>NextGen Hardware</v>
      </c>
      <c r="R1191" t="str">
        <f>_xlfn.XLOOKUP(D1191, Lookups!$A$12:$A$51, Lookups!$C$12:$C$51, "Unknown")</f>
        <v>Electronics</v>
      </c>
      <c r="S1191" t="str">
        <f>IF(ISBLANK(I1191), B1191+VLOOKUP(C1191, Lookups!$A$2:$D$10, 4, FALSE()), I1191)</f>
        <v>2026-02-13</v>
      </c>
      <c r="T1191">
        <f t="shared" si="111"/>
        <v>25</v>
      </c>
      <c r="U1191" t="str">
        <f t="shared" si="112"/>
        <v>Late</v>
      </c>
      <c r="V1191">
        <f t="shared" si="113"/>
        <v>0</v>
      </c>
    </row>
    <row r="1192" spans="1:22" x14ac:dyDescent="0.45">
      <c r="A1192" t="s">
        <v>2027</v>
      </c>
      <c r="B1192" t="s">
        <v>1331</v>
      </c>
      <c r="C1192" t="s">
        <v>35</v>
      </c>
      <c r="D1192" t="s">
        <v>60</v>
      </c>
      <c r="E1192" t="s">
        <v>16</v>
      </c>
      <c r="F1192">
        <v>11</v>
      </c>
      <c r="G1192">
        <v>3291</v>
      </c>
      <c r="H1192">
        <v>36201</v>
      </c>
      <c r="I1192" t="s">
        <v>516</v>
      </c>
      <c r="J1192" t="s">
        <v>432</v>
      </c>
      <c r="K1192">
        <v>11</v>
      </c>
      <c r="L1192">
        <v>0</v>
      </c>
      <c r="M1192" t="s">
        <v>115</v>
      </c>
      <c r="N1192" t="str">
        <f t="shared" si="108"/>
        <v>PO-101191</v>
      </c>
      <c r="O1192" t="str">
        <f t="shared" si="109"/>
        <v>Delivered</v>
      </c>
      <c r="P1192" t="str">
        <f t="shared" si="110"/>
        <v>WH-DEL</v>
      </c>
      <c r="Q1192" t="str">
        <f>VLOOKUP(C1192, Lookups!$A$2:$D$10, 2, FALSE())</f>
        <v>Peripheral Source</v>
      </c>
      <c r="R1192" t="str">
        <f>_xlfn.XLOOKUP(D1192, Lookups!$A$12:$A$51, Lookups!$C$12:$C$51, "Unknown")</f>
        <v>Peripherals</v>
      </c>
      <c r="S1192" t="str">
        <f>IF(ISBLANK(I1192), B1192+VLOOKUP(C1192, Lookups!$A$2:$D$10, 4, FALSE()), I1192)</f>
        <v>2025-03-24</v>
      </c>
      <c r="T1192">
        <f t="shared" si="111"/>
        <v>11</v>
      </c>
      <c r="U1192" t="str">
        <f t="shared" si="112"/>
        <v>Late</v>
      </c>
      <c r="V1192">
        <f t="shared" si="113"/>
        <v>0</v>
      </c>
    </row>
    <row r="1193" spans="1:22" x14ac:dyDescent="0.45">
      <c r="A1193" t="s">
        <v>2028</v>
      </c>
      <c r="B1193" t="s">
        <v>983</v>
      </c>
      <c r="C1193" t="s">
        <v>32</v>
      </c>
      <c r="D1193" t="s">
        <v>67</v>
      </c>
      <c r="E1193" t="s">
        <v>18</v>
      </c>
      <c r="F1193">
        <v>157</v>
      </c>
      <c r="G1193">
        <v>1553</v>
      </c>
      <c r="H1193">
        <v>243821</v>
      </c>
      <c r="I1193" t="s">
        <v>481</v>
      </c>
      <c r="J1193" t="s">
        <v>481</v>
      </c>
      <c r="K1193">
        <v>157</v>
      </c>
      <c r="L1193">
        <v>0</v>
      </c>
      <c r="M1193" t="s">
        <v>115</v>
      </c>
      <c r="N1193" t="str">
        <f t="shared" si="108"/>
        <v>PO-101192</v>
      </c>
      <c r="O1193" t="str">
        <f t="shared" si="109"/>
        <v>Delivered</v>
      </c>
      <c r="P1193" t="str">
        <f t="shared" si="110"/>
        <v>WH-PUN</v>
      </c>
      <c r="Q1193" t="str">
        <f>VLOOKUP(C1193, Lookups!$A$2:$D$10, 2, FALSE())</f>
        <v>OfficeDepot Pro</v>
      </c>
      <c r="R1193" t="str">
        <f>_xlfn.XLOOKUP(D1193, Lookups!$A$12:$A$51, Lookups!$C$12:$C$51, "Unknown")</f>
        <v>Peripherals</v>
      </c>
      <c r="S1193" t="str">
        <f>IF(ISBLANK(I1193), B1193+VLOOKUP(C1193, Lookups!$A$2:$D$10, 4, FALSE()), I1193)</f>
        <v>2025-05-07</v>
      </c>
      <c r="T1193">
        <f t="shared" si="111"/>
        <v>7</v>
      </c>
      <c r="U1193" t="str">
        <f t="shared" si="112"/>
        <v>On-Time</v>
      </c>
      <c r="V1193">
        <f t="shared" si="113"/>
        <v>0</v>
      </c>
    </row>
    <row r="1194" spans="1:22" x14ac:dyDescent="0.45">
      <c r="A1194" t="s">
        <v>2029</v>
      </c>
      <c r="B1194" t="s">
        <v>545</v>
      </c>
      <c r="C1194" t="s">
        <v>31</v>
      </c>
      <c r="D1194" t="s">
        <v>77</v>
      </c>
      <c r="E1194" t="s">
        <v>15</v>
      </c>
      <c r="F1194">
        <v>243</v>
      </c>
      <c r="G1194">
        <v>23667</v>
      </c>
      <c r="H1194">
        <v>5751081</v>
      </c>
      <c r="I1194" t="s">
        <v>829</v>
      </c>
      <c r="J1194" t="s">
        <v>829</v>
      </c>
      <c r="K1194">
        <v>243</v>
      </c>
      <c r="L1194">
        <v>0</v>
      </c>
      <c r="M1194" t="s">
        <v>115</v>
      </c>
      <c r="N1194" t="str">
        <f t="shared" si="108"/>
        <v>PO-101193</v>
      </c>
      <c r="O1194" t="str">
        <f t="shared" si="109"/>
        <v>Delivered</v>
      </c>
      <c r="P1194" t="str">
        <f t="shared" si="110"/>
        <v>WH-BOM</v>
      </c>
      <c r="Q1194" t="str">
        <f>VLOOKUP(C1194, Lookups!$A$2:$D$10, 2, FALSE())</f>
        <v>Global Networks</v>
      </c>
      <c r="R1194" t="str">
        <f>_xlfn.XLOOKUP(D1194, Lookups!$A$12:$A$51, Lookups!$C$12:$C$51, "Unknown")</f>
        <v>Networking</v>
      </c>
      <c r="S1194" t="str">
        <f>IF(ISBLANK(I1194), B1194+VLOOKUP(C1194, Lookups!$A$2:$D$10, 4, FALSE()), I1194)</f>
        <v>2025-12-24</v>
      </c>
      <c r="T1194">
        <f t="shared" si="111"/>
        <v>21</v>
      </c>
      <c r="U1194" t="str">
        <f t="shared" si="112"/>
        <v>On-Time</v>
      </c>
      <c r="V1194">
        <f t="shared" si="113"/>
        <v>0</v>
      </c>
    </row>
    <row r="1195" spans="1:22" x14ac:dyDescent="0.45">
      <c r="A1195" t="s">
        <v>2030</v>
      </c>
      <c r="B1195" t="s">
        <v>623</v>
      </c>
      <c r="C1195" t="s">
        <v>31</v>
      </c>
      <c r="D1195" t="s">
        <v>85</v>
      </c>
      <c r="E1195" t="s">
        <v>17</v>
      </c>
      <c r="F1195">
        <v>235</v>
      </c>
      <c r="G1195">
        <v>16501</v>
      </c>
      <c r="H1195">
        <v>3877735</v>
      </c>
      <c r="I1195" t="s">
        <v>312</v>
      </c>
      <c r="J1195" t="s">
        <v>1562</v>
      </c>
      <c r="K1195">
        <v>235</v>
      </c>
      <c r="L1195">
        <v>0</v>
      </c>
      <c r="M1195" t="s">
        <v>115</v>
      </c>
      <c r="N1195" t="str">
        <f t="shared" si="108"/>
        <v>PO-101194</v>
      </c>
      <c r="O1195" t="str">
        <f t="shared" si="109"/>
        <v>Delivered</v>
      </c>
      <c r="P1195" t="str">
        <f t="shared" si="110"/>
        <v>WH-BLR</v>
      </c>
      <c r="Q1195" t="str">
        <f>VLOOKUP(C1195, Lookups!$A$2:$D$10, 2, FALSE())</f>
        <v>Global Networks</v>
      </c>
      <c r="R1195" t="str">
        <f>_xlfn.XLOOKUP(D1195, Lookups!$A$12:$A$51, Lookups!$C$12:$C$51, "Unknown")</f>
        <v>Networking</v>
      </c>
      <c r="S1195" t="str">
        <f>IF(ISBLANK(I1195), B1195+VLOOKUP(C1195, Lookups!$A$2:$D$10, 4, FALSE()), I1195)</f>
        <v>2026-07-29</v>
      </c>
      <c r="T1195">
        <f t="shared" si="111"/>
        <v>22</v>
      </c>
      <c r="U1195" t="str">
        <f t="shared" si="112"/>
        <v>Late</v>
      </c>
      <c r="V1195">
        <f t="shared" si="113"/>
        <v>0</v>
      </c>
    </row>
    <row r="1196" spans="1:22" x14ac:dyDescent="0.45">
      <c r="A1196" t="s">
        <v>2031</v>
      </c>
      <c r="B1196" t="s">
        <v>312</v>
      </c>
      <c r="C1196" t="s">
        <v>35</v>
      </c>
      <c r="D1196" t="s">
        <v>91</v>
      </c>
      <c r="E1196" t="s">
        <v>18</v>
      </c>
      <c r="F1196">
        <v>141</v>
      </c>
      <c r="G1196">
        <v>6707</v>
      </c>
      <c r="H1196">
        <v>945687</v>
      </c>
      <c r="I1196" t="s">
        <v>177</v>
      </c>
      <c r="J1196" t="s">
        <v>1347</v>
      </c>
      <c r="K1196">
        <v>141</v>
      </c>
      <c r="L1196">
        <v>0</v>
      </c>
      <c r="M1196" t="s">
        <v>115</v>
      </c>
      <c r="N1196" t="str">
        <f t="shared" si="108"/>
        <v>PO-101195</v>
      </c>
      <c r="O1196" t="str">
        <f t="shared" si="109"/>
        <v>Delivered</v>
      </c>
      <c r="P1196" t="str">
        <f t="shared" si="110"/>
        <v>WH-PUN</v>
      </c>
      <c r="Q1196" t="str">
        <f>VLOOKUP(C1196, Lookups!$A$2:$D$10, 2, FALSE())</f>
        <v>Peripheral Source</v>
      </c>
      <c r="R1196" t="str">
        <f>_xlfn.XLOOKUP(D1196, Lookups!$A$12:$A$51, Lookups!$C$12:$C$51, "Unknown")</f>
        <v>Peripherals</v>
      </c>
      <c r="S1196" t="str">
        <f>IF(ISBLANK(I1196), B1196+VLOOKUP(C1196, Lookups!$A$2:$D$10, 4, FALSE()), I1196)</f>
        <v>2026-08-08</v>
      </c>
      <c r="T1196">
        <f t="shared" si="111"/>
        <v>11</v>
      </c>
      <c r="U1196" t="str">
        <f t="shared" si="112"/>
        <v>Late</v>
      </c>
      <c r="V1196">
        <f t="shared" si="113"/>
        <v>0</v>
      </c>
    </row>
    <row r="1197" spans="1:22" x14ac:dyDescent="0.45">
      <c r="A1197" t="s">
        <v>2032</v>
      </c>
      <c r="B1197" t="s">
        <v>218</v>
      </c>
      <c r="C1197" t="s">
        <v>31</v>
      </c>
      <c r="D1197" t="s">
        <v>77</v>
      </c>
      <c r="E1197" t="s">
        <v>16</v>
      </c>
      <c r="F1197">
        <v>23</v>
      </c>
      <c r="G1197">
        <v>23667</v>
      </c>
      <c r="H1197">
        <v>544341</v>
      </c>
      <c r="I1197" t="s">
        <v>798</v>
      </c>
      <c r="J1197" t="s">
        <v>798</v>
      </c>
      <c r="K1197">
        <v>23</v>
      </c>
      <c r="L1197">
        <v>0</v>
      </c>
      <c r="M1197" t="s">
        <v>115</v>
      </c>
      <c r="N1197" t="str">
        <f t="shared" si="108"/>
        <v>PO-101196</v>
      </c>
      <c r="O1197" t="str">
        <f t="shared" si="109"/>
        <v>Delivered</v>
      </c>
      <c r="P1197" t="str">
        <f t="shared" si="110"/>
        <v>WH-DEL</v>
      </c>
      <c r="Q1197" t="str">
        <f>VLOOKUP(C1197, Lookups!$A$2:$D$10, 2, FALSE())</f>
        <v>Global Networks</v>
      </c>
      <c r="R1197" t="str">
        <f>_xlfn.XLOOKUP(D1197, Lookups!$A$12:$A$51, Lookups!$C$12:$C$51, "Unknown")</f>
        <v>Networking</v>
      </c>
      <c r="S1197" t="str">
        <f>IF(ISBLANK(I1197), B1197+VLOOKUP(C1197, Lookups!$A$2:$D$10, 4, FALSE()), I1197)</f>
        <v>2026-05-15</v>
      </c>
      <c r="T1197">
        <f t="shared" si="111"/>
        <v>21</v>
      </c>
      <c r="U1197" t="str">
        <f t="shared" si="112"/>
        <v>On-Time</v>
      </c>
      <c r="V1197">
        <f t="shared" si="113"/>
        <v>0</v>
      </c>
    </row>
    <row r="1198" spans="1:22" x14ac:dyDescent="0.45">
      <c r="A1198" t="s">
        <v>2033</v>
      </c>
      <c r="B1198" t="s">
        <v>1508</v>
      </c>
      <c r="C1198" t="s">
        <v>33</v>
      </c>
      <c r="D1198" t="s">
        <v>89</v>
      </c>
      <c r="E1198" t="s">
        <v>17</v>
      </c>
      <c r="F1198">
        <v>167</v>
      </c>
      <c r="G1198">
        <v>11309</v>
      </c>
      <c r="H1198">
        <v>1888603</v>
      </c>
      <c r="I1198" t="s">
        <v>304</v>
      </c>
      <c r="J1198" t="s">
        <v>406</v>
      </c>
      <c r="K1198">
        <v>167</v>
      </c>
      <c r="L1198">
        <v>0</v>
      </c>
      <c r="M1198" t="s">
        <v>115</v>
      </c>
      <c r="N1198" t="str">
        <f t="shared" si="108"/>
        <v>PO-101197</v>
      </c>
      <c r="O1198" t="str">
        <f t="shared" si="109"/>
        <v>Delivered</v>
      </c>
      <c r="P1198" t="str">
        <f t="shared" si="110"/>
        <v>WH-BLR</v>
      </c>
      <c r="Q1198" t="str">
        <f>VLOOKUP(C1198, Lookups!$A$2:$D$10, 2, FALSE())</f>
        <v>MegaFurnish</v>
      </c>
      <c r="R1198" t="str">
        <f>_xlfn.XLOOKUP(D1198, Lookups!$A$12:$A$51, Lookups!$C$12:$C$51, "Unknown")</f>
        <v>Office Furniture</v>
      </c>
      <c r="S1198" t="str">
        <f>IF(ISBLANK(I1198), B1198+VLOOKUP(C1198, Lookups!$A$2:$D$10, 4, FALSE()), I1198)</f>
        <v>2026-06-23</v>
      </c>
      <c r="T1198">
        <f t="shared" si="111"/>
        <v>31</v>
      </c>
      <c r="U1198" t="str">
        <f t="shared" si="112"/>
        <v>Late</v>
      </c>
      <c r="V1198">
        <f t="shared" si="113"/>
        <v>0</v>
      </c>
    </row>
    <row r="1199" spans="1:22" x14ac:dyDescent="0.45">
      <c r="A1199" t="s">
        <v>2034</v>
      </c>
      <c r="B1199" t="s">
        <v>1359</v>
      </c>
      <c r="C1199" t="s">
        <v>34</v>
      </c>
      <c r="D1199" t="s">
        <v>68</v>
      </c>
      <c r="E1199" t="s">
        <v>17</v>
      </c>
      <c r="F1199">
        <v>80</v>
      </c>
      <c r="G1199">
        <v>41405</v>
      </c>
      <c r="H1199">
        <v>3312400</v>
      </c>
      <c r="I1199" t="s">
        <v>1983</v>
      </c>
      <c r="K1199">
        <v>0</v>
      </c>
      <c r="L1199">
        <v>0</v>
      </c>
      <c r="M1199" t="s">
        <v>297</v>
      </c>
      <c r="N1199" t="str">
        <f t="shared" si="108"/>
        <v>PO-101198</v>
      </c>
      <c r="O1199" t="str">
        <f t="shared" si="109"/>
        <v>Open</v>
      </c>
      <c r="P1199" t="str">
        <f t="shared" si="110"/>
        <v>WH-BLR</v>
      </c>
      <c r="Q1199" t="str">
        <f>VLOOKUP(C1199, Lookups!$A$2:$D$10, 2, FALSE())</f>
        <v>FastElectronics</v>
      </c>
      <c r="R1199" t="str">
        <f>_xlfn.XLOOKUP(D1199, Lookups!$A$12:$A$51, Lookups!$C$12:$C$51, "Unknown")</f>
        <v>Networking</v>
      </c>
      <c r="S1199" t="str">
        <f>IF(ISBLANK(I1199), B1199+VLOOKUP(C1199, Lookups!$A$2:$D$10, 4, FALSE()), I1199)</f>
        <v>2026-12-20</v>
      </c>
      <c r="T1199" t="str">
        <f t="shared" si="111"/>
        <v/>
      </c>
      <c r="U1199" t="str">
        <f t="shared" si="112"/>
        <v>Open</v>
      </c>
      <c r="V1199">
        <f t="shared" si="113"/>
        <v>0</v>
      </c>
    </row>
    <row r="1200" spans="1:22" x14ac:dyDescent="0.45">
      <c r="A1200" t="s">
        <v>2035</v>
      </c>
      <c r="B1200" t="s">
        <v>713</v>
      </c>
      <c r="C1200" t="s">
        <v>36</v>
      </c>
      <c r="D1200" t="s">
        <v>62</v>
      </c>
      <c r="E1200" t="s">
        <v>18</v>
      </c>
      <c r="F1200">
        <v>44</v>
      </c>
      <c r="G1200">
        <v>48478</v>
      </c>
      <c r="H1200">
        <v>2133032</v>
      </c>
      <c r="I1200" t="s">
        <v>450</v>
      </c>
      <c r="J1200" t="s">
        <v>308</v>
      </c>
      <c r="K1200">
        <v>44</v>
      </c>
      <c r="L1200">
        <v>0</v>
      </c>
      <c r="M1200" t="s">
        <v>115</v>
      </c>
      <c r="N1200" t="str">
        <f t="shared" si="108"/>
        <v>PO-101199</v>
      </c>
      <c r="O1200" t="str">
        <f t="shared" si="109"/>
        <v>Delivered</v>
      </c>
      <c r="P1200" t="str">
        <f t="shared" si="110"/>
        <v>WH-PUN</v>
      </c>
      <c r="Q1200" t="str">
        <f>VLOOKUP(C1200, Lookups!$A$2:$D$10, 2, FALSE())</f>
        <v>NextGen Hardware</v>
      </c>
      <c r="R1200" t="str">
        <f>_xlfn.XLOOKUP(D1200, Lookups!$A$12:$A$51, Lookups!$C$12:$C$51, "Unknown")</f>
        <v>Electronics</v>
      </c>
      <c r="S1200" t="str">
        <f>IF(ISBLANK(I1200), B1200+VLOOKUP(C1200, Lookups!$A$2:$D$10, 4, FALSE()), I1200)</f>
        <v>2026-09-12</v>
      </c>
      <c r="T1200">
        <f t="shared" si="111"/>
        <v>25</v>
      </c>
      <c r="U1200" t="str">
        <f t="shared" si="112"/>
        <v>Late</v>
      </c>
      <c r="V1200">
        <f t="shared" si="113"/>
        <v>0</v>
      </c>
    </row>
    <row r="1201" spans="1:22" x14ac:dyDescent="0.45">
      <c r="A1201" t="s">
        <v>2036</v>
      </c>
      <c r="B1201" t="s">
        <v>203</v>
      </c>
      <c r="C1201" t="s">
        <v>34</v>
      </c>
      <c r="D1201" t="s">
        <v>74</v>
      </c>
      <c r="E1201" t="s">
        <v>15</v>
      </c>
      <c r="F1201">
        <v>186</v>
      </c>
      <c r="G1201">
        <v>94797</v>
      </c>
      <c r="H1201">
        <v>17632242</v>
      </c>
      <c r="I1201" t="s">
        <v>1002</v>
      </c>
      <c r="J1201" t="s">
        <v>1003</v>
      </c>
      <c r="K1201">
        <v>186</v>
      </c>
      <c r="L1201">
        <v>0</v>
      </c>
      <c r="M1201" t="s">
        <v>115</v>
      </c>
      <c r="N1201" t="str">
        <f t="shared" si="108"/>
        <v>PO-101200</v>
      </c>
      <c r="O1201" t="str">
        <f t="shared" si="109"/>
        <v>Delivered</v>
      </c>
      <c r="P1201" t="str">
        <f t="shared" si="110"/>
        <v>WH-BOM</v>
      </c>
      <c r="Q1201" t="str">
        <f>VLOOKUP(C1201, Lookups!$A$2:$D$10, 2, FALSE())</f>
        <v>FastElectronics</v>
      </c>
      <c r="R1201" t="str">
        <f>_xlfn.XLOOKUP(D1201, Lookups!$A$12:$A$51, Lookups!$C$12:$C$51, "Unknown")</f>
        <v>Electronics</v>
      </c>
      <c r="S1201" t="str">
        <f>IF(ISBLANK(I1201), B1201+VLOOKUP(C1201, Lookups!$A$2:$D$10, 4, FALSE()), I1201)</f>
        <v>2026-04-26</v>
      </c>
      <c r="T1201">
        <f t="shared" si="111"/>
        <v>19</v>
      </c>
      <c r="U1201" t="str">
        <f t="shared" si="112"/>
        <v>Late</v>
      </c>
      <c r="V1201">
        <f t="shared" si="113"/>
        <v>0</v>
      </c>
    </row>
    <row r="1202" spans="1:22" x14ac:dyDescent="0.45">
      <c r="A1202" t="s">
        <v>2037</v>
      </c>
      <c r="B1202" t="s">
        <v>124</v>
      </c>
      <c r="C1202" t="s">
        <v>35</v>
      </c>
      <c r="D1202" t="s">
        <v>65</v>
      </c>
      <c r="E1202" t="s">
        <v>17</v>
      </c>
      <c r="F1202">
        <v>170</v>
      </c>
      <c r="G1202">
        <v>4936</v>
      </c>
      <c r="H1202">
        <v>839120</v>
      </c>
      <c r="I1202" t="s">
        <v>882</v>
      </c>
      <c r="J1202" t="s">
        <v>882</v>
      </c>
      <c r="K1202">
        <v>170</v>
      </c>
      <c r="L1202">
        <v>0</v>
      </c>
      <c r="M1202" t="s">
        <v>115</v>
      </c>
      <c r="N1202" t="str">
        <f t="shared" si="108"/>
        <v>PO-101201</v>
      </c>
      <c r="O1202" t="str">
        <f t="shared" si="109"/>
        <v>Delivered</v>
      </c>
      <c r="P1202" t="str">
        <f t="shared" si="110"/>
        <v>WH-BLR</v>
      </c>
      <c r="Q1202" t="str">
        <f>VLOOKUP(C1202, Lookups!$A$2:$D$10, 2, FALSE())</f>
        <v>Peripheral Source</v>
      </c>
      <c r="R1202" t="str">
        <f>_xlfn.XLOOKUP(D1202, Lookups!$A$12:$A$51, Lookups!$C$12:$C$51, "Unknown")</f>
        <v>Peripherals</v>
      </c>
      <c r="S1202" t="str">
        <f>IF(ISBLANK(I1202), B1202+VLOOKUP(C1202, Lookups!$A$2:$D$10, 4, FALSE()), I1202)</f>
        <v>2026-06-22</v>
      </c>
      <c r="T1202">
        <f t="shared" si="111"/>
        <v>10</v>
      </c>
      <c r="U1202" t="str">
        <f t="shared" si="112"/>
        <v>On-Time</v>
      </c>
      <c r="V1202">
        <f t="shared" si="113"/>
        <v>0</v>
      </c>
    </row>
    <row r="1203" spans="1:22" x14ac:dyDescent="0.45">
      <c r="A1203" t="s">
        <v>2038</v>
      </c>
      <c r="B1203" t="s">
        <v>1044</v>
      </c>
      <c r="C1203" t="s">
        <v>37</v>
      </c>
      <c r="D1203" t="s">
        <v>79</v>
      </c>
      <c r="E1203" t="s">
        <v>17</v>
      </c>
      <c r="F1203">
        <v>139</v>
      </c>
      <c r="G1203">
        <v>23054</v>
      </c>
      <c r="H1203">
        <v>3204506</v>
      </c>
      <c r="I1203" t="s">
        <v>1610</v>
      </c>
      <c r="J1203" t="s">
        <v>348</v>
      </c>
      <c r="K1203">
        <v>139</v>
      </c>
      <c r="L1203">
        <v>0</v>
      </c>
      <c r="M1203" t="s">
        <v>115</v>
      </c>
      <c r="N1203" t="str">
        <f t="shared" si="108"/>
        <v>PO-101202</v>
      </c>
      <c r="O1203" t="str">
        <f t="shared" si="109"/>
        <v>Delivered</v>
      </c>
      <c r="P1203" t="str">
        <f t="shared" si="110"/>
        <v>WH-BLR</v>
      </c>
      <c r="Q1203" t="str">
        <f>VLOOKUP(C1203, Lookups!$A$2:$D$10, 2, FALSE())</f>
        <v>Premium Desks Ltd</v>
      </c>
      <c r="R1203" t="str">
        <f>_xlfn.XLOOKUP(D1203, Lookups!$A$12:$A$51, Lookups!$C$12:$C$51, "Unknown")</f>
        <v>Office Furniture</v>
      </c>
      <c r="S1203" t="str">
        <f>IF(ISBLANK(I1203), B1203+VLOOKUP(C1203, Lookups!$A$2:$D$10, 4, FALSE()), I1203)</f>
        <v>2026-08-22</v>
      </c>
      <c r="T1203">
        <f t="shared" si="111"/>
        <v>13</v>
      </c>
      <c r="U1203" t="str">
        <f t="shared" si="112"/>
        <v>Late</v>
      </c>
      <c r="V1203">
        <f t="shared" si="113"/>
        <v>0</v>
      </c>
    </row>
    <row r="1204" spans="1:22" x14ac:dyDescent="0.45">
      <c r="A1204" t="s">
        <v>2039</v>
      </c>
      <c r="B1204" t="s">
        <v>737</v>
      </c>
      <c r="C1204" t="s">
        <v>37</v>
      </c>
      <c r="D1204" t="s">
        <v>83</v>
      </c>
      <c r="E1204" t="s">
        <v>17</v>
      </c>
      <c r="F1204">
        <v>116</v>
      </c>
      <c r="G1204">
        <v>19850</v>
      </c>
      <c r="H1204">
        <v>2302600</v>
      </c>
      <c r="I1204" t="s">
        <v>1359</v>
      </c>
      <c r="J1204" t="s">
        <v>1359</v>
      </c>
      <c r="K1204">
        <v>116</v>
      </c>
      <c r="L1204">
        <v>0</v>
      </c>
      <c r="M1204" t="s">
        <v>115</v>
      </c>
      <c r="N1204" t="str">
        <f t="shared" si="108"/>
        <v>PO-101203</v>
      </c>
      <c r="O1204" t="str">
        <f t="shared" si="109"/>
        <v>Delivered</v>
      </c>
      <c r="P1204" t="str">
        <f t="shared" si="110"/>
        <v>WH-BLR</v>
      </c>
      <c r="Q1204" t="str">
        <f>VLOOKUP(C1204, Lookups!$A$2:$D$10, 2, FALSE())</f>
        <v>Premium Desks Ltd</v>
      </c>
      <c r="R1204" t="str">
        <f>_xlfn.XLOOKUP(D1204, Lookups!$A$12:$A$51, Lookups!$C$12:$C$51, "Unknown")</f>
        <v>Office Furniture</v>
      </c>
      <c r="S1204" t="str">
        <f>IF(ISBLANK(I1204), B1204+VLOOKUP(C1204, Lookups!$A$2:$D$10, 4, FALSE()), I1204)</f>
        <v>2026-12-02</v>
      </c>
      <c r="T1204">
        <f t="shared" si="111"/>
        <v>12</v>
      </c>
      <c r="U1204" t="str">
        <f t="shared" si="112"/>
        <v>On-Time</v>
      </c>
      <c r="V1204">
        <f t="shared" si="113"/>
        <v>0</v>
      </c>
    </row>
    <row r="1205" spans="1:22" x14ac:dyDescent="0.45">
      <c r="A1205" t="s">
        <v>2040</v>
      </c>
      <c r="B1205" t="s">
        <v>604</v>
      </c>
      <c r="C1205" t="s">
        <v>36</v>
      </c>
      <c r="D1205" t="s">
        <v>71</v>
      </c>
      <c r="E1205" t="s">
        <v>15</v>
      </c>
      <c r="F1205">
        <v>135</v>
      </c>
      <c r="G1205">
        <v>65379</v>
      </c>
      <c r="H1205">
        <v>8826165</v>
      </c>
      <c r="I1205" t="s">
        <v>933</v>
      </c>
      <c r="J1205" t="s">
        <v>933</v>
      </c>
      <c r="K1205">
        <v>123</v>
      </c>
      <c r="L1205">
        <v>0</v>
      </c>
      <c r="M1205" t="s">
        <v>115</v>
      </c>
      <c r="N1205" t="str">
        <f t="shared" si="108"/>
        <v>PO-101204</v>
      </c>
      <c r="O1205" t="str">
        <f t="shared" si="109"/>
        <v>Delivered</v>
      </c>
      <c r="P1205" t="str">
        <f t="shared" si="110"/>
        <v>WH-BOM</v>
      </c>
      <c r="Q1205" t="str">
        <f>VLOOKUP(C1205, Lookups!$A$2:$D$10, 2, FALSE())</f>
        <v>NextGen Hardware</v>
      </c>
      <c r="R1205" t="str">
        <f>_xlfn.XLOOKUP(D1205, Lookups!$A$12:$A$51, Lookups!$C$12:$C$51, "Unknown")</f>
        <v>Electronics</v>
      </c>
      <c r="S1205" t="str">
        <f>IF(ISBLANK(I1205), B1205+VLOOKUP(C1205, Lookups!$A$2:$D$10, 4, FALSE()), I1205)</f>
        <v>2025-09-05</v>
      </c>
      <c r="T1205">
        <f t="shared" si="111"/>
        <v>24</v>
      </c>
      <c r="U1205" t="str">
        <f t="shared" si="112"/>
        <v>On-Time</v>
      </c>
      <c r="V1205">
        <f t="shared" si="113"/>
        <v>0</v>
      </c>
    </row>
    <row r="1206" spans="1:22" x14ac:dyDescent="0.45">
      <c r="A1206" t="s">
        <v>2041</v>
      </c>
      <c r="B1206" t="s">
        <v>505</v>
      </c>
      <c r="C1206" t="s">
        <v>34</v>
      </c>
      <c r="D1206" t="s">
        <v>81</v>
      </c>
      <c r="E1206" t="s">
        <v>18</v>
      </c>
      <c r="F1206">
        <v>109</v>
      </c>
      <c r="G1206">
        <v>55328</v>
      </c>
      <c r="H1206">
        <v>6030752</v>
      </c>
      <c r="I1206" t="s">
        <v>1190</v>
      </c>
      <c r="J1206" t="s">
        <v>506</v>
      </c>
      <c r="K1206">
        <v>109</v>
      </c>
      <c r="L1206">
        <v>0</v>
      </c>
      <c r="M1206" t="s">
        <v>115</v>
      </c>
      <c r="N1206" t="str">
        <f t="shared" si="108"/>
        <v>PO-101205</v>
      </c>
      <c r="O1206" t="str">
        <f t="shared" si="109"/>
        <v>Delivered</v>
      </c>
      <c r="P1206" t="str">
        <f t="shared" si="110"/>
        <v>WH-PUN</v>
      </c>
      <c r="Q1206" t="str">
        <f>VLOOKUP(C1206, Lookups!$A$2:$D$10, 2, FALSE())</f>
        <v>FastElectronics</v>
      </c>
      <c r="R1206" t="str">
        <f>_xlfn.XLOOKUP(D1206, Lookups!$A$12:$A$51, Lookups!$C$12:$C$51, "Unknown")</f>
        <v>Electronics</v>
      </c>
      <c r="S1206" t="str">
        <f>IF(ISBLANK(I1206), B1206+VLOOKUP(C1206, Lookups!$A$2:$D$10, 4, FALSE()), I1206)</f>
        <v>2025-04-29</v>
      </c>
      <c r="T1206">
        <f t="shared" si="111"/>
        <v>30</v>
      </c>
      <c r="U1206" t="str">
        <f t="shared" si="112"/>
        <v>Late</v>
      </c>
      <c r="V1206">
        <f t="shared" si="113"/>
        <v>0</v>
      </c>
    </row>
    <row r="1207" spans="1:22" x14ac:dyDescent="0.45">
      <c r="A1207" t="s">
        <v>2042</v>
      </c>
      <c r="B1207" t="s">
        <v>158</v>
      </c>
      <c r="C1207" t="s">
        <v>30</v>
      </c>
      <c r="D1207" t="s">
        <v>53</v>
      </c>
      <c r="E1207" t="s">
        <v>15</v>
      </c>
      <c r="F1207">
        <v>135</v>
      </c>
      <c r="G1207">
        <v>81048</v>
      </c>
      <c r="H1207">
        <v>10941480</v>
      </c>
      <c r="I1207" t="s">
        <v>674</v>
      </c>
      <c r="J1207" t="s">
        <v>674</v>
      </c>
      <c r="K1207">
        <v>135</v>
      </c>
      <c r="L1207">
        <v>0</v>
      </c>
      <c r="M1207" t="s">
        <v>115</v>
      </c>
      <c r="N1207" t="str">
        <f t="shared" si="108"/>
        <v>PO-101206</v>
      </c>
      <c r="O1207" t="str">
        <f t="shared" si="109"/>
        <v>Delivered</v>
      </c>
      <c r="P1207" t="str">
        <f t="shared" si="110"/>
        <v>WH-BOM</v>
      </c>
      <c r="Q1207" t="str">
        <f>VLOOKUP(C1207, Lookups!$A$2:$D$10, 2, FALSE())</f>
        <v>TechSupply Corp</v>
      </c>
      <c r="R1207" t="str">
        <f>_xlfn.XLOOKUP(D1207, Lookups!$A$12:$A$51, Lookups!$C$12:$C$51, "Unknown")</f>
        <v>Electronics</v>
      </c>
      <c r="S1207" t="str">
        <f>IF(ISBLANK(I1207), B1207+VLOOKUP(C1207, Lookups!$A$2:$D$10, 4, FALSE()), I1207)</f>
        <v>2026-11-19</v>
      </c>
      <c r="T1207">
        <f t="shared" si="111"/>
        <v>14</v>
      </c>
      <c r="U1207" t="str">
        <f t="shared" si="112"/>
        <v>On-Time</v>
      </c>
      <c r="V1207">
        <f t="shared" si="113"/>
        <v>0</v>
      </c>
    </row>
    <row r="1208" spans="1:22" x14ac:dyDescent="0.45">
      <c r="A1208" t="s">
        <v>2043</v>
      </c>
      <c r="B1208" t="s">
        <v>469</v>
      </c>
      <c r="C1208" t="s">
        <v>31</v>
      </c>
      <c r="D1208" t="s">
        <v>64</v>
      </c>
      <c r="E1208" t="s">
        <v>17</v>
      </c>
      <c r="F1208">
        <v>82</v>
      </c>
      <c r="G1208">
        <v>36295</v>
      </c>
      <c r="H1208">
        <v>2976190</v>
      </c>
      <c r="I1208" t="s">
        <v>1300</v>
      </c>
      <c r="J1208" t="s">
        <v>434</v>
      </c>
      <c r="K1208">
        <v>82</v>
      </c>
      <c r="L1208">
        <v>0</v>
      </c>
      <c r="M1208" t="s">
        <v>115</v>
      </c>
      <c r="N1208" t="str">
        <f t="shared" si="108"/>
        <v>PO-101207</v>
      </c>
      <c r="O1208" t="str">
        <f t="shared" si="109"/>
        <v>Delivered</v>
      </c>
      <c r="P1208" t="str">
        <f t="shared" si="110"/>
        <v>WH-BLR</v>
      </c>
      <c r="Q1208" t="str">
        <f>VLOOKUP(C1208, Lookups!$A$2:$D$10, 2, FALSE())</f>
        <v>Global Networks</v>
      </c>
      <c r="R1208" t="str">
        <f>_xlfn.XLOOKUP(D1208, Lookups!$A$12:$A$51, Lookups!$C$12:$C$51, "Unknown")</f>
        <v>Networking</v>
      </c>
      <c r="S1208" t="str">
        <f>IF(ISBLANK(I1208), B1208+VLOOKUP(C1208, Lookups!$A$2:$D$10, 4, FALSE()), I1208)</f>
        <v>2025-08-05</v>
      </c>
      <c r="T1208">
        <f t="shared" si="111"/>
        <v>26</v>
      </c>
      <c r="U1208" t="str">
        <f t="shared" si="112"/>
        <v>Late</v>
      </c>
      <c r="V1208">
        <f t="shared" si="113"/>
        <v>0</v>
      </c>
    </row>
    <row r="1209" spans="1:22" x14ac:dyDescent="0.45">
      <c r="A1209" t="s">
        <v>2044</v>
      </c>
      <c r="B1209" t="s">
        <v>885</v>
      </c>
      <c r="C1209" t="s">
        <v>35</v>
      </c>
      <c r="D1209" t="s">
        <v>60</v>
      </c>
      <c r="E1209" t="s">
        <v>17</v>
      </c>
      <c r="F1209">
        <v>184</v>
      </c>
      <c r="G1209">
        <v>3291</v>
      </c>
      <c r="H1209">
        <v>605544</v>
      </c>
      <c r="I1209" t="s">
        <v>547</v>
      </c>
      <c r="J1209" t="s">
        <v>547</v>
      </c>
      <c r="K1209">
        <v>184</v>
      </c>
      <c r="L1209">
        <v>0</v>
      </c>
      <c r="M1209" t="s">
        <v>115</v>
      </c>
      <c r="N1209" t="str">
        <f t="shared" si="108"/>
        <v>PO-101208</v>
      </c>
      <c r="O1209" t="str">
        <f t="shared" si="109"/>
        <v>Delivered</v>
      </c>
      <c r="P1209" t="str">
        <f t="shared" si="110"/>
        <v>WH-BLR</v>
      </c>
      <c r="Q1209" t="str">
        <f>VLOOKUP(C1209, Lookups!$A$2:$D$10, 2, FALSE())</f>
        <v>Peripheral Source</v>
      </c>
      <c r="R1209" t="str">
        <f>_xlfn.XLOOKUP(D1209, Lookups!$A$12:$A$51, Lookups!$C$12:$C$51, "Unknown")</f>
        <v>Peripherals</v>
      </c>
      <c r="S1209" t="str">
        <f>IF(ISBLANK(I1209), B1209+VLOOKUP(C1209, Lookups!$A$2:$D$10, 4, FALSE()), I1209)</f>
        <v>2025-12-25</v>
      </c>
      <c r="T1209">
        <f t="shared" si="111"/>
        <v>10</v>
      </c>
      <c r="U1209" t="str">
        <f t="shared" si="112"/>
        <v>On-Time</v>
      </c>
      <c r="V1209">
        <f t="shared" si="113"/>
        <v>0</v>
      </c>
    </row>
    <row r="1210" spans="1:22" x14ac:dyDescent="0.45">
      <c r="A1210" t="s">
        <v>2045</v>
      </c>
      <c r="B1210" t="s">
        <v>160</v>
      </c>
      <c r="C1210" t="s">
        <v>31</v>
      </c>
      <c r="D1210" t="s">
        <v>77</v>
      </c>
      <c r="E1210" t="s">
        <v>17</v>
      </c>
      <c r="F1210">
        <v>60</v>
      </c>
      <c r="G1210">
        <v>23667</v>
      </c>
      <c r="H1210">
        <v>1420020</v>
      </c>
      <c r="I1210" t="s">
        <v>161</v>
      </c>
      <c r="J1210" t="s">
        <v>213</v>
      </c>
      <c r="K1210">
        <v>60</v>
      </c>
      <c r="L1210">
        <v>0</v>
      </c>
      <c r="M1210" t="s">
        <v>115</v>
      </c>
      <c r="N1210" t="str">
        <f t="shared" si="108"/>
        <v>PO-101209</v>
      </c>
      <c r="O1210" t="str">
        <f t="shared" si="109"/>
        <v>Delivered</v>
      </c>
      <c r="P1210" t="str">
        <f t="shared" si="110"/>
        <v>WH-BLR</v>
      </c>
      <c r="Q1210" t="str">
        <f>VLOOKUP(C1210, Lookups!$A$2:$D$10, 2, FALSE())</f>
        <v>Global Networks</v>
      </c>
      <c r="R1210" t="str">
        <f>_xlfn.XLOOKUP(D1210, Lookups!$A$12:$A$51, Lookups!$C$12:$C$51, "Unknown")</f>
        <v>Networking</v>
      </c>
      <c r="S1210" t="str">
        <f>IF(ISBLANK(I1210), B1210+VLOOKUP(C1210, Lookups!$A$2:$D$10, 4, FALSE()), I1210)</f>
        <v>2025-06-12</v>
      </c>
      <c r="T1210">
        <f t="shared" si="111"/>
        <v>26</v>
      </c>
      <c r="U1210" t="str">
        <f t="shared" si="112"/>
        <v>Late</v>
      </c>
      <c r="V1210">
        <f t="shared" si="113"/>
        <v>0</v>
      </c>
    </row>
    <row r="1211" spans="1:22" x14ac:dyDescent="0.45">
      <c r="A1211" t="s">
        <v>2046</v>
      </c>
      <c r="B1211" t="s">
        <v>1597</v>
      </c>
      <c r="C1211" t="s">
        <v>30</v>
      </c>
      <c r="D1211" t="s">
        <v>59</v>
      </c>
      <c r="E1211" t="s">
        <v>17</v>
      </c>
      <c r="F1211">
        <v>169</v>
      </c>
      <c r="G1211">
        <v>48905</v>
      </c>
      <c r="H1211">
        <v>8264945</v>
      </c>
      <c r="I1211" t="s">
        <v>1260</v>
      </c>
      <c r="J1211" t="s">
        <v>1776</v>
      </c>
      <c r="K1211">
        <v>169</v>
      </c>
      <c r="L1211">
        <v>5</v>
      </c>
      <c r="M1211" t="s">
        <v>115</v>
      </c>
      <c r="N1211" t="str">
        <f t="shared" si="108"/>
        <v>PO-101210</v>
      </c>
      <c r="O1211" t="str">
        <f t="shared" si="109"/>
        <v>Delivered</v>
      </c>
      <c r="P1211" t="str">
        <f t="shared" si="110"/>
        <v>WH-BLR</v>
      </c>
      <c r="Q1211" t="str">
        <f>VLOOKUP(C1211, Lookups!$A$2:$D$10, 2, FALSE())</f>
        <v>TechSupply Corp</v>
      </c>
      <c r="R1211" t="str">
        <f>_xlfn.XLOOKUP(D1211, Lookups!$A$12:$A$51, Lookups!$C$12:$C$51, "Unknown")</f>
        <v>Electronics</v>
      </c>
      <c r="S1211" t="str">
        <f>IF(ISBLANK(I1211), B1211+VLOOKUP(C1211, Lookups!$A$2:$D$10, 4, FALSE()), I1211)</f>
        <v>2025-12-19</v>
      </c>
      <c r="T1211">
        <f t="shared" si="111"/>
        <v>15</v>
      </c>
      <c r="U1211" t="str">
        <f t="shared" si="112"/>
        <v>Late</v>
      </c>
      <c r="V1211">
        <f t="shared" si="113"/>
        <v>2.9585798816568046E-2</v>
      </c>
    </row>
    <row r="1212" spans="1:22" x14ac:dyDescent="0.45">
      <c r="A1212" t="s">
        <v>2047</v>
      </c>
      <c r="B1212" t="s">
        <v>277</v>
      </c>
      <c r="C1212" t="s">
        <v>32</v>
      </c>
      <c r="D1212" t="s">
        <v>67</v>
      </c>
      <c r="E1212" t="s">
        <v>17</v>
      </c>
      <c r="F1212">
        <v>133</v>
      </c>
      <c r="G1212">
        <v>1553</v>
      </c>
      <c r="H1212">
        <v>206549</v>
      </c>
      <c r="I1212" t="s">
        <v>806</v>
      </c>
      <c r="J1212" t="s">
        <v>168</v>
      </c>
      <c r="K1212">
        <v>133</v>
      </c>
      <c r="L1212">
        <v>0</v>
      </c>
      <c r="M1212" t="s">
        <v>115</v>
      </c>
      <c r="N1212" t="str">
        <f t="shared" si="108"/>
        <v>PO-101211</v>
      </c>
      <c r="O1212" t="str">
        <f t="shared" si="109"/>
        <v>Delivered</v>
      </c>
      <c r="P1212" t="str">
        <f t="shared" si="110"/>
        <v>WH-BLR</v>
      </c>
      <c r="Q1212" t="str">
        <f>VLOOKUP(C1212, Lookups!$A$2:$D$10, 2, FALSE())</f>
        <v>OfficeDepot Pro</v>
      </c>
      <c r="R1212" t="str">
        <f>_xlfn.XLOOKUP(D1212, Lookups!$A$12:$A$51, Lookups!$C$12:$C$51, "Unknown")</f>
        <v>Peripherals</v>
      </c>
      <c r="S1212" t="str">
        <f>IF(ISBLANK(I1212), B1212+VLOOKUP(C1212, Lookups!$A$2:$D$10, 4, FALSE()), I1212)</f>
        <v>2025-05-19</v>
      </c>
      <c r="T1212">
        <f t="shared" si="111"/>
        <v>8</v>
      </c>
      <c r="U1212" t="str">
        <f t="shared" si="112"/>
        <v>Late</v>
      </c>
      <c r="V1212">
        <f t="shared" si="113"/>
        <v>0</v>
      </c>
    </row>
    <row r="1213" spans="1:22" x14ac:dyDescent="0.45">
      <c r="A1213" t="s">
        <v>2048</v>
      </c>
      <c r="B1213" t="s">
        <v>612</v>
      </c>
      <c r="C1213" t="s">
        <v>33</v>
      </c>
      <c r="D1213" t="s">
        <v>89</v>
      </c>
      <c r="E1213" t="s">
        <v>16</v>
      </c>
      <c r="F1213">
        <v>191</v>
      </c>
      <c r="G1213">
        <v>11309</v>
      </c>
      <c r="H1213">
        <v>2160019</v>
      </c>
      <c r="I1213" t="s">
        <v>380</v>
      </c>
      <c r="J1213" t="s">
        <v>189</v>
      </c>
      <c r="K1213">
        <v>191</v>
      </c>
      <c r="L1213">
        <v>0</v>
      </c>
      <c r="M1213" t="s">
        <v>115</v>
      </c>
      <c r="N1213" t="str">
        <f t="shared" si="108"/>
        <v>PO-101212</v>
      </c>
      <c r="O1213" t="str">
        <f t="shared" si="109"/>
        <v>Delivered</v>
      </c>
      <c r="P1213" t="str">
        <f t="shared" si="110"/>
        <v>WH-DEL</v>
      </c>
      <c r="Q1213" t="str">
        <f>VLOOKUP(C1213, Lookups!$A$2:$D$10, 2, FALSE())</f>
        <v>MegaFurnish</v>
      </c>
      <c r="R1213" t="str">
        <f>_xlfn.XLOOKUP(D1213, Lookups!$A$12:$A$51, Lookups!$C$12:$C$51, "Unknown")</f>
        <v>Office Furniture</v>
      </c>
      <c r="S1213" t="str">
        <f>IF(ISBLANK(I1213), B1213+VLOOKUP(C1213, Lookups!$A$2:$D$10, 4, FALSE()), I1213)</f>
        <v>2025-03-06</v>
      </c>
      <c r="T1213">
        <f t="shared" si="111"/>
        <v>31</v>
      </c>
      <c r="U1213" t="str">
        <f t="shared" si="112"/>
        <v>Late</v>
      </c>
      <c r="V1213">
        <f t="shared" si="113"/>
        <v>0</v>
      </c>
    </row>
    <row r="1214" spans="1:22" x14ac:dyDescent="0.45">
      <c r="A1214" t="s">
        <v>2049</v>
      </c>
      <c r="B1214" t="s">
        <v>439</v>
      </c>
      <c r="C1214" t="s">
        <v>30</v>
      </c>
      <c r="D1214" t="s">
        <v>61</v>
      </c>
      <c r="E1214" t="s">
        <v>15</v>
      </c>
      <c r="F1214">
        <v>20</v>
      </c>
      <c r="G1214">
        <v>111237</v>
      </c>
      <c r="H1214">
        <v>2224740</v>
      </c>
      <c r="I1214" t="s">
        <v>185</v>
      </c>
      <c r="J1214" t="s">
        <v>299</v>
      </c>
      <c r="K1214">
        <v>20</v>
      </c>
      <c r="L1214">
        <v>0</v>
      </c>
      <c r="M1214" t="s">
        <v>115</v>
      </c>
      <c r="N1214" t="str">
        <f t="shared" si="108"/>
        <v>PO-101213</v>
      </c>
      <c r="O1214" t="str">
        <f t="shared" si="109"/>
        <v>Delivered</v>
      </c>
      <c r="P1214" t="str">
        <f t="shared" si="110"/>
        <v>WH-BOM</v>
      </c>
      <c r="Q1214" t="str">
        <f>VLOOKUP(C1214, Lookups!$A$2:$D$10, 2, FALSE())</f>
        <v>TechSupply Corp</v>
      </c>
      <c r="R1214" t="str">
        <f>_xlfn.XLOOKUP(D1214, Lookups!$A$12:$A$51, Lookups!$C$12:$C$51, "Unknown")</f>
        <v>Electronics</v>
      </c>
      <c r="S1214" t="str">
        <f>IF(ISBLANK(I1214), B1214+VLOOKUP(C1214, Lookups!$A$2:$D$10, 4, FALSE()), I1214)</f>
        <v>2025-02-26</v>
      </c>
      <c r="T1214">
        <f t="shared" si="111"/>
        <v>15</v>
      </c>
      <c r="U1214" t="str">
        <f t="shared" si="112"/>
        <v>Late</v>
      </c>
      <c r="V1214">
        <f t="shared" si="113"/>
        <v>0</v>
      </c>
    </row>
    <row r="1215" spans="1:22" x14ac:dyDescent="0.45">
      <c r="A1215" t="s">
        <v>2050</v>
      </c>
      <c r="B1215" t="s">
        <v>989</v>
      </c>
      <c r="C1215" t="s">
        <v>34</v>
      </c>
      <c r="D1215" t="s">
        <v>68</v>
      </c>
      <c r="E1215" t="s">
        <v>17</v>
      </c>
      <c r="F1215">
        <v>154</v>
      </c>
      <c r="G1215">
        <v>41405</v>
      </c>
      <c r="H1215">
        <v>6376370</v>
      </c>
      <c r="I1215" t="s">
        <v>372</v>
      </c>
      <c r="J1215" t="s">
        <v>371</v>
      </c>
      <c r="K1215">
        <v>154</v>
      </c>
      <c r="L1215">
        <v>0</v>
      </c>
      <c r="M1215" t="s">
        <v>115</v>
      </c>
      <c r="N1215" t="str">
        <f t="shared" si="108"/>
        <v>PO-101214</v>
      </c>
      <c r="O1215" t="str">
        <f t="shared" si="109"/>
        <v>Delivered</v>
      </c>
      <c r="P1215" t="str">
        <f t="shared" si="110"/>
        <v>WH-BLR</v>
      </c>
      <c r="Q1215" t="str">
        <f>VLOOKUP(C1215, Lookups!$A$2:$D$10, 2, FALSE())</f>
        <v>FastElectronics</v>
      </c>
      <c r="R1215" t="str">
        <f>_xlfn.XLOOKUP(D1215, Lookups!$A$12:$A$51, Lookups!$C$12:$C$51, "Unknown")</f>
        <v>Networking</v>
      </c>
      <c r="S1215" t="str">
        <f>IF(ISBLANK(I1215), B1215+VLOOKUP(C1215, Lookups!$A$2:$D$10, 4, FALSE()), I1215)</f>
        <v>2025-12-01</v>
      </c>
      <c r="T1215">
        <f t="shared" si="111"/>
        <v>19</v>
      </c>
      <c r="U1215" t="str">
        <f t="shared" si="112"/>
        <v>Late</v>
      </c>
      <c r="V1215">
        <f t="shared" si="113"/>
        <v>0</v>
      </c>
    </row>
    <row r="1216" spans="1:22" x14ac:dyDescent="0.45">
      <c r="A1216" t="s">
        <v>2051</v>
      </c>
      <c r="B1216" t="s">
        <v>162</v>
      </c>
      <c r="C1216" t="s">
        <v>34</v>
      </c>
      <c r="D1216" t="s">
        <v>58</v>
      </c>
      <c r="E1216" t="s">
        <v>16</v>
      </c>
      <c r="F1216">
        <v>247</v>
      </c>
      <c r="G1216">
        <v>100302</v>
      </c>
      <c r="H1216">
        <v>24774594</v>
      </c>
      <c r="I1216" t="s">
        <v>1187</v>
      </c>
      <c r="J1216" t="s">
        <v>1187</v>
      </c>
      <c r="K1216">
        <v>247</v>
      </c>
      <c r="L1216">
        <v>0</v>
      </c>
      <c r="M1216" t="s">
        <v>115</v>
      </c>
      <c r="N1216" t="str">
        <f t="shared" si="108"/>
        <v>PO-101215</v>
      </c>
      <c r="O1216" t="str">
        <f t="shared" si="109"/>
        <v>Delivered</v>
      </c>
      <c r="P1216" t="str">
        <f t="shared" si="110"/>
        <v>WH-DEL</v>
      </c>
      <c r="Q1216" t="str">
        <f>VLOOKUP(C1216, Lookups!$A$2:$D$10, 2, FALSE())</f>
        <v>FastElectronics</v>
      </c>
      <c r="R1216" t="str">
        <f>_xlfn.XLOOKUP(D1216, Lookups!$A$12:$A$51, Lookups!$C$12:$C$51, "Unknown")</f>
        <v>Electronics</v>
      </c>
      <c r="S1216" t="str">
        <f>IF(ISBLANK(I1216), B1216+VLOOKUP(C1216, Lookups!$A$2:$D$10, 4, FALSE()), I1216)</f>
        <v>2025-07-01</v>
      </c>
      <c r="T1216">
        <f t="shared" si="111"/>
        <v>18</v>
      </c>
      <c r="U1216" t="str">
        <f t="shared" si="112"/>
        <v>On-Time</v>
      </c>
      <c r="V1216">
        <f t="shared" si="113"/>
        <v>0</v>
      </c>
    </row>
    <row r="1217" spans="1:22" x14ac:dyDescent="0.45">
      <c r="A1217" t="s">
        <v>2052</v>
      </c>
      <c r="B1217" t="s">
        <v>744</v>
      </c>
      <c r="C1217" t="s">
        <v>30</v>
      </c>
      <c r="D1217" t="s">
        <v>52</v>
      </c>
      <c r="E1217" t="s">
        <v>18</v>
      </c>
      <c r="F1217">
        <v>93</v>
      </c>
      <c r="G1217">
        <v>59592</v>
      </c>
      <c r="H1217">
        <v>5542056</v>
      </c>
      <c r="K1217">
        <v>0</v>
      </c>
      <c r="L1217">
        <v>0</v>
      </c>
      <c r="M1217" t="s">
        <v>297</v>
      </c>
      <c r="N1217" t="str">
        <f t="shared" si="108"/>
        <v>PO-101216</v>
      </c>
      <c r="O1217" t="str">
        <f t="shared" si="109"/>
        <v>Open</v>
      </c>
      <c r="P1217" t="str">
        <f t="shared" si="110"/>
        <v>WH-PUN</v>
      </c>
      <c r="Q1217" t="str">
        <f>VLOOKUP(C1217, Lookups!$A$2:$D$10, 2, FALSE())</f>
        <v>TechSupply Corp</v>
      </c>
      <c r="R1217" t="str">
        <f>_xlfn.XLOOKUP(D1217, Lookups!$A$12:$A$51, Lookups!$C$12:$C$51, "Unknown")</f>
        <v>Electronics</v>
      </c>
      <c r="S1217">
        <f>IF(ISBLANK(I1217), B1217+VLOOKUP(C1217, Lookups!$A$2:$D$10, 4, FALSE()), I1217)</f>
        <v>46365</v>
      </c>
      <c r="T1217" t="str">
        <f t="shared" si="111"/>
        <v/>
      </c>
      <c r="U1217" t="str">
        <f t="shared" si="112"/>
        <v>Open</v>
      </c>
      <c r="V1217">
        <f t="shared" si="113"/>
        <v>0</v>
      </c>
    </row>
    <row r="1218" spans="1:22" x14ac:dyDescent="0.45">
      <c r="A1218" t="s">
        <v>2053</v>
      </c>
      <c r="B1218" t="s">
        <v>169</v>
      </c>
      <c r="C1218" t="s">
        <v>36</v>
      </c>
      <c r="D1218" t="s">
        <v>62</v>
      </c>
      <c r="E1218" t="s">
        <v>16</v>
      </c>
      <c r="F1218">
        <v>242</v>
      </c>
      <c r="G1218">
        <v>48478</v>
      </c>
      <c r="H1218">
        <v>11731676</v>
      </c>
      <c r="I1218" t="s">
        <v>1187</v>
      </c>
      <c r="J1218" t="s">
        <v>1187</v>
      </c>
      <c r="K1218">
        <v>242</v>
      </c>
      <c r="L1218">
        <v>0</v>
      </c>
      <c r="M1218" t="s">
        <v>115</v>
      </c>
      <c r="N1218" t="str">
        <f t="shared" ref="N1218:N1281" si="114">TRIM(A1218)</f>
        <v>PO-101217</v>
      </c>
      <c r="O1218" t="str">
        <f t="shared" ref="O1218:O1281" si="115">PROPER(TRIM(M1218))</f>
        <v>Delivered</v>
      </c>
      <c r="P1218" t="str">
        <f t="shared" ref="P1218:P1281" si="116">TRIM(E1218)</f>
        <v>WH-DEL</v>
      </c>
      <c r="Q1218" t="str">
        <f>VLOOKUP(C1218, Lookups!$A$2:$D$10, 2, FALSE())</f>
        <v>NextGen Hardware</v>
      </c>
      <c r="R1218" t="str">
        <f>_xlfn.XLOOKUP(D1218, Lookups!$A$12:$A$51, Lookups!$C$12:$C$51, "Unknown")</f>
        <v>Electronics</v>
      </c>
      <c r="S1218" t="str">
        <f>IF(ISBLANK(I1218), B1218+VLOOKUP(C1218, Lookups!$A$2:$D$10, 4, FALSE()), I1218)</f>
        <v>2025-07-01</v>
      </c>
      <c r="T1218">
        <f t="shared" ref="T1218:T1281" si="117">IF(ISBLANK(J1218), "", J1218-B1218)</f>
        <v>24</v>
      </c>
      <c r="U1218" t="str">
        <f t="shared" ref="U1218:U1281" si="118">IF(O1218="Open", "Open", IF(J1218&gt;S1218, "Late", "On-Time"))</f>
        <v>On-Time</v>
      </c>
      <c r="V1218">
        <f t="shared" ref="V1218:V1281" si="119">IF(K1218&gt;0, L1218/K1218, 0)</f>
        <v>0</v>
      </c>
    </row>
    <row r="1219" spans="1:22" x14ac:dyDescent="0.45">
      <c r="A1219" t="s">
        <v>2054</v>
      </c>
      <c r="B1219" t="s">
        <v>1415</v>
      </c>
      <c r="C1219" t="s">
        <v>34</v>
      </c>
      <c r="D1219" t="s">
        <v>76</v>
      </c>
      <c r="E1219" t="s">
        <v>17</v>
      </c>
      <c r="F1219">
        <v>82</v>
      </c>
      <c r="G1219">
        <v>26270</v>
      </c>
      <c r="H1219">
        <v>2154140</v>
      </c>
      <c r="I1219" t="s">
        <v>1389</v>
      </c>
      <c r="J1219" t="s">
        <v>1622</v>
      </c>
      <c r="K1219">
        <v>82</v>
      </c>
      <c r="L1219">
        <v>5</v>
      </c>
      <c r="M1219" t="s">
        <v>115</v>
      </c>
      <c r="N1219" t="str">
        <f t="shared" si="114"/>
        <v>PO-101218</v>
      </c>
      <c r="O1219" t="str">
        <f t="shared" si="115"/>
        <v>Delivered</v>
      </c>
      <c r="P1219" t="str">
        <f t="shared" si="116"/>
        <v>WH-BLR</v>
      </c>
      <c r="Q1219" t="str">
        <f>VLOOKUP(C1219, Lookups!$A$2:$D$10, 2, FALSE())</f>
        <v>FastElectronics</v>
      </c>
      <c r="R1219" t="str">
        <f>_xlfn.XLOOKUP(D1219, Lookups!$A$12:$A$51, Lookups!$C$12:$C$51, "Unknown")</f>
        <v>Networking</v>
      </c>
      <c r="S1219" t="str">
        <f>IF(ISBLANK(I1219), B1219+VLOOKUP(C1219, Lookups!$A$2:$D$10, 4, FALSE()), I1219)</f>
        <v>2026-01-27</v>
      </c>
      <c r="T1219">
        <f t="shared" si="117"/>
        <v>19</v>
      </c>
      <c r="U1219" t="str">
        <f t="shared" si="118"/>
        <v>Late</v>
      </c>
      <c r="V1219">
        <f t="shared" si="119"/>
        <v>6.097560975609756E-2</v>
      </c>
    </row>
    <row r="1220" spans="1:22" x14ac:dyDescent="0.45">
      <c r="A1220" t="s">
        <v>2055</v>
      </c>
      <c r="B1220" t="s">
        <v>261</v>
      </c>
      <c r="C1220" t="s">
        <v>35</v>
      </c>
      <c r="D1220" t="s">
        <v>75</v>
      </c>
      <c r="E1220" t="s">
        <v>17</v>
      </c>
      <c r="F1220">
        <v>217</v>
      </c>
      <c r="G1220">
        <v>4440</v>
      </c>
      <c r="H1220">
        <v>963480</v>
      </c>
      <c r="I1220" t="s">
        <v>1080</v>
      </c>
      <c r="J1220" t="s">
        <v>708</v>
      </c>
      <c r="K1220">
        <v>160</v>
      </c>
      <c r="L1220">
        <v>0</v>
      </c>
      <c r="M1220" t="s">
        <v>115</v>
      </c>
      <c r="N1220" t="str">
        <f t="shared" si="114"/>
        <v>PO-101219</v>
      </c>
      <c r="O1220" t="str">
        <f t="shared" si="115"/>
        <v>Delivered</v>
      </c>
      <c r="P1220" t="str">
        <f t="shared" si="116"/>
        <v>WH-BLR</v>
      </c>
      <c r="Q1220" t="str">
        <f>VLOOKUP(C1220, Lookups!$A$2:$D$10, 2, FALSE())</f>
        <v>Peripheral Source</v>
      </c>
      <c r="R1220" t="str">
        <f>_xlfn.XLOOKUP(D1220, Lookups!$A$12:$A$51, Lookups!$C$12:$C$51, "Unknown")</f>
        <v>Peripherals</v>
      </c>
      <c r="S1220" t="str">
        <f>IF(ISBLANK(I1220), B1220+VLOOKUP(C1220, Lookups!$A$2:$D$10, 4, FALSE()), I1220)</f>
        <v>2026-01-25</v>
      </c>
      <c r="T1220">
        <f t="shared" si="117"/>
        <v>11</v>
      </c>
      <c r="U1220" t="str">
        <f t="shared" si="118"/>
        <v>Late</v>
      </c>
      <c r="V1220">
        <f t="shared" si="119"/>
        <v>0</v>
      </c>
    </row>
    <row r="1221" spans="1:22" x14ac:dyDescent="0.45">
      <c r="A1221" t="s">
        <v>2056</v>
      </c>
      <c r="B1221" t="s">
        <v>206</v>
      </c>
      <c r="C1221" t="s">
        <v>37</v>
      </c>
      <c r="D1221" t="s">
        <v>79</v>
      </c>
      <c r="E1221" t="s">
        <v>15</v>
      </c>
      <c r="F1221">
        <v>137</v>
      </c>
      <c r="G1221">
        <v>23054</v>
      </c>
      <c r="H1221">
        <v>3158398</v>
      </c>
      <c r="I1221" t="s">
        <v>1260</v>
      </c>
      <c r="J1221" t="s">
        <v>1776</v>
      </c>
      <c r="K1221">
        <v>137</v>
      </c>
      <c r="L1221">
        <v>0</v>
      </c>
      <c r="M1221" t="s">
        <v>115</v>
      </c>
      <c r="N1221" t="str">
        <f t="shared" si="114"/>
        <v>PO-101220</v>
      </c>
      <c r="O1221" t="str">
        <f t="shared" si="115"/>
        <v>Delivered</v>
      </c>
      <c r="P1221" t="str">
        <f t="shared" si="116"/>
        <v>WH-BOM</v>
      </c>
      <c r="Q1221" t="str">
        <f>VLOOKUP(C1221, Lookups!$A$2:$D$10, 2, FALSE())</f>
        <v>Premium Desks Ltd</v>
      </c>
      <c r="R1221" t="str">
        <f>_xlfn.XLOOKUP(D1221, Lookups!$A$12:$A$51, Lookups!$C$12:$C$51, "Unknown")</f>
        <v>Office Furniture</v>
      </c>
      <c r="S1221" t="str">
        <f>IF(ISBLANK(I1221), B1221+VLOOKUP(C1221, Lookups!$A$2:$D$10, 4, FALSE()), I1221)</f>
        <v>2025-12-19</v>
      </c>
      <c r="T1221">
        <f t="shared" si="117"/>
        <v>13</v>
      </c>
      <c r="U1221" t="str">
        <f t="shared" si="118"/>
        <v>Late</v>
      </c>
      <c r="V1221">
        <f t="shared" si="119"/>
        <v>0</v>
      </c>
    </row>
    <row r="1222" spans="1:22" x14ac:dyDescent="0.45">
      <c r="A1222" t="s">
        <v>2057</v>
      </c>
      <c r="B1222" t="s">
        <v>1401</v>
      </c>
      <c r="C1222" t="s">
        <v>35</v>
      </c>
      <c r="D1222" t="s">
        <v>60</v>
      </c>
      <c r="E1222" t="s">
        <v>18</v>
      </c>
      <c r="F1222">
        <v>114</v>
      </c>
      <c r="G1222">
        <v>3291</v>
      </c>
      <c r="H1222">
        <v>375174</v>
      </c>
      <c r="I1222" t="s">
        <v>1822</v>
      </c>
      <c r="J1222" t="s">
        <v>1822</v>
      </c>
      <c r="K1222">
        <v>114</v>
      </c>
      <c r="L1222">
        <v>0</v>
      </c>
      <c r="M1222" t="s">
        <v>178</v>
      </c>
      <c r="N1222" t="str">
        <f t="shared" si="114"/>
        <v>PO-101221</v>
      </c>
      <c r="O1222" t="str">
        <f t="shared" si="115"/>
        <v>Delivered</v>
      </c>
      <c r="P1222" t="str">
        <f t="shared" si="116"/>
        <v>WH-PUN</v>
      </c>
      <c r="Q1222" t="str">
        <f>VLOOKUP(C1222, Lookups!$A$2:$D$10, 2, FALSE())</f>
        <v>Peripheral Source</v>
      </c>
      <c r="R1222" t="str">
        <f>_xlfn.XLOOKUP(D1222, Lookups!$A$12:$A$51, Lookups!$C$12:$C$51, "Unknown")</f>
        <v>Peripherals</v>
      </c>
      <c r="S1222" t="str">
        <f>IF(ISBLANK(I1222), B1222+VLOOKUP(C1222, Lookups!$A$2:$D$10, 4, FALSE()), I1222)</f>
        <v>2026-11-03</v>
      </c>
      <c r="T1222">
        <f t="shared" si="117"/>
        <v>10</v>
      </c>
      <c r="U1222" t="str">
        <f t="shared" si="118"/>
        <v>On-Time</v>
      </c>
      <c r="V1222">
        <f t="shared" si="119"/>
        <v>0</v>
      </c>
    </row>
    <row r="1223" spans="1:22" x14ac:dyDescent="0.45">
      <c r="A1223" t="s">
        <v>2058</v>
      </c>
      <c r="B1223" t="s">
        <v>356</v>
      </c>
      <c r="C1223" t="s">
        <v>37</v>
      </c>
      <c r="D1223" t="s">
        <v>78</v>
      </c>
      <c r="E1223" t="s">
        <v>15</v>
      </c>
      <c r="F1223">
        <v>17</v>
      </c>
      <c r="G1223">
        <v>9423</v>
      </c>
      <c r="H1223">
        <v>160191</v>
      </c>
      <c r="I1223" t="s">
        <v>460</v>
      </c>
      <c r="J1223" t="s">
        <v>460</v>
      </c>
      <c r="K1223">
        <v>17</v>
      </c>
      <c r="L1223">
        <v>0</v>
      </c>
      <c r="M1223" t="s">
        <v>115</v>
      </c>
      <c r="N1223" t="str">
        <f t="shared" si="114"/>
        <v>PO-101222</v>
      </c>
      <c r="O1223" t="str">
        <f t="shared" si="115"/>
        <v>Delivered</v>
      </c>
      <c r="P1223" t="str">
        <f t="shared" si="116"/>
        <v>WH-BOM</v>
      </c>
      <c r="Q1223" t="str">
        <f>VLOOKUP(C1223, Lookups!$A$2:$D$10, 2, FALSE())</f>
        <v>Premium Desks Ltd</v>
      </c>
      <c r="R1223" t="str">
        <f>_xlfn.XLOOKUP(D1223, Lookups!$A$12:$A$51, Lookups!$C$12:$C$51, "Unknown")</f>
        <v>Office Furniture</v>
      </c>
      <c r="S1223" t="str">
        <f>IF(ISBLANK(I1223), B1223+VLOOKUP(C1223, Lookups!$A$2:$D$10, 4, FALSE()), I1223)</f>
        <v>2025-10-09</v>
      </c>
      <c r="T1223">
        <f t="shared" si="117"/>
        <v>12</v>
      </c>
      <c r="U1223" t="str">
        <f t="shared" si="118"/>
        <v>On-Time</v>
      </c>
      <c r="V1223">
        <f t="shared" si="119"/>
        <v>0</v>
      </c>
    </row>
    <row r="1224" spans="1:22" x14ac:dyDescent="0.45">
      <c r="A1224" t="s">
        <v>2059</v>
      </c>
      <c r="B1224" t="s">
        <v>921</v>
      </c>
      <c r="C1224" t="s">
        <v>30</v>
      </c>
      <c r="D1224" t="s">
        <v>61</v>
      </c>
      <c r="E1224" t="s">
        <v>18</v>
      </c>
      <c r="F1224">
        <v>237</v>
      </c>
      <c r="G1224">
        <v>111237</v>
      </c>
      <c r="H1224">
        <v>26363169</v>
      </c>
      <c r="I1224" t="s">
        <v>693</v>
      </c>
      <c r="J1224" t="s">
        <v>693</v>
      </c>
      <c r="K1224">
        <v>237</v>
      </c>
      <c r="L1224">
        <v>0</v>
      </c>
      <c r="M1224" t="s">
        <v>115</v>
      </c>
      <c r="N1224" t="str">
        <f t="shared" si="114"/>
        <v>PO-101223</v>
      </c>
      <c r="O1224" t="str">
        <f t="shared" si="115"/>
        <v>Delivered</v>
      </c>
      <c r="P1224" t="str">
        <f t="shared" si="116"/>
        <v>WH-PUN</v>
      </c>
      <c r="Q1224" t="str">
        <f>VLOOKUP(C1224, Lookups!$A$2:$D$10, 2, FALSE())</f>
        <v>TechSupply Corp</v>
      </c>
      <c r="R1224" t="str">
        <f>_xlfn.XLOOKUP(D1224, Lookups!$A$12:$A$51, Lookups!$C$12:$C$51, "Unknown")</f>
        <v>Electronics</v>
      </c>
      <c r="S1224" t="str">
        <f>IF(ISBLANK(I1224), B1224+VLOOKUP(C1224, Lookups!$A$2:$D$10, 4, FALSE()), I1224)</f>
        <v>2026-11-22</v>
      </c>
      <c r="T1224">
        <f t="shared" si="117"/>
        <v>14</v>
      </c>
      <c r="U1224" t="str">
        <f t="shared" si="118"/>
        <v>On-Time</v>
      </c>
      <c r="V1224">
        <f t="shared" si="119"/>
        <v>0</v>
      </c>
    </row>
    <row r="1225" spans="1:22" x14ac:dyDescent="0.45">
      <c r="A1225" t="s">
        <v>2060</v>
      </c>
      <c r="B1225" t="s">
        <v>1440</v>
      </c>
      <c r="C1225" t="s">
        <v>36</v>
      </c>
      <c r="D1225" t="s">
        <v>55</v>
      </c>
      <c r="E1225" t="s">
        <v>18</v>
      </c>
      <c r="F1225">
        <v>105</v>
      </c>
      <c r="G1225">
        <v>58434</v>
      </c>
      <c r="H1225">
        <v>6135570</v>
      </c>
      <c r="I1225" t="s">
        <v>214</v>
      </c>
      <c r="J1225" t="s">
        <v>214</v>
      </c>
      <c r="K1225">
        <v>105</v>
      </c>
      <c r="L1225">
        <v>0</v>
      </c>
      <c r="M1225" t="s">
        <v>115</v>
      </c>
      <c r="N1225" t="str">
        <f t="shared" si="114"/>
        <v>PO-101224</v>
      </c>
      <c r="O1225" t="str">
        <f t="shared" si="115"/>
        <v>Delivered</v>
      </c>
      <c r="P1225" t="str">
        <f t="shared" si="116"/>
        <v>WH-PUN</v>
      </c>
      <c r="Q1225" t="str">
        <f>VLOOKUP(C1225, Lookups!$A$2:$D$10, 2, FALSE())</f>
        <v>NextGen Hardware</v>
      </c>
      <c r="R1225" t="str">
        <f>_xlfn.XLOOKUP(D1225, Lookups!$A$12:$A$51, Lookups!$C$12:$C$51, "Unknown")</f>
        <v>Electronics</v>
      </c>
      <c r="S1225" t="str">
        <f>IF(ISBLANK(I1225), B1225+VLOOKUP(C1225, Lookups!$A$2:$D$10, 4, FALSE()), I1225)</f>
        <v>2025-06-27</v>
      </c>
      <c r="T1225">
        <f t="shared" si="117"/>
        <v>24</v>
      </c>
      <c r="U1225" t="str">
        <f t="shared" si="118"/>
        <v>On-Time</v>
      </c>
      <c r="V1225">
        <f t="shared" si="119"/>
        <v>0</v>
      </c>
    </row>
    <row r="1226" spans="1:22" x14ac:dyDescent="0.45">
      <c r="A1226" t="s">
        <v>2061</v>
      </c>
      <c r="B1226" t="s">
        <v>308</v>
      </c>
      <c r="C1226" t="s">
        <v>34</v>
      </c>
      <c r="D1226" t="s">
        <v>54</v>
      </c>
      <c r="E1226" t="s">
        <v>18</v>
      </c>
      <c r="F1226">
        <v>174</v>
      </c>
      <c r="G1226">
        <v>22314</v>
      </c>
      <c r="H1226">
        <v>3882636</v>
      </c>
      <c r="I1226" t="s">
        <v>659</v>
      </c>
      <c r="J1226" t="s">
        <v>1338</v>
      </c>
      <c r="K1226">
        <v>95</v>
      </c>
      <c r="L1226">
        <v>0</v>
      </c>
      <c r="M1226" t="s">
        <v>115</v>
      </c>
      <c r="N1226" t="str">
        <f t="shared" si="114"/>
        <v>PO-101225</v>
      </c>
      <c r="O1226" t="str">
        <f t="shared" si="115"/>
        <v>Delivered</v>
      </c>
      <c r="P1226" t="str">
        <f t="shared" si="116"/>
        <v>WH-PUN</v>
      </c>
      <c r="Q1226" t="str">
        <f>VLOOKUP(C1226, Lookups!$A$2:$D$10, 2, FALSE())</f>
        <v>FastElectronics</v>
      </c>
      <c r="R1226" t="str">
        <f>_xlfn.XLOOKUP(D1226, Lookups!$A$12:$A$51, Lookups!$C$12:$C$51, "Unknown")</f>
        <v>Networking</v>
      </c>
      <c r="S1226" t="str">
        <f>IF(ISBLANK(I1226), B1226+VLOOKUP(C1226, Lookups!$A$2:$D$10, 4, FALSE()), I1226)</f>
        <v>2026-10-01</v>
      </c>
      <c r="T1226">
        <f t="shared" si="117"/>
        <v>19</v>
      </c>
      <c r="U1226" t="str">
        <f t="shared" si="118"/>
        <v>Late</v>
      </c>
      <c r="V1226">
        <f t="shared" si="119"/>
        <v>0</v>
      </c>
    </row>
    <row r="1227" spans="1:22" x14ac:dyDescent="0.45">
      <c r="A1227" t="s">
        <v>2062</v>
      </c>
      <c r="B1227" t="s">
        <v>1148</v>
      </c>
      <c r="C1227" t="s">
        <v>34</v>
      </c>
      <c r="D1227" t="s">
        <v>58</v>
      </c>
      <c r="E1227" t="s">
        <v>16</v>
      </c>
      <c r="F1227">
        <v>19</v>
      </c>
      <c r="G1227">
        <v>100302</v>
      </c>
      <c r="H1227">
        <v>1905738</v>
      </c>
      <c r="I1227" t="s">
        <v>653</v>
      </c>
      <c r="J1227" t="s">
        <v>1683</v>
      </c>
      <c r="K1227">
        <v>19</v>
      </c>
      <c r="L1227">
        <v>0</v>
      </c>
      <c r="M1227" t="s">
        <v>115</v>
      </c>
      <c r="N1227" t="str">
        <f t="shared" si="114"/>
        <v>PO-101226</v>
      </c>
      <c r="O1227" t="str">
        <f t="shared" si="115"/>
        <v>Delivered</v>
      </c>
      <c r="P1227" t="str">
        <f t="shared" si="116"/>
        <v>WH-DEL</v>
      </c>
      <c r="Q1227" t="str">
        <f>VLOOKUP(C1227, Lookups!$A$2:$D$10, 2, FALSE())</f>
        <v>FastElectronics</v>
      </c>
      <c r="R1227" t="str">
        <f>_xlfn.XLOOKUP(D1227, Lookups!$A$12:$A$51, Lookups!$C$12:$C$51, "Unknown")</f>
        <v>Electronics</v>
      </c>
      <c r="S1227" t="str">
        <f>IF(ISBLANK(I1227), B1227+VLOOKUP(C1227, Lookups!$A$2:$D$10, 4, FALSE()), I1227)</f>
        <v>2026-12-14</v>
      </c>
      <c r="T1227">
        <f t="shared" si="117"/>
        <v>29</v>
      </c>
      <c r="U1227" t="str">
        <f t="shared" si="118"/>
        <v>Late</v>
      </c>
      <c r="V1227">
        <f t="shared" si="119"/>
        <v>0</v>
      </c>
    </row>
    <row r="1228" spans="1:22" x14ac:dyDescent="0.45">
      <c r="A1228" t="s">
        <v>2063</v>
      </c>
      <c r="B1228" t="s">
        <v>151</v>
      </c>
      <c r="C1228" t="s">
        <v>37</v>
      </c>
      <c r="D1228" t="s">
        <v>79</v>
      </c>
      <c r="E1228" t="s">
        <v>18</v>
      </c>
      <c r="F1228">
        <v>238</v>
      </c>
      <c r="G1228">
        <v>23054</v>
      </c>
      <c r="H1228">
        <v>5486852</v>
      </c>
      <c r="I1228" t="s">
        <v>1002</v>
      </c>
      <c r="J1228" t="s">
        <v>688</v>
      </c>
      <c r="K1228">
        <v>238</v>
      </c>
      <c r="L1228">
        <v>0</v>
      </c>
      <c r="M1228" t="s">
        <v>115</v>
      </c>
      <c r="N1228" t="str">
        <f t="shared" si="114"/>
        <v>PO-101227</v>
      </c>
      <c r="O1228" t="str">
        <f t="shared" si="115"/>
        <v>Delivered</v>
      </c>
      <c r="P1228" t="str">
        <f t="shared" si="116"/>
        <v>WH-PUN</v>
      </c>
      <c r="Q1228" t="str">
        <f>VLOOKUP(C1228, Lookups!$A$2:$D$10, 2, FALSE())</f>
        <v>Premium Desks Ltd</v>
      </c>
      <c r="R1228" t="str">
        <f>_xlfn.XLOOKUP(D1228, Lookups!$A$12:$A$51, Lookups!$C$12:$C$51, "Unknown")</f>
        <v>Office Furniture</v>
      </c>
      <c r="S1228" t="str">
        <f>IF(ISBLANK(I1228), B1228+VLOOKUP(C1228, Lookups!$A$2:$D$10, 4, FALSE()), I1228)</f>
        <v>2026-04-26</v>
      </c>
      <c r="T1228">
        <f t="shared" si="117"/>
        <v>15</v>
      </c>
      <c r="U1228" t="str">
        <f t="shared" si="118"/>
        <v>Late</v>
      </c>
      <c r="V1228">
        <f t="shared" si="119"/>
        <v>0</v>
      </c>
    </row>
    <row r="1229" spans="1:22" x14ac:dyDescent="0.45">
      <c r="A1229" t="s">
        <v>2064</v>
      </c>
      <c r="B1229" t="s">
        <v>2065</v>
      </c>
      <c r="C1229" t="s">
        <v>31</v>
      </c>
      <c r="D1229" t="s">
        <v>64</v>
      </c>
      <c r="E1229" t="s">
        <v>16</v>
      </c>
      <c r="F1229">
        <v>203</v>
      </c>
      <c r="G1229">
        <v>36295</v>
      </c>
      <c r="H1229">
        <v>7367885</v>
      </c>
      <c r="I1229" t="s">
        <v>1347</v>
      </c>
      <c r="J1229" t="s">
        <v>1347</v>
      </c>
      <c r="K1229">
        <v>203</v>
      </c>
      <c r="L1229">
        <v>0</v>
      </c>
      <c r="M1229" t="s">
        <v>115</v>
      </c>
      <c r="N1229" t="str">
        <f t="shared" si="114"/>
        <v>PO-101228</v>
      </c>
      <c r="O1229" t="str">
        <f t="shared" si="115"/>
        <v>Delivered</v>
      </c>
      <c r="P1229" t="str">
        <f t="shared" si="116"/>
        <v>WH-DEL</v>
      </c>
      <c r="Q1229" t="str">
        <f>VLOOKUP(C1229, Lookups!$A$2:$D$10, 2, FALSE())</f>
        <v>Global Networks</v>
      </c>
      <c r="R1229" t="str">
        <f>_xlfn.XLOOKUP(D1229, Lookups!$A$12:$A$51, Lookups!$C$12:$C$51, "Unknown")</f>
        <v>Networking</v>
      </c>
      <c r="S1229" t="str">
        <f>IF(ISBLANK(I1229), B1229+VLOOKUP(C1229, Lookups!$A$2:$D$10, 4, FALSE()), I1229)</f>
        <v>2026-08-09</v>
      </c>
      <c r="T1229">
        <f t="shared" si="117"/>
        <v>21</v>
      </c>
      <c r="U1229" t="str">
        <f t="shared" si="118"/>
        <v>On-Time</v>
      </c>
      <c r="V1229">
        <f t="shared" si="119"/>
        <v>0</v>
      </c>
    </row>
    <row r="1230" spans="1:22" x14ac:dyDescent="0.45">
      <c r="A1230" t="s">
        <v>2066</v>
      </c>
      <c r="B1230" t="s">
        <v>431</v>
      </c>
      <c r="C1230" t="s">
        <v>36</v>
      </c>
      <c r="D1230" t="s">
        <v>90</v>
      </c>
      <c r="E1230" t="s">
        <v>16</v>
      </c>
      <c r="F1230">
        <v>157</v>
      </c>
      <c r="G1230">
        <v>81434</v>
      </c>
      <c r="H1230">
        <v>12785138</v>
      </c>
      <c r="I1230" t="s">
        <v>911</v>
      </c>
      <c r="J1230" t="s">
        <v>911</v>
      </c>
      <c r="K1230">
        <v>157</v>
      </c>
      <c r="L1230">
        <v>0</v>
      </c>
      <c r="M1230" t="s">
        <v>115</v>
      </c>
      <c r="N1230" t="str">
        <f t="shared" si="114"/>
        <v>PO-101229</v>
      </c>
      <c r="O1230" t="str">
        <f t="shared" si="115"/>
        <v>Delivered</v>
      </c>
      <c r="P1230" t="str">
        <f t="shared" si="116"/>
        <v>WH-DEL</v>
      </c>
      <c r="Q1230" t="str">
        <f>VLOOKUP(C1230, Lookups!$A$2:$D$10, 2, FALSE())</f>
        <v>NextGen Hardware</v>
      </c>
      <c r="R1230" t="str">
        <f>_xlfn.XLOOKUP(D1230, Lookups!$A$12:$A$51, Lookups!$C$12:$C$51, "Unknown")</f>
        <v>Electronics</v>
      </c>
      <c r="S1230" t="str">
        <f>IF(ISBLANK(I1230), B1230+VLOOKUP(C1230, Lookups!$A$2:$D$10, 4, FALSE()), I1230)</f>
        <v>2025-04-09</v>
      </c>
      <c r="T1230">
        <f t="shared" si="117"/>
        <v>24</v>
      </c>
      <c r="U1230" t="str">
        <f t="shared" si="118"/>
        <v>On-Time</v>
      </c>
      <c r="V1230">
        <f t="shared" si="119"/>
        <v>0</v>
      </c>
    </row>
    <row r="1231" spans="1:22" x14ac:dyDescent="0.45">
      <c r="A1231" t="s">
        <v>2067</v>
      </c>
      <c r="B1231" t="s">
        <v>649</v>
      </c>
      <c r="C1231" t="s">
        <v>30</v>
      </c>
      <c r="D1231" t="s">
        <v>53</v>
      </c>
      <c r="E1231" t="s">
        <v>18</v>
      </c>
      <c r="F1231">
        <v>31</v>
      </c>
      <c r="G1231">
        <v>81048</v>
      </c>
      <c r="H1231">
        <v>2512488</v>
      </c>
      <c r="I1231" t="s">
        <v>1200</v>
      </c>
      <c r="J1231" t="s">
        <v>568</v>
      </c>
      <c r="K1231">
        <v>16</v>
      </c>
      <c r="L1231">
        <v>0</v>
      </c>
      <c r="M1231" t="s">
        <v>115</v>
      </c>
      <c r="N1231" t="str">
        <f t="shared" si="114"/>
        <v>PO-101230</v>
      </c>
      <c r="O1231" t="str">
        <f t="shared" si="115"/>
        <v>Delivered</v>
      </c>
      <c r="P1231" t="str">
        <f t="shared" si="116"/>
        <v>WH-PUN</v>
      </c>
      <c r="Q1231" t="str">
        <f>VLOOKUP(C1231, Lookups!$A$2:$D$10, 2, FALSE())</f>
        <v>TechSupply Corp</v>
      </c>
      <c r="R1231" t="str">
        <f>_xlfn.XLOOKUP(D1231, Lookups!$A$12:$A$51, Lookups!$C$12:$C$51, "Unknown")</f>
        <v>Electronics</v>
      </c>
      <c r="S1231" t="str">
        <f>IF(ISBLANK(I1231), B1231+VLOOKUP(C1231, Lookups!$A$2:$D$10, 4, FALSE()), I1231)</f>
        <v>2025-09-01</v>
      </c>
      <c r="T1231">
        <f t="shared" si="117"/>
        <v>22</v>
      </c>
      <c r="U1231" t="str">
        <f t="shared" si="118"/>
        <v>Late</v>
      </c>
      <c r="V1231">
        <f t="shared" si="119"/>
        <v>0</v>
      </c>
    </row>
    <row r="1232" spans="1:22" x14ac:dyDescent="0.45">
      <c r="A1232" t="s">
        <v>2068</v>
      </c>
      <c r="B1232" t="s">
        <v>1019</v>
      </c>
      <c r="C1232" t="s">
        <v>30</v>
      </c>
      <c r="D1232" t="s">
        <v>61</v>
      </c>
      <c r="E1232" t="s">
        <v>16</v>
      </c>
      <c r="F1232">
        <v>177</v>
      </c>
      <c r="G1232">
        <v>111237</v>
      </c>
      <c r="H1232">
        <v>19688949</v>
      </c>
      <c r="I1232" t="s">
        <v>518</v>
      </c>
      <c r="J1232" t="s">
        <v>971</v>
      </c>
      <c r="K1232">
        <v>177</v>
      </c>
      <c r="L1232">
        <v>0</v>
      </c>
      <c r="M1232" t="s">
        <v>115</v>
      </c>
      <c r="N1232" t="str">
        <f t="shared" si="114"/>
        <v>PO-101231</v>
      </c>
      <c r="O1232" t="str">
        <f t="shared" si="115"/>
        <v>Delivered</v>
      </c>
      <c r="P1232" t="str">
        <f t="shared" si="116"/>
        <v>WH-DEL</v>
      </c>
      <c r="Q1232" t="str">
        <f>VLOOKUP(C1232, Lookups!$A$2:$D$10, 2, FALSE())</f>
        <v>TechSupply Corp</v>
      </c>
      <c r="R1232" t="str">
        <f>_xlfn.XLOOKUP(D1232, Lookups!$A$12:$A$51, Lookups!$C$12:$C$51, "Unknown")</f>
        <v>Electronics</v>
      </c>
      <c r="S1232" t="str">
        <f>IF(ISBLANK(I1232), B1232+VLOOKUP(C1232, Lookups!$A$2:$D$10, 4, FALSE()), I1232)</f>
        <v>2025-05-23</v>
      </c>
      <c r="T1232">
        <f t="shared" si="117"/>
        <v>15</v>
      </c>
      <c r="U1232" t="str">
        <f t="shared" si="118"/>
        <v>Late</v>
      </c>
      <c r="V1232">
        <f t="shared" si="119"/>
        <v>0</v>
      </c>
    </row>
    <row r="1233" spans="1:22" x14ac:dyDescent="0.45">
      <c r="A1233" t="s">
        <v>2069</v>
      </c>
      <c r="B1233" t="s">
        <v>464</v>
      </c>
      <c r="C1233" t="s">
        <v>35</v>
      </c>
      <c r="D1233" t="s">
        <v>70</v>
      </c>
      <c r="E1233" t="s">
        <v>17</v>
      </c>
      <c r="F1233">
        <v>135</v>
      </c>
      <c r="G1233">
        <v>4287</v>
      </c>
      <c r="H1233">
        <v>578745</v>
      </c>
      <c r="I1233" t="s">
        <v>1574</v>
      </c>
      <c r="J1233" t="s">
        <v>372</v>
      </c>
      <c r="K1233">
        <v>135</v>
      </c>
      <c r="L1233">
        <v>0</v>
      </c>
      <c r="M1233" t="s">
        <v>115</v>
      </c>
      <c r="N1233" t="str">
        <f t="shared" si="114"/>
        <v>PO-101232</v>
      </c>
      <c r="O1233" t="str">
        <f t="shared" si="115"/>
        <v>Delivered</v>
      </c>
      <c r="P1233" t="str">
        <f t="shared" si="116"/>
        <v>WH-BLR</v>
      </c>
      <c r="Q1233" t="str">
        <f>VLOOKUP(C1233, Lookups!$A$2:$D$10, 2, FALSE())</f>
        <v>Peripheral Source</v>
      </c>
      <c r="R1233" t="str">
        <f>_xlfn.XLOOKUP(D1233, Lookups!$A$12:$A$51, Lookups!$C$12:$C$51, "Unknown")</f>
        <v>Peripherals</v>
      </c>
      <c r="S1233" t="str">
        <f>IF(ISBLANK(I1233), B1233+VLOOKUP(C1233, Lookups!$A$2:$D$10, 4, FALSE()), I1233)</f>
        <v>2025-11-30</v>
      </c>
      <c r="T1233">
        <f t="shared" si="117"/>
        <v>11</v>
      </c>
      <c r="U1233" t="str">
        <f t="shared" si="118"/>
        <v>Late</v>
      </c>
      <c r="V1233">
        <f t="shared" si="119"/>
        <v>0</v>
      </c>
    </row>
    <row r="1234" spans="1:22" x14ac:dyDescent="0.45">
      <c r="A1234" t="s">
        <v>2070</v>
      </c>
      <c r="B1234" t="s">
        <v>524</v>
      </c>
      <c r="C1234" t="s">
        <v>36</v>
      </c>
      <c r="D1234" t="s">
        <v>55</v>
      </c>
      <c r="E1234" t="s">
        <v>18</v>
      </c>
      <c r="F1234">
        <v>59</v>
      </c>
      <c r="G1234">
        <v>58434</v>
      </c>
      <c r="H1234">
        <v>3447606</v>
      </c>
      <c r="I1234" t="s">
        <v>1639</v>
      </c>
      <c r="J1234" t="s">
        <v>242</v>
      </c>
      <c r="K1234">
        <v>59</v>
      </c>
      <c r="L1234">
        <v>0</v>
      </c>
      <c r="M1234" t="s">
        <v>115</v>
      </c>
      <c r="N1234" t="str">
        <f t="shared" si="114"/>
        <v>PO-101233</v>
      </c>
      <c r="O1234" t="str">
        <f t="shared" si="115"/>
        <v>Delivered</v>
      </c>
      <c r="P1234" t="str">
        <f t="shared" si="116"/>
        <v>WH-PUN</v>
      </c>
      <c r="Q1234" t="str">
        <f>VLOOKUP(C1234, Lookups!$A$2:$D$10, 2, FALSE())</f>
        <v>NextGen Hardware</v>
      </c>
      <c r="R1234" t="str">
        <f>_xlfn.XLOOKUP(D1234, Lookups!$A$12:$A$51, Lookups!$C$12:$C$51, "Unknown")</f>
        <v>Electronics</v>
      </c>
      <c r="S1234" t="str">
        <f>IF(ISBLANK(I1234), B1234+VLOOKUP(C1234, Lookups!$A$2:$D$10, 4, FALSE()), I1234)</f>
        <v>2025-06-22</v>
      </c>
      <c r="T1234">
        <f t="shared" si="117"/>
        <v>37</v>
      </c>
      <c r="U1234" t="str">
        <f t="shared" si="118"/>
        <v>Late</v>
      </c>
      <c r="V1234">
        <f t="shared" si="119"/>
        <v>0</v>
      </c>
    </row>
    <row r="1235" spans="1:22" x14ac:dyDescent="0.45">
      <c r="A1235" t="s">
        <v>2071</v>
      </c>
      <c r="B1235" t="s">
        <v>763</v>
      </c>
      <c r="C1235" t="s">
        <v>35</v>
      </c>
      <c r="D1235" t="s">
        <v>57</v>
      </c>
      <c r="E1235" t="s">
        <v>16</v>
      </c>
      <c r="F1235">
        <v>117</v>
      </c>
      <c r="G1235">
        <v>2212</v>
      </c>
      <c r="H1235">
        <v>258804</v>
      </c>
      <c r="I1235" t="s">
        <v>258</v>
      </c>
      <c r="J1235" t="s">
        <v>258</v>
      </c>
      <c r="K1235">
        <v>117</v>
      </c>
      <c r="L1235">
        <v>0</v>
      </c>
      <c r="M1235" t="s">
        <v>115</v>
      </c>
      <c r="N1235" t="str">
        <f t="shared" si="114"/>
        <v>PO-101234</v>
      </c>
      <c r="O1235" t="str">
        <f t="shared" si="115"/>
        <v>Delivered</v>
      </c>
      <c r="P1235" t="str">
        <f t="shared" si="116"/>
        <v>WH-DEL</v>
      </c>
      <c r="Q1235" t="str">
        <f>VLOOKUP(C1235, Lookups!$A$2:$D$10, 2, FALSE())</f>
        <v>Peripheral Source</v>
      </c>
      <c r="R1235" t="str">
        <f>_xlfn.XLOOKUP(D1235, Lookups!$A$12:$A$51, Lookups!$C$12:$C$51, "Unknown")</f>
        <v>Peripherals</v>
      </c>
      <c r="S1235" t="str">
        <f>IF(ISBLANK(I1235), B1235+VLOOKUP(C1235, Lookups!$A$2:$D$10, 4, FALSE()), I1235)</f>
        <v>2025-02-06</v>
      </c>
      <c r="T1235">
        <f t="shared" si="117"/>
        <v>10</v>
      </c>
      <c r="U1235" t="str">
        <f t="shared" si="118"/>
        <v>On-Time</v>
      </c>
      <c r="V1235">
        <f t="shared" si="119"/>
        <v>0</v>
      </c>
    </row>
    <row r="1236" spans="1:22" x14ac:dyDescent="0.45">
      <c r="A1236" t="s">
        <v>2072</v>
      </c>
      <c r="B1236" t="s">
        <v>1354</v>
      </c>
      <c r="C1236" t="s">
        <v>35</v>
      </c>
      <c r="D1236" t="s">
        <v>75</v>
      </c>
      <c r="E1236" t="s">
        <v>17</v>
      </c>
      <c r="F1236">
        <v>45</v>
      </c>
      <c r="G1236">
        <v>4440</v>
      </c>
      <c r="H1236">
        <v>199800</v>
      </c>
      <c r="I1236" t="s">
        <v>700</v>
      </c>
      <c r="J1236" t="s">
        <v>840</v>
      </c>
      <c r="K1236">
        <v>45</v>
      </c>
      <c r="L1236">
        <v>5</v>
      </c>
      <c r="M1236" t="s">
        <v>115</v>
      </c>
      <c r="N1236" t="str">
        <f t="shared" si="114"/>
        <v>PO-101235</v>
      </c>
      <c r="O1236" t="str">
        <f t="shared" si="115"/>
        <v>Delivered</v>
      </c>
      <c r="P1236" t="str">
        <f t="shared" si="116"/>
        <v>WH-BLR</v>
      </c>
      <c r="Q1236" t="str">
        <f>VLOOKUP(C1236, Lookups!$A$2:$D$10, 2, FALSE())</f>
        <v>Peripheral Source</v>
      </c>
      <c r="R1236" t="str">
        <f>_xlfn.XLOOKUP(D1236, Lookups!$A$12:$A$51, Lookups!$C$12:$C$51, "Unknown")</f>
        <v>Peripherals</v>
      </c>
      <c r="S1236" t="str">
        <f>IF(ISBLANK(I1236), B1236+VLOOKUP(C1236, Lookups!$A$2:$D$10, 4, FALSE()), I1236)</f>
        <v>2026-03-16</v>
      </c>
      <c r="T1236">
        <f t="shared" si="117"/>
        <v>11</v>
      </c>
      <c r="U1236" t="str">
        <f t="shared" si="118"/>
        <v>Late</v>
      </c>
      <c r="V1236">
        <f t="shared" si="119"/>
        <v>0.1111111111111111</v>
      </c>
    </row>
    <row r="1237" spans="1:22" x14ac:dyDescent="0.45">
      <c r="A1237" t="s">
        <v>2073</v>
      </c>
      <c r="B1237" t="s">
        <v>1547</v>
      </c>
      <c r="C1237" t="s">
        <v>30</v>
      </c>
      <c r="D1237" t="s">
        <v>53</v>
      </c>
      <c r="E1237" t="s">
        <v>18</v>
      </c>
      <c r="F1237">
        <v>236</v>
      </c>
      <c r="G1237">
        <v>81048</v>
      </c>
      <c r="H1237">
        <v>19127328</v>
      </c>
      <c r="I1237" t="s">
        <v>840</v>
      </c>
      <c r="J1237" t="s">
        <v>387</v>
      </c>
      <c r="K1237">
        <v>236</v>
      </c>
      <c r="L1237">
        <v>0</v>
      </c>
      <c r="M1237" t="s">
        <v>115</v>
      </c>
      <c r="N1237" t="str">
        <f t="shared" si="114"/>
        <v>PO-101236</v>
      </c>
      <c r="O1237" t="str">
        <f t="shared" si="115"/>
        <v>Delivered</v>
      </c>
      <c r="P1237" t="str">
        <f t="shared" si="116"/>
        <v>WH-PUN</v>
      </c>
      <c r="Q1237" t="str">
        <f>VLOOKUP(C1237, Lookups!$A$2:$D$10, 2, FALSE())</f>
        <v>TechSupply Corp</v>
      </c>
      <c r="R1237" t="str">
        <f>_xlfn.XLOOKUP(D1237, Lookups!$A$12:$A$51, Lookups!$C$12:$C$51, "Unknown")</f>
        <v>Electronics</v>
      </c>
      <c r="S1237" t="str">
        <f>IF(ISBLANK(I1237), B1237+VLOOKUP(C1237, Lookups!$A$2:$D$10, 4, FALSE()), I1237)</f>
        <v>2026-03-17</v>
      </c>
      <c r="T1237">
        <f t="shared" si="117"/>
        <v>15</v>
      </c>
      <c r="U1237" t="str">
        <f t="shared" si="118"/>
        <v>Late</v>
      </c>
      <c r="V1237">
        <f t="shared" si="119"/>
        <v>0</v>
      </c>
    </row>
    <row r="1238" spans="1:22" x14ac:dyDescent="0.45">
      <c r="A1238" t="s">
        <v>2074</v>
      </c>
      <c r="B1238" t="s">
        <v>1584</v>
      </c>
      <c r="C1238" t="s">
        <v>34</v>
      </c>
      <c r="D1238" t="s">
        <v>73</v>
      </c>
      <c r="E1238" t="s">
        <v>16</v>
      </c>
      <c r="F1238">
        <v>102</v>
      </c>
      <c r="G1238">
        <v>58396</v>
      </c>
      <c r="H1238">
        <v>5956392</v>
      </c>
      <c r="I1238" t="s">
        <v>460</v>
      </c>
      <c r="J1238" t="s">
        <v>346</v>
      </c>
      <c r="K1238">
        <v>102</v>
      </c>
      <c r="L1238">
        <v>0</v>
      </c>
      <c r="M1238" t="s">
        <v>115</v>
      </c>
      <c r="N1238" t="str">
        <f t="shared" si="114"/>
        <v>PO-101237</v>
      </c>
      <c r="O1238" t="str">
        <f t="shared" si="115"/>
        <v>Delivered</v>
      </c>
      <c r="P1238" t="str">
        <f t="shared" si="116"/>
        <v>WH-DEL</v>
      </c>
      <c r="Q1238" t="str">
        <f>VLOOKUP(C1238, Lookups!$A$2:$D$10, 2, FALSE())</f>
        <v>FastElectronics</v>
      </c>
      <c r="R1238" t="str">
        <f>_xlfn.XLOOKUP(D1238, Lookups!$A$12:$A$51, Lookups!$C$12:$C$51, "Unknown")</f>
        <v>Electronics</v>
      </c>
      <c r="S1238" t="str">
        <f>IF(ISBLANK(I1238), B1238+VLOOKUP(C1238, Lookups!$A$2:$D$10, 4, FALSE()), I1238)</f>
        <v>2025-10-09</v>
      </c>
      <c r="T1238">
        <f t="shared" si="117"/>
        <v>19</v>
      </c>
      <c r="U1238" t="str">
        <f t="shared" si="118"/>
        <v>Late</v>
      </c>
      <c r="V1238">
        <f t="shared" si="119"/>
        <v>0</v>
      </c>
    </row>
    <row r="1239" spans="1:22" x14ac:dyDescent="0.45">
      <c r="A1239" t="s">
        <v>2075</v>
      </c>
      <c r="B1239" t="s">
        <v>1002</v>
      </c>
      <c r="C1239" t="s">
        <v>37</v>
      </c>
      <c r="D1239" t="s">
        <v>83</v>
      </c>
      <c r="E1239" t="s">
        <v>17</v>
      </c>
      <c r="F1239">
        <v>13</v>
      </c>
      <c r="G1239">
        <v>19850</v>
      </c>
      <c r="H1239">
        <v>258050</v>
      </c>
      <c r="I1239" t="s">
        <v>535</v>
      </c>
      <c r="J1239" t="s">
        <v>411</v>
      </c>
      <c r="K1239">
        <v>13</v>
      </c>
      <c r="L1239">
        <v>0</v>
      </c>
      <c r="M1239" t="s">
        <v>115</v>
      </c>
      <c r="N1239" t="str">
        <f t="shared" si="114"/>
        <v>PO-101238</v>
      </c>
      <c r="O1239" t="str">
        <f t="shared" si="115"/>
        <v>Delivered</v>
      </c>
      <c r="P1239" t="str">
        <f t="shared" si="116"/>
        <v>WH-BLR</v>
      </c>
      <c r="Q1239" t="str">
        <f>VLOOKUP(C1239, Lookups!$A$2:$D$10, 2, FALSE())</f>
        <v>Premium Desks Ltd</v>
      </c>
      <c r="R1239" t="str">
        <f>_xlfn.XLOOKUP(D1239, Lookups!$A$12:$A$51, Lookups!$C$12:$C$51, "Unknown")</f>
        <v>Office Furniture</v>
      </c>
      <c r="S1239" t="str">
        <f>IF(ISBLANK(I1239), B1239+VLOOKUP(C1239, Lookups!$A$2:$D$10, 4, FALSE()), I1239)</f>
        <v>2026-05-08</v>
      </c>
      <c r="T1239">
        <f t="shared" si="117"/>
        <v>13</v>
      </c>
      <c r="U1239" t="str">
        <f t="shared" si="118"/>
        <v>Late</v>
      </c>
      <c r="V1239">
        <f t="shared" si="119"/>
        <v>0</v>
      </c>
    </row>
    <row r="1240" spans="1:22" x14ac:dyDescent="0.45">
      <c r="A1240" t="s">
        <v>2076</v>
      </c>
      <c r="B1240" t="s">
        <v>367</v>
      </c>
      <c r="C1240" t="s">
        <v>36</v>
      </c>
      <c r="D1240" t="s">
        <v>55</v>
      </c>
      <c r="E1240" t="s">
        <v>18</v>
      </c>
      <c r="F1240">
        <v>32</v>
      </c>
      <c r="G1240">
        <v>58434</v>
      </c>
      <c r="H1240">
        <v>1869888</v>
      </c>
      <c r="I1240" t="s">
        <v>411</v>
      </c>
      <c r="J1240" t="s">
        <v>529</v>
      </c>
      <c r="K1240">
        <v>32</v>
      </c>
      <c r="L1240">
        <v>0</v>
      </c>
      <c r="M1240" t="s">
        <v>115</v>
      </c>
      <c r="N1240" t="str">
        <f t="shared" si="114"/>
        <v>PO-101239</v>
      </c>
      <c r="O1240" t="str">
        <f t="shared" si="115"/>
        <v>Delivered</v>
      </c>
      <c r="P1240" t="str">
        <f t="shared" si="116"/>
        <v>WH-PUN</v>
      </c>
      <c r="Q1240" t="str">
        <f>VLOOKUP(C1240, Lookups!$A$2:$D$10, 2, FALSE())</f>
        <v>NextGen Hardware</v>
      </c>
      <c r="R1240" t="str">
        <f>_xlfn.XLOOKUP(D1240, Lookups!$A$12:$A$51, Lookups!$C$12:$C$51, "Unknown")</f>
        <v>Electronics</v>
      </c>
      <c r="S1240" t="str">
        <f>IF(ISBLANK(I1240), B1240+VLOOKUP(C1240, Lookups!$A$2:$D$10, 4, FALSE()), I1240)</f>
        <v>2026-05-09</v>
      </c>
      <c r="T1240">
        <f t="shared" si="117"/>
        <v>35</v>
      </c>
      <c r="U1240" t="str">
        <f t="shared" si="118"/>
        <v>Late</v>
      </c>
      <c r="V1240">
        <f t="shared" si="119"/>
        <v>0</v>
      </c>
    </row>
    <row r="1241" spans="1:22" x14ac:dyDescent="0.45">
      <c r="A1241" t="s">
        <v>2077</v>
      </c>
      <c r="B1241" t="s">
        <v>328</v>
      </c>
      <c r="C1241" t="s">
        <v>30</v>
      </c>
      <c r="D1241" t="s">
        <v>86</v>
      </c>
      <c r="E1241" t="s">
        <v>17</v>
      </c>
      <c r="F1241">
        <v>49</v>
      </c>
      <c r="G1241">
        <v>74871</v>
      </c>
      <c r="H1241">
        <v>3668679</v>
      </c>
      <c r="I1241" t="s">
        <v>210</v>
      </c>
      <c r="J1241" t="s">
        <v>210</v>
      </c>
      <c r="K1241">
        <v>49</v>
      </c>
      <c r="L1241">
        <v>0</v>
      </c>
      <c r="M1241" t="s">
        <v>115</v>
      </c>
      <c r="N1241" t="str">
        <f t="shared" si="114"/>
        <v>PO-101240</v>
      </c>
      <c r="O1241" t="str">
        <f t="shared" si="115"/>
        <v>Delivered</v>
      </c>
      <c r="P1241" t="str">
        <f t="shared" si="116"/>
        <v>WH-BLR</v>
      </c>
      <c r="Q1241" t="str">
        <f>VLOOKUP(C1241, Lookups!$A$2:$D$10, 2, FALSE())</f>
        <v>TechSupply Corp</v>
      </c>
      <c r="R1241" t="str">
        <f>_xlfn.XLOOKUP(D1241, Lookups!$A$12:$A$51, Lookups!$C$12:$C$51, "Unknown")</f>
        <v>Electronics</v>
      </c>
      <c r="S1241" t="str">
        <f>IF(ISBLANK(I1241), B1241+VLOOKUP(C1241, Lookups!$A$2:$D$10, 4, FALSE()), I1241)</f>
        <v>2025-06-20</v>
      </c>
      <c r="T1241">
        <f t="shared" si="117"/>
        <v>14</v>
      </c>
      <c r="U1241" t="str">
        <f t="shared" si="118"/>
        <v>On-Time</v>
      </c>
      <c r="V1241">
        <f t="shared" si="119"/>
        <v>0</v>
      </c>
    </row>
    <row r="1242" spans="1:22" x14ac:dyDescent="0.45">
      <c r="A1242" t="s">
        <v>2078</v>
      </c>
      <c r="B1242" t="s">
        <v>1281</v>
      </c>
      <c r="C1242" t="s">
        <v>31</v>
      </c>
      <c r="D1242" t="s">
        <v>77</v>
      </c>
      <c r="E1242" t="s">
        <v>15</v>
      </c>
      <c r="F1242">
        <v>191</v>
      </c>
      <c r="G1242">
        <v>23667</v>
      </c>
      <c r="H1242">
        <v>4520397</v>
      </c>
      <c r="I1242" t="s">
        <v>211</v>
      </c>
      <c r="J1242" t="s">
        <v>1639</v>
      </c>
      <c r="K1242">
        <v>191</v>
      </c>
      <c r="L1242">
        <v>0</v>
      </c>
      <c r="M1242" t="s">
        <v>115</v>
      </c>
      <c r="N1242" t="str">
        <f t="shared" si="114"/>
        <v>PO-101241</v>
      </c>
      <c r="O1242" t="str">
        <f t="shared" si="115"/>
        <v>Delivered</v>
      </c>
      <c r="P1242" t="str">
        <f t="shared" si="116"/>
        <v>WH-BOM</v>
      </c>
      <c r="Q1242" t="str">
        <f>VLOOKUP(C1242, Lookups!$A$2:$D$10, 2, FALSE())</f>
        <v>Global Networks</v>
      </c>
      <c r="R1242" t="str">
        <f>_xlfn.XLOOKUP(D1242, Lookups!$A$12:$A$51, Lookups!$C$12:$C$51, "Unknown")</f>
        <v>Networking</v>
      </c>
      <c r="S1242" t="str">
        <f>IF(ISBLANK(I1242), B1242+VLOOKUP(C1242, Lookups!$A$2:$D$10, 4, FALSE()), I1242)</f>
        <v>2025-06-21</v>
      </c>
      <c r="T1242">
        <f t="shared" si="117"/>
        <v>22</v>
      </c>
      <c r="U1242" t="str">
        <f t="shared" si="118"/>
        <v>Late</v>
      </c>
      <c r="V1242">
        <f t="shared" si="119"/>
        <v>0</v>
      </c>
    </row>
    <row r="1243" spans="1:22" x14ac:dyDescent="0.45">
      <c r="A1243" t="s">
        <v>2079</v>
      </c>
      <c r="B1243" t="s">
        <v>2080</v>
      </c>
      <c r="C1243" t="s">
        <v>34</v>
      </c>
      <c r="D1243" t="s">
        <v>73</v>
      </c>
      <c r="E1243" t="s">
        <v>16</v>
      </c>
      <c r="F1243">
        <v>231</v>
      </c>
      <c r="G1243">
        <v>58396</v>
      </c>
      <c r="H1243">
        <v>13489476</v>
      </c>
      <c r="I1243" t="s">
        <v>940</v>
      </c>
      <c r="J1243" t="s">
        <v>941</v>
      </c>
      <c r="K1243">
        <v>164</v>
      </c>
      <c r="L1243">
        <v>0</v>
      </c>
      <c r="M1243" t="s">
        <v>115</v>
      </c>
      <c r="N1243" t="str">
        <f t="shared" si="114"/>
        <v>PO-101242</v>
      </c>
      <c r="O1243" t="str">
        <f t="shared" si="115"/>
        <v>Delivered</v>
      </c>
      <c r="P1243" t="str">
        <f t="shared" si="116"/>
        <v>WH-DEL</v>
      </c>
      <c r="Q1243" t="str">
        <f>VLOOKUP(C1243, Lookups!$A$2:$D$10, 2, FALSE())</f>
        <v>FastElectronics</v>
      </c>
      <c r="R1243" t="str">
        <f>_xlfn.XLOOKUP(D1243, Lookups!$A$12:$A$51, Lookups!$C$12:$C$51, "Unknown")</f>
        <v>Electronics</v>
      </c>
      <c r="S1243" t="str">
        <f>IF(ISBLANK(I1243), B1243+VLOOKUP(C1243, Lookups!$A$2:$D$10, 4, FALSE()), I1243)</f>
        <v>2025-01-20</v>
      </c>
      <c r="T1243">
        <f t="shared" si="117"/>
        <v>19</v>
      </c>
      <c r="U1243" t="str">
        <f t="shared" si="118"/>
        <v>Late</v>
      </c>
      <c r="V1243">
        <f t="shared" si="119"/>
        <v>0</v>
      </c>
    </row>
    <row r="1244" spans="1:22" x14ac:dyDescent="0.45">
      <c r="A1244" t="s">
        <v>2081</v>
      </c>
      <c r="B1244" t="s">
        <v>423</v>
      </c>
      <c r="C1244" t="s">
        <v>30</v>
      </c>
      <c r="D1244" t="s">
        <v>86</v>
      </c>
      <c r="E1244" t="s">
        <v>15</v>
      </c>
      <c r="F1244">
        <v>213</v>
      </c>
      <c r="G1244">
        <v>74871</v>
      </c>
      <c r="H1244">
        <v>15947523</v>
      </c>
      <c r="I1244" t="s">
        <v>705</v>
      </c>
      <c r="J1244" t="s">
        <v>1767</v>
      </c>
      <c r="K1244">
        <v>213</v>
      </c>
      <c r="L1244">
        <v>0</v>
      </c>
      <c r="M1244" t="s">
        <v>115</v>
      </c>
      <c r="N1244" t="str">
        <f t="shared" si="114"/>
        <v>PO-101243</v>
      </c>
      <c r="O1244" t="str">
        <f t="shared" si="115"/>
        <v>Delivered</v>
      </c>
      <c r="P1244" t="str">
        <f t="shared" si="116"/>
        <v>WH-BOM</v>
      </c>
      <c r="Q1244" t="str">
        <f>VLOOKUP(C1244, Lookups!$A$2:$D$10, 2, FALSE())</f>
        <v>TechSupply Corp</v>
      </c>
      <c r="R1244" t="str">
        <f>_xlfn.XLOOKUP(D1244, Lookups!$A$12:$A$51, Lookups!$C$12:$C$51, "Unknown")</f>
        <v>Electronics</v>
      </c>
      <c r="S1244" t="str">
        <f>IF(ISBLANK(I1244), B1244+VLOOKUP(C1244, Lookups!$A$2:$D$10, 4, FALSE()), I1244)</f>
        <v>2026-02-26</v>
      </c>
      <c r="T1244">
        <f t="shared" si="117"/>
        <v>13</v>
      </c>
      <c r="U1244" t="str">
        <f t="shared" si="118"/>
        <v>On-Time</v>
      </c>
      <c r="V1244">
        <f t="shared" si="119"/>
        <v>0</v>
      </c>
    </row>
    <row r="1245" spans="1:22" x14ac:dyDescent="0.45">
      <c r="A1245" t="s">
        <v>2082</v>
      </c>
      <c r="B1245" t="s">
        <v>334</v>
      </c>
      <c r="C1245" t="s">
        <v>35</v>
      </c>
      <c r="D1245" t="s">
        <v>75</v>
      </c>
      <c r="E1245" t="s">
        <v>15</v>
      </c>
      <c r="F1245">
        <v>46</v>
      </c>
      <c r="G1245">
        <v>4440</v>
      </c>
      <c r="H1245">
        <v>204240</v>
      </c>
      <c r="I1245" t="s">
        <v>335</v>
      </c>
      <c r="J1245" t="s">
        <v>335</v>
      </c>
      <c r="K1245">
        <v>46</v>
      </c>
      <c r="L1245">
        <v>0</v>
      </c>
      <c r="M1245" t="s">
        <v>115</v>
      </c>
      <c r="N1245" t="str">
        <f t="shared" si="114"/>
        <v>PO-101244</v>
      </c>
      <c r="O1245" t="str">
        <f t="shared" si="115"/>
        <v>Delivered</v>
      </c>
      <c r="P1245" t="str">
        <f t="shared" si="116"/>
        <v>WH-BOM</v>
      </c>
      <c r="Q1245" t="str">
        <f>VLOOKUP(C1245, Lookups!$A$2:$D$10, 2, FALSE())</f>
        <v>Peripheral Source</v>
      </c>
      <c r="R1245" t="str">
        <f>_xlfn.XLOOKUP(D1245, Lookups!$A$12:$A$51, Lookups!$C$12:$C$51, "Unknown")</f>
        <v>Peripherals</v>
      </c>
      <c r="S1245" t="str">
        <f>IF(ISBLANK(I1245), B1245+VLOOKUP(C1245, Lookups!$A$2:$D$10, 4, FALSE()), I1245)</f>
        <v>2026-08-25</v>
      </c>
      <c r="T1245">
        <f t="shared" si="117"/>
        <v>10</v>
      </c>
      <c r="U1245" t="str">
        <f t="shared" si="118"/>
        <v>On-Time</v>
      </c>
      <c r="V1245">
        <f t="shared" si="119"/>
        <v>0</v>
      </c>
    </row>
    <row r="1246" spans="1:22" x14ac:dyDescent="0.45">
      <c r="A1246" t="s">
        <v>2083</v>
      </c>
      <c r="B1246" t="s">
        <v>138</v>
      </c>
      <c r="C1246" t="s">
        <v>35</v>
      </c>
      <c r="D1246" t="s">
        <v>60</v>
      </c>
      <c r="E1246" t="s">
        <v>17</v>
      </c>
      <c r="F1246">
        <v>70</v>
      </c>
      <c r="G1246">
        <v>3291</v>
      </c>
      <c r="H1246">
        <v>230370</v>
      </c>
      <c r="I1246" t="s">
        <v>785</v>
      </c>
      <c r="J1246" t="s">
        <v>153</v>
      </c>
      <c r="K1246">
        <v>60</v>
      </c>
      <c r="L1246">
        <v>0</v>
      </c>
      <c r="M1246" t="s">
        <v>115</v>
      </c>
      <c r="N1246" t="str">
        <f t="shared" si="114"/>
        <v>PO-101245</v>
      </c>
      <c r="O1246" t="str">
        <f t="shared" si="115"/>
        <v>Delivered</v>
      </c>
      <c r="P1246" t="str">
        <f t="shared" si="116"/>
        <v>WH-BLR</v>
      </c>
      <c r="Q1246" t="str">
        <f>VLOOKUP(C1246, Lookups!$A$2:$D$10, 2, FALSE())</f>
        <v>Peripheral Source</v>
      </c>
      <c r="R1246" t="str">
        <f>_xlfn.XLOOKUP(D1246, Lookups!$A$12:$A$51, Lookups!$C$12:$C$51, "Unknown")</f>
        <v>Peripherals</v>
      </c>
      <c r="S1246" t="str">
        <f>IF(ISBLANK(I1246), B1246+VLOOKUP(C1246, Lookups!$A$2:$D$10, 4, FALSE()), I1246)</f>
        <v>2025-10-06</v>
      </c>
      <c r="T1246">
        <f t="shared" si="117"/>
        <v>11</v>
      </c>
      <c r="U1246" t="str">
        <f t="shared" si="118"/>
        <v>Late</v>
      </c>
      <c r="V1246">
        <f t="shared" si="119"/>
        <v>0</v>
      </c>
    </row>
    <row r="1247" spans="1:22" x14ac:dyDescent="0.45">
      <c r="A1247" t="s">
        <v>2084</v>
      </c>
      <c r="B1247" t="s">
        <v>477</v>
      </c>
      <c r="C1247" t="s">
        <v>30</v>
      </c>
      <c r="D1247" t="s">
        <v>88</v>
      </c>
      <c r="E1247" t="s">
        <v>15</v>
      </c>
      <c r="F1247">
        <v>167</v>
      </c>
      <c r="G1247">
        <v>75512</v>
      </c>
      <c r="H1247">
        <v>12610504</v>
      </c>
      <c r="I1247" t="s">
        <v>505</v>
      </c>
      <c r="J1247" t="s">
        <v>276</v>
      </c>
      <c r="K1247">
        <v>167</v>
      </c>
      <c r="L1247">
        <v>0</v>
      </c>
      <c r="M1247" t="s">
        <v>115</v>
      </c>
      <c r="N1247" t="str">
        <f t="shared" si="114"/>
        <v>PO-101246</v>
      </c>
      <c r="O1247" t="str">
        <f t="shared" si="115"/>
        <v>Delivered</v>
      </c>
      <c r="P1247" t="str">
        <f t="shared" si="116"/>
        <v>WH-BOM</v>
      </c>
      <c r="Q1247" t="str">
        <f>VLOOKUP(C1247, Lookups!$A$2:$D$10, 2, FALSE())</f>
        <v>TechSupply Corp</v>
      </c>
      <c r="R1247" t="str">
        <f>_xlfn.XLOOKUP(D1247, Lookups!$A$12:$A$51, Lookups!$C$12:$C$51, "Unknown")</f>
        <v>Electronics</v>
      </c>
      <c r="S1247" t="str">
        <f>IF(ISBLANK(I1247), B1247+VLOOKUP(C1247, Lookups!$A$2:$D$10, 4, FALSE()), I1247)</f>
        <v>2025-04-11</v>
      </c>
      <c r="T1247">
        <f t="shared" si="117"/>
        <v>15</v>
      </c>
      <c r="U1247" t="str">
        <f t="shared" si="118"/>
        <v>Late</v>
      </c>
      <c r="V1247">
        <f t="shared" si="119"/>
        <v>0</v>
      </c>
    </row>
    <row r="1248" spans="1:22" x14ac:dyDescent="0.45">
      <c r="A1248" t="s">
        <v>2085</v>
      </c>
      <c r="B1248" t="s">
        <v>120</v>
      </c>
      <c r="C1248" t="s">
        <v>30</v>
      </c>
      <c r="D1248" t="s">
        <v>59</v>
      </c>
      <c r="E1248" t="s">
        <v>18</v>
      </c>
      <c r="F1248">
        <v>10</v>
      </c>
      <c r="G1248">
        <v>48905</v>
      </c>
      <c r="H1248">
        <v>489050</v>
      </c>
      <c r="I1248" t="s">
        <v>121</v>
      </c>
      <c r="J1248" t="s">
        <v>1273</v>
      </c>
      <c r="K1248">
        <v>10</v>
      </c>
      <c r="L1248">
        <v>0</v>
      </c>
      <c r="M1248" t="s">
        <v>115</v>
      </c>
      <c r="N1248" t="str">
        <f t="shared" si="114"/>
        <v>PO-101247</v>
      </c>
      <c r="O1248" t="str">
        <f t="shared" si="115"/>
        <v>Delivered</v>
      </c>
      <c r="P1248" t="str">
        <f t="shared" si="116"/>
        <v>WH-PUN</v>
      </c>
      <c r="Q1248" t="str">
        <f>VLOOKUP(C1248, Lookups!$A$2:$D$10, 2, FALSE())</f>
        <v>TechSupply Corp</v>
      </c>
      <c r="R1248" t="str">
        <f>_xlfn.XLOOKUP(D1248, Lookups!$A$12:$A$51, Lookups!$C$12:$C$51, "Unknown")</f>
        <v>Electronics</v>
      </c>
      <c r="S1248" t="str">
        <f>IF(ISBLANK(I1248), B1248+VLOOKUP(C1248, Lookups!$A$2:$D$10, 4, FALSE()), I1248)</f>
        <v>2025-01-17</v>
      </c>
      <c r="T1248">
        <f t="shared" si="117"/>
        <v>15</v>
      </c>
      <c r="U1248" t="str">
        <f t="shared" si="118"/>
        <v>Late</v>
      </c>
      <c r="V1248">
        <f t="shared" si="119"/>
        <v>0</v>
      </c>
    </row>
    <row r="1249" spans="1:22" x14ac:dyDescent="0.45">
      <c r="A1249" t="s">
        <v>2086</v>
      </c>
      <c r="B1249" t="s">
        <v>837</v>
      </c>
      <c r="C1249" t="s">
        <v>36</v>
      </c>
      <c r="D1249" t="s">
        <v>62</v>
      </c>
      <c r="E1249" t="s">
        <v>15</v>
      </c>
      <c r="F1249">
        <v>132</v>
      </c>
      <c r="G1249">
        <v>48478</v>
      </c>
      <c r="H1249">
        <v>6399096</v>
      </c>
      <c r="I1249" t="s">
        <v>343</v>
      </c>
      <c r="J1249" t="s">
        <v>343</v>
      </c>
      <c r="K1249">
        <v>132</v>
      </c>
      <c r="L1249">
        <v>10</v>
      </c>
      <c r="M1249" t="s">
        <v>115</v>
      </c>
      <c r="N1249" t="str">
        <f t="shared" si="114"/>
        <v>PO-101248</v>
      </c>
      <c r="O1249" t="str">
        <f t="shared" si="115"/>
        <v>Delivered</v>
      </c>
      <c r="P1249" t="str">
        <f t="shared" si="116"/>
        <v>WH-BOM</v>
      </c>
      <c r="Q1249" t="str">
        <f>VLOOKUP(C1249, Lookups!$A$2:$D$10, 2, FALSE())</f>
        <v>NextGen Hardware</v>
      </c>
      <c r="R1249" t="str">
        <f>_xlfn.XLOOKUP(D1249, Lookups!$A$12:$A$51, Lookups!$C$12:$C$51, "Unknown")</f>
        <v>Electronics</v>
      </c>
      <c r="S1249" t="str">
        <f>IF(ISBLANK(I1249), B1249+VLOOKUP(C1249, Lookups!$A$2:$D$10, 4, FALSE()), I1249)</f>
        <v>2026-02-04</v>
      </c>
      <c r="T1249">
        <f t="shared" si="117"/>
        <v>24</v>
      </c>
      <c r="U1249" t="str">
        <f t="shared" si="118"/>
        <v>On-Time</v>
      </c>
      <c r="V1249">
        <f t="shared" si="119"/>
        <v>7.575757575757576E-2</v>
      </c>
    </row>
    <row r="1250" spans="1:22" x14ac:dyDescent="0.45">
      <c r="A1250" t="s">
        <v>2087</v>
      </c>
      <c r="B1250" t="s">
        <v>285</v>
      </c>
      <c r="C1250" t="s">
        <v>35</v>
      </c>
      <c r="D1250" t="s">
        <v>70</v>
      </c>
      <c r="E1250" t="s">
        <v>16</v>
      </c>
      <c r="F1250">
        <v>67</v>
      </c>
      <c r="G1250">
        <v>4287</v>
      </c>
      <c r="H1250">
        <v>287229</v>
      </c>
      <c r="I1250" t="s">
        <v>665</v>
      </c>
      <c r="J1250" t="s">
        <v>1345</v>
      </c>
      <c r="K1250">
        <v>67</v>
      </c>
      <c r="L1250">
        <v>0</v>
      </c>
      <c r="M1250" t="s">
        <v>115</v>
      </c>
      <c r="N1250" t="str">
        <f t="shared" si="114"/>
        <v>PO-101249</v>
      </c>
      <c r="O1250" t="str">
        <f t="shared" si="115"/>
        <v>Delivered</v>
      </c>
      <c r="P1250" t="str">
        <f t="shared" si="116"/>
        <v>WH-DEL</v>
      </c>
      <c r="Q1250" t="str">
        <f>VLOOKUP(C1250, Lookups!$A$2:$D$10, 2, FALSE())</f>
        <v>Peripheral Source</v>
      </c>
      <c r="R1250" t="str">
        <f>_xlfn.XLOOKUP(D1250, Lookups!$A$12:$A$51, Lookups!$C$12:$C$51, "Unknown")</f>
        <v>Peripherals</v>
      </c>
      <c r="S1250" t="str">
        <f>IF(ISBLANK(I1250), B1250+VLOOKUP(C1250, Lookups!$A$2:$D$10, 4, FALSE()), I1250)</f>
        <v>2025-03-11</v>
      </c>
      <c r="T1250">
        <f t="shared" si="117"/>
        <v>11</v>
      </c>
      <c r="U1250" t="str">
        <f t="shared" si="118"/>
        <v>Late</v>
      </c>
      <c r="V1250">
        <f t="shared" si="119"/>
        <v>0</v>
      </c>
    </row>
    <row r="1251" spans="1:22" x14ac:dyDescent="0.45">
      <c r="A1251" t="s">
        <v>2088</v>
      </c>
      <c r="B1251" t="s">
        <v>204</v>
      </c>
      <c r="C1251" t="s">
        <v>30</v>
      </c>
      <c r="D1251" t="s">
        <v>61</v>
      </c>
      <c r="E1251" t="s">
        <v>17</v>
      </c>
      <c r="F1251">
        <v>115</v>
      </c>
      <c r="G1251">
        <v>111237</v>
      </c>
      <c r="H1251">
        <v>12792255</v>
      </c>
      <c r="I1251" t="s">
        <v>217</v>
      </c>
      <c r="J1251" t="s">
        <v>1058</v>
      </c>
      <c r="K1251">
        <v>115</v>
      </c>
      <c r="L1251">
        <v>2</v>
      </c>
      <c r="M1251" t="s">
        <v>115</v>
      </c>
      <c r="N1251" t="str">
        <f t="shared" si="114"/>
        <v>PO-101250</v>
      </c>
      <c r="O1251" t="str">
        <f t="shared" si="115"/>
        <v>Delivered</v>
      </c>
      <c r="P1251" t="str">
        <f t="shared" si="116"/>
        <v>WH-BLR</v>
      </c>
      <c r="Q1251" t="str">
        <f>VLOOKUP(C1251, Lookups!$A$2:$D$10, 2, FALSE())</f>
        <v>TechSupply Corp</v>
      </c>
      <c r="R1251" t="str">
        <f>_xlfn.XLOOKUP(D1251, Lookups!$A$12:$A$51, Lookups!$C$12:$C$51, "Unknown")</f>
        <v>Electronics</v>
      </c>
      <c r="S1251" t="str">
        <f>IF(ISBLANK(I1251), B1251+VLOOKUP(C1251, Lookups!$A$2:$D$10, 4, FALSE()), I1251)</f>
        <v>2026-04-23</v>
      </c>
      <c r="T1251">
        <f t="shared" si="117"/>
        <v>16</v>
      </c>
      <c r="U1251" t="str">
        <f t="shared" si="118"/>
        <v>Late</v>
      </c>
      <c r="V1251">
        <f t="shared" si="119"/>
        <v>1.7391304347826087E-2</v>
      </c>
    </row>
    <row r="1252" spans="1:22" x14ac:dyDescent="0.45">
      <c r="A1252" t="s">
        <v>2089</v>
      </c>
      <c r="B1252" t="s">
        <v>177</v>
      </c>
      <c r="C1252" t="s">
        <v>30</v>
      </c>
      <c r="D1252" t="s">
        <v>52</v>
      </c>
      <c r="E1252" t="s">
        <v>15</v>
      </c>
      <c r="F1252">
        <v>183</v>
      </c>
      <c r="G1252">
        <v>59592</v>
      </c>
      <c r="H1252">
        <v>10905336</v>
      </c>
      <c r="I1252" t="s">
        <v>1610</v>
      </c>
      <c r="J1252" t="s">
        <v>1610</v>
      </c>
      <c r="K1252">
        <v>183</v>
      </c>
      <c r="L1252">
        <v>0</v>
      </c>
      <c r="M1252" t="s">
        <v>115</v>
      </c>
      <c r="N1252" t="str">
        <f t="shared" si="114"/>
        <v>PO-101251</v>
      </c>
      <c r="O1252" t="str">
        <f t="shared" si="115"/>
        <v>Delivered</v>
      </c>
      <c r="P1252" t="str">
        <f t="shared" si="116"/>
        <v>WH-BOM</v>
      </c>
      <c r="Q1252" t="str">
        <f>VLOOKUP(C1252, Lookups!$A$2:$D$10, 2, FALSE())</f>
        <v>TechSupply Corp</v>
      </c>
      <c r="R1252" t="str">
        <f>_xlfn.XLOOKUP(D1252, Lookups!$A$12:$A$51, Lookups!$C$12:$C$51, "Unknown")</f>
        <v>Electronics</v>
      </c>
      <c r="S1252" t="str">
        <f>IF(ISBLANK(I1252), B1252+VLOOKUP(C1252, Lookups!$A$2:$D$10, 4, FALSE()), I1252)</f>
        <v>2026-08-22</v>
      </c>
      <c r="T1252">
        <f t="shared" si="117"/>
        <v>14</v>
      </c>
      <c r="U1252" t="str">
        <f t="shared" si="118"/>
        <v>On-Time</v>
      </c>
      <c r="V1252">
        <f t="shared" si="119"/>
        <v>0</v>
      </c>
    </row>
    <row r="1253" spans="1:22" x14ac:dyDescent="0.45">
      <c r="A1253" t="s">
        <v>2090</v>
      </c>
      <c r="B1253" t="s">
        <v>607</v>
      </c>
      <c r="C1253" t="s">
        <v>36</v>
      </c>
      <c r="D1253" t="s">
        <v>63</v>
      </c>
      <c r="E1253" t="s">
        <v>15</v>
      </c>
      <c r="F1253">
        <v>105</v>
      </c>
      <c r="G1253">
        <v>71062</v>
      </c>
      <c r="H1253">
        <v>7461510</v>
      </c>
      <c r="I1253" t="s">
        <v>284</v>
      </c>
      <c r="J1253" t="s">
        <v>285</v>
      </c>
      <c r="K1253">
        <v>105</v>
      </c>
      <c r="L1253">
        <v>0</v>
      </c>
      <c r="M1253" t="s">
        <v>115</v>
      </c>
      <c r="N1253" t="str">
        <f t="shared" si="114"/>
        <v>PO-101252</v>
      </c>
      <c r="O1253" t="str">
        <f t="shared" si="115"/>
        <v>Delivered</v>
      </c>
      <c r="P1253" t="str">
        <f t="shared" si="116"/>
        <v>WH-BOM</v>
      </c>
      <c r="Q1253" t="str">
        <f>VLOOKUP(C1253, Lookups!$A$2:$D$10, 2, FALSE())</f>
        <v>NextGen Hardware</v>
      </c>
      <c r="R1253" t="str">
        <f>_xlfn.XLOOKUP(D1253, Lookups!$A$12:$A$51, Lookups!$C$12:$C$51, "Unknown")</f>
        <v>Electronics</v>
      </c>
      <c r="S1253" t="str">
        <f>IF(ISBLANK(I1253), B1253+VLOOKUP(C1253, Lookups!$A$2:$D$10, 4, FALSE()), I1253)</f>
        <v>2025-02-22</v>
      </c>
      <c r="T1253">
        <f t="shared" si="117"/>
        <v>31</v>
      </c>
      <c r="U1253" t="str">
        <f t="shared" si="118"/>
        <v>Late</v>
      </c>
      <c r="V1253">
        <f t="shared" si="119"/>
        <v>0</v>
      </c>
    </row>
    <row r="1254" spans="1:22" x14ac:dyDescent="0.45">
      <c r="A1254" t="s">
        <v>2091</v>
      </c>
      <c r="B1254" t="s">
        <v>213</v>
      </c>
      <c r="C1254" t="s">
        <v>31</v>
      </c>
      <c r="D1254" t="s">
        <v>66</v>
      </c>
      <c r="E1254" t="s">
        <v>16</v>
      </c>
      <c r="F1254">
        <v>18</v>
      </c>
      <c r="G1254">
        <v>29719</v>
      </c>
      <c r="H1254">
        <v>534942</v>
      </c>
      <c r="I1254" t="s">
        <v>1482</v>
      </c>
      <c r="J1254" t="s">
        <v>249</v>
      </c>
      <c r="K1254">
        <v>18</v>
      </c>
      <c r="L1254">
        <v>0</v>
      </c>
      <c r="M1254" t="s">
        <v>115</v>
      </c>
      <c r="N1254" t="str">
        <f t="shared" si="114"/>
        <v>PO-101253</v>
      </c>
      <c r="O1254" t="str">
        <f t="shared" si="115"/>
        <v>Delivered</v>
      </c>
      <c r="P1254" t="str">
        <f t="shared" si="116"/>
        <v>WH-DEL</v>
      </c>
      <c r="Q1254" t="str">
        <f>VLOOKUP(C1254, Lookups!$A$2:$D$10, 2, FALSE())</f>
        <v>Global Networks</v>
      </c>
      <c r="R1254" t="str">
        <f>_xlfn.XLOOKUP(D1254, Lookups!$A$12:$A$51, Lookups!$C$12:$C$51, "Unknown")</f>
        <v>Networking</v>
      </c>
      <c r="S1254" t="str">
        <f>IF(ISBLANK(I1254), B1254+VLOOKUP(C1254, Lookups!$A$2:$D$10, 4, FALSE()), I1254)</f>
        <v>2025-07-08</v>
      </c>
      <c r="T1254">
        <f t="shared" si="117"/>
        <v>33</v>
      </c>
      <c r="U1254" t="str">
        <f t="shared" si="118"/>
        <v>Late</v>
      </c>
      <c r="V1254">
        <f t="shared" si="119"/>
        <v>0</v>
      </c>
    </row>
    <row r="1255" spans="1:22" x14ac:dyDescent="0.45">
      <c r="A1255" t="s">
        <v>2092</v>
      </c>
      <c r="B1255" t="s">
        <v>1003</v>
      </c>
      <c r="C1255" t="s">
        <v>35</v>
      </c>
      <c r="D1255" t="s">
        <v>75</v>
      </c>
      <c r="E1255" t="s">
        <v>18</v>
      </c>
      <c r="F1255">
        <v>78</v>
      </c>
      <c r="G1255">
        <v>4440</v>
      </c>
      <c r="H1255">
        <v>346320</v>
      </c>
      <c r="I1255" t="s">
        <v>1095</v>
      </c>
      <c r="J1255" t="s">
        <v>535</v>
      </c>
      <c r="K1255">
        <v>78</v>
      </c>
      <c r="L1255">
        <v>0</v>
      </c>
      <c r="M1255" t="s">
        <v>115</v>
      </c>
      <c r="N1255" t="str">
        <f t="shared" si="114"/>
        <v>PO-101254</v>
      </c>
      <c r="O1255" t="str">
        <f t="shared" si="115"/>
        <v>Delivered</v>
      </c>
      <c r="P1255" t="str">
        <f t="shared" si="116"/>
        <v>WH-PUN</v>
      </c>
      <c r="Q1255" t="str">
        <f>VLOOKUP(C1255, Lookups!$A$2:$D$10, 2, FALSE())</f>
        <v>Peripheral Source</v>
      </c>
      <c r="R1255" t="str">
        <f>_xlfn.XLOOKUP(D1255, Lookups!$A$12:$A$51, Lookups!$C$12:$C$51, "Unknown")</f>
        <v>Peripherals</v>
      </c>
      <c r="S1255" t="str">
        <f>IF(ISBLANK(I1255), B1255+VLOOKUP(C1255, Lookups!$A$2:$D$10, 4, FALSE()), I1255)</f>
        <v>2026-05-07</v>
      </c>
      <c r="T1255">
        <f t="shared" si="117"/>
        <v>11</v>
      </c>
      <c r="U1255" t="str">
        <f t="shared" si="118"/>
        <v>Late</v>
      </c>
      <c r="V1255">
        <f t="shared" si="119"/>
        <v>0</v>
      </c>
    </row>
    <row r="1256" spans="1:22" x14ac:dyDescent="0.45">
      <c r="A1256" t="s">
        <v>2093</v>
      </c>
      <c r="B1256" t="s">
        <v>1395</v>
      </c>
      <c r="C1256" t="s">
        <v>35</v>
      </c>
      <c r="D1256" t="s">
        <v>72</v>
      </c>
      <c r="E1256" t="s">
        <v>532</v>
      </c>
      <c r="F1256">
        <v>201</v>
      </c>
      <c r="G1256">
        <v>7754</v>
      </c>
      <c r="H1256">
        <v>1558554</v>
      </c>
      <c r="I1256" t="s">
        <v>619</v>
      </c>
      <c r="J1256" t="s">
        <v>619</v>
      </c>
      <c r="K1256">
        <v>201</v>
      </c>
      <c r="L1256">
        <v>0</v>
      </c>
      <c r="M1256" t="s">
        <v>115</v>
      </c>
      <c r="N1256" t="str">
        <f t="shared" si="114"/>
        <v>PO-101255</v>
      </c>
      <c r="O1256" t="str">
        <f t="shared" si="115"/>
        <v>Delivered</v>
      </c>
      <c r="P1256" t="str">
        <f t="shared" si="116"/>
        <v>WH-PUN</v>
      </c>
      <c r="Q1256" t="str">
        <f>VLOOKUP(C1256, Lookups!$A$2:$D$10, 2, FALSE())</f>
        <v>Peripheral Source</v>
      </c>
      <c r="R1256" t="str">
        <f>_xlfn.XLOOKUP(D1256, Lookups!$A$12:$A$51, Lookups!$C$12:$C$51, "Unknown")</f>
        <v>Peripherals</v>
      </c>
      <c r="S1256" t="str">
        <f>IF(ISBLANK(I1256), B1256+VLOOKUP(C1256, Lookups!$A$2:$D$10, 4, FALSE()), I1256)</f>
        <v>2026-03-19</v>
      </c>
      <c r="T1256">
        <f t="shared" si="117"/>
        <v>10</v>
      </c>
      <c r="U1256" t="str">
        <f t="shared" si="118"/>
        <v>On-Time</v>
      </c>
      <c r="V1256">
        <f t="shared" si="119"/>
        <v>0</v>
      </c>
    </row>
    <row r="1257" spans="1:22" x14ac:dyDescent="0.45">
      <c r="A1257" t="s">
        <v>2094</v>
      </c>
      <c r="B1257" t="s">
        <v>1148</v>
      </c>
      <c r="C1257" t="s">
        <v>35</v>
      </c>
      <c r="D1257" t="s">
        <v>91</v>
      </c>
      <c r="E1257" t="s">
        <v>17</v>
      </c>
      <c r="F1257">
        <v>181</v>
      </c>
      <c r="G1257">
        <v>6707</v>
      </c>
      <c r="H1257">
        <v>1213967</v>
      </c>
      <c r="K1257">
        <v>0</v>
      </c>
      <c r="L1257">
        <v>0</v>
      </c>
      <c r="M1257" t="s">
        <v>297</v>
      </c>
      <c r="N1257" t="str">
        <f t="shared" si="114"/>
        <v>PO-101256</v>
      </c>
      <c r="O1257" t="str">
        <f t="shared" si="115"/>
        <v>Open</v>
      </c>
      <c r="P1257" t="str">
        <f t="shared" si="116"/>
        <v>WH-BLR</v>
      </c>
      <c r="Q1257" t="str">
        <f>VLOOKUP(C1257, Lookups!$A$2:$D$10, 2, FALSE())</f>
        <v>Peripheral Source</v>
      </c>
      <c r="R1257" t="str">
        <f>_xlfn.XLOOKUP(D1257, Lookups!$A$12:$A$51, Lookups!$C$12:$C$51, "Unknown")</f>
        <v>Peripherals</v>
      </c>
      <c r="S1257">
        <f>IF(ISBLANK(I1257), B1257+VLOOKUP(C1257, Lookups!$A$2:$D$10, 4, FALSE()), I1257)</f>
        <v>46362</v>
      </c>
      <c r="T1257" t="str">
        <f t="shared" si="117"/>
        <v/>
      </c>
      <c r="U1257" t="str">
        <f t="shared" si="118"/>
        <v>Open</v>
      </c>
      <c r="V1257">
        <f t="shared" si="119"/>
        <v>0</v>
      </c>
    </row>
    <row r="1258" spans="1:22" x14ac:dyDescent="0.45">
      <c r="A1258" t="s">
        <v>2095</v>
      </c>
      <c r="B1258" t="s">
        <v>165</v>
      </c>
      <c r="C1258" t="s">
        <v>35</v>
      </c>
      <c r="D1258" t="s">
        <v>70</v>
      </c>
      <c r="E1258" t="s">
        <v>15</v>
      </c>
      <c r="F1258">
        <v>99</v>
      </c>
      <c r="G1258">
        <v>4287</v>
      </c>
      <c r="H1258">
        <v>424413</v>
      </c>
      <c r="I1258" t="s">
        <v>222</v>
      </c>
      <c r="J1258" t="s">
        <v>222</v>
      </c>
      <c r="K1258">
        <v>99</v>
      </c>
      <c r="L1258">
        <v>13</v>
      </c>
      <c r="M1258" t="s">
        <v>115</v>
      </c>
      <c r="N1258" t="str">
        <f t="shared" si="114"/>
        <v>PO-101257</v>
      </c>
      <c r="O1258" t="str">
        <f t="shared" si="115"/>
        <v>Delivered</v>
      </c>
      <c r="P1258" t="str">
        <f t="shared" si="116"/>
        <v>WH-BOM</v>
      </c>
      <c r="Q1258" t="str">
        <f>VLOOKUP(C1258, Lookups!$A$2:$D$10, 2, FALSE())</f>
        <v>Peripheral Source</v>
      </c>
      <c r="R1258" t="str">
        <f>_xlfn.XLOOKUP(D1258, Lookups!$A$12:$A$51, Lookups!$C$12:$C$51, "Unknown")</f>
        <v>Peripherals</v>
      </c>
      <c r="S1258" t="str">
        <f>IF(ISBLANK(I1258), B1258+VLOOKUP(C1258, Lookups!$A$2:$D$10, 4, FALSE()), I1258)</f>
        <v>2026-03-01</v>
      </c>
      <c r="T1258">
        <f t="shared" si="117"/>
        <v>10</v>
      </c>
      <c r="U1258" t="str">
        <f t="shared" si="118"/>
        <v>On-Time</v>
      </c>
      <c r="V1258">
        <f t="shared" si="119"/>
        <v>0.13131313131313133</v>
      </c>
    </row>
    <row r="1259" spans="1:22" x14ac:dyDescent="0.45">
      <c r="A1259" t="s">
        <v>2096</v>
      </c>
      <c r="B1259" t="s">
        <v>675</v>
      </c>
      <c r="C1259" t="s">
        <v>35</v>
      </c>
      <c r="D1259" t="s">
        <v>75</v>
      </c>
      <c r="E1259" t="s">
        <v>15</v>
      </c>
      <c r="F1259">
        <v>240</v>
      </c>
      <c r="G1259">
        <v>4440</v>
      </c>
      <c r="H1259">
        <v>1065600</v>
      </c>
      <c r="I1259" t="s">
        <v>2097</v>
      </c>
      <c r="K1259">
        <v>0</v>
      </c>
      <c r="L1259">
        <v>0</v>
      </c>
      <c r="M1259" t="s">
        <v>297</v>
      </c>
      <c r="N1259" t="str">
        <f t="shared" si="114"/>
        <v>PO-101258</v>
      </c>
      <c r="O1259" t="str">
        <f t="shared" si="115"/>
        <v>Open</v>
      </c>
      <c r="P1259" t="str">
        <f t="shared" si="116"/>
        <v>WH-BOM</v>
      </c>
      <c r="Q1259" t="str">
        <f>VLOOKUP(C1259, Lookups!$A$2:$D$10, 2, FALSE())</f>
        <v>Peripheral Source</v>
      </c>
      <c r="R1259" t="str">
        <f>_xlfn.XLOOKUP(D1259, Lookups!$A$12:$A$51, Lookups!$C$12:$C$51, "Unknown")</f>
        <v>Peripherals</v>
      </c>
      <c r="S1259" t="str">
        <f>IF(ISBLANK(I1259), B1259+VLOOKUP(C1259, Lookups!$A$2:$D$10, 4, FALSE()), I1259)</f>
        <v>2026-12-08</v>
      </c>
      <c r="T1259" t="str">
        <f t="shared" si="117"/>
        <v/>
      </c>
      <c r="U1259" t="str">
        <f t="shared" si="118"/>
        <v>Open</v>
      </c>
      <c r="V1259">
        <f t="shared" si="119"/>
        <v>0</v>
      </c>
    </row>
    <row r="1260" spans="1:22" x14ac:dyDescent="0.45">
      <c r="A1260" t="s">
        <v>2098</v>
      </c>
      <c r="B1260" t="s">
        <v>866</v>
      </c>
      <c r="C1260" t="s">
        <v>31</v>
      </c>
      <c r="D1260" t="s">
        <v>66</v>
      </c>
      <c r="E1260" t="s">
        <v>18</v>
      </c>
      <c r="F1260">
        <v>212</v>
      </c>
      <c r="G1260">
        <v>29719</v>
      </c>
      <c r="H1260">
        <v>6300428</v>
      </c>
      <c r="I1260" t="s">
        <v>1367</v>
      </c>
      <c r="J1260" t="s">
        <v>980</v>
      </c>
      <c r="K1260">
        <v>212</v>
      </c>
      <c r="L1260">
        <v>0</v>
      </c>
      <c r="M1260" t="s">
        <v>115</v>
      </c>
      <c r="N1260" t="str">
        <f t="shared" si="114"/>
        <v>PO-101259</v>
      </c>
      <c r="O1260" t="str">
        <f t="shared" si="115"/>
        <v>Delivered</v>
      </c>
      <c r="P1260" t="str">
        <f t="shared" si="116"/>
        <v>WH-PUN</v>
      </c>
      <c r="Q1260" t="str">
        <f>VLOOKUP(C1260, Lookups!$A$2:$D$10, 2, FALSE())</f>
        <v>Global Networks</v>
      </c>
      <c r="R1260" t="str">
        <f>_xlfn.XLOOKUP(D1260, Lookups!$A$12:$A$51, Lookups!$C$12:$C$51, "Unknown")</f>
        <v>Networking</v>
      </c>
      <c r="S1260" t="str">
        <f>IF(ISBLANK(I1260), B1260+VLOOKUP(C1260, Lookups!$A$2:$D$10, 4, FALSE()), I1260)</f>
        <v>2026-10-11</v>
      </c>
      <c r="T1260">
        <f t="shared" si="117"/>
        <v>22</v>
      </c>
      <c r="U1260" t="str">
        <f t="shared" si="118"/>
        <v>Late</v>
      </c>
      <c r="V1260">
        <f t="shared" si="119"/>
        <v>0</v>
      </c>
    </row>
    <row r="1261" spans="1:22" x14ac:dyDescent="0.45">
      <c r="A1261" t="s">
        <v>2099</v>
      </c>
      <c r="B1261" t="s">
        <v>1102</v>
      </c>
      <c r="C1261" t="s">
        <v>36</v>
      </c>
      <c r="D1261" t="s">
        <v>90</v>
      </c>
      <c r="E1261" t="s">
        <v>532</v>
      </c>
      <c r="F1261">
        <v>107</v>
      </c>
      <c r="G1261">
        <v>81434</v>
      </c>
      <c r="H1261">
        <v>8713438</v>
      </c>
      <c r="I1261" t="s">
        <v>826</v>
      </c>
      <c r="J1261" t="s">
        <v>770</v>
      </c>
      <c r="K1261">
        <v>86</v>
      </c>
      <c r="L1261">
        <v>0</v>
      </c>
      <c r="M1261" t="s">
        <v>115</v>
      </c>
      <c r="N1261" t="str">
        <f t="shared" si="114"/>
        <v>PO-101260</v>
      </c>
      <c r="O1261" t="str">
        <f t="shared" si="115"/>
        <v>Delivered</v>
      </c>
      <c r="P1261" t="str">
        <f t="shared" si="116"/>
        <v>WH-PUN</v>
      </c>
      <c r="Q1261" t="str">
        <f>VLOOKUP(C1261, Lookups!$A$2:$D$10, 2, FALSE())</f>
        <v>NextGen Hardware</v>
      </c>
      <c r="R1261" t="str">
        <f>_xlfn.XLOOKUP(D1261, Lookups!$A$12:$A$51, Lookups!$C$12:$C$51, "Unknown")</f>
        <v>Electronics</v>
      </c>
      <c r="S1261" t="str">
        <f>IF(ISBLANK(I1261), B1261+VLOOKUP(C1261, Lookups!$A$2:$D$10, 4, FALSE()), I1261)</f>
        <v>2026-12-29</v>
      </c>
      <c r="T1261">
        <f t="shared" si="117"/>
        <v>25</v>
      </c>
      <c r="U1261" t="str">
        <f t="shared" si="118"/>
        <v>Late</v>
      </c>
      <c r="V1261">
        <f t="shared" si="119"/>
        <v>0</v>
      </c>
    </row>
    <row r="1262" spans="1:22" x14ac:dyDescent="0.45">
      <c r="A1262" t="s">
        <v>2100</v>
      </c>
      <c r="B1262" t="s">
        <v>1508</v>
      </c>
      <c r="C1262" t="s">
        <v>35</v>
      </c>
      <c r="D1262" t="s">
        <v>57</v>
      </c>
      <c r="E1262" t="s">
        <v>18</v>
      </c>
      <c r="F1262">
        <v>87</v>
      </c>
      <c r="G1262">
        <v>2212</v>
      </c>
      <c r="H1262">
        <v>192444</v>
      </c>
      <c r="I1262" t="s">
        <v>1410</v>
      </c>
      <c r="J1262" t="s">
        <v>1410</v>
      </c>
      <c r="K1262">
        <v>87</v>
      </c>
      <c r="L1262">
        <v>0</v>
      </c>
      <c r="M1262" t="s">
        <v>115</v>
      </c>
      <c r="N1262" t="str">
        <f t="shared" si="114"/>
        <v>PO-101261</v>
      </c>
      <c r="O1262" t="str">
        <f t="shared" si="115"/>
        <v>Delivered</v>
      </c>
      <c r="P1262" t="str">
        <f t="shared" si="116"/>
        <v>WH-PUN</v>
      </c>
      <c r="Q1262" t="str">
        <f>VLOOKUP(C1262, Lookups!$A$2:$D$10, 2, FALSE())</f>
        <v>Peripheral Source</v>
      </c>
      <c r="R1262" t="str">
        <f>_xlfn.XLOOKUP(D1262, Lookups!$A$12:$A$51, Lookups!$C$12:$C$51, "Unknown")</f>
        <v>Peripherals</v>
      </c>
      <c r="S1262" t="str">
        <f>IF(ISBLANK(I1262), B1262+VLOOKUP(C1262, Lookups!$A$2:$D$10, 4, FALSE()), I1262)</f>
        <v>2026-06-03</v>
      </c>
      <c r="T1262">
        <f t="shared" si="117"/>
        <v>10</v>
      </c>
      <c r="U1262" t="str">
        <f t="shared" si="118"/>
        <v>On-Time</v>
      </c>
      <c r="V1262">
        <f t="shared" si="119"/>
        <v>0</v>
      </c>
    </row>
    <row r="1263" spans="1:22" x14ac:dyDescent="0.45">
      <c r="A1263" t="s">
        <v>2101</v>
      </c>
      <c r="B1263" t="s">
        <v>495</v>
      </c>
      <c r="C1263" t="s">
        <v>31</v>
      </c>
      <c r="D1263" t="s">
        <v>77</v>
      </c>
      <c r="E1263" t="s">
        <v>15</v>
      </c>
      <c r="F1263">
        <v>80</v>
      </c>
      <c r="G1263">
        <v>23667</v>
      </c>
      <c r="H1263">
        <v>1893360</v>
      </c>
      <c r="I1263" t="s">
        <v>1111</v>
      </c>
      <c r="J1263" t="s">
        <v>1111</v>
      </c>
      <c r="K1263">
        <v>80</v>
      </c>
      <c r="L1263">
        <v>0</v>
      </c>
      <c r="M1263" t="s">
        <v>115</v>
      </c>
      <c r="N1263" t="str">
        <f t="shared" si="114"/>
        <v>PO-101262</v>
      </c>
      <c r="O1263" t="str">
        <f t="shared" si="115"/>
        <v>Delivered</v>
      </c>
      <c r="P1263" t="str">
        <f t="shared" si="116"/>
        <v>WH-BOM</v>
      </c>
      <c r="Q1263" t="str">
        <f>VLOOKUP(C1263, Lookups!$A$2:$D$10, 2, FALSE())</f>
        <v>Global Networks</v>
      </c>
      <c r="R1263" t="str">
        <f>_xlfn.XLOOKUP(D1263, Lookups!$A$12:$A$51, Lookups!$C$12:$C$51, "Unknown")</f>
        <v>Networking</v>
      </c>
      <c r="S1263" t="str">
        <f>IF(ISBLANK(I1263), B1263+VLOOKUP(C1263, Lookups!$A$2:$D$10, 4, FALSE()), I1263)</f>
        <v>2026-10-14</v>
      </c>
      <c r="T1263">
        <f t="shared" si="117"/>
        <v>21</v>
      </c>
      <c r="U1263" t="str">
        <f t="shared" si="118"/>
        <v>On-Time</v>
      </c>
      <c r="V1263">
        <f t="shared" si="119"/>
        <v>0</v>
      </c>
    </row>
    <row r="1264" spans="1:22" x14ac:dyDescent="0.45">
      <c r="A1264" t="s">
        <v>2102</v>
      </c>
      <c r="B1264" t="s">
        <v>937</v>
      </c>
      <c r="C1264" t="s">
        <v>32</v>
      </c>
      <c r="D1264" t="s">
        <v>84</v>
      </c>
      <c r="E1264" t="s">
        <v>18</v>
      </c>
      <c r="F1264">
        <v>53</v>
      </c>
      <c r="G1264">
        <v>7271</v>
      </c>
      <c r="H1264">
        <v>385363</v>
      </c>
      <c r="I1264" t="s">
        <v>1260</v>
      </c>
      <c r="J1264" t="s">
        <v>1260</v>
      </c>
      <c r="K1264">
        <v>53</v>
      </c>
      <c r="L1264">
        <v>0</v>
      </c>
      <c r="M1264" t="s">
        <v>115</v>
      </c>
      <c r="N1264" t="str">
        <f t="shared" si="114"/>
        <v>PO-101263</v>
      </c>
      <c r="O1264" t="str">
        <f t="shared" si="115"/>
        <v>Delivered</v>
      </c>
      <c r="P1264" t="str">
        <f t="shared" si="116"/>
        <v>WH-PUN</v>
      </c>
      <c r="Q1264" t="str">
        <f>VLOOKUP(C1264, Lookups!$A$2:$D$10, 2, FALSE())</f>
        <v>OfficeDepot Pro</v>
      </c>
      <c r="R1264" t="str">
        <f>_xlfn.XLOOKUP(D1264, Lookups!$A$12:$A$51, Lookups!$C$12:$C$51, "Unknown")</f>
        <v>Peripherals</v>
      </c>
      <c r="S1264" t="str">
        <f>IF(ISBLANK(I1264), B1264+VLOOKUP(C1264, Lookups!$A$2:$D$10, 4, FALSE()), I1264)</f>
        <v>2025-12-19</v>
      </c>
      <c r="T1264">
        <f t="shared" si="117"/>
        <v>7</v>
      </c>
      <c r="U1264" t="str">
        <f t="shared" si="118"/>
        <v>On-Time</v>
      </c>
      <c r="V1264">
        <f t="shared" si="119"/>
        <v>0</v>
      </c>
    </row>
    <row r="1265" spans="1:22" x14ac:dyDescent="0.45">
      <c r="A1265" t="s">
        <v>2103</v>
      </c>
      <c r="B1265" t="s">
        <v>139</v>
      </c>
      <c r="C1265" t="s">
        <v>34</v>
      </c>
      <c r="D1265" t="s">
        <v>73</v>
      </c>
      <c r="E1265" t="s">
        <v>15</v>
      </c>
      <c r="F1265">
        <v>154</v>
      </c>
      <c r="G1265">
        <v>58396</v>
      </c>
      <c r="H1265">
        <v>8992984</v>
      </c>
      <c r="I1265" t="s">
        <v>809</v>
      </c>
      <c r="J1265" t="s">
        <v>969</v>
      </c>
      <c r="K1265">
        <v>154</v>
      </c>
      <c r="L1265">
        <v>0</v>
      </c>
      <c r="M1265" t="s">
        <v>115</v>
      </c>
      <c r="N1265" t="str">
        <f t="shared" si="114"/>
        <v>PO-101264</v>
      </c>
      <c r="O1265" t="str">
        <f t="shared" si="115"/>
        <v>Delivered</v>
      </c>
      <c r="P1265" t="str">
        <f t="shared" si="116"/>
        <v>WH-BOM</v>
      </c>
      <c r="Q1265" t="str">
        <f>VLOOKUP(C1265, Lookups!$A$2:$D$10, 2, FALSE())</f>
        <v>FastElectronics</v>
      </c>
      <c r="R1265" t="str">
        <f>_xlfn.XLOOKUP(D1265, Lookups!$A$12:$A$51, Lookups!$C$12:$C$51, "Unknown")</f>
        <v>Electronics</v>
      </c>
      <c r="S1265" t="str">
        <f>IF(ISBLANK(I1265), B1265+VLOOKUP(C1265, Lookups!$A$2:$D$10, 4, FALSE()), I1265)</f>
        <v>2025-10-17</v>
      </c>
      <c r="T1265">
        <f t="shared" si="117"/>
        <v>19</v>
      </c>
      <c r="U1265" t="str">
        <f t="shared" si="118"/>
        <v>Late</v>
      </c>
      <c r="V1265">
        <f t="shared" si="119"/>
        <v>0</v>
      </c>
    </row>
    <row r="1266" spans="1:22" x14ac:dyDescent="0.45">
      <c r="A1266" t="s">
        <v>2104</v>
      </c>
      <c r="B1266" t="s">
        <v>1604</v>
      </c>
      <c r="C1266" t="s">
        <v>35</v>
      </c>
      <c r="D1266" t="s">
        <v>72</v>
      </c>
      <c r="E1266" t="s">
        <v>16</v>
      </c>
      <c r="F1266">
        <v>122</v>
      </c>
      <c r="G1266">
        <v>7754</v>
      </c>
      <c r="H1266">
        <v>945988</v>
      </c>
      <c r="I1266" t="s">
        <v>1783</v>
      </c>
      <c r="J1266" t="s">
        <v>1783</v>
      </c>
      <c r="K1266">
        <v>68</v>
      </c>
      <c r="L1266">
        <v>0</v>
      </c>
      <c r="M1266" t="s">
        <v>115</v>
      </c>
      <c r="N1266" t="str">
        <f t="shared" si="114"/>
        <v>PO-101265</v>
      </c>
      <c r="O1266" t="str">
        <f t="shared" si="115"/>
        <v>Delivered</v>
      </c>
      <c r="P1266" t="str">
        <f t="shared" si="116"/>
        <v>WH-DEL</v>
      </c>
      <c r="Q1266" t="str">
        <f>VLOOKUP(C1266, Lookups!$A$2:$D$10, 2, FALSE())</f>
        <v>Peripheral Source</v>
      </c>
      <c r="R1266" t="str">
        <f>_xlfn.XLOOKUP(D1266, Lookups!$A$12:$A$51, Lookups!$C$12:$C$51, "Unknown")</f>
        <v>Peripherals</v>
      </c>
      <c r="S1266" t="str">
        <f>IF(ISBLANK(I1266), B1266+VLOOKUP(C1266, Lookups!$A$2:$D$10, 4, FALSE()), I1266)</f>
        <v>2025-09-17</v>
      </c>
      <c r="T1266">
        <f t="shared" si="117"/>
        <v>10</v>
      </c>
      <c r="U1266" t="str">
        <f t="shared" si="118"/>
        <v>On-Time</v>
      </c>
      <c r="V1266">
        <f t="shared" si="119"/>
        <v>0</v>
      </c>
    </row>
    <row r="1267" spans="1:22" x14ac:dyDescent="0.45">
      <c r="A1267" t="s">
        <v>2105</v>
      </c>
      <c r="B1267" t="s">
        <v>186</v>
      </c>
      <c r="C1267" t="s">
        <v>31</v>
      </c>
      <c r="D1267" t="s">
        <v>85</v>
      </c>
      <c r="E1267" t="s">
        <v>17</v>
      </c>
      <c r="F1267">
        <v>214</v>
      </c>
      <c r="G1267">
        <v>16501</v>
      </c>
      <c r="H1267">
        <v>3531214</v>
      </c>
      <c r="I1267" t="s">
        <v>562</v>
      </c>
      <c r="J1267" t="s">
        <v>562</v>
      </c>
      <c r="K1267">
        <v>214</v>
      </c>
      <c r="L1267">
        <v>0</v>
      </c>
      <c r="M1267" t="s">
        <v>115</v>
      </c>
      <c r="N1267" t="str">
        <f t="shared" si="114"/>
        <v>PO-101266</v>
      </c>
      <c r="O1267" t="str">
        <f t="shared" si="115"/>
        <v>Delivered</v>
      </c>
      <c r="P1267" t="str">
        <f t="shared" si="116"/>
        <v>WH-BLR</v>
      </c>
      <c r="Q1267" t="str">
        <f>VLOOKUP(C1267, Lookups!$A$2:$D$10, 2, FALSE())</f>
        <v>Global Networks</v>
      </c>
      <c r="R1267" t="str">
        <f>_xlfn.XLOOKUP(D1267, Lookups!$A$12:$A$51, Lookups!$C$12:$C$51, "Unknown")</f>
        <v>Networking</v>
      </c>
      <c r="S1267" t="str">
        <f>IF(ISBLANK(I1267), B1267+VLOOKUP(C1267, Lookups!$A$2:$D$10, 4, FALSE()), I1267)</f>
        <v>2025-03-21</v>
      </c>
      <c r="T1267">
        <f t="shared" si="117"/>
        <v>21</v>
      </c>
      <c r="U1267" t="str">
        <f t="shared" si="118"/>
        <v>On-Time</v>
      </c>
      <c r="V1267">
        <f t="shared" si="119"/>
        <v>0</v>
      </c>
    </row>
    <row r="1268" spans="1:22" x14ac:dyDescent="0.45">
      <c r="A1268" t="s">
        <v>2106</v>
      </c>
      <c r="B1268" t="s">
        <v>744</v>
      </c>
      <c r="C1268" t="s">
        <v>37</v>
      </c>
      <c r="D1268" t="s">
        <v>79</v>
      </c>
      <c r="E1268" t="s">
        <v>17</v>
      </c>
      <c r="F1268">
        <v>162</v>
      </c>
      <c r="G1268">
        <v>23054</v>
      </c>
      <c r="H1268">
        <v>3734748</v>
      </c>
      <c r="K1268">
        <v>0</v>
      </c>
      <c r="L1268">
        <v>0</v>
      </c>
      <c r="M1268" t="s">
        <v>297</v>
      </c>
      <c r="N1268" t="str">
        <f t="shared" si="114"/>
        <v>PO-101267</v>
      </c>
      <c r="O1268" t="str">
        <f t="shared" si="115"/>
        <v>Open</v>
      </c>
      <c r="P1268" t="str">
        <f t="shared" si="116"/>
        <v>WH-BLR</v>
      </c>
      <c r="Q1268" t="str">
        <f>VLOOKUP(C1268, Lookups!$A$2:$D$10, 2, FALSE())</f>
        <v>Premium Desks Ltd</v>
      </c>
      <c r="R1268" t="str">
        <f>_xlfn.XLOOKUP(D1268, Lookups!$A$12:$A$51, Lookups!$C$12:$C$51, "Unknown")</f>
        <v>Office Furniture</v>
      </c>
      <c r="S1268">
        <f>IF(ISBLANK(I1268), B1268+VLOOKUP(C1268, Lookups!$A$2:$D$10, 4, FALSE()), I1268)</f>
        <v>46363</v>
      </c>
      <c r="T1268" t="str">
        <f t="shared" si="117"/>
        <v/>
      </c>
      <c r="U1268" t="str">
        <f t="shared" si="118"/>
        <v>Open</v>
      </c>
      <c r="V1268">
        <f t="shared" si="119"/>
        <v>0</v>
      </c>
    </row>
    <row r="1269" spans="1:22" x14ac:dyDescent="0.45">
      <c r="A1269" t="s">
        <v>2107</v>
      </c>
      <c r="B1269" t="s">
        <v>772</v>
      </c>
      <c r="C1269" t="s">
        <v>30</v>
      </c>
      <c r="D1269" t="s">
        <v>88</v>
      </c>
      <c r="E1269" t="s">
        <v>18</v>
      </c>
      <c r="F1269">
        <v>40</v>
      </c>
      <c r="G1269">
        <v>75512</v>
      </c>
      <c r="H1269">
        <v>3020480</v>
      </c>
      <c r="I1269" t="s">
        <v>261</v>
      </c>
      <c r="J1269" t="s">
        <v>261</v>
      </c>
      <c r="K1269">
        <v>34</v>
      </c>
      <c r="L1269">
        <v>0</v>
      </c>
      <c r="M1269" t="s">
        <v>115</v>
      </c>
      <c r="N1269" t="str">
        <f t="shared" si="114"/>
        <v>PO-101268</v>
      </c>
      <c r="O1269" t="str">
        <f t="shared" si="115"/>
        <v>Delivered</v>
      </c>
      <c r="P1269" t="str">
        <f t="shared" si="116"/>
        <v>WH-PUN</v>
      </c>
      <c r="Q1269" t="str">
        <f>VLOOKUP(C1269, Lookups!$A$2:$D$10, 2, FALSE())</f>
        <v>TechSupply Corp</v>
      </c>
      <c r="R1269" t="str">
        <f>_xlfn.XLOOKUP(D1269, Lookups!$A$12:$A$51, Lookups!$C$12:$C$51, "Unknown")</f>
        <v>Electronics</v>
      </c>
      <c r="S1269" t="str">
        <f>IF(ISBLANK(I1269), B1269+VLOOKUP(C1269, Lookups!$A$2:$D$10, 4, FALSE()), I1269)</f>
        <v>2026-01-15</v>
      </c>
      <c r="T1269">
        <f t="shared" si="117"/>
        <v>14</v>
      </c>
      <c r="U1269" t="str">
        <f t="shared" si="118"/>
        <v>On-Time</v>
      </c>
      <c r="V1269">
        <f t="shared" si="119"/>
        <v>0</v>
      </c>
    </row>
    <row r="1270" spans="1:22" x14ac:dyDescent="0.45">
      <c r="A1270" t="s">
        <v>2108</v>
      </c>
      <c r="B1270" t="s">
        <v>1326</v>
      </c>
      <c r="C1270" t="s">
        <v>37</v>
      </c>
      <c r="D1270" t="s">
        <v>69</v>
      </c>
      <c r="E1270" t="s">
        <v>15</v>
      </c>
      <c r="F1270">
        <v>234</v>
      </c>
      <c r="G1270">
        <v>13231</v>
      </c>
      <c r="H1270">
        <v>3096054</v>
      </c>
      <c r="I1270" t="s">
        <v>192</v>
      </c>
      <c r="J1270" t="s">
        <v>192</v>
      </c>
      <c r="K1270">
        <v>234</v>
      </c>
      <c r="L1270">
        <v>0</v>
      </c>
      <c r="M1270" t="s">
        <v>115</v>
      </c>
      <c r="N1270" t="str">
        <f t="shared" si="114"/>
        <v>PO-101269</v>
      </c>
      <c r="O1270" t="str">
        <f t="shared" si="115"/>
        <v>Delivered</v>
      </c>
      <c r="P1270" t="str">
        <f t="shared" si="116"/>
        <v>WH-BOM</v>
      </c>
      <c r="Q1270" t="str">
        <f>VLOOKUP(C1270, Lookups!$A$2:$D$10, 2, FALSE())</f>
        <v>Premium Desks Ltd</v>
      </c>
      <c r="R1270" t="str">
        <f>_xlfn.XLOOKUP(D1270, Lookups!$A$12:$A$51, Lookups!$C$12:$C$51, "Unknown")</f>
        <v>Office Furniture</v>
      </c>
      <c r="S1270" t="str">
        <f>IF(ISBLANK(I1270), B1270+VLOOKUP(C1270, Lookups!$A$2:$D$10, 4, FALSE()), I1270)</f>
        <v>2025-08-04</v>
      </c>
      <c r="T1270">
        <f t="shared" si="117"/>
        <v>12</v>
      </c>
      <c r="U1270" t="str">
        <f t="shared" si="118"/>
        <v>On-Time</v>
      </c>
      <c r="V1270">
        <f t="shared" si="119"/>
        <v>0</v>
      </c>
    </row>
    <row r="1271" spans="1:22" x14ac:dyDescent="0.45">
      <c r="A1271" t="s">
        <v>2109</v>
      </c>
      <c r="B1271" t="s">
        <v>139</v>
      </c>
      <c r="C1271" t="s">
        <v>30</v>
      </c>
      <c r="D1271" t="s">
        <v>61</v>
      </c>
      <c r="E1271" t="s">
        <v>17</v>
      </c>
      <c r="F1271">
        <v>167</v>
      </c>
      <c r="G1271">
        <v>111237</v>
      </c>
      <c r="H1271">
        <v>18576579</v>
      </c>
      <c r="I1271" t="s">
        <v>2110</v>
      </c>
      <c r="J1271" t="s">
        <v>319</v>
      </c>
      <c r="K1271">
        <v>167</v>
      </c>
      <c r="L1271">
        <v>0</v>
      </c>
      <c r="M1271" t="s">
        <v>115</v>
      </c>
      <c r="N1271" t="str">
        <f t="shared" si="114"/>
        <v>PO-101270</v>
      </c>
      <c r="O1271" t="str">
        <f t="shared" si="115"/>
        <v>Delivered</v>
      </c>
      <c r="P1271" t="str">
        <f t="shared" si="116"/>
        <v>WH-BLR</v>
      </c>
      <c r="Q1271" t="str">
        <f>VLOOKUP(C1271, Lookups!$A$2:$D$10, 2, FALSE())</f>
        <v>TechSupply Corp</v>
      </c>
      <c r="R1271" t="str">
        <f>_xlfn.XLOOKUP(D1271, Lookups!$A$12:$A$51, Lookups!$C$12:$C$51, "Unknown")</f>
        <v>Electronics</v>
      </c>
      <c r="S1271" t="str">
        <f>IF(ISBLANK(I1271), B1271+VLOOKUP(C1271, Lookups!$A$2:$D$10, 4, FALSE()), I1271)</f>
        <v>2025-10-13</v>
      </c>
      <c r="T1271">
        <f t="shared" si="117"/>
        <v>15</v>
      </c>
      <c r="U1271" t="str">
        <f t="shared" si="118"/>
        <v>Late</v>
      </c>
      <c r="V1271">
        <f t="shared" si="119"/>
        <v>0</v>
      </c>
    </row>
    <row r="1272" spans="1:22" x14ac:dyDescent="0.45">
      <c r="A1272" t="s">
        <v>2111</v>
      </c>
      <c r="B1272" t="s">
        <v>401</v>
      </c>
      <c r="C1272" t="s">
        <v>34</v>
      </c>
      <c r="D1272" t="s">
        <v>73</v>
      </c>
      <c r="E1272" t="s">
        <v>17</v>
      </c>
      <c r="F1272">
        <v>149</v>
      </c>
      <c r="G1272">
        <v>58396</v>
      </c>
      <c r="H1272">
        <v>8701004</v>
      </c>
      <c r="I1272" t="s">
        <v>1302</v>
      </c>
      <c r="J1272" t="s">
        <v>1430</v>
      </c>
      <c r="K1272">
        <v>149</v>
      </c>
      <c r="L1272">
        <v>0</v>
      </c>
      <c r="M1272" t="s">
        <v>115</v>
      </c>
      <c r="N1272" t="str">
        <f t="shared" si="114"/>
        <v>PO-101271</v>
      </c>
      <c r="O1272" t="str">
        <f t="shared" si="115"/>
        <v>Delivered</v>
      </c>
      <c r="P1272" t="str">
        <f t="shared" si="116"/>
        <v>WH-BLR</v>
      </c>
      <c r="Q1272" t="str">
        <f>VLOOKUP(C1272, Lookups!$A$2:$D$10, 2, FALSE())</f>
        <v>FastElectronics</v>
      </c>
      <c r="R1272" t="str">
        <f>_xlfn.XLOOKUP(D1272, Lookups!$A$12:$A$51, Lookups!$C$12:$C$51, "Unknown")</f>
        <v>Electronics</v>
      </c>
      <c r="S1272" t="str">
        <f>IF(ISBLANK(I1272), B1272+VLOOKUP(C1272, Lookups!$A$2:$D$10, 4, FALSE()), I1272)</f>
        <v>2025-12-27</v>
      </c>
      <c r="T1272">
        <f t="shared" si="117"/>
        <v>19</v>
      </c>
      <c r="U1272" t="str">
        <f t="shared" si="118"/>
        <v>Late</v>
      </c>
      <c r="V1272">
        <f t="shared" si="119"/>
        <v>0</v>
      </c>
    </row>
    <row r="1273" spans="1:22" x14ac:dyDescent="0.45">
      <c r="A1273" t="s">
        <v>2112</v>
      </c>
      <c r="B1273" t="s">
        <v>1456</v>
      </c>
      <c r="C1273" t="s">
        <v>35</v>
      </c>
      <c r="D1273" t="s">
        <v>91</v>
      </c>
      <c r="E1273" t="s">
        <v>16</v>
      </c>
      <c r="F1273">
        <v>26</v>
      </c>
      <c r="G1273">
        <v>6707</v>
      </c>
      <c r="H1273">
        <v>174382</v>
      </c>
      <c r="I1273" t="s">
        <v>805</v>
      </c>
      <c r="J1273" t="s">
        <v>583</v>
      </c>
      <c r="K1273">
        <v>26</v>
      </c>
      <c r="L1273">
        <v>0</v>
      </c>
      <c r="M1273" t="s">
        <v>115</v>
      </c>
      <c r="N1273" t="str">
        <f t="shared" si="114"/>
        <v>PO-101272</v>
      </c>
      <c r="O1273" t="str">
        <f t="shared" si="115"/>
        <v>Delivered</v>
      </c>
      <c r="P1273" t="str">
        <f t="shared" si="116"/>
        <v>WH-DEL</v>
      </c>
      <c r="Q1273" t="str">
        <f>VLOOKUP(C1273, Lookups!$A$2:$D$10, 2, FALSE())</f>
        <v>Peripheral Source</v>
      </c>
      <c r="R1273" t="str">
        <f>_xlfn.XLOOKUP(D1273, Lookups!$A$12:$A$51, Lookups!$C$12:$C$51, "Unknown")</f>
        <v>Peripherals</v>
      </c>
      <c r="S1273" t="str">
        <f>IF(ISBLANK(I1273), B1273+VLOOKUP(C1273, Lookups!$A$2:$D$10, 4, FALSE()), I1273)</f>
        <v>2025-04-25</v>
      </c>
      <c r="T1273">
        <f t="shared" si="117"/>
        <v>11</v>
      </c>
      <c r="U1273" t="str">
        <f t="shared" si="118"/>
        <v>Late</v>
      </c>
      <c r="V1273">
        <f t="shared" si="119"/>
        <v>0</v>
      </c>
    </row>
    <row r="1274" spans="1:22" x14ac:dyDescent="0.45">
      <c r="A1274" t="s">
        <v>2113</v>
      </c>
      <c r="B1274" t="s">
        <v>521</v>
      </c>
      <c r="C1274" t="s">
        <v>30</v>
      </c>
      <c r="D1274" t="s">
        <v>86</v>
      </c>
      <c r="E1274" t="s">
        <v>17</v>
      </c>
      <c r="F1274">
        <v>124</v>
      </c>
      <c r="G1274">
        <v>74871</v>
      </c>
      <c r="H1274">
        <v>9284004</v>
      </c>
      <c r="I1274" t="s">
        <v>658</v>
      </c>
      <c r="J1274" t="s">
        <v>658</v>
      </c>
      <c r="K1274">
        <v>124</v>
      </c>
      <c r="L1274">
        <v>0</v>
      </c>
      <c r="M1274" t="s">
        <v>115</v>
      </c>
      <c r="N1274" t="str">
        <f t="shared" si="114"/>
        <v>PO-101273</v>
      </c>
      <c r="O1274" t="str">
        <f t="shared" si="115"/>
        <v>Delivered</v>
      </c>
      <c r="P1274" t="str">
        <f t="shared" si="116"/>
        <v>WH-BLR</v>
      </c>
      <c r="Q1274" t="str">
        <f>VLOOKUP(C1274, Lookups!$A$2:$D$10, 2, FALSE())</f>
        <v>TechSupply Corp</v>
      </c>
      <c r="R1274" t="str">
        <f>_xlfn.XLOOKUP(D1274, Lookups!$A$12:$A$51, Lookups!$C$12:$C$51, "Unknown")</f>
        <v>Electronics</v>
      </c>
      <c r="S1274" t="str">
        <f>IF(ISBLANK(I1274), B1274+VLOOKUP(C1274, Lookups!$A$2:$D$10, 4, FALSE()), I1274)</f>
        <v>2026-09-30</v>
      </c>
      <c r="T1274">
        <f t="shared" si="117"/>
        <v>14</v>
      </c>
      <c r="U1274" t="str">
        <f t="shared" si="118"/>
        <v>On-Time</v>
      </c>
      <c r="V1274">
        <f t="shared" si="119"/>
        <v>0</v>
      </c>
    </row>
    <row r="1275" spans="1:22" x14ac:dyDescent="0.45">
      <c r="A1275" t="s">
        <v>2114</v>
      </c>
      <c r="B1275" t="s">
        <v>444</v>
      </c>
      <c r="C1275" t="s">
        <v>34</v>
      </c>
      <c r="D1275" t="s">
        <v>58</v>
      </c>
      <c r="E1275" t="s">
        <v>18</v>
      </c>
      <c r="F1275">
        <v>194</v>
      </c>
      <c r="G1275">
        <v>100302</v>
      </c>
      <c r="H1275">
        <v>19458588</v>
      </c>
      <c r="I1275" t="s">
        <v>573</v>
      </c>
      <c r="J1275" t="s">
        <v>574</v>
      </c>
      <c r="K1275">
        <v>194</v>
      </c>
      <c r="L1275">
        <v>0</v>
      </c>
      <c r="M1275" t="s">
        <v>115</v>
      </c>
      <c r="N1275" t="str">
        <f t="shared" si="114"/>
        <v>PO-101274</v>
      </c>
      <c r="O1275" t="str">
        <f t="shared" si="115"/>
        <v>Delivered</v>
      </c>
      <c r="P1275" t="str">
        <f t="shared" si="116"/>
        <v>WH-PUN</v>
      </c>
      <c r="Q1275" t="str">
        <f>VLOOKUP(C1275, Lookups!$A$2:$D$10, 2, FALSE())</f>
        <v>FastElectronics</v>
      </c>
      <c r="R1275" t="str">
        <f>_xlfn.XLOOKUP(D1275, Lookups!$A$12:$A$51, Lookups!$C$12:$C$51, "Unknown")</f>
        <v>Electronics</v>
      </c>
      <c r="S1275" t="str">
        <f>IF(ISBLANK(I1275), B1275+VLOOKUP(C1275, Lookups!$A$2:$D$10, 4, FALSE()), I1275)</f>
        <v>2026-04-30</v>
      </c>
      <c r="T1275">
        <f t="shared" si="117"/>
        <v>19</v>
      </c>
      <c r="U1275" t="str">
        <f t="shared" si="118"/>
        <v>Late</v>
      </c>
      <c r="V1275">
        <f t="shared" si="119"/>
        <v>0</v>
      </c>
    </row>
    <row r="1276" spans="1:22" x14ac:dyDescent="0.45">
      <c r="A1276" t="s">
        <v>2115</v>
      </c>
      <c r="B1276" t="s">
        <v>1133</v>
      </c>
      <c r="C1276" t="s">
        <v>35</v>
      </c>
      <c r="D1276" t="s">
        <v>57</v>
      </c>
      <c r="E1276" t="s">
        <v>17</v>
      </c>
      <c r="F1276">
        <v>120</v>
      </c>
      <c r="G1276">
        <v>2212</v>
      </c>
      <c r="H1276">
        <v>265440</v>
      </c>
      <c r="I1276" t="s">
        <v>458</v>
      </c>
      <c r="J1276" t="s">
        <v>760</v>
      </c>
      <c r="K1276">
        <v>120</v>
      </c>
      <c r="L1276">
        <v>0</v>
      </c>
      <c r="M1276" t="s">
        <v>115</v>
      </c>
      <c r="N1276" t="str">
        <f t="shared" si="114"/>
        <v>PO-101275</v>
      </c>
      <c r="O1276" t="str">
        <f t="shared" si="115"/>
        <v>Delivered</v>
      </c>
      <c r="P1276" t="str">
        <f t="shared" si="116"/>
        <v>WH-BLR</v>
      </c>
      <c r="Q1276" t="str">
        <f>VLOOKUP(C1276, Lookups!$A$2:$D$10, 2, FALSE())</f>
        <v>Peripheral Source</v>
      </c>
      <c r="R1276" t="str">
        <f>_xlfn.XLOOKUP(D1276, Lookups!$A$12:$A$51, Lookups!$C$12:$C$51, "Unknown")</f>
        <v>Peripherals</v>
      </c>
      <c r="S1276" t="str">
        <f>IF(ISBLANK(I1276), B1276+VLOOKUP(C1276, Lookups!$A$2:$D$10, 4, FALSE()), I1276)</f>
        <v>2025-07-14</v>
      </c>
      <c r="T1276">
        <f t="shared" si="117"/>
        <v>14</v>
      </c>
      <c r="U1276" t="str">
        <f t="shared" si="118"/>
        <v>Late</v>
      </c>
      <c r="V1276">
        <f t="shared" si="119"/>
        <v>0</v>
      </c>
    </row>
    <row r="1277" spans="1:22" x14ac:dyDescent="0.45">
      <c r="A1277" t="s">
        <v>2116</v>
      </c>
      <c r="B1277" t="s">
        <v>147</v>
      </c>
      <c r="C1277" t="s">
        <v>34</v>
      </c>
      <c r="D1277" t="s">
        <v>74</v>
      </c>
      <c r="E1277" t="s">
        <v>16</v>
      </c>
      <c r="F1277">
        <v>169</v>
      </c>
      <c r="G1277">
        <v>94797</v>
      </c>
      <c r="H1277">
        <v>16020693</v>
      </c>
      <c r="I1277" t="s">
        <v>1046</v>
      </c>
      <c r="J1277" t="s">
        <v>1046</v>
      </c>
      <c r="K1277">
        <v>169</v>
      </c>
      <c r="L1277">
        <v>0</v>
      </c>
      <c r="M1277" t="s">
        <v>115</v>
      </c>
      <c r="N1277" t="str">
        <f t="shared" si="114"/>
        <v>PO-101276</v>
      </c>
      <c r="O1277" t="str">
        <f t="shared" si="115"/>
        <v>Delivered</v>
      </c>
      <c r="P1277" t="str">
        <f t="shared" si="116"/>
        <v>WH-DEL</v>
      </c>
      <c r="Q1277" t="str">
        <f>VLOOKUP(C1277, Lookups!$A$2:$D$10, 2, FALSE())</f>
        <v>FastElectronics</v>
      </c>
      <c r="R1277" t="str">
        <f>_xlfn.XLOOKUP(D1277, Lookups!$A$12:$A$51, Lookups!$C$12:$C$51, "Unknown")</f>
        <v>Electronics</v>
      </c>
      <c r="S1277" t="str">
        <f>IF(ISBLANK(I1277), B1277+VLOOKUP(C1277, Lookups!$A$2:$D$10, 4, FALSE()), I1277)</f>
        <v>2025-10-23</v>
      </c>
      <c r="T1277">
        <f t="shared" si="117"/>
        <v>18</v>
      </c>
      <c r="U1277" t="str">
        <f t="shared" si="118"/>
        <v>On-Time</v>
      </c>
      <c r="V1277">
        <f t="shared" si="119"/>
        <v>0</v>
      </c>
    </row>
    <row r="1278" spans="1:22" x14ac:dyDescent="0.45">
      <c r="A1278" t="s">
        <v>2117</v>
      </c>
      <c r="B1278" t="s">
        <v>625</v>
      </c>
      <c r="C1278" t="s">
        <v>35</v>
      </c>
      <c r="D1278" t="s">
        <v>91</v>
      </c>
      <c r="E1278" t="s">
        <v>18</v>
      </c>
      <c r="F1278">
        <v>160</v>
      </c>
      <c r="G1278">
        <v>6707</v>
      </c>
      <c r="H1278">
        <v>1073120</v>
      </c>
      <c r="I1278" t="s">
        <v>388</v>
      </c>
      <c r="J1278" t="s">
        <v>512</v>
      </c>
      <c r="K1278">
        <v>160</v>
      </c>
      <c r="L1278">
        <v>0</v>
      </c>
      <c r="M1278" t="s">
        <v>115</v>
      </c>
      <c r="N1278" t="str">
        <f t="shared" si="114"/>
        <v>PO-101277</v>
      </c>
      <c r="O1278" t="str">
        <f t="shared" si="115"/>
        <v>Delivered</v>
      </c>
      <c r="P1278" t="str">
        <f t="shared" si="116"/>
        <v>WH-PUN</v>
      </c>
      <c r="Q1278" t="str">
        <f>VLOOKUP(C1278, Lookups!$A$2:$D$10, 2, FALSE())</f>
        <v>Peripheral Source</v>
      </c>
      <c r="R1278" t="str">
        <f>_xlfn.XLOOKUP(D1278, Lookups!$A$12:$A$51, Lookups!$C$12:$C$51, "Unknown")</f>
        <v>Peripherals</v>
      </c>
      <c r="S1278" t="str">
        <f>IF(ISBLANK(I1278), B1278+VLOOKUP(C1278, Lookups!$A$2:$D$10, 4, FALSE()), I1278)</f>
        <v>2026-03-25</v>
      </c>
      <c r="T1278">
        <f t="shared" si="117"/>
        <v>11</v>
      </c>
      <c r="U1278" t="str">
        <f t="shared" si="118"/>
        <v>Late</v>
      </c>
      <c r="V1278">
        <f t="shared" si="119"/>
        <v>0</v>
      </c>
    </row>
    <row r="1279" spans="1:22" x14ac:dyDescent="0.45">
      <c r="A1279" t="s">
        <v>2118</v>
      </c>
      <c r="B1279" t="s">
        <v>2110</v>
      </c>
      <c r="C1279" t="s">
        <v>34</v>
      </c>
      <c r="D1279" t="s">
        <v>73</v>
      </c>
      <c r="E1279" t="s">
        <v>17</v>
      </c>
      <c r="F1279">
        <v>236</v>
      </c>
      <c r="G1279">
        <v>58396</v>
      </c>
      <c r="H1279">
        <v>13781456</v>
      </c>
      <c r="I1279" t="s">
        <v>905</v>
      </c>
      <c r="J1279" t="s">
        <v>898</v>
      </c>
      <c r="K1279">
        <v>236</v>
      </c>
      <c r="L1279">
        <v>0</v>
      </c>
      <c r="M1279" t="s">
        <v>115</v>
      </c>
      <c r="N1279" t="str">
        <f t="shared" si="114"/>
        <v>PO-101278</v>
      </c>
      <c r="O1279" t="str">
        <f t="shared" si="115"/>
        <v>Delivered</v>
      </c>
      <c r="P1279" t="str">
        <f t="shared" si="116"/>
        <v>WH-BLR</v>
      </c>
      <c r="Q1279" t="str">
        <f>VLOOKUP(C1279, Lookups!$A$2:$D$10, 2, FALSE())</f>
        <v>FastElectronics</v>
      </c>
      <c r="R1279" t="str">
        <f>_xlfn.XLOOKUP(D1279, Lookups!$A$12:$A$51, Lookups!$C$12:$C$51, "Unknown")</f>
        <v>Electronics</v>
      </c>
      <c r="S1279" t="str">
        <f>IF(ISBLANK(I1279), B1279+VLOOKUP(C1279, Lookups!$A$2:$D$10, 4, FALSE()), I1279)</f>
        <v>2025-10-31</v>
      </c>
      <c r="T1279">
        <f t="shared" si="117"/>
        <v>19</v>
      </c>
      <c r="U1279" t="str">
        <f t="shared" si="118"/>
        <v>Late</v>
      </c>
      <c r="V1279">
        <f t="shared" si="119"/>
        <v>0</v>
      </c>
    </row>
    <row r="1280" spans="1:22" x14ac:dyDescent="0.45">
      <c r="A1280" t="s">
        <v>2119</v>
      </c>
      <c r="B1280" t="s">
        <v>1321</v>
      </c>
      <c r="C1280" t="s">
        <v>30</v>
      </c>
      <c r="D1280" t="s">
        <v>59</v>
      </c>
      <c r="E1280" t="s">
        <v>16</v>
      </c>
      <c r="F1280">
        <v>194</v>
      </c>
      <c r="G1280">
        <v>48905</v>
      </c>
      <c r="H1280">
        <v>9487570</v>
      </c>
      <c r="I1280" t="s">
        <v>257</v>
      </c>
      <c r="J1280" t="s">
        <v>257</v>
      </c>
      <c r="K1280">
        <v>194</v>
      </c>
      <c r="L1280">
        <v>0</v>
      </c>
      <c r="M1280" t="s">
        <v>301</v>
      </c>
      <c r="N1280" t="str">
        <f t="shared" si="114"/>
        <v>PO-101279</v>
      </c>
      <c r="O1280" t="str">
        <f t="shared" si="115"/>
        <v>Delivered</v>
      </c>
      <c r="P1280" t="str">
        <f t="shared" si="116"/>
        <v>WH-DEL</v>
      </c>
      <c r="Q1280" t="str">
        <f>VLOOKUP(C1280, Lookups!$A$2:$D$10, 2, FALSE())</f>
        <v>TechSupply Corp</v>
      </c>
      <c r="R1280" t="str">
        <f>_xlfn.XLOOKUP(D1280, Lookups!$A$12:$A$51, Lookups!$C$12:$C$51, "Unknown")</f>
        <v>Electronics</v>
      </c>
      <c r="S1280" t="str">
        <f>IF(ISBLANK(I1280), B1280+VLOOKUP(C1280, Lookups!$A$2:$D$10, 4, FALSE()), I1280)</f>
        <v>2025-01-19</v>
      </c>
      <c r="T1280">
        <f t="shared" si="117"/>
        <v>14</v>
      </c>
      <c r="U1280" t="str">
        <f t="shared" si="118"/>
        <v>On-Time</v>
      </c>
      <c r="V1280">
        <f t="shared" si="119"/>
        <v>0</v>
      </c>
    </row>
    <row r="1281" spans="1:22" x14ac:dyDescent="0.45">
      <c r="A1281" t="s">
        <v>2120</v>
      </c>
      <c r="B1281" t="s">
        <v>606</v>
      </c>
      <c r="C1281" t="s">
        <v>34</v>
      </c>
      <c r="D1281" t="s">
        <v>73</v>
      </c>
      <c r="E1281" t="s">
        <v>18</v>
      </c>
      <c r="F1281">
        <v>56</v>
      </c>
      <c r="G1281">
        <v>58396</v>
      </c>
      <c r="H1281">
        <v>3270176</v>
      </c>
      <c r="I1281" t="s">
        <v>697</v>
      </c>
      <c r="J1281" t="s">
        <v>466</v>
      </c>
      <c r="K1281">
        <v>56</v>
      </c>
      <c r="L1281">
        <v>4</v>
      </c>
      <c r="M1281" t="s">
        <v>115</v>
      </c>
      <c r="N1281" t="str">
        <f t="shared" si="114"/>
        <v>PO-101280</v>
      </c>
      <c r="O1281" t="str">
        <f t="shared" si="115"/>
        <v>Delivered</v>
      </c>
      <c r="P1281" t="str">
        <f t="shared" si="116"/>
        <v>WH-PUN</v>
      </c>
      <c r="Q1281" t="str">
        <f>VLOOKUP(C1281, Lookups!$A$2:$D$10, 2, FALSE())</f>
        <v>FastElectronics</v>
      </c>
      <c r="R1281" t="str">
        <f>_xlfn.XLOOKUP(D1281, Lookups!$A$12:$A$51, Lookups!$C$12:$C$51, "Unknown")</f>
        <v>Electronics</v>
      </c>
      <c r="S1281" t="str">
        <f>IF(ISBLANK(I1281), B1281+VLOOKUP(C1281, Lookups!$A$2:$D$10, 4, FALSE()), I1281)</f>
        <v>2025-01-22</v>
      </c>
      <c r="T1281">
        <f t="shared" si="117"/>
        <v>19</v>
      </c>
      <c r="U1281" t="str">
        <f t="shared" si="118"/>
        <v>Late</v>
      </c>
      <c r="V1281">
        <f t="shared" si="119"/>
        <v>7.1428571428571425E-2</v>
      </c>
    </row>
    <row r="1282" spans="1:22" x14ac:dyDescent="0.45">
      <c r="A1282" t="s">
        <v>2121</v>
      </c>
      <c r="B1282" t="s">
        <v>593</v>
      </c>
      <c r="C1282" t="s">
        <v>34</v>
      </c>
      <c r="D1282" t="s">
        <v>76</v>
      </c>
      <c r="E1282" t="s">
        <v>16</v>
      </c>
      <c r="F1282">
        <v>142</v>
      </c>
      <c r="G1282">
        <v>26270</v>
      </c>
      <c r="H1282">
        <v>3730340</v>
      </c>
      <c r="I1282" t="s">
        <v>600</v>
      </c>
      <c r="J1282" t="s">
        <v>600</v>
      </c>
      <c r="K1282">
        <v>142</v>
      </c>
      <c r="L1282">
        <v>0</v>
      </c>
      <c r="M1282" t="s">
        <v>115</v>
      </c>
      <c r="N1282" t="str">
        <f t="shared" ref="N1282:N1345" si="120">TRIM(A1282)</f>
        <v>PO-101281</v>
      </c>
      <c r="O1282" t="str">
        <f t="shared" ref="O1282:O1345" si="121">PROPER(TRIM(M1282))</f>
        <v>Delivered</v>
      </c>
      <c r="P1282" t="str">
        <f t="shared" ref="P1282:P1345" si="122">TRIM(E1282)</f>
        <v>WH-DEL</v>
      </c>
      <c r="Q1282" t="str">
        <f>VLOOKUP(C1282, Lookups!$A$2:$D$10, 2, FALSE())</f>
        <v>FastElectronics</v>
      </c>
      <c r="R1282" t="str">
        <f>_xlfn.XLOOKUP(D1282, Lookups!$A$12:$A$51, Lookups!$C$12:$C$51, "Unknown")</f>
        <v>Networking</v>
      </c>
      <c r="S1282" t="str">
        <f>IF(ISBLANK(I1282), B1282+VLOOKUP(C1282, Lookups!$A$2:$D$10, 4, FALSE()), I1282)</f>
        <v>2025-10-03</v>
      </c>
      <c r="T1282">
        <f t="shared" ref="T1282:T1345" si="123">IF(ISBLANK(J1282), "", J1282-B1282)</f>
        <v>18</v>
      </c>
      <c r="U1282" t="str">
        <f t="shared" ref="U1282:U1345" si="124">IF(O1282="Open", "Open", IF(J1282&gt;S1282, "Late", "On-Time"))</f>
        <v>On-Time</v>
      </c>
      <c r="V1282">
        <f t="shared" ref="V1282:V1345" si="125">IF(K1282&gt;0, L1282/K1282, 0)</f>
        <v>0</v>
      </c>
    </row>
    <row r="1283" spans="1:22" x14ac:dyDescent="0.45">
      <c r="A1283" t="s">
        <v>2122</v>
      </c>
      <c r="B1283" t="s">
        <v>484</v>
      </c>
      <c r="C1283" t="s">
        <v>35</v>
      </c>
      <c r="D1283" t="s">
        <v>70</v>
      </c>
      <c r="E1283" t="s">
        <v>17</v>
      </c>
      <c r="F1283">
        <v>132</v>
      </c>
      <c r="G1283">
        <v>4287</v>
      </c>
      <c r="H1283">
        <v>565884</v>
      </c>
      <c r="I1283" t="s">
        <v>114</v>
      </c>
      <c r="J1283" t="s">
        <v>883</v>
      </c>
      <c r="K1283">
        <v>132</v>
      </c>
      <c r="L1283">
        <v>0</v>
      </c>
      <c r="M1283" t="s">
        <v>115</v>
      </c>
      <c r="N1283" t="str">
        <f t="shared" si="120"/>
        <v>PO-101282</v>
      </c>
      <c r="O1283" t="str">
        <f t="shared" si="121"/>
        <v>Delivered</v>
      </c>
      <c r="P1283" t="str">
        <f t="shared" si="122"/>
        <v>WH-BLR</v>
      </c>
      <c r="Q1283" t="str">
        <f>VLOOKUP(C1283, Lookups!$A$2:$D$10, 2, FALSE())</f>
        <v>Peripheral Source</v>
      </c>
      <c r="R1283" t="str">
        <f>_xlfn.XLOOKUP(D1283, Lookups!$A$12:$A$51, Lookups!$C$12:$C$51, "Unknown")</f>
        <v>Peripherals</v>
      </c>
      <c r="S1283" t="str">
        <f>IF(ISBLANK(I1283), B1283+VLOOKUP(C1283, Lookups!$A$2:$D$10, 4, FALSE()), I1283)</f>
        <v>2026-07-05</v>
      </c>
      <c r="T1283">
        <f t="shared" si="123"/>
        <v>11</v>
      </c>
      <c r="U1283" t="str">
        <f t="shared" si="124"/>
        <v>Late</v>
      </c>
      <c r="V1283">
        <f t="shared" si="125"/>
        <v>0</v>
      </c>
    </row>
    <row r="1284" spans="1:22" x14ac:dyDescent="0.45">
      <c r="A1284" t="s">
        <v>2123</v>
      </c>
      <c r="B1284" t="s">
        <v>1285</v>
      </c>
      <c r="C1284" t="s">
        <v>30</v>
      </c>
      <c r="D1284" t="s">
        <v>59</v>
      </c>
      <c r="E1284" t="s">
        <v>15</v>
      </c>
      <c r="F1284">
        <v>102</v>
      </c>
      <c r="G1284">
        <v>48905</v>
      </c>
      <c r="H1284">
        <v>4988310</v>
      </c>
      <c r="I1284" t="s">
        <v>315</v>
      </c>
      <c r="J1284" t="s">
        <v>316</v>
      </c>
      <c r="K1284">
        <v>102</v>
      </c>
      <c r="L1284">
        <v>0</v>
      </c>
      <c r="M1284" t="s">
        <v>115</v>
      </c>
      <c r="N1284" t="str">
        <f t="shared" si="120"/>
        <v>PO-101283</v>
      </c>
      <c r="O1284" t="str">
        <f t="shared" si="121"/>
        <v>Delivered</v>
      </c>
      <c r="P1284" t="str">
        <f t="shared" si="122"/>
        <v>WH-BOM</v>
      </c>
      <c r="Q1284" t="str">
        <f>VLOOKUP(C1284, Lookups!$A$2:$D$10, 2, FALSE())</f>
        <v>TechSupply Corp</v>
      </c>
      <c r="R1284" t="str">
        <f>_xlfn.XLOOKUP(D1284, Lookups!$A$12:$A$51, Lookups!$C$12:$C$51, "Unknown")</f>
        <v>Electronics</v>
      </c>
      <c r="S1284" t="str">
        <f>IF(ISBLANK(I1284), B1284+VLOOKUP(C1284, Lookups!$A$2:$D$10, 4, FALSE()), I1284)</f>
        <v>2026-03-07</v>
      </c>
      <c r="T1284">
        <f t="shared" si="123"/>
        <v>15</v>
      </c>
      <c r="U1284" t="str">
        <f t="shared" si="124"/>
        <v>Late</v>
      </c>
      <c r="V1284">
        <f t="shared" si="125"/>
        <v>0</v>
      </c>
    </row>
    <row r="1285" spans="1:22" x14ac:dyDescent="0.45">
      <c r="A1285" t="s">
        <v>2124</v>
      </c>
      <c r="B1285" t="s">
        <v>172</v>
      </c>
      <c r="C1285" t="s">
        <v>36</v>
      </c>
      <c r="D1285" t="s">
        <v>55</v>
      </c>
      <c r="E1285" t="s">
        <v>18</v>
      </c>
      <c r="F1285">
        <v>17</v>
      </c>
      <c r="G1285">
        <v>58434</v>
      </c>
      <c r="H1285">
        <v>993378</v>
      </c>
      <c r="I1285" t="s">
        <v>356</v>
      </c>
      <c r="J1285" t="s">
        <v>729</v>
      </c>
      <c r="K1285">
        <v>17</v>
      </c>
      <c r="L1285">
        <v>0</v>
      </c>
      <c r="M1285" t="s">
        <v>115</v>
      </c>
      <c r="N1285" t="str">
        <f t="shared" si="120"/>
        <v>PO-101284</v>
      </c>
      <c r="O1285" t="str">
        <f t="shared" si="121"/>
        <v>Delivered</v>
      </c>
      <c r="P1285" t="str">
        <f t="shared" si="122"/>
        <v>WH-PUN</v>
      </c>
      <c r="Q1285" t="str">
        <f>VLOOKUP(C1285, Lookups!$A$2:$D$10, 2, FALSE())</f>
        <v>NextGen Hardware</v>
      </c>
      <c r="R1285" t="str">
        <f>_xlfn.XLOOKUP(D1285, Lookups!$A$12:$A$51, Lookups!$C$12:$C$51, "Unknown")</f>
        <v>Electronics</v>
      </c>
      <c r="S1285" t="str">
        <f>IF(ISBLANK(I1285), B1285+VLOOKUP(C1285, Lookups!$A$2:$D$10, 4, FALSE()), I1285)</f>
        <v>2025-09-27</v>
      </c>
      <c r="T1285">
        <f t="shared" si="123"/>
        <v>25</v>
      </c>
      <c r="U1285" t="str">
        <f t="shared" si="124"/>
        <v>Late</v>
      </c>
      <c r="V1285">
        <f t="shared" si="125"/>
        <v>0</v>
      </c>
    </row>
    <row r="1286" spans="1:22" x14ac:dyDescent="0.45">
      <c r="A1286" t="s">
        <v>2125</v>
      </c>
      <c r="B1286" t="s">
        <v>464</v>
      </c>
      <c r="C1286" t="s">
        <v>31</v>
      </c>
      <c r="D1286" t="s">
        <v>66</v>
      </c>
      <c r="E1286" t="s">
        <v>15</v>
      </c>
      <c r="F1286">
        <v>106</v>
      </c>
      <c r="G1286">
        <v>29719</v>
      </c>
      <c r="H1286">
        <v>3150214</v>
      </c>
      <c r="I1286" t="s">
        <v>639</v>
      </c>
      <c r="J1286" t="s">
        <v>829</v>
      </c>
      <c r="K1286">
        <v>106</v>
      </c>
      <c r="L1286">
        <v>0</v>
      </c>
      <c r="M1286" t="s">
        <v>115</v>
      </c>
      <c r="N1286" t="str">
        <f t="shared" si="120"/>
        <v>PO-101285</v>
      </c>
      <c r="O1286" t="str">
        <f t="shared" si="121"/>
        <v>Delivered</v>
      </c>
      <c r="P1286" t="str">
        <f t="shared" si="122"/>
        <v>WH-BOM</v>
      </c>
      <c r="Q1286" t="str">
        <f>VLOOKUP(C1286, Lookups!$A$2:$D$10, 2, FALSE())</f>
        <v>Global Networks</v>
      </c>
      <c r="R1286" t="str">
        <f>_xlfn.XLOOKUP(D1286, Lookups!$A$12:$A$51, Lookups!$C$12:$C$51, "Unknown")</f>
        <v>Networking</v>
      </c>
      <c r="S1286" t="str">
        <f>IF(ISBLANK(I1286), B1286+VLOOKUP(C1286, Lookups!$A$2:$D$10, 4, FALSE()), I1286)</f>
        <v>2025-12-11</v>
      </c>
      <c r="T1286">
        <f t="shared" si="123"/>
        <v>34</v>
      </c>
      <c r="U1286" t="str">
        <f t="shared" si="124"/>
        <v>Late</v>
      </c>
      <c r="V1286">
        <f t="shared" si="125"/>
        <v>0</v>
      </c>
    </row>
    <row r="1287" spans="1:22" x14ac:dyDescent="0.45">
      <c r="A1287" t="s">
        <v>2126</v>
      </c>
      <c r="B1287" t="s">
        <v>471</v>
      </c>
      <c r="C1287" t="s">
        <v>32</v>
      </c>
      <c r="D1287" t="s">
        <v>67</v>
      </c>
      <c r="E1287" t="s">
        <v>16</v>
      </c>
      <c r="F1287">
        <v>23</v>
      </c>
      <c r="G1287">
        <v>1553</v>
      </c>
      <c r="H1287">
        <v>35719</v>
      </c>
      <c r="I1287" t="s">
        <v>254</v>
      </c>
      <c r="J1287" t="s">
        <v>890</v>
      </c>
      <c r="K1287">
        <v>23</v>
      </c>
      <c r="L1287">
        <v>0</v>
      </c>
      <c r="M1287" t="s">
        <v>115</v>
      </c>
      <c r="N1287" t="str">
        <f t="shared" si="120"/>
        <v>PO-101286</v>
      </c>
      <c r="O1287" t="str">
        <f t="shared" si="121"/>
        <v>Delivered</v>
      </c>
      <c r="P1287" t="str">
        <f t="shared" si="122"/>
        <v>WH-DEL</v>
      </c>
      <c r="Q1287" t="str">
        <f>VLOOKUP(C1287, Lookups!$A$2:$D$10, 2, FALSE())</f>
        <v>OfficeDepot Pro</v>
      </c>
      <c r="R1287" t="str">
        <f>_xlfn.XLOOKUP(D1287, Lookups!$A$12:$A$51, Lookups!$C$12:$C$51, "Unknown")</f>
        <v>Peripherals</v>
      </c>
      <c r="S1287" t="str">
        <f>IF(ISBLANK(I1287), B1287+VLOOKUP(C1287, Lookups!$A$2:$D$10, 4, FALSE()), I1287)</f>
        <v>2025-11-10</v>
      </c>
      <c r="T1287">
        <f t="shared" si="123"/>
        <v>6</v>
      </c>
      <c r="U1287" t="str">
        <f t="shared" si="124"/>
        <v>On-Time</v>
      </c>
      <c r="V1287">
        <f t="shared" si="125"/>
        <v>0</v>
      </c>
    </row>
    <row r="1288" spans="1:22" x14ac:dyDescent="0.45">
      <c r="A1288" t="s">
        <v>2127</v>
      </c>
      <c r="B1288" t="s">
        <v>692</v>
      </c>
      <c r="C1288" t="s">
        <v>37</v>
      </c>
      <c r="D1288" t="s">
        <v>83</v>
      </c>
      <c r="E1288" t="s">
        <v>15</v>
      </c>
      <c r="F1288">
        <v>147</v>
      </c>
      <c r="G1288">
        <v>19850</v>
      </c>
      <c r="H1288">
        <v>2917950</v>
      </c>
      <c r="I1288" t="s">
        <v>903</v>
      </c>
      <c r="J1288" t="s">
        <v>903</v>
      </c>
      <c r="K1288">
        <v>147</v>
      </c>
      <c r="L1288">
        <v>0</v>
      </c>
      <c r="M1288" t="s">
        <v>115</v>
      </c>
      <c r="N1288" t="str">
        <f t="shared" si="120"/>
        <v>PO-101287</v>
      </c>
      <c r="O1288" t="str">
        <f t="shared" si="121"/>
        <v>Delivered</v>
      </c>
      <c r="P1288" t="str">
        <f t="shared" si="122"/>
        <v>WH-BOM</v>
      </c>
      <c r="Q1288" t="str">
        <f>VLOOKUP(C1288, Lookups!$A$2:$D$10, 2, FALSE())</f>
        <v>Premium Desks Ltd</v>
      </c>
      <c r="R1288" t="str">
        <f>_xlfn.XLOOKUP(D1288, Lookups!$A$12:$A$51, Lookups!$C$12:$C$51, "Unknown")</f>
        <v>Office Furniture</v>
      </c>
      <c r="S1288" t="str">
        <f>IF(ISBLANK(I1288), B1288+VLOOKUP(C1288, Lookups!$A$2:$D$10, 4, FALSE()), I1288)</f>
        <v>2026-11-10</v>
      </c>
      <c r="T1288">
        <f t="shared" si="123"/>
        <v>12</v>
      </c>
      <c r="U1288" t="str">
        <f t="shared" si="124"/>
        <v>On-Time</v>
      </c>
      <c r="V1288">
        <f t="shared" si="125"/>
        <v>0</v>
      </c>
    </row>
    <row r="1289" spans="1:22" x14ac:dyDescent="0.45">
      <c r="A1289" t="s">
        <v>2128</v>
      </c>
      <c r="B1289" t="s">
        <v>1302</v>
      </c>
      <c r="C1289" t="s">
        <v>37</v>
      </c>
      <c r="D1289" t="s">
        <v>78</v>
      </c>
      <c r="E1289" t="s">
        <v>16</v>
      </c>
      <c r="F1289">
        <v>230</v>
      </c>
      <c r="G1289">
        <v>9423</v>
      </c>
      <c r="H1289">
        <v>2167290</v>
      </c>
      <c r="I1289" t="s">
        <v>548</v>
      </c>
      <c r="J1289" t="s">
        <v>720</v>
      </c>
      <c r="K1289">
        <v>230</v>
      </c>
      <c r="L1289">
        <v>0</v>
      </c>
      <c r="M1289" t="s">
        <v>115</v>
      </c>
      <c r="N1289" t="str">
        <f t="shared" si="120"/>
        <v>PO-101288</v>
      </c>
      <c r="O1289" t="str">
        <f t="shared" si="121"/>
        <v>Delivered</v>
      </c>
      <c r="P1289" t="str">
        <f t="shared" si="122"/>
        <v>WH-DEL</v>
      </c>
      <c r="Q1289" t="str">
        <f>VLOOKUP(C1289, Lookups!$A$2:$D$10, 2, FALSE())</f>
        <v>Premium Desks Ltd</v>
      </c>
      <c r="R1289" t="str">
        <f>_xlfn.XLOOKUP(D1289, Lookups!$A$12:$A$51, Lookups!$C$12:$C$51, "Unknown")</f>
        <v>Office Furniture</v>
      </c>
      <c r="S1289" t="str">
        <f>IF(ISBLANK(I1289), B1289+VLOOKUP(C1289, Lookups!$A$2:$D$10, 4, FALSE()), I1289)</f>
        <v>2026-01-08</v>
      </c>
      <c r="T1289">
        <f t="shared" si="123"/>
        <v>26</v>
      </c>
      <c r="U1289" t="str">
        <f t="shared" si="124"/>
        <v>Late</v>
      </c>
      <c r="V1289">
        <f t="shared" si="125"/>
        <v>0</v>
      </c>
    </row>
    <row r="1290" spans="1:22" x14ac:dyDescent="0.45">
      <c r="A1290" t="s">
        <v>2129</v>
      </c>
      <c r="B1290" t="s">
        <v>234</v>
      </c>
      <c r="C1290" t="s">
        <v>30</v>
      </c>
      <c r="D1290" t="s">
        <v>86</v>
      </c>
      <c r="E1290" t="s">
        <v>15</v>
      </c>
      <c r="F1290">
        <v>135</v>
      </c>
      <c r="G1290">
        <v>74871</v>
      </c>
      <c r="H1290">
        <v>10107585</v>
      </c>
      <c r="I1290" t="s">
        <v>292</v>
      </c>
      <c r="J1290" t="s">
        <v>292</v>
      </c>
      <c r="K1290">
        <v>135</v>
      </c>
      <c r="L1290">
        <v>0</v>
      </c>
      <c r="M1290" t="s">
        <v>115</v>
      </c>
      <c r="N1290" t="str">
        <f t="shared" si="120"/>
        <v>PO-101289</v>
      </c>
      <c r="O1290" t="str">
        <f t="shared" si="121"/>
        <v>Delivered</v>
      </c>
      <c r="P1290" t="str">
        <f t="shared" si="122"/>
        <v>WH-BOM</v>
      </c>
      <c r="Q1290" t="str">
        <f>VLOOKUP(C1290, Lookups!$A$2:$D$10, 2, FALSE())</f>
        <v>TechSupply Corp</v>
      </c>
      <c r="R1290" t="str">
        <f>_xlfn.XLOOKUP(D1290, Lookups!$A$12:$A$51, Lookups!$C$12:$C$51, "Unknown")</f>
        <v>Electronics</v>
      </c>
      <c r="S1290" t="str">
        <f>IF(ISBLANK(I1290), B1290+VLOOKUP(C1290, Lookups!$A$2:$D$10, 4, FALSE()), I1290)</f>
        <v>2025-08-17</v>
      </c>
      <c r="T1290">
        <f t="shared" si="123"/>
        <v>14</v>
      </c>
      <c r="U1290" t="str">
        <f t="shared" si="124"/>
        <v>On-Time</v>
      </c>
      <c r="V1290">
        <f t="shared" si="125"/>
        <v>0</v>
      </c>
    </row>
    <row r="1291" spans="1:22" x14ac:dyDescent="0.45">
      <c r="A1291" t="s">
        <v>2130</v>
      </c>
      <c r="B1291" t="s">
        <v>1225</v>
      </c>
      <c r="C1291" t="s">
        <v>31</v>
      </c>
      <c r="D1291" t="s">
        <v>77</v>
      </c>
      <c r="E1291" t="s">
        <v>18</v>
      </c>
      <c r="F1291">
        <v>29</v>
      </c>
      <c r="G1291">
        <v>23667</v>
      </c>
      <c r="H1291">
        <v>686343</v>
      </c>
      <c r="I1291" t="s">
        <v>665</v>
      </c>
      <c r="J1291" t="s">
        <v>1345</v>
      </c>
      <c r="K1291">
        <v>29</v>
      </c>
      <c r="L1291">
        <v>0</v>
      </c>
      <c r="M1291" t="s">
        <v>115</v>
      </c>
      <c r="N1291" t="str">
        <f t="shared" si="120"/>
        <v>PO-101290</v>
      </c>
      <c r="O1291" t="str">
        <f t="shared" si="121"/>
        <v>Delivered</v>
      </c>
      <c r="P1291" t="str">
        <f t="shared" si="122"/>
        <v>WH-PUN</v>
      </c>
      <c r="Q1291" t="str">
        <f>VLOOKUP(C1291, Lookups!$A$2:$D$10, 2, FALSE())</f>
        <v>Global Networks</v>
      </c>
      <c r="R1291" t="str">
        <f>_xlfn.XLOOKUP(D1291, Lookups!$A$12:$A$51, Lookups!$C$12:$C$51, "Unknown")</f>
        <v>Networking</v>
      </c>
      <c r="S1291" t="str">
        <f>IF(ISBLANK(I1291), B1291+VLOOKUP(C1291, Lookups!$A$2:$D$10, 4, FALSE()), I1291)</f>
        <v>2025-03-11</v>
      </c>
      <c r="T1291">
        <f t="shared" si="123"/>
        <v>22</v>
      </c>
      <c r="U1291" t="str">
        <f t="shared" si="124"/>
        <v>Late</v>
      </c>
      <c r="V1291">
        <f t="shared" si="125"/>
        <v>0</v>
      </c>
    </row>
    <row r="1292" spans="1:22" x14ac:dyDescent="0.45">
      <c r="A1292" t="s">
        <v>2131</v>
      </c>
      <c r="B1292" t="s">
        <v>947</v>
      </c>
      <c r="C1292" t="s">
        <v>32</v>
      </c>
      <c r="D1292" t="s">
        <v>84</v>
      </c>
      <c r="E1292" t="s">
        <v>18</v>
      </c>
      <c r="F1292">
        <v>106</v>
      </c>
      <c r="G1292">
        <v>7271</v>
      </c>
      <c r="H1292">
        <v>770726</v>
      </c>
      <c r="I1292" t="s">
        <v>778</v>
      </c>
      <c r="J1292" t="s">
        <v>207</v>
      </c>
      <c r="K1292">
        <v>106</v>
      </c>
      <c r="L1292">
        <v>0</v>
      </c>
      <c r="M1292" t="s">
        <v>115</v>
      </c>
      <c r="N1292" t="str">
        <f t="shared" si="120"/>
        <v>PO-101291</v>
      </c>
      <c r="O1292" t="str">
        <f t="shared" si="121"/>
        <v>Delivered</v>
      </c>
      <c r="P1292" t="str">
        <f t="shared" si="122"/>
        <v>WH-PUN</v>
      </c>
      <c r="Q1292" t="str">
        <f>VLOOKUP(C1292, Lookups!$A$2:$D$10, 2, FALSE())</f>
        <v>OfficeDepot Pro</v>
      </c>
      <c r="R1292" t="str">
        <f>_xlfn.XLOOKUP(D1292, Lookups!$A$12:$A$51, Lookups!$C$12:$C$51, "Unknown")</f>
        <v>Peripherals</v>
      </c>
      <c r="S1292" t="str">
        <f>IF(ISBLANK(I1292), B1292+VLOOKUP(C1292, Lookups!$A$2:$D$10, 4, FALSE()), I1292)</f>
        <v>2025-12-13</v>
      </c>
      <c r="T1292">
        <f t="shared" si="123"/>
        <v>8</v>
      </c>
      <c r="U1292" t="str">
        <f t="shared" si="124"/>
        <v>Late</v>
      </c>
      <c r="V1292">
        <f t="shared" si="125"/>
        <v>0</v>
      </c>
    </row>
    <row r="1293" spans="1:22" x14ac:dyDescent="0.45">
      <c r="A1293" t="s">
        <v>2132</v>
      </c>
      <c r="B1293" t="s">
        <v>1164</v>
      </c>
      <c r="C1293" t="s">
        <v>31</v>
      </c>
      <c r="D1293" t="s">
        <v>85</v>
      </c>
      <c r="E1293" t="s">
        <v>15</v>
      </c>
      <c r="F1293">
        <v>52</v>
      </c>
      <c r="G1293">
        <v>16501</v>
      </c>
      <c r="H1293">
        <v>858052</v>
      </c>
      <c r="I1293" t="s">
        <v>268</v>
      </c>
      <c r="J1293" t="s">
        <v>268</v>
      </c>
      <c r="K1293">
        <v>52</v>
      </c>
      <c r="L1293">
        <v>2</v>
      </c>
      <c r="M1293" t="s">
        <v>115</v>
      </c>
      <c r="N1293" t="str">
        <f t="shared" si="120"/>
        <v>PO-101292</v>
      </c>
      <c r="O1293" t="str">
        <f t="shared" si="121"/>
        <v>Delivered</v>
      </c>
      <c r="P1293" t="str">
        <f t="shared" si="122"/>
        <v>WH-BOM</v>
      </c>
      <c r="Q1293" t="str">
        <f>VLOOKUP(C1293, Lookups!$A$2:$D$10, 2, FALSE())</f>
        <v>Global Networks</v>
      </c>
      <c r="R1293" t="str">
        <f>_xlfn.XLOOKUP(D1293, Lookups!$A$12:$A$51, Lookups!$C$12:$C$51, "Unknown")</f>
        <v>Networking</v>
      </c>
      <c r="S1293" t="str">
        <f>IF(ISBLANK(I1293), B1293+VLOOKUP(C1293, Lookups!$A$2:$D$10, 4, FALSE()), I1293)</f>
        <v>2025-04-13</v>
      </c>
      <c r="T1293">
        <f t="shared" si="123"/>
        <v>21</v>
      </c>
      <c r="U1293" t="str">
        <f t="shared" si="124"/>
        <v>On-Time</v>
      </c>
      <c r="V1293">
        <f t="shared" si="125"/>
        <v>3.8461538461538464E-2</v>
      </c>
    </row>
    <row r="1294" spans="1:22" x14ac:dyDescent="0.45">
      <c r="A1294" t="s">
        <v>2133</v>
      </c>
      <c r="B1294" t="s">
        <v>903</v>
      </c>
      <c r="C1294" t="s">
        <v>31</v>
      </c>
      <c r="D1294" t="s">
        <v>85</v>
      </c>
      <c r="E1294" t="s">
        <v>18</v>
      </c>
      <c r="F1294">
        <v>120</v>
      </c>
      <c r="G1294">
        <v>16501</v>
      </c>
      <c r="H1294">
        <v>1980120</v>
      </c>
      <c r="I1294" t="s">
        <v>382</v>
      </c>
      <c r="J1294" t="s">
        <v>1359</v>
      </c>
      <c r="K1294">
        <v>120</v>
      </c>
      <c r="L1294">
        <v>0</v>
      </c>
      <c r="M1294" t="s">
        <v>115</v>
      </c>
      <c r="N1294" t="str">
        <f t="shared" si="120"/>
        <v>PO-101293</v>
      </c>
      <c r="O1294" t="str">
        <f t="shared" si="121"/>
        <v>Delivered</v>
      </c>
      <c r="P1294" t="str">
        <f t="shared" si="122"/>
        <v>WH-PUN</v>
      </c>
      <c r="Q1294" t="str">
        <f>VLOOKUP(C1294, Lookups!$A$2:$D$10, 2, FALSE())</f>
        <v>Global Networks</v>
      </c>
      <c r="R1294" t="str">
        <f>_xlfn.XLOOKUP(D1294, Lookups!$A$12:$A$51, Lookups!$C$12:$C$51, "Unknown")</f>
        <v>Networking</v>
      </c>
      <c r="S1294" t="str">
        <f>IF(ISBLANK(I1294), B1294+VLOOKUP(C1294, Lookups!$A$2:$D$10, 4, FALSE()), I1294)</f>
        <v>2026-12-01</v>
      </c>
      <c r="T1294">
        <f t="shared" si="123"/>
        <v>22</v>
      </c>
      <c r="U1294" t="str">
        <f t="shared" si="124"/>
        <v>Late</v>
      </c>
      <c r="V1294">
        <f t="shared" si="125"/>
        <v>0</v>
      </c>
    </row>
    <row r="1295" spans="1:22" x14ac:dyDescent="0.45">
      <c r="A1295" t="s">
        <v>2134</v>
      </c>
      <c r="B1295" t="s">
        <v>343</v>
      </c>
      <c r="C1295" t="s">
        <v>33</v>
      </c>
      <c r="D1295" t="s">
        <v>89</v>
      </c>
      <c r="E1295" t="s">
        <v>17</v>
      </c>
      <c r="F1295">
        <v>54</v>
      </c>
      <c r="G1295">
        <v>11309</v>
      </c>
      <c r="H1295">
        <v>610686</v>
      </c>
      <c r="I1295" t="s">
        <v>1354</v>
      </c>
      <c r="J1295" t="s">
        <v>1354</v>
      </c>
      <c r="K1295">
        <v>54</v>
      </c>
      <c r="L1295">
        <v>0</v>
      </c>
      <c r="M1295" t="s">
        <v>115</v>
      </c>
      <c r="N1295" t="str">
        <f t="shared" si="120"/>
        <v>PO-101294</v>
      </c>
      <c r="O1295" t="str">
        <f t="shared" si="121"/>
        <v>Delivered</v>
      </c>
      <c r="P1295" t="str">
        <f t="shared" si="122"/>
        <v>WH-BLR</v>
      </c>
      <c r="Q1295" t="str">
        <f>VLOOKUP(C1295, Lookups!$A$2:$D$10, 2, FALSE())</f>
        <v>MegaFurnish</v>
      </c>
      <c r="R1295" t="str">
        <f>_xlfn.XLOOKUP(D1295, Lookups!$A$12:$A$51, Lookups!$C$12:$C$51, "Unknown")</f>
        <v>Office Furniture</v>
      </c>
      <c r="S1295" t="str">
        <f>IF(ISBLANK(I1295), B1295+VLOOKUP(C1295, Lookups!$A$2:$D$10, 4, FALSE()), I1295)</f>
        <v>2026-03-06</v>
      </c>
      <c r="T1295">
        <f t="shared" si="123"/>
        <v>30</v>
      </c>
      <c r="U1295" t="str">
        <f t="shared" si="124"/>
        <v>On-Time</v>
      </c>
      <c r="V1295">
        <f t="shared" si="125"/>
        <v>0</v>
      </c>
    </row>
    <row r="1296" spans="1:22" x14ac:dyDescent="0.45">
      <c r="A1296" t="s">
        <v>2135</v>
      </c>
      <c r="B1296" t="s">
        <v>246</v>
      </c>
      <c r="C1296" t="s">
        <v>34</v>
      </c>
      <c r="D1296" t="s">
        <v>80</v>
      </c>
      <c r="E1296" t="s">
        <v>15</v>
      </c>
      <c r="F1296">
        <v>94</v>
      </c>
      <c r="G1296">
        <v>19090</v>
      </c>
      <c r="H1296">
        <v>1794460</v>
      </c>
      <c r="I1296" t="s">
        <v>1407</v>
      </c>
      <c r="J1296" t="s">
        <v>989</v>
      </c>
      <c r="K1296">
        <v>61</v>
      </c>
      <c r="L1296">
        <v>0</v>
      </c>
      <c r="M1296" t="s">
        <v>115</v>
      </c>
      <c r="N1296" t="str">
        <f t="shared" si="120"/>
        <v>PO-101295</v>
      </c>
      <c r="O1296" t="str">
        <f t="shared" si="121"/>
        <v>Delivered</v>
      </c>
      <c r="P1296" t="str">
        <f t="shared" si="122"/>
        <v>WH-BOM</v>
      </c>
      <c r="Q1296" t="str">
        <f>VLOOKUP(C1296, Lookups!$A$2:$D$10, 2, FALSE())</f>
        <v>FastElectronics</v>
      </c>
      <c r="R1296" t="str">
        <f>_xlfn.XLOOKUP(D1296, Lookups!$A$12:$A$51, Lookups!$C$12:$C$51, "Unknown")</f>
        <v>Networking</v>
      </c>
      <c r="S1296" t="str">
        <f>IF(ISBLANK(I1296), B1296+VLOOKUP(C1296, Lookups!$A$2:$D$10, 4, FALSE()), I1296)</f>
        <v>2025-11-08</v>
      </c>
      <c r="T1296">
        <f t="shared" si="123"/>
        <v>23</v>
      </c>
      <c r="U1296" t="str">
        <f t="shared" si="124"/>
        <v>Late</v>
      </c>
      <c r="V1296">
        <f t="shared" si="125"/>
        <v>0</v>
      </c>
    </row>
    <row r="1297" spans="1:22" x14ac:dyDescent="0.45">
      <c r="A1297" t="s">
        <v>2136</v>
      </c>
      <c r="B1297" t="s">
        <v>211</v>
      </c>
      <c r="C1297" t="s">
        <v>35</v>
      </c>
      <c r="D1297" t="s">
        <v>91</v>
      </c>
      <c r="E1297" t="s">
        <v>18</v>
      </c>
      <c r="F1297">
        <v>33</v>
      </c>
      <c r="G1297">
        <v>6707</v>
      </c>
      <c r="H1297">
        <v>221331</v>
      </c>
      <c r="I1297" t="s">
        <v>1187</v>
      </c>
      <c r="J1297" t="s">
        <v>1187</v>
      </c>
      <c r="K1297">
        <v>33</v>
      </c>
      <c r="L1297">
        <v>0</v>
      </c>
      <c r="M1297" t="s">
        <v>115</v>
      </c>
      <c r="N1297" t="str">
        <f t="shared" si="120"/>
        <v>PO-101296</v>
      </c>
      <c r="O1297" t="str">
        <f t="shared" si="121"/>
        <v>Delivered</v>
      </c>
      <c r="P1297" t="str">
        <f t="shared" si="122"/>
        <v>WH-PUN</v>
      </c>
      <c r="Q1297" t="str">
        <f>VLOOKUP(C1297, Lookups!$A$2:$D$10, 2, FALSE())</f>
        <v>Peripheral Source</v>
      </c>
      <c r="R1297" t="str">
        <f>_xlfn.XLOOKUP(D1297, Lookups!$A$12:$A$51, Lookups!$C$12:$C$51, "Unknown")</f>
        <v>Peripherals</v>
      </c>
      <c r="S1297" t="str">
        <f>IF(ISBLANK(I1297), B1297+VLOOKUP(C1297, Lookups!$A$2:$D$10, 4, FALSE()), I1297)</f>
        <v>2025-07-01</v>
      </c>
      <c r="T1297">
        <f t="shared" si="123"/>
        <v>10</v>
      </c>
      <c r="U1297" t="str">
        <f t="shared" si="124"/>
        <v>On-Time</v>
      </c>
      <c r="V1297">
        <f t="shared" si="125"/>
        <v>0</v>
      </c>
    </row>
    <row r="1298" spans="1:22" x14ac:dyDescent="0.45">
      <c r="A1298" t="s">
        <v>2137</v>
      </c>
      <c r="B1298" t="s">
        <v>1273</v>
      </c>
      <c r="C1298" t="s">
        <v>35</v>
      </c>
      <c r="D1298" t="s">
        <v>65</v>
      </c>
      <c r="E1298" t="s">
        <v>18</v>
      </c>
      <c r="F1298">
        <v>107</v>
      </c>
      <c r="G1298">
        <v>4936</v>
      </c>
      <c r="H1298">
        <v>528152</v>
      </c>
      <c r="I1298" t="s">
        <v>489</v>
      </c>
      <c r="J1298" t="s">
        <v>607</v>
      </c>
      <c r="K1298">
        <v>107</v>
      </c>
      <c r="L1298">
        <v>0</v>
      </c>
      <c r="M1298" t="s">
        <v>115</v>
      </c>
      <c r="N1298" t="str">
        <f t="shared" si="120"/>
        <v>PO-101297</v>
      </c>
      <c r="O1298" t="str">
        <f t="shared" si="121"/>
        <v>Delivered</v>
      </c>
      <c r="P1298" t="str">
        <f t="shared" si="122"/>
        <v>WH-PUN</v>
      </c>
      <c r="Q1298" t="str">
        <f>VLOOKUP(C1298, Lookups!$A$2:$D$10, 2, FALSE())</f>
        <v>Peripheral Source</v>
      </c>
      <c r="R1298" t="str">
        <f>_xlfn.XLOOKUP(D1298, Lookups!$A$12:$A$51, Lookups!$C$12:$C$51, "Unknown")</f>
        <v>Peripherals</v>
      </c>
      <c r="S1298" t="str">
        <f>IF(ISBLANK(I1298), B1298+VLOOKUP(C1298, Lookups!$A$2:$D$10, 4, FALSE()), I1298)</f>
        <v>2025-01-28</v>
      </c>
      <c r="T1298">
        <f t="shared" si="123"/>
        <v>11</v>
      </c>
      <c r="U1298" t="str">
        <f t="shared" si="124"/>
        <v>Late</v>
      </c>
      <c r="V1298">
        <f t="shared" si="125"/>
        <v>0</v>
      </c>
    </row>
    <row r="1299" spans="1:22" x14ac:dyDescent="0.45">
      <c r="A1299" t="s">
        <v>2138</v>
      </c>
      <c r="B1299" t="s">
        <v>535</v>
      </c>
      <c r="C1299" t="s">
        <v>30</v>
      </c>
      <c r="D1299" t="s">
        <v>86</v>
      </c>
      <c r="E1299" t="s">
        <v>18</v>
      </c>
      <c r="F1299">
        <v>44</v>
      </c>
      <c r="G1299">
        <v>74871</v>
      </c>
      <c r="H1299">
        <v>3294324</v>
      </c>
      <c r="I1299" t="s">
        <v>123</v>
      </c>
      <c r="J1299" t="s">
        <v>1405</v>
      </c>
      <c r="K1299">
        <v>44</v>
      </c>
      <c r="L1299">
        <v>0</v>
      </c>
      <c r="M1299" t="s">
        <v>115</v>
      </c>
      <c r="N1299" t="str">
        <f t="shared" si="120"/>
        <v>PO-101298</v>
      </c>
      <c r="O1299" t="str">
        <f t="shared" si="121"/>
        <v>Delivered</v>
      </c>
      <c r="P1299" t="str">
        <f t="shared" si="122"/>
        <v>WH-PUN</v>
      </c>
      <c r="Q1299" t="str">
        <f>VLOOKUP(C1299, Lookups!$A$2:$D$10, 2, FALSE())</f>
        <v>TechSupply Corp</v>
      </c>
      <c r="R1299" t="str">
        <f>_xlfn.XLOOKUP(D1299, Lookups!$A$12:$A$51, Lookups!$C$12:$C$51, "Unknown")</f>
        <v>Electronics</v>
      </c>
      <c r="S1299" t="str">
        <f>IF(ISBLANK(I1299), B1299+VLOOKUP(C1299, Lookups!$A$2:$D$10, 4, FALSE()), I1299)</f>
        <v>2026-05-22</v>
      </c>
      <c r="T1299">
        <f t="shared" si="123"/>
        <v>15</v>
      </c>
      <c r="U1299" t="str">
        <f t="shared" si="124"/>
        <v>Late</v>
      </c>
      <c r="V1299">
        <f t="shared" si="125"/>
        <v>0</v>
      </c>
    </row>
    <row r="1300" spans="1:22" x14ac:dyDescent="0.45">
      <c r="A1300" t="s">
        <v>2139</v>
      </c>
      <c r="B1300" t="s">
        <v>559</v>
      </c>
      <c r="C1300" t="s">
        <v>34</v>
      </c>
      <c r="D1300" t="s">
        <v>76</v>
      </c>
      <c r="E1300" t="s">
        <v>15</v>
      </c>
      <c r="F1300">
        <v>194</v>
      </c>
      <c r="G1300">
        <v>26270</v>
      </c>
      <c r="H1300">
        <v>5096380</v>
      </c>
      <c r="I1300" t="s">
        <v>1095</v>
      </c>
      <c r="J1300" t="s">
        <v>1095</v>
      </c>
      <c r="K1300">
        <v>194</v>
      </c>
      <c r="L1300">
        <v>0</v>
      </c>
      <c r="M1300" t="s">
        <v>115</v>
      </c>
      <c r="N1300" t="str">
        <f t="shared" si="120"/>
        <v>PO-101299</v>
      </c>
      <c r="O1300" t="str">
        <f t="shared" si="121"/>
        <v>Delivered</v>
      </c>
      <c r="P1300" t="str">
        <f t="shared" si="122"/>
        <v>WH-BOM</v>
      </c>
      <c r="Q1300" t="str">
        <f>VLOOKUP(C1300, Lookups!$A$2:$D$10, 2, FALSE())</f>
        <v>FastElectronics</v>
      </c>
      <c r="R1300" t="str">
        <f>_xlfn.XLOOKUP(D1300, Lookups!$A$12:$A$51, Lookups!$C$12:$C$51, "Unknown")</f>
        <v>Networking</v>
      </c>
      <c r="S1300" t="str">
        <f>IF(ISBLANK(I1300), B1300+VLOOKUP(C1300, Lookups!$A$2:$D$10, 4, FALSE()), I1300)</f>
        <v>2026-05-07</v>
      </c>
      <c r="T1300">
        <f t="shared" si="123"/>
        <v>18</v>
      </c>
      <c r="U1300" t="str">
        <f t="shared" si="124"/>
        <v>On-Time</v>
      </c>
      <c r="V1300">
        <f t="shared" si="125"/>
        <v>0</v>
      </c>
    </row>
    <row r="1301" spans="1:22" x14ac:dyDescent="0.45">
      <c r="A1301" t="s">
        <v>2140</v>
      </c>
      <c r="B1301" t="s">
        <v>338</v>
      </c>
      <c r="C1301" t="s">
        <v>36</v>
      </c>
      <c r="D1301" t="s">
        <v>87</v>
      </c>
      <c r="E1301" t="s">
        <v>16</v>
      </c>
      <c r="F1301">
        <v>222</v>
      </c>
      <c r="G1301">
        <v>82930</v>
      </c>
      <c r="H1301">
        <v>18410460</v>
      </c>
      <c r="I1301" t="s">
        <v>688</v>
      </c>
      <c r="J1301" t="s">
        <v>688</v>
      </c>
      <c r="K1301">
        <v>222</v>
      </c>
      <c r="L1301">
        <v>12</v>
      </c>
      <c r="M1301" t="s">
        <v>115</v>
      </c>
      <c r="N1301" t="str">
        <f t="shared" si="120"/>
        <v>PO-101300</v>
      </c>
      <c r="O1301" t="str">
        <f t="shared" si="121"/>
        <v>Delivered</v>
      </c>
      <c r="P1301" t="str">
        <f t="shared" si="122"/>
        <v>WH-DEL</v>
      </c>
      <c r="Q1301" t="str">
        <f>VLOOKUP(C1301, Lookups!$A$2:$D$10, 2, FALSE())</f>
        <v>NextGen Hardware</v>
      </c>
      <c r="R1301" t="str">
        <f>_xlfn.XLOOKUP(D1301, Lookups!$A$12:$A$51, Lookups!$C$12:$C$51, "Unknown")</f>
        <v>Electronics</v>
      </c>
      <c r="S1301" t="str">
        <f>IF(ISBLANK(I1301), B1301+VLOOKUP(C1301, Lookups!$A$2:$D$10, 4, FALSE()), I1301)</f>
        <v>2026-04-29</v>
      </c>
      <c r="T1301">
        <f t="shared" si="123"/>
        <v>24</v>
      </c>
      <c r="U1301" t="str">
        <f t="shared" si="124"/>
        <v>On-Time</v>
      </c>
      <c r="V1301">
        <f t="shared" si="125"/>
        <v>5.4054054054054057E-2</v>
      </c>
    </row>
    <row r="1302" spans="1:22" x14ac:dyDescent="0.45">
      <c r="A1302" t="s">
        <v>2141</v>
      </c>
      <c r="B1302" t="s">
        <v>671</v>
      </c>
      <c r="C1302" t="s">
        <v>30</v>
      </c>
      <c r="D1302" t="s">
        <v>86</v>
      </c>
      <c r="E1302" t="s">
        <v>16</v>
      </c>
      <c r="F1302">
        <v>220</v>
      </c>
      <c r="G1302">
        <v>74871</v>
      </c>
      <c r="H1302">
        <v>16471620</v>
      </c>
      <c r="I1302" t="s">
        <v>811</v>
      </c>
      <c r="J1302" t="s">
        <v>744</v>
      </c>
      <c r="K1302">
        <v>220</v>
      </c>
      <c r="L1302">
        <v>0</v>
      </c>
      <c r="M1302" t="s">
        <v>115</v>
      </c>
      <c r="N1302" t="str">
        <f t="shared" si="120"/>
        <v>PO-101301</v>
      </c>
      <c r="O1302" t="str">
        <f t="shared" si="121"/>
        <v>Delivered</v>
      </c>
      <c r="P1302" t="str">
        <f t="shared" si="122"/>
        <v>WH-DEL</v>
      </c>
      <c r="Q1302" t="str">
        <f>VLOOKUP(C1302, Lookups!$A$2:$D$10, 2, FALSE())</f>
        <v>TechSupply Corp</v>
      </c>
      <c r="R1302" t="str">
        <f>_xlfn.XLOOKUP(D1302, Lookups!$A$12:$A$51, Lookups!$C$12:$C$51, "Unknown")</f>
        <v>Electronics</v>
      </c>
      <c r="S1302" t="str">
        <f>IF(ISBLANK(I1302), B1302+VLOOKUP(C1302, Lookups!$A$2:$D$10, 4, FALSE()), I1302)</f>
        <v>2026-11-27</v>
      </c>
      <c r="T1302">
        <f t="shared" si="123"/>
        <v>12</v>
      </c>
      <c r="U1302" t="str">
        <f t="shared" si="124"/>
        <v>On-Time</v>
      </c>
      <c r="V1302">
        <f t="shared" si="125"/>
        <v>0</v>
      </c>
    </row>
    <row r="1303" spans="1:22" x14ac:dyDescent="0.45">
      <c r="A1303" t="s">
        <v>2142</v>
      </c>
      <c r="B1303" t="s">
        <v>1111</v>
      </c>
      <c r="C1303" t="s">
        <v>35</v>
      </c>
      <c r="D1303" t="s">
        <v>75</v>
      </c>
      <c r="E1303" t="s">
        <v>18</v>
      </c>
      <c r="F1303">
        <v>72</v>
      </c>
      <c r="G1303">
        <v>4440</v>
      </c>
      <c r="H1303">
        <v>319680</v>
      </c>
      <c r="I1303" t="s">
        <v>1401</v>
      </c>
      <c r="J1303" t="s">
        <v>1318</v>
      </c>
      <c r="K1303">
        <v>72</v>
      </c>
      <c r="L1303">
        <v>0</v>
      </c>
      <c r="M1303" t="s">
        <v>115</v>
      </c>
      <c r="N1303" t="str">
        <f t="shared" si="120"/>
        <v>PO-101302</v>
      </c>
      <c r="O1303" t="str">
        <f t="shared" si="121"/>
        <v>Delivered</v>
      </c>
      <c r="P1303" t="str">
        <f t="shared" si="122"/>
        <v>WH-PUN</v>
      </c>
      <c r="Q1303" t="str">
        <f>VLOOKUP(C1303, Lookups!$A$2:$D$10, 2, FALSE())</f>
        <v>Peripheral Source</v>
      </c>
      <c r="R1303" t="str">
        <f>_xlfn.XLOOKUP(D1303, Lookups!$A$12:$A$51, Lookups!$C$12:$C$51, "Unknown")</f>
        <v>Peripherals</v>
      </c>
      <c r="S1303" t="str">
        <f>IF(ISBLANK(I1303), B1303+VLOOKUP(C1303, Lookups!$A$2:$D$10, 4, FALSE()), I1303)</f>
        <v>2026-10-24</v>
      </c>
      <c r="T1303">
        <f t="shared" si="123"/>
        <v>11</v>
      </c>
      <c r="U1303" t="str">
        <f t="shared" si="124"/>
        <v>Late</v>
      </c>
      <c r="V1303">
        <f t="shared" si="125"/>
        <v>0</v>
      </c>
    </row>
    <row r="1304" spans="1:22" x14ac:dyDescent="0.45">
      <c r="A1304" t="s">
        <v>2143</v>
      </c>
      <c r="B1304" t="s">
        <v>278</v>
      </c>
      <c r="C1304" t="s">
        <v>34</v>
      </c>
      <c r="D1304" t="s">
        <v>80</v>
      </c>
      <c r="E1304" t="s">
        <v>18</v>
      </c>
      <c r="F1304">
        <v>174</v>
      </c>
      <c r="G1304">
        <v>19090</v>
      </c>
      <c r="H1304">
        <v>3321660</v>
      </c>
      <c r="I1304" t="s">
        <v>1281</v>
      </c>
      <c r="J1304" t="s">
        <v>1281</v>
      </c>
      <c r="K1304">
        <v>129</v>
      </c>
      <c r="L1304">
        <v>0</v>
      </c>
      <c r="M1304" t="s">
        <v>115</v>
      </c>
      <c r="N1304" t="str">
        <f t="shared" si="120"/>
        <v>PO-101303</v>
      </c>
      <c r="O1304" t="str">
        <f t="shared" si="121"/>
        <v>Delivered</v>
      </c>
      <c r="P1304" t="str">
        <f t="shared" si="122"/>
        <v>WH-PUN</v>
      </c>
      <c r="Q1304" t="str">
        <f>VLOOKUP(C1304, Lookups!$A$2:$D$10, 2, FALSE())</f>
        <v>FastElectronics</v>
      </c>
      <c r="R1304" t="str">
        <f>_xlfn.XLOOKUP(D1304, Lookups!$A$12:$A$51, Lookups!$C$12:$C$51, "Unknown")</f>
        <v>Networking</v>
      </c>
      <c r="S1304" t="str">
        <f>IF(ISBLANK(I1304), B1304+VLOOKUP(C1304, Lookups!$A$2:$D$10, 4, FALSE()), I1304)</f>
        <v>2025-05-31</v>
      </c>
      <c r="T1304">
        <f t="shared" si="123"/>
        <v>18</v>
      </c>
      <c r="U1304" t="str">
        <f t="shared" si="124"/>
        <v>On-Time</v>
      </c>
      <c r="V1304">
        <f t="shared" si="125"/>
        <v>0</v>
      </c>
    </row>
    <row r="1305" spans="1:22" x14ac:dyDescent="0.45">
      <c r="A1305" t="s">
        <v>2144</v>
      </c>
      <c r="B1305" t="s">
        <v>305</v>
      </c>
      <c r="C1305" t="s">
        <v>34</v>
      </c>
      <c r="D1305" t="s">
        <v>74</v>
      </c>
      <c r="E1305" t="s">
        <v>18</v>
      </c>
      <c r="F1305">
        <v>65</v>
      </c>
      <c r="G1305">
        <v>94797</v>
      </c>
      <c r="H1305">
        <v>6161805</v>
      </c>
      <c r="I1305" t="s">
        <v>991</v>
      </c>
      <c r="J1305" t="s">
        <v>679</v>
      </c>
      <c r="K1305">
        <v>65</v>
      </c>
      <c r="L1305">
        <v>0</v>
      </c>
      <c r="M1305" t="s">
        <v>115</v>
      </c>
      <c r="N1305" t="str">
        <f t="shared" si="120"/>
        <v>PO-101304</v>
      </c>
      <c r="O1305" t="str">
        <f t="shared" si="121"/>
        <v>Delivered</v>
      </c>
      <c r="P1305" t="str">
        <f t="shared" si="122"/>
        <v>WH-PUN</v>
      </c>
      <c r="Q1305" t="str">
        <f>VLOOKUP(C1305, Lookups!$A$2:$D$10, 2, FALSE())</f>
        <v>FastElectronics</v>
      </c>
      <c r="R1305" t="str">
        <f>_xlfn.XLOOKUP(D1305, Lookups!$A$12:$A$51, Lookups!$C$12:$C$51, "Unknown")</f>
        <v>Electronics</v>
      </c>
      <c r="S1305" t="str">
        <f>IF(ISBLANK(I1305), B1305+VLOOKUP(C1305, Lookups!$A$2:$D$10, 4, FALSE()), I1305)</f>
        <v>2026-07-16</v>
      </c>
      <c r="T1305">
        <f t="shared" si="123"/>
        <v>22</v>
      </c>
      <c r="U1305" t="str">
        <f t="shared" si="124"/>
        <v>Late</v>
      </c>
      <c r="V1305">
        <f t="shared" si="125"/>
        <v>0</v>
      </c>
    </row>
    <row r="1306" spans="1:22" x14ac:dyDescent="0.45">
      <c r="A1306" t="s">
        <v>2145</v>
      </c>
      <c r="B1306" t="s">
        <v>1111</v>
      </c>
      <c r="C1306" t="s">
        <v>35</v>
      </c>
      <c r="D1306" t="s">
        <v>60</v>
      </c>
      <c r="E1306" t="s">
        <v>16</v>
      </c>
      <c r="F1306">
        <v>150</v>
      </c>
      <c r="G1306">
        <v>3291</v>
      </c>
      <c r="H1306">
        <v>493650</v>
      </c>
      <c r="I1306" t="s">
        <v>1401</v>
      </c>
      <c r="J1306" t="s">
        <v>1318</v>
      </c>
      <c r="K1306">
        <v>150</v>
      </c>
      <c r="L1306">
        <v>6</v>
      </c>
      <c r="M1306" t="s">
        <v>115</v>
      </c>
      <c r="N1306" t="str">
        <f t="shared" si="120"/>
        <v>PO-101305</v>
      </c>
      <c r="O1306" t="str">
        <f t="shared" si="121"/>
        <v>Delivered</v>
      </c>
      <c r="P1306" t="str">
        <f t="shared" si="122"/>
        <v>WH-DEL</v>
      </c>
      <c r="Q1306" t="str">
        <f>VLOOKUP(C1306, Lookups!$A$2:$D$10, 2, FALSE())</f>
        <v>Peripheral Source</v>
      </c>
      <c r="R1306" t="str">
        <f>_xlfn.XLOOKUP(D1306, Lookups!$A$12:$A$51, Lookups!$C$12:$C$51, "Unknown")</f>
        <v>Peripherals</v>
      </c>
      <c r="S1306" t="str">
        <f>IF(ISBLANK(I1306), B1306+VLOOKUP(C1306, Lookups!$A$2:$D$10, 4, FALSE()), I1306)</f>
        <v>2026-10-24</v>
      </c>
      <c r="T1306">
        <f t="shared" si="123"/>
        <v>11</v>
      </c>
      <c r="U1306" t="str">
        <f t="shared" si="124"/>
        <v>Late</v>
      </c>
      <c r="V1306">
        <f t="shared" si="125"/>
        <v>0.04</v>
      </c>
    </row>
    <row r="1307" spans="1:22" x14ac:dyDescent="0.45">
      <c r="A1307" t="s">
        <v>2146</v>
      </c>
      <c r="B1307" t="s">
        <v>403</v>
      </c>
      <c r="C1307" t="s">
        <v>34</v>
      </c>
      <c r="D1307" t="s">
        <v>54</v>
      </c>
      <c r="E1307" t="s">
        <v>16</v>
      </c>
      <c r="F1307">
        <v>94</v>
      </c>
      <c r="G1307">
        <v>22314</v>
      </c>
      <c r="H1307">
        <v>2097516</v>
      </c>
      <c r="I1307" t="s">
        <v>785</v>
      </c>
      <c r="J1307" t="s">
        <v>153</v>
      </c>
      <c r="K1307">
        <v>94</v>
      </c>
      <c r="L1307">
        <v>0</v>
      </c>
      <c r="M1307" t="s">
        <v>115</v>
      </c>
      <c r="N1307" t="str">
        <f t="shared" si="120"/>
        <v>PO-101306</v>
      </c>
      <c r="O1307" t="str">
        <f t="shared" si="121"/>
        <v>Delivered</v>
      </c>
      <c r="P1307" t="str">
        <f t="shared" si="122"/>
        <v>WH-DEL</v>
      </c>
      <c r="Q1307" t="str">
        <f>VLOOKUP(C1307, Lookups!$A$2:$D$10, 2, FALSE())</f>
        <v>FastElectronics</v>
      </c>
      <c r="R1307" t="str">
        <f>_xlfn.XLOOKUP(D1307, Lookups!$A$12:$A$51, Lookups!$C$12:$C$51, "Unknown")</f>
        <v>Networking</v>
      </c>
      <c r="S1307" t="str">
        <f>IF(ISBLANK(I1307), B1307+VLOOKUP(C1307, Lookups!$A$2:$D$10, 4, FALSE()), I1307)</f>
        <v>2025-10-06</v>
      </c>
      <c r="T1307">
        <f t="shared" si="123"/>
        <v>19</v>
      </c>
      <c r="U1307" t="str">
        <f t="shared" si="124"/>
        <v>Late</v>
      </c>
      <c r="V1307">
        <f t="shared" si="125"/>
        <v>0</v>
      </c>
    </row>
    <row r="1308" spans="1:22" x14ac:dyDescent="0.45">
      <c r="A1308" t="s">
        <v>2147</v>
      </c>
      <c r="B1308" t="s">
        <v>1359</v>
      </c>
      <c r="C1308" t="s">
        <v>31</v>
      </c>
      <c r="D1308" t="s">
        <v>66</v>
      </c>
      <c r="E1308" t="s">
        <v>18</v>
      </c>
      <c r="F1308">
        <v>238</v>
      </c>
      <c r="G1308">
        <v>29719</v>
      </c>
      <c r="H1308">
        <v>7073122</v>
      </c>
      <c r="I1308" t="s">
        <v>1751</v>
      </c>
      <c r="J1308" t="s">
        <v>767</v>
      </c>
      <c r="K1308">
        <v>238</v>
      </c>
      <c r="L1308">
        <v>0</v>
      </c>
      <c r="M1308" t="s">
        <v>115</v>
      </c>
      <c r="N1308" t="str">
        <f t="shared" si="120"/>
        <v>PO-101307</v>
      </c>
      <c r="O1308" t="str">
        <f t="shared" si="121"/>
        <v>Delivered</v>
      </c>
      <c r="P1308" t="str">
        <f t="shared" si="122"/>
        <v>WH-PUN</v>
      </c>
      <c r="Q1308" t="str">
        <f>VLOOKUP(C1308, Lookups!$A$2:$D$10, 2, FALSE())</f>
        <v>Global Networks</v>
      </c>
      <c r="R1308" t="str">
        <f>_xlfn.XLOOKUP(D1308, Lookups!$A$12:$A$51, Lookups!$C$12:$C$51, "Unknown")</f>
        <v>Networking</v>
      </c>
      <c r="S1308" t="str">
        <f>IF(ISBLANK(I1308), B1308+VLOOKUP(C1308, Lookups!$A$2:$D$10, 4, FALSE()), I1308)</f>
        <v>2026-12-23</v>
      </c>
      <c r="T1308">
        <f t="shared" si="123"/>
        <v>22</v>
      </c>
      <c r="U1308" t="str">
        <f t="shared" si="124"/>
        <v>Late</v>
      </c>
      <c r="V1308">
        <f t="shared" si="125"/>
        <v>0</v>
      </c>
    </row>
    <row r="1309" spans="1:22" x14ac:dyDescent="0.45">
      <c r="A1309" t="s">
        <v>2148</v>
      </c>
      <c r="B1309" t="s">
        <v>723</v>
      </c>
      <c r="C1309" t="s">
        <v>36</v>
      </c>
      <c r="D1309" t="s">
        <v>87</v>
      </c>
      <c r="E1309" t="s">
        <v>15</v>
      </c>
      <c r="F1309">
        <v>102</v>
      </c>
      <c r="G1309">
        <v>82930</v>
      </c>
      <c r="H1309">
        <v>8458860</v>
      </c>
      <c r="I1309" t="s">
        <v>1314</v>
      </c>
      <c r="J1309" t="s">
        <v>416</v>
      </c>
      <c r="K1309">
        <v>102</v>
      </c>
      <c r="L1309">
        <v>0</v>
      </c>
      <c r="M1309" t="s">
        <v>115</v>
      </c>
      <c r="N1309" t="str">
        <f t="shared" si="120"/>
        <v>PO-101308</v>
      </c>
      <c r="O1309" t="str">
        <f t="shared" si="121"/>
        <v>Delivered</v>
      </c>
      <c r="P1309" t="str">
        <f t="shared" si="122"/>
        <v>WH-BOM</v>
      </c>
      <c r="Q1309" t="str">
        <f>VLOOKUP(C1309, Lookups!$A$2:$D$10, 2, FALSE())</f>
        <v>NextGen Hardware</v>
      </c>
      <c r="R1309" t="str">
        <f>_xlfn.XLOOKUP(D1309, Lookups!$A$12:$A$51, Lookups!$C$12:$C$51, "Unknown")</f>
        <v>Electronics</v>
      </c>
      <c r="S1309" t="str">
        <f>IF(ISBLANK(I1309), B1309+VLOOKUP(C1309, Lookups!$A$2:$D$10, 4, FALSE()), I1309)</f>
        <v>2026-05-28</v>
      </c>
      <c r="T1309">
        <f t="shared" si="123"/>
        <v>25</v>
      </c>
      <c r="U1309" t="str">
        <f t="shared" si="124"/>
        <v>Late</v>
      </c>
      <c r="V1309">
        <f t="shared" si="125"/>
        <v>0</v>
      </c>
    </row>
    <row r="1310" spans="1:22" x14ac:dyDescent="0.45">
      <c r="A1310" t="s">
        <v>2149</v>
      </c>
      <c r="B1310" t="s">
        <v>220</v>
      </c>
      <c r="C1310" t="s">
        <v>34</v>
      </c>
      <c r="D1310" t="s">
        <v>81</v>
      </c>
      <c r="E1310" t="s">
        <v>16</v>
      </c>
      <c r="F1310">
        <v>145</v>
      </c>
      <c r="G1310">
        <v>55328</v>
      </c>
      <c r="H1310">
        <v>8022560</v>
      </c>
      <c r="I1310" t="s">
        <v>787</v>
      </c>
      <c r="J1310" t="s">
        <v>576</v>
      </c>
      <c r="K1310">
        <v>145</v>
      </c>
      <c r="L1310">
        <v>9</v>
      </c>
      <c r="M1310" t="s">
        <v>115</v>
      </c>
      <c r="N1310" t="str">
        <f t="shared" si="120"/>
        <v>PO-101309</v>
      </c>
      <c r="O1310" t="str">
        <f t="shared" si="121"/>
        <v>Delivered</v>
      </c>
      <c r="P1310" t="str">
        <f t="shared" si="122"/>
        <v>WH-DEL</v>
      </c>
      <c r="Q1310" t="str">
        <f>VLOOKUP(C1310, Lookups!$A$2:$D$10, 2, FALSE())</f>
        <v>FastElectronics</v>
      </c>
      <c r="R1310" t="str">
        <f>_xlfn.XLOOKUP(D1310, Lookups!$A$12:$A$51, Lookups!$C$12:$C$51, "Unknown")</f>
        <v>Electronics</v>
      </c>
      <c r="S1310" t="str">
        <f>IF(ISBLANK(I1310), B1310+VLOOKUP(C1310, Lookups!$A$2:$D$10, 4, FALSE()), I1310)</f>
        <v>2026-03-04</v>
      </c>
      <c r="T1310">
        <f t="shared" si="123"/>
        <v>19</v>
      </c>
      <c r="U1310" t="str">
        <f t="shared" si="124"/>
        <v>Late</v>
      </c>
      <c r="V1310">
        <f t="shared" si="125"/>
        <v>6.2068965517241378E-2</v>
      </c>
    </row>
    <row r="1311" spans="1:22" x14ac:dyDescent="0.45">
      <c r="A1311" t="s">
        <v>2150</v>
      </c>
      <c r="B1311" t="s">
        <v>124</v>
      </c>
      <c r="C1311" t="s">
        <v>34</v>
      </c>
      <c r="D1311" t="s">
        <v>68</v>
      </c>
      <c r="E1311" t="s">
        <v>18</v>
      </c>
      <c r="F1311">
        <v>137</v>
      </c>
      <c r="G1311">
        <v>41405</v>
      </c>
      <c r="H1311">
        <v>5672485</v>
      </c>
      <c r="I1311" t="s">
        <v>194</v>
      </c>
      <c r="J1311" t="s">
        <v>194</v>
      </c>
      <c r="K1311">
        <v>137</v>
      </c>
      <c r="L1311">
        <v>0</v>
      </c>
      <c r="M1311" t="s">
        <v>178</v>
      </c>
      <c r="N1311" t="str">
        <f t="shared" si="120"/>
        <v>PO-101310</v>
      </c>
      <c r="O1311" t="str">
        <f t="shared" si="121"/>
        <v>Delivered</v>
      </c>
      <c r="P1311" t="str">
        <f t="shared" si="122"/>
        <v>WH-PUN</v>
      </c>
      <c r="Q1311" t="str">
        <f>VLOOKUP(C1311, Lookups!$A$2:$D$10, 2, FALSE())</f>
        <v>FastElectronics</v>
      </c>
      <c r="R1311" t="str">
        <f>_xlfn.XLOOKUP(D1311, Lookups!$A$12:$A$51, Lookups!$C$12:$C$51, "Unknown")</f>
        <v>Networking</v>
      </c>
      <c r="S1311" t="str">
        <f>IF(ISBLANK(I1311), B1311+VLOOKUP(C1311, Lookups!$A$2:$D$10, 4, FALSE()), I1311)</f>
        <v>2026-06-30</v>
      </c>
      <c r="T1311">
        <f t="shared" si="123"/>
        <v>18</v>
      </c>
      <c r="U1311" t="str">
        <f t="shared" si="124"/>
        <v>On-Time</v>
      </c>
      <c r="V1311">
        <f t="shared" si="125"/>
        <v>0</v>
      </c>
    </row>
    <row r="1312" spans="1:22" x14ac:dyDescent="0.45">
      <c r="A1312" t="s">
        <v>2151</v>
      </c>
      <c r="B1312" t="s">
        <v>1331</v>
      </c>
      <c r="C1312" t="s">
        <v>36</v>
      </c>
      <c r="D1312" t="s">
        <v>62</v>
      </c>
      <c r="E1312" t="s">
        <v>17</v>
      </c>
      <c r="F1312">
        <v>149</v>
      </c>
      <c r="G1312">
        <v>48478</v>
      </c>
      <c r="H1312">
        <v>7223222</v>
      </c>
      <c r="I1312" t="s">
        <v>1265</v>
      </c>
      <c r="J1312" t="s">
        <v>910</v>
      </c>
      <c r="K1312">
        <v>149</v>
      </c>
      <c r="L1312">
        <v>0</v>
      </c>
      <c r="M1312" t="s">
        <v>115</v>
      </c>
      <c r="N1312" t="str">
        <f t="shared" si="120"/>
        <v>PO-101311</v>
      </c>
      <c r="O1312" t="str">
        <f t="shared" si="121"/>
        <v>Delivered</v>
      </c>
      <c r="P1312" t="str">
        <f t="shared" si="122"/>
        <v>WH-BLR</v>
      </c>
      <c r="Q1312" t="str">
        <f>VLOOKUP(C1312, Lookups!$A$2:$D$10, 2, FALSE())</f>
        <v>NextGen Hardware</v>
      </c>
      <c r="R1312" t="str">
        <f>_xlfn.XLOOKUP(D1312, Lookups!$A$12:$A$51, Lookups!$C$12:$C$51, "Unknown")</f>
        <v>Electronics</v>
      </c>
      <c r="S1312" t="str">
        <f>IF(ISBLANK(I1312), B1312+VLOOKUP(C1312, Lookups!$A$2:$D$10, 4, FALSE()), I1312)</f>
        <v>2025-04-07</v>
      </c>
      <c r="T1312">
        <f t="shared" si="123"/>
        <v>25</v>
      </c>
      <c r="U1312" t="str">
        <f t="shared" si="124"/>
        <v>Late</v>
      </c>
      <c r="V1312">
        <f t="shared" si="125"/>
        <v>0</v>
      </c>
    </row>
    <row r="1313" spans="1:22" x14ac:dyDescent="0.45">
      <c r="A1313" t="s">
        <v>2152</v>
      </c>
      <c r="B1313" t="s">
        <v>388</v>
      </c>
      <c r="C1313" t="s">
        <v>30</v>
      </c>
      <c r="D1313" t="s">
        <v>53</v>
      </c>
      <c r="E1313" t="s">
        <v>15</v>
      </c>
      <c r="F1313">
        <v>178</v>
      </c>
      <c r="G1313">
        <v>81048</v>
      </c>
      <c r="H1313">
        <v>14426544</v>
      </c>
      <c r="I1313" t="s">
        <v>203</v>
      </c>
      <c r="J1313" t="s">
        <v>203</v>
      </c>
      <c r="K1313">
        <v>178</v>
      </c>
      <c r="L1313">
        <v>0</v>
      </c>
      <c r="M1313" t="s">
        <v>115</v>
      </c>
      <c r="N1313" t="str">
        <f t="shared" si="120"/>
        <v>PO-101312</v>
      </c>
      <c r="O1313" t="str">
        <f t="shared" si="121"/>
        <v>Delivered</v>
      </c>
      <c r="P1313" t="str">
        <f t="shared" si="122"/>
        <v>WH-BOM</v>
      </c>
      <c r="Q1313" t="str">
        <f>VLOOKUP(C1313, Lookups!$A$2:$D$10, 2, FALSE())</f>
        <v>TechSupply Corp</v>
      </c>
      <c r="R1313" t="str">
        <f>_xlfn.XLOOKUP(D1313, Lookups!$A$12:$A$51, Lookups!$C$12:$C$51, "Unknown")</f>
        <v>Electronics</v>
      </c>
      <c r="S1313" t="str">
        <f>IF(ISBLANK(I1313), B1313+VLOOKUP(C1313, Lookups!$A$2:$D$10, 4, FALSE()), I1313)</f>
        <v>2026-04-08</v>
      </c>
      <c r="T1313">
        <f t="shared" si="123"/>
        <v>14</v>
      </c>
      <c r="U1313" t="str">
        <f t="shared" si="124"/>
        <v>On-Time</v>
      </c>
      <c r="V1313">
        <f t="shared" si="125"/>
        <v>0</v>
      </c>
    </row>
    <row r="1314" spans="1:22" x14ac:dyDescent="0.45">
      <c r="A1314" t="s">
        <v>2153</v>
      </c>
      <c r="B1314" t="s">
        <v>1596</v>
      </c>
      <c r="C1314" t="s">
        <v>33</v>
      </c>
      <c r="D1314" t="s">
        <v>89</v>
      </c>
      <c r="E1314" t="s">
        <v>17</v>
      </c>
      <c r="F1314">
        <v>50</v>
      </c>
      <c r="G1314">
        <v>11309</v>
      </c>
      <c r="H1314">
        <v>565450</v>
      </c>
      <c r="I1314" t="s">
        <v>447</v>
      </c>
      <c r="J1314" t="s">
        <v>447</v>
      </c>
      <c r="K1314">
        <v>50</v>
      </c>
      <c r="L1314">
        <v>5</v>
      </c>
      <c r="M1314" t="s">
        <v>115</v>
      </c>
      <c r="N1314" t="str">
        <f t="shared" si="120"/>
        <v>PO-101313</v>
      </c>
      <c r="O1314" t="str">
        <f t="shared" si="121"/>
        <v>Delivered</v>
      </c>
      <c r="P1314" t="str">
        <f t="shared" si="122"/>
        <v>WH-BLR</v>
      </c>
      <c r="Q1314" t="str">
        <f>VLOOKUP(C1314, Lookups!$A$2:$D$10, 2, FALSE())</f>
        <v>MegaFurnish</v>
      </c>
      <c r="R1314" t="str">
        <f>_xlfn.XLOOKUP(D1314, Lookups!$A$12:$A$51, Lookups!$C$12:$C$51, "Unknown")</f>
        <v>Office Furniture</v>
      </c>
      <c r="S1314" t="str">
        <f>IF(ISBLANK(I1314), B1314+VLOOKUP(C1314, Lookups!$A$2:$D$10, 4, FALSE()), I1314)</f>
        <v>2025-12-17</v>
      </c>
      <c r="T1314">
        <f t="shared" si="123"/>
        <v>30</v>
      </c>
      <c r="U1314" t="str">
        <f t="shared" si="124"/>
        <v>On-Time</v>
      </c>
      <c r="V1314">
        <f t="shared" si="125"/>
        <v>0.1</v>
      </c>
    </row>
    <row r="1315" spans="1:22" x14ac:dyDescent="0.45">
      <c r="A1315" t="s">
        <v>2154</v>
      </c>
      <c r="B1315" t="s">
        <v>555</v>
      </c>
      <c r="C1315" t="s">
        <v>35</v>
      </c>
      <c r="D1315" t="s">
        <v>72</v>
      </c>
      <c r="E1315" t="s">
        <v>16</v>
      </c>
      <c r="F1315">
        <v>25</v>
      </c>
      <c r="G1315">
        <v>7754</v>
      </c>
      <c r="H1315">
        <v>193850</v>
      </c>
      <c r="I1315" t="s">
        <v>868</v>
      </c>
      <c r="J1315" t="s">
        <v>976</v>
      </c>
      <c r="K1315">
        <v>25</v>
      </c>
      <c r="L1315">
        <v>0</v>
      </c>
      <c r="M1315" t="s">
        <v>115</v>
      </c>
      <c r="N1315" t="str">
        <f t="shared" si="120"/>
        <v>PO-101314</v>
      </c>
      <c r="O1315" t="str">
        <f t="shared" si="121"/>
        <v>Delivered</v>
      </c>
      <c r="P1315" t="str">
        <f t="shared" si="122"/>
        <v>WH-DEL</v>
      </c>
      <c r="Q1315" t="str">
        <f>VLOOKUP(C1315, Lookups!$A$2:$D$10, 2, FALSE())</f>
        <v>Peripheral Source</v>
      </c>
      <c r="R1315" t="str">
        <f>_xlfn.XLOOKUP(D1315, Lookups!$A$12:$A$51, Lookups!$C$12:$C$51, "Unknown")</f>
        <v>Peripherals</v>
      </c>
      <c r="S1315" t="str">
        <f>IF(ISBLANK(I1315), B1315+VLOOKUP(C1315, Lookups!$A$2:$D$10, 4, FALSE()), I1315)</f>
        <v>2026-09-11</v>
      </c>
      <c r="T1315">
        <f t="shared" si="123"/>
        <v>23</v>
      </c>
      <c r="U1315" t="str">
        <f t="shared" si="124"/>
        <v>Late</v>
      </c>
      <c r="V1315">
        <f t="shared" si="125"/>
        <v>0</v>
      </c>
    </row>
    <row r="1316" spans="1:22" x14ac:dyDescent="0.45">
      <c r="A1316" t="s">
        <v>2155</v>
      </c>
      <c r="B1316" t="s">
        <v>455</v>
      </c>
      <c r="C1316" t="s">
        <v>32</v>
      </c>
      <c r="D1316" t="s">
        <v>84</v>
      </c>
      <c r="E1316" t="s">
        <v>15</v>
      </c>
      <c r="F1316">
        <v>187</v>
      </c>
      <c r="G1316">
        <v>7271</v>
      </c>
      <c r="H1316">
        <v>1359677</v>
      </c>
      <c r="I1316" t="s">
        <v>1348</v>
      </c>
      <c r="J1316" t="s">
        <v>135</v>
      </c>
      <c r="K1316">
        <v>187</v>
      </c>
      <c r="L1316">
        <v>0</v>
      </c>
      <c r="M1316" t="s">
        <v>115</v>
      </c>
      <c r="N1316" t="str">
        <f t="shared" si="120"/>
        <v>PO-101315</v>
      </c>
      <c r="O1316" t="str">
        <f t="shared" si="121"/>
        <v>Delivered</v>
      </c>
      <c r="P1316" t="str">
        <f t="shared" si="122"/>
        <v>WH-BOM</v>
      </c>
      <c r="Q1316" t="str">
        <f>VLOOKUP(C1316, Lookups!$A$2:$D$10, 2, FALSE())</f>
        <v>OfficeDepot Pro</v>
      </c>
      <c r="R1316" t="str">
        <f>_xlfn.XLOOKUP(D1316, Lookups!$A$12:$A$51, Lookups!$C$12:$C$51, "Unknown")</f>
        <v>Peripherals</v>
      </c>
      <c r="S1316" t="str">
        <f>IF(ISBLANK(I1316), B1316+VLOOKUP(C1316, Lookups!$A$2:$D$10, 4, FALSE()), I1316)</f>
        <v>2026-08-20</v>
      </c>
      <c r="T1316">
        <f t="shared" si="123"/>
        <v>20</v>
      </c>
      <c r="U1316" t="str">
        <f t="shared" si="124"/>
        <v>Late</v>
      </c>
      <c r="V1316">
        <f t="shared" si="125"/>
        <v>0</v>
      </c>
    </row>
    <row r="1317" spans="1:22" x14ac:dyDescent="0.45">
      <c r="A1317" t="s">
        <v>2156</v>
      </c>
      <c r="B1317" t="s">
        <v>591</v>
      </c>
      <c r="C1317" t="s">
        <v>30</v>
      </c>
      <c r="D1317" t="s">
        <v>61</v>
      </c>
      <c r="E1317" t="s">
        <v>16</v>
      </c>
      <c r="F1317">
        <v>73</v>
      </c>
      <c r="G1317">
        <v>111237</v>
      </c>
      <c r="H1317">
        <v>8120301</v>
      </c>
      <c r="I1317" t="s">
        <v>342</v>
      </c>
      <c r="J1317" t="s">
        <v>342</v>
      </c>
      <c r="K1317">
        <v>73</v>
      </c>
      <c r="L1317">
        <v>0</v>
      </c>
      <c r="M1317" t="s">
        <v>115</v>
      </c>
      <c r="N1317" t="str">
        <f t="shared" si="120"/>
        <v>PO-101316</v>
      </c>
      <c r="O1317" t="str">
        <f t="shared" si="121"/>
        <v>Delivered</v>
      </c>
      <c r="P1317" t="str">
        <f t="shared" si="122"/>
        <v>WH-DEL</v>
      </c>
      <c r="Q1317" t="str">
        <f>VLOOKUP(C1317, Lookups!$A$2:$D$10, 2, FALSE())</f>
        <v>TechSupply Corp</v>
      </c>
      <c r="R1317" t="str">
        <f>_xlfn.XLOOKUP(D1317, Lookups!$A$12:$A$51, Lookups!$C$12:$C$51, "Unknown")</f>
        <v>Electronics</v>
      </c>
      <c r="S1317" t="str">
        <f>IF(ISBLANK(I1317), B1317+VLOOKUP(C1317, Lookups!$A$2:$D$10, 4, FALSE()), I1317)</f>
        <v>2026-02-03</v>
      </c>
      <c r="T1317">
        <f t="shared" si="123"/>
        <v>14</v>
      </c>
      <c r="U1317" t="str">
        <f t="shared" si="124"/>
        <v>On-Time</v>
      </c>
      <c r="V1317">
        <f t="shared" si="125"/>
        <v>0</v>
      </c>
    </row>
    <row r="1318" spans="1:22" x14ac:dyDescent="0.45">
      <c r="A1318" t="s">
        <v>2157</v>
      </c>
      <c r="B1318" t="s">
        <v>497</v>
      </c>
      <c r="C1318" t="s">
        <v>34</v>
      </c>
      <c r="D1318" t="s">
        <v>54</v>
      </c>
      <c r="E1318" t="s">
        <v>15</v>
      </c>
      <c r="F1318">
        <v>39</v>
      </c>
      <c r="G1318">
        <v>22314</v>
      </c>
      <c r="H1318">
        <v>870246</v>
      </c>
      <c r="I1318" t="s">
        <v>397</v>
      </c>
      <c r="J1318" t="s">
        <v>397</v>
      </c>
      <c r="K1318">
        <v>39</v>
      </c>
      <c r="L1318">
        <v>0</v>
      </c>
      <c r="M1318" t="s">
        <v>115</v>
      </c>
      <c r="N1318" t="str">
        <f t="shared" si="120"/>
        <v>PO-101317</v>
      </c>
      <c r="O1318" t="str">
        <f t="shared" si="121"/>
        <v>Delivered</v>
      </c>
      <c r="P1318" t="str">
        <f t="shared" si="122"/>
        <v>WH-BOM</v>
      </c>
      <c r="Q1318" t="str">
        <f>VLOOKUP(C1318, Lookups!$A$2:$D$10, 2, FALSE())</f>
        <v>FastElectronics</v>
      </c>
      <c r="R1318" t="str">
        <f>_xlfn.XLOOKUP(D1318, Lookups!$A$12:$A$51, Lookups!$C$12:$C$51, "Unknown")</f>
        <v>Networking</v>
      </c>
      <c r="S1318" t="str">
        <f>IF(ISBLANK(I1318), B1318+VLOOKUP(C1318, Lookups!$A$2:$D$10, 4, FALSE()), I1318)</f>
        <v>2025-04-06</v>
      </c>
      <c r="T1318">
        <f t="shared" si="123"/>
        <v>18</v>
      </c>
      <c r="U1318" t="str">
        <f t="shared" si="124"/>
        <v>On-Time</v>
      </c>
      <c r="V1318">
        <f t="shared" si="125"/>
        <v>0</v>
      </c>
    </row>
    <row r="1319" spans="1:22" x14ac:dyDescent="0.45">
      <c r="A1319" t="s">
        <v>2158</v>
      </c>
      <c r="B1319" t="s">
        <v>585</v>
      </c>
      <c r="C1319" t="s">
        <v>35</v>
      </c>
      <c r="D1319" t="s">
        <v>72</v>
      </c>
      <c r="E1319" t="s">
        <v>18</v>
      </c>
      <c r="F1319">
        <v>127</v>
      </c>
      <c r="G1319">
        <v>7754</v>
      </c>
      <c r="H1319">
        <v>984758</v>
      </c>
      <c r="I1319" t="s">
        <v>894</v>
      </c>
      <c r="J1319" t="s">
        <v>272</v>
      </c>
      <c r="K1319">
        <v>127</v>
      </c>
      <c r="L1319">
        <v>0</v>
      </c>
      <c r="M1319" t="s">
        <v>115</v>
      </c>
      <c r="N1319" t="str">
        <f t="shared" si="120"/>
        <v>PO-101318</v>
      </c>
      <c r="O1319" t="str">
        <f t="shared" si="121"/>
        <v>Delivered</v>
      </c>
      <c r="P1319" t="str">
        <f t="shared" si="122"/>
        <v>WH-PUN</v>
      </c>
      <c r="Q1319" t="str">
        <f>VLOOKUP(C1319, Lookups!$A$2:$D$10, 2, FALSE())</f>
        <v>Peripheral Source</v>
      </c>
      <c r="R1319" t="str">
        <f>_xlfn.XLOOKUP(D1319, Lookups!$A$12:$A$51, Lookups!$C$12:$C$51, "Unknown")</f>
        <v>Peripherals</v>
      </c>
      <c r="S1319" t="str">
        <f>IF(ISBLANK(I1319), B1319+VLOOKUP(C1319, Lookups!$A$2:$D$10, 4, FALSE()), I1319)</f>
        <v>2025-08-01</v>
      </c>
      <c r="T1319">
        <f t="shared" si="123"/>
        <v>22</v>
      </c>
      <c r="U1319" t="str">
        <f t="shared" si="124"/>
        <v>Late</v>
      </c>
      <c r="V1319">
        <f t="shared" si="125"/>
        <v>0</v>
      </c>
    </row>
    <row r="1320" spans="1:22" x14ac:dyDescent="0.45">
      <c r="A1320" t="s">
        <v>2159</v>
      </c>
      <c r="B1320" t="s">
        <v>703</v>
      </c>
      <c r="C1320" t="s">
        <v>34</v>
      </c>
      <c r="D1320" t="s">
        <v>81</v>
      </c>
      <c r="E1320" t="s">
        <v>15</v>
      </c>
      <c r="F1320">
        <v>91</v>
      </c>
      <c r="G1320">
        <v>55328</v>
      </c>
      <c r="H1320">
        <v>5034848</v>
      </c>
      <c r="I1320" t="s">
        <v>510</v>
      </c>
      <c r="J1320" t="s">
        <v>631</v>
      </c>
      <c r="K1320">
        <v>91</v>
      </c>
      <c r="L1320">
        <v>0</v>
      </c>
      <c r="M1320" t="s">
        <v>115</v>
      </c>
      <c r="N1320" t="str">
        <f t="shared" si="120"/>
        <v>PO-101319</v>
      </c>
      <c r="O1320" t="str">
        <f t="shared" si="121"/>
        <v>Delivered</v>
      </c>
      <c r="P1320" t="str">
        <f t="shared" si="122"/>
        <v>WH-BOM</v>
      </c>
      <c r="Q1320" t="str">
        <f>VLOOKUP(C1320, Lookups!$A$2:$D$10, 2, FALSE())</f>
        <v>FastElectronics</v>
      </c>
      <c r="R1320" t="str">
        <f>_xlfn.XLOOKUP(D1320, Lookups!$A$12:$A$51, Lookups!$C$12:$C$51, "Unknown")</f>
        <v>Electronics</v>
      </c>
      <c r="S1320" t="str">
        <f>IF(ISBLANK(I1320), B1320+VLOOKUP(C1320, Lookups!$A$2:$D$10, 4, FALSE()), I1320)</f>
        <v>2026-06-26</v>
      </c>
      <c r="T1320">
        <f t="shared" si="123"/>
        <v>19</v>
      </c>
      <c r="U1320" t="str">
        <f t="shared" si="124"/>
        <v>Late</v>
      </c>
      <c r="V1320">
        <f t="shared" si="125"/>
        <v>0</v>
      </c>
    </row>
    <row r="1321" spans="1:22" x14ac:dyDescent="0.45">
      <c r="A1321" t="s">
        <v>2160</v>
      </c>
      <c r="B1321" t="s">
        <v>580</v>
      </c>
      <c r="C1321" t="s">
        <v>34</v>
      </c>
      <c r="D1321" t="s">
        <v>81</v>
      </c>
      <c r="E1321" t="s">
        <v>17</v>
      </c>
      <c r="F1321">
        <v>100</v>
      </c>
      <c r="G1321">
        <v>55328</v>
      </c>
      <c r="H1321">
        <v>5532800</v>
      </c>
      <c r="I1321" t="s">
        <v>1416</v>
      </c>
      <c r="J1321" t="s">
        <v>709</v>
      </c>
      <c r="K1321">
        <v>100</v>
      </c>
      <c r="L1321">
        <v>0</v>
      </c>
      <c r="M1321" t="s">
        <v>115</v>
      </c>
      <c r="N1321" t="str">
        <f t="shared" si="120"/>
        <v>PO-101320</v>
      </c>
      <c r="O1321" t="str">
        <f t="shared" si="121"/>
        <v>Delivered</v>
      </c>
      <c r="P1321" t="str">
        <f t="shared" si="122"/>
        <v>WH-BLR</v>
      </c>
      <c r="Q1321" t="str">
        <f>VLOOKUP(C1321, Lookups!$A$2:$D$10, 2, FALSE())</f>
        <v>FastElectronics</v>
      </c>
      <c r="R1321" t="str">
        <f>_xlfn.XLOOKUP(D1321, Lookups!$A$12:$A$51, Lookups!$C$12:$C$51, "Unknown")</f>
        <v>Electronics</v>
      </c>
      <c r="S1321" t="str">
        <f>IF(ISBLANK(I1321), B1321+VLOOKUP(C1321, Lookups!$A$2:$D$10, 4, FALSE()), I1321)</f>
        <v>2026-01-30</v>
      </c>
      <c r="T1321">
        <f t="shared" si="123"/>
        <v>19</v>
      </c>
      <c r="U1321" t="str">
        <f t="shared" si="124"/>
        <v>Late</v>
      </c>
      <c r="V1321">
        <f t="shared" si="125"/>
        <v>0</v>
      </c>
    </row>
    <row r="1322" spans="1:22" x14ac:dyDescent="0.45">
      <c r="A1322" t="s">
        <v>2161</v>
      </c>
      <c r="B1322" t="s">
        <v>261</v>
      </c>
      <c r="C1322" t="s">
        <v>35</v>
      </c>
      <c r="D1322" t="s">
        <v>75</v>
      </c>
      <c r="E1322" t="s">
        <v>15</v>
      </c>
      <c r="F1322">
        <v>238</v>
      </c>
      <c r="G1322">
        <v>4440</v>
      </c>
      <c r="H1322">
        <v>1056720</v>
      </c>
      <c r="I1322" t="s">
        <v>1080</v>
      </c>
      <c r="J1322" t="s">
        <v>1080</v>
      </c>
      <c r="K1322">
        <v>238</v>
      </c>
      <c r="L1322">
        <v>0</v>
      </c>
      <c r="M1322" t="s">
        <v>115</v>
      </c>
      <c r="N1322" t="str">
        <f t="shared" si="120"/>
        <v>PO-101321</v>
      </c>
      <c r="O1322" t="str">
        <f t="shared" si="121"/>
        <v>Delivered</v>
      </c>
      <c r="P1322" t="str">
        <f t="shared" si="122"/>
        <v>WH-BOM</v>
      </c>
      <c r="Q1322" t="str">
        <f>VLOOKUP(C1322, Lookups!$A$2:$D$10, 2, FALSE())</f>
        <v>Peripheral Source</v>
      </c>
      <c r="R1322" t="str">
        <f>_xlfn.XLOOKUP(D1322, Lookups!$A$12:$A$51, Lookups!$C$12:$C$51, "Unknown")</f>
        <v>Peripherals</v>
      </c>
      <c r="S1322" t="str">
        <f>IF(ISBLANK(I1322), B1322+VLOOKUP(C1322, Lookups!$A$2:$D$10, 4, FALSE()), I1322)</f>
        <v>2026-01-25</v>
      </c>
      <c r="T1322">
        <f t="shared" si="123"/>
        <v>10</v>
      </c>
      <c r="U1322" t="str">
        <f t="shared" si="124"/>
        <v>On-Time</v>
      </c>
      <c r="V1322">
        <f t="shared" si="125"/>
        <v>0</v>
      </c>
    </row>
    <row r="1323" spans="1:22" x14ac:dyDescent="0.45">
      <c r="A1323" t="s">
        <v>2162</v>
      </c>
      <c r="B1323" t="s">
        <v>225</v>
      </c>
      <c r="C1323" t="s">
        <v>35</v>
      </c>
      <c r="D1323" t="s">
        <v>57</v>
      </c>
      <c r="E1323" t="s">
        <v>18</v>
      </c>
      <c r="F1323">
        <v>39</v>
      </c>
      <c r="G1323">
        <v>2212</v>
      </c>
      <c r="H1323">
        <v>86268</v>
      </c>
      <c r="I1323" t="s">
        <v>1044</v>
      </c>
      <c r="J1323" t="s">
        <v>1295</v>
      </c>
      <c r="K1323">
        <v>39</v>
      </c>
      <c r="L1323">
        <v>0</v>
      </c>
      <c r="M1323" t="s">
        <v>115</v>
      </c>
      <c r="N1323" t="str">
        <f t="shared" si="120"/>
        <v>PO-101322</v>
      </c>
      <c r="O1323" t="str">
        <f t="shared" si="121"/>
        <v>Delivered</v>
      </c>
      <c r="P1323" t="str">
        <f t="shared" si="122"/>
        <v>WH-PUN</v>
      </c>
      <c r="Q1323" t="str">
        <f>VLOOKUP(C1323, Lookups!$A$2:$D$10, 2, FALSE())</f>
        <v>Peripheral Source</v>
      </c>
      <c r="R1323" t="str">
        <f>_xlfn.XLOOKUP(D1323, Lookups!$A$12:$A$51, Lookups!$C$12:$C$51, "Unknown")</f>
        <v>Peripherals</v>
      </c>
      <c r="S1323" t="str">
        <f>IF(ISBLANK(I1323), B1323+VLOOKUP(C1323, Lookups!$A$2:$D$10, 4, FALSE()), I1323)</f>
        <v>2026-08-10</v>
      </c>
      <c r="T1323">
        <f t="shared" si="123"/>
        <v>11</v>
      </c>
      <c r="U1323" t="str">
        <f t="shared" si="124"/>
        <v>Late</v>
      </c>
      <c r="V1323">
        <f t="shared" si="125"/>
        <v>0</v>
      </c>
    </row>
    <row r="1324" spans="1:22" x14ac:dyDescent="0.45">
      <c r="A1324" t="s">
        <v>2163</v>
      </c>
      <c r="B1324" t="s">
        <v>246</v>
      </c>
      <c r="C1324" t="s">
        <v>31</v>
      </c>
      <c r="D1324" t="s">
        <v>56</v>
      </c>
      <c r="E1324" t="s">
        <v>16</v>
      </c>
      <c r="F1324">
        <v>169</v>
      </c>
      <c r="G1324">
        <v>39270</v>
      </c>
      <c r="H1324">
        <v>6636630</v>
      </c>
      <c r="I1324" t="s">
        <v>370</v>
      </c>
      <c r="J1324" t="s">
        <v>370</v>
      </c>
      <c r="K1324">
        <v>169</v>
      </c>
      <c r="L1324">
        <v>0</v>
      </c>
      <c r="M1324" t="s">
        <v>115</v>
      </c>
      <c r="N1324" t="str">
        <f t="shared" si="120"/>
        <v>PO-101323</v>
      </c>
      <c r="O1324" t="str">
        <f t="shared" si="121"/>
        <v>Delivered</v>
      </c>
      <c r="P1324" t="str">
        <f t="shared" si="122"/>
        <v>WH-DEL</v>
      </c>
      <c r="Q1324" t="str">
        <f>VLOOKUP(C1324, Lookups!$A$2:$D$10, 2, FALSE())</f>
        <v>Global Networks</v>
      </c>
      <c r="R1324" t="str">
        <f>_xlfn.XLOOKUP(D1324, Lookups!$A$12:$A$51, Lookups!$C$12:$C$51, "Unknown")</f>
        <v>Networking</v>
      </c>
      <c r="S1324" t="str">
        <f>IF(ISBLANK(I1324), B1324+VLOOKUP(C1324, Lookups!$A$2:$D$10, 4, FALSE()), I1324)</f>
        <v>2025-11-11</v>
      </c>
      <c r="T1324">
        <f t="shared" si="123"/>
        <v>21</v>
      </c>
      <c r="U1324" t="str">
        <f t="shared" si="124"/>
        <v>On-Time</v>
      </c>
      <c r="V1324">
        <f t="shared" si="125"/>
        <v>0</v>
      </c>
    </row>
    <row r="1325" spans="1:22" x14ac:dyDescent="0.45">
      <c r="A1325" t="s">
        <v>2164</v>
      </c>
      <c r="B1325" t="s">
        <v>903</v>
      </c>
      <c r="C1325" t="s">
        <v>35</v>
      </c>
      <c r="D1325" t="s">
        <v>75</v>
      </c>
      <c r="E1325" t="s">
        <v>16</v>
      </c>
      <c r="F1325">
        <v>217</v>
      </c>
      <c r="G1325">
        <v>4440</v>
      </c>
      <c r="H1325">
        <v>963480</v>
      </c>
      <c r="I1325" t="s">
        <v>737</v>
      </c>
      <c r="J1325" t="s">
        <v>1101</v>
      </c>
      <c r="K1325">
        <v>217</v>
      </c>
      <c r="L1325">
        <v>0</v>
      </c>
      <c r="M1325" t="s">
        <v>115</v>
      </c>
      <c r="N1325" t="str">
        <f t="shared" si="120"/>
        <v>PO-101324</v>
      </c>
      <c r="O1325" t="str">
        <f t="shared" si="121"/>
        <v>Delivered</v>
      </c>
      <c r="P1325" t="str">
        <f t="shared" si="122"/>
        <v>WH-DEL</v>
      </c>
      <c r="Q1325" t="str">
        <f>VLOOKUP(C1325, Lookups!$A$2:$D$10, 2, FALSE())</f>
        <v>Peripheral Source</v>
      </c>
      <c r="R1325" t="str">
        <f>_xlfn.XLOOKUP(D1325, Lookups!$A$12:$A$51, Lookups!$C$12:$C$51, "Unknown")</f>
        <v>Peripherals</v>
      </c>
      <c r="S1325" t="str">
        <f>IF(ISBLANK(I1325), B1325+VLOOKUP(C1325, Lookups!$A$2:$D$10, 4, FALSE()), I1325)</f>
        <v>2026-11-20</v>
      </c>
      <c r="T1325">
        <f t="shared" si="123"/>
        <v>11</v>
      </c>
      <c r="U1325" t="str">
        <f t="shared" si="124"/>
        <v>Late</v>
      </c>
      <c r="V1325">
        <f t="shared" si="125"/>
        <v>0</v>
      </c>
    </row>
    <row r="1326" spans="1:22" x14ac:dyDescent="0.45">
      <c r="A1326" t="s">
        <v>2165</v>
      </c>
      <c r="B1326" t="s">
        <v>670</v>
      </c>
      <c r="C1326" t="s">
        <v>32</v>
      </c>
      <c r="D1326" t="s">
        <v>84</v>
      </c>
      <c r="E1326" t="s">
        <v>16</v>
      </c>
      <c r="F1326">
        <v>208</v>
      </c>
      <c r="G1326">
        <v>7271</v>
      </c>
      <c r="H1326">
        <v>1512368</v>
      </c>
      <c r="I1326" t="s">
        <v>736</v>
      </c>
      <c r="J1326" t="s">
        <v>182</v>
      </c>
      <c r="K1326">
        <v>208</v>
      </c>
      <c r="L1326">
        <v>0</v>
      </c>
      <c r="M1326" t="s">
        <v>115</v>
      </c>
      <c r="N1326" t="str">
        <f t="shared" si="120"/>
        <v>PO-101325</v>
      </c>
      <c r="O1326" t="str">
        <f t="shared" si="121"/>
        <v>Delivered</v>
      </c>
      <c r="P1326" t="str">
        <f t="shared" si="122"/>
        <v>WH-DEL</v>
      </c>
      <c r="Q1326" t="str">
        <f>VLOOKUP(C1326, Lookups!$A$2:$D$10, 2, FALSE())</f>
        <v>OfficeDepot Pro</v>
      </c>
      <c r="R1326" t="str">
        <f>_xlfn.XLOOKUP(D1326, Lookups!$A$12:$A$51, Lookups!$C$12:$C$51, "Unknown")</f>
        <v>Peripherals</v>
      </c>
      <c r="S1326" t="str">
        <f>IF(ISBLANK(I1326), B1326+VLOOKUP(C1326, Lookups!$A$2:$D$10, 4, FALSE()), I1326)</f>
        <v>2026-10-30</v>
      </c>
      <c r="T1326">
        <f t="shared" si="123"/>
        <v>8</v>
      </c>
      <c r="U1326" t="str">
        <f t="shared" si="124"/>
        <v>Late</v>
      </c>
      <c r="V1326">
        <f t="shared" si="125"/>
        <v>0</v>
      </c>
    </row>
    <row r="1327" spans="1:22" x14ac:dyDescent="0.45">
      <c r="A1327" t="s">
        <v>2166</v>
      </c>
      <c r="B1327" t="s">
        <v>476</v>
      </c>
      <c r="C1327" t="s">
        <v>35</v>
      </c>
      <c r="D1327" t="s">
        <v>91</v>
      </c>
      <c r="E1327" t="s">
        <v>16</v>
      </c>
      <c r="F1327">
        <v>33</v>
      </c>
      <c r="G1327">
        <v>6707</v>
      </c>
      <c r="H1327">
        <v>221331</v>
      </c>
      <c r="I1327" t="s">
        <v>300</v>
      </c>
      <c r="J1327" t="s">
        <v>562</v>
      </c>
      <c r="K1327">
        <v>33</v>
      </c>
      <c r="L1327">
        <v>0</v>
      </c>
      <c r="M1327" t="s">
        <v>115</v>
      </c>
      <c r="N1327" t="str">
        <f t="shared" si="120"/>
        <v>PO-101326</v>
      </c>
      <c r="O1327" t="str">
        <f t="shared" si="121"/>
        <v>Delivered</v>
      </c>
      <c r="P1327" t="str">
        <f t="shared" si="122"/>
        <v>WH-DEL</v>
      </c>
      <c r="Q1327" t="str">
        <f>VLOOKUP(C1327, Lookups!$A$2:$D$10, 2, FALSE())</f>
        <v>Peripheral Source</v>
      </c>
      <c r="R1327" t="str">
        <f>_xlfn.XLOOKUP(D1327, Lookups!$A$12:$A$51, Lookups!$C$12:$C$51, "Unknown")</f>
        <v>Peripherals</v>
      </c>
      <c r="S1327" t="str">
        <f>IF(ISBLANK(I1327), B1327+VLOOKUP(C1327, Lookups!$A$2:$D$10, 4, FALSE()), I1327)</f>
        <v>2025-03-20</v>
      </c>
      <c r="T1327">
        <f t="shared" si="123"/>
        <v>11</v>
      </c>
      <c r="U1327" t="str">
        <f t="shared" si="124"/>
        <v>Late</v>
      </c>
      <c r="V1327">
        <f t="shared" si="125"/>
        <v>0</v>
      </c>
    </row>
    <row r="1328" spans="1:22" x14ac:dyDescent="0.45">
      <c r="A1328" t="s">
        <v>2167</v>
      </c>
      <c r="B1328" t="s">
        <v>755</v>
      </c>
      <c r="C1328" t="s">
        <v>30</v>
      </c>
      <c r="D1328" t="s">
        <v>61</v>
      </c>
      <c r="E1328" t="s">
        <v>15</v>
      </c>
      <c r="F1328">
        <v>215</v>
      </c>
      <c r="G1328">
        <v>111237</v>
      </c>
      <c r="H1328">
        <v>23915955</v>
      </c>
      <c r="I1328" t="s">
        <v>400</v>
      </c>
      <c r="J1328" t="s">
        <v>1597</v>
      </c>
      <c r="K1328">
        <v>215</v>
      </c>
      <c r="L1328">
        <v>0</v>
      </c>
      <c r="M1328" t="s">
        <v>115</v>
      </c>
      <c r="N1328" t="str">
        <f t="shared" si="120"/>
        <v>PO-101327</v>
      </c>
      <c r="O1328" t="str">
        <f t="shared" si="121"/>
        <v>Delivered</v>
      </c>
      <c r="P1328" t="str">
        <f t="shared" si="122"/>
        <v>WH-BOM</v>
      </c>
      <c r="Q1328" t="str">
        <f>VLOOKUP(C1328, Lookups!$A$2:$D$10, 2, FALSE())</f>
        <v>TechSupply Corp</v>
      </c>
      <c r="R1328" t="str">
        <f>_xlfn.XLOOKUP(D1328, Lookups!$A$12:$A$51, Lookups!$C$12:$C$51, "Unknown")</f>
        <v>Electronics</v>
      </c>
      <c r="S1328" t="str">
        <f>IF(ISBLANK(I1328), B1328+VLOOKUP(C1328, Lookups!$A$2:$D$10, 4, FALSE()), I1328)</f>
        <v>2025-12-08</v>
      </c>
      <c r="T1328">
        <f t="shared" si="123"/>
        <v>11</v>
      </c>
      <c r="U1328" t="str">
        <f t="shared" si="124"/>
        <v>On-Time</v>
      </c>
      <c r="V1328">
        <f t="shared" si="125"/>
        <v>0</v>
      </c>
    </row>
    <row r="1329" spans="1:22" x14ac:dyDescent="0.45">
      <c r="A1329" t="s">
        <v>2168</v>
      </c>
      <c r="B1329" t="s">
        <v>658</v>
      </c>
      <c r="C1329" t="s">
        <v>34</v>
      </c>
      <c r="D1329" t="s">
        <v>68</v>
      </c>
      <c r="E1329" t="s">
        <v>18</v>
      </c>
      <c r="F1329">
        <v>61</v>
      </c>
      <c r="G1329">
        <v>41405</v>
      </c>
      <c r="H1329">
        <v>2525705</v>
      </c>
      <c r="I1329" t="s">
        <v>846</v>
      </c>
      <c r="J1329" t="s">
        <v>182</v>
      </c>
      <c r="K1329">
        <v>61</v>
      </c>
      <c r="L1329">
        <v>0</v>
      </c>
      <c r="M1329" t="s">
        <v>115</v>
      </c>
      <c r="N1329" t="str">
        <f t="shared" si="120"/>
        <v>PO-101328</v>
      </c>
      <c r="O1329" t="str">
        <f t="shared" si="121"/>
        <v>Delivered</v>
      </c>
      <c r="P1329" t="str">
        <f t="shared" si="122"/>
        <v>WH-PUN</v>
      </c>
      <c r="Q1329" t="str">
        <f>VLOOKUP(C1329, Lookups!$A$2:$D$10, 2, FALSE())</f>
        <v>FastElectronics</v>
      </c>
      <c r="R1329" t="str">
        <f>_xlfn.XLOOKUP(D1329, Lookups!$A$12:$A$51, Lookups!$C$12:$C$51, "Unknown")</f>
        <v>Networking</v>
      </c>
      <c r="S1329" t="str">
        <f>IF(ISBLANK(I1329), B1329+VLOOKUP(C1329, Lookups!$A$2:$D$10, 4, FALSE()), I1329)</f>
        <v>2026-10-18</v>
      </c>
      <c r="T1329">
        <f t="shared" si="123"/>
        <v>31</v>
      </c>
      <c r="U1329" t="str">
        <f t="shared" si="124"/>
        <v>Late</v>
      </c>
      <c r="V1329">
        <f t="shared" si="125"/>
        <v>0</v>
      </c>
    </row>
    <row r="1330" spans="1:22" x14ac:dyDescent="0.45">
      <c r="A1330" t="s">
        <v>2169</v>
      </c>
      <c r="B1330" t="s">
        <v>186</v>
      </c>
      <c r="C1330" t="s">
        <v>31</v>
      </c>
      <c r="D1330" t="s">
        <v>64</v>
      </c>
      <c r="E1330" t="s">
        <v>17</v>
      </c>
      <c r="F1330">
        <v>184</v>
      </c>
      <c r="G1330">
        <v>36295</v>
      </c>
      <c r="H1330">
        <v>6678280</v>
      </c>
      <c r="I1330" t="s">
        <v>562</v>
      </c>
      <c r="J1330" t="s">
        <v>562</v>
      </c>
      <c r="K1330">
        <v>184</v>
      </c>
      <c r="L1330">
        <v>0</v>
      </c>
      <c r="M1330" t="s">
        <v>115</v>
      </c>
      <c r="N1330" t="str">
        <f t="shared" si="120"/>
        <v>PO-101329</v>
      </c>
      <c r="O1330" t="str">
        <f t="shared" si="121"/>
        <v>Delivered</v>
      </c>
      <c r="P1330" t="str">
        <f t="shared" si="122"/>
        <v>WH-BLR</v>
      </c>
      <c r="Q1330" t="str">
        <f>VLOOKUP(C1330, Lookups!$A$2:$D$10, 2, FALSE())</f>
        <v>Global Networks</v>
      </c>
      <c r="R1330" t="str">
        <f>_xlfn.XLOOKUP(D1330, Lookups!$A$12:$A$51, Lookups!$C$12:$C$51, "Unknown")</f>
        <v>Networking</v>
      </c>
      <c r="S1330" t="str">
        <f>IF(ISBLANK(I1330), B1330+VLOOKUP(C1330, Lookups!$A$2:$D$10, 4, FALSE()), I1330)</f>
        <v>2025-03-21</v>
      </c>
      <c r="T1330">
        <f t="shared" si="123"/>
        <v>21</v>
      </c>
      <c r="U1330" t="str">
        <f t="shared" si="124"/>
        <v>On-Time</v>
      </c>
      <c r="V1330">
        <f t="shared" si="125"/>
        <v>0</v>
      </c>
    </row>
    <row r="1331" spans="1:22" x14ac:dyDescent="0.45">
      <c r="A1331" t="s">
        <v>2170</v>
      </c>
      <c r="B1331" t="s">
        <v>1639</v>
      </c>
      <c r="C1331" t="s">
        <v>35</v>
      </c>
      <c r="D1331" t="s">
        <v>70</v>
      </c>
      <c r="E1331" t="s">
        <v>17</v>
      </c>
      <c r="F1331">
        <v>12</v>
      </c>
      <c r="G1331">
        <v>4287</v>
      </c>
      <c r="H1331">
        <v>51444</v>
      </c>
      <c r="I1331" t="s">
        <v>1442</v>
      </c>
      <c r="J1331" t="s">
        <v>1442</v>
      </c>
      <c r="K1331">
        <v>12</v>
      </c>
      <c r="L1331">
        <v>0</v>
      </c>
      <c r="M1331" t="s">
        <v>115</v>
      </c>
      <c r="N1331" t="str">
        <f t="shared" si="120"/>
        <v>PO-101330</v>
      </c>
      <c r="O1331" t="str">
        <f t="shared" si="121"/>
        <v>Delivered</v>
      </c>
      <c r="P1331" t="str">
        <f t="shared" si="122"/>
        <v>WH-BLR</v>
      </c>
      <c r="Q1331" t="str">
        <f>VLOOKUP(C1331, Lookups!$A$2:$D$10, 2, FALSE())</f>
        <v>Peripheral Source</v>
      </c>
      <c r="R1331" t="str">
        <f>_xlfn.XLOOKUP(D1331, Lookups!$A$12:$A$51, Lookups!$C$12:$C$51, "Unknown")</f>
        <v>Peripherals</v>
      </c>
      <c r="S1331" t="str">
        <f>IF(ISBLANK(I1331), B1331+VLOOKUP(C1331, Lookups!$A$2:$D$10, 4, FALSE()), I1331)</f>
        <v>2025-07-02</v>
      </c>
      <c r="T1331">
        <f t="shared" si="123"/>
        <v>10</v>
      </c>
      <c r="U1331" t="str">
        <f t="shared" si="124"/>
        <v>On-Time</v>
      </c>
      <c r="V1331">
        <f t="shared" si="125"/>
        <v>0</v>
      </c>
    </row>
    <row r="1332" spans="1:22" x14ac:dyDescent="0.45">
      <c r="A1332" t="s">
        <v>2171</v>
      </c>
      <c r="B1332" t="s">
        <v>887</v>
      </c>
      <c r="C1332" t="s">
        <v>31</v>
      </c>
      <c r="D1332" t="s">
        <v>66</v>
      </c>
      <c r="E1332" t="s">
        <v>17</v>
      </c>
      <c r="F1332">
        <v>174</v>
      </c>
      <c r="G1332">
        <v>29719</v>
      </c>
      <c r="H1332">
        <v>5171106</v>
      </c>
      <c r="I1332" t="s">
        <v>150</v>
      </c>
      <c r="J1332" t="s">
        <v>150</v>
      </c>
      <c r="K1332">
        <v>174</v>
      </c>
      <c r="L1332">
        <v>0</v>
      </c>
      <c r="M1332" t="s">
        <v>115</v>
      </c>
      <c r="N1332" t="str">
        <f t="shared" si="120"/>
        <v>PO-101331</v>
      </c>
      <c r="O1332" t="str">
        <f t="shared" si="121"/>
        <v>Delivered</v>
      </c>
      <c r="P1332" t="str">
        <f t="shared" si="122"/>
        <v>WH-BLR</v>
      </c>
      <c r="Q1332" t="str">
        <f>VLOOKUP(C1332, Lookups!$A$2:$D$10, 2, FALSE())</f>
        <v>Global Networks</v>
      </c>
      <c r="R1332" t="str">
        <f>_xlfn.XLOOKUP(D1332, Lookups!$A$12:$A$51, Lookups!$C$12:$C$51, "Unknown")</f>
        <v>Networking</v>
      </c>
      <c r="S1332" t="str">
        <f>IF(ISBLANK(I1332), B1332+VLOOKUP(C1332, Lookups!$A$2:$D$10, 4, FALSE()), I1332)</f>
        <v>2026-04-13</v>
      </c>
      <c r="T1332">
        <f t="shared" si="123"/>
        <v>21</v>
      </c>
      <c r="U1332" t="str">
        <f t="shared" si="124"/>
        <v>On-Time</v>
      </c>
      <c r="V1332">
        <f t="shared" si="125"/>
        <v>0</v>
      </c>
    </row>
    <row r="1333" spans="1:22" x14ac:dyDescent="0.45">
      <c r="A1333" t="s">
        <v>2172</v>
      </c>
      <c r="B1333" t="s">
        <v>1142</v>
      </c>
      <c r="C1333" t="s">
        <v>36</v>
      </c>
      <c r="D1333" t="s">
        <v>87</v>
      </c>
      <c r="E1333" t="s">
        <v>15</v>
      </c>
      <c r="F1333">
        <v>102</v>
      </c>
      <c r="G1333">
        <v>82930</v>
      </c>
      <c r="H1333">
        <v>8458860</v>
      </c>
      <c r="I1333" t="s">
        <v>805</v>
      </c>
      <c r="J1333" t="s">
        <v>805</v>
      </c>
      <c r="K1333">
        <v>102</v>
      </c>
      <c r="L1333">
        <v>0</v>
      </c>
      <c r="M1333" t="s">
        <v>115</v>
      </c>
      <c r="N1333" t="str">
        <f t="shared" si="120"/>
        <v>PO-101332</v>
      </c>
      <c r="O1333" t="str">
        <f t="shared" si="121"/>
        <v>Delivered</v>
      </c>
      <c r="P1333" t="str">
        <f t="shared" si="122"/>
        <v>WH-BOM</v>
      </c>
      <c r="Q1333" t="str">
        <f>VLOOKUP(C1333, Lookups!$A$2:$D$10, 2, FALSE())</f>
        <v>NextGen Hardware</v>
      </c>
      <c r="R1333" t="str">
        <f>_xlfn.XLOOKUP(D1333, Lookups!$A$12:$A$51, Lookups!$C$12:$C$51, "Unknown")</f>
        <v>Electronics</v>
      </c>
      <c r="S1333" t="str">
        <f>IF(ISBLANK(I1333), B1333+VLOOKUP(C1333, Lookups!$A$2:$D$10, 4, FALSE()), I1333)</f>
        <v>2025-04-25</v>
      </c>
      <c r="T1333">
        <f t="shared" si="123"/>
        <v>24</v>
      </c>
      <c r="U1333" t="str">
        <f t="shared" si="124"/>
        <v>On-Time</v>
      </c>
      <c r="V1333">
        <f t="shared" si="125"/>
        <v>0</v>
      </c>
    </row>
    <row r="1334" spans="1:22" x14ac:dyDescent="0.45">
      <c r="A1334" t="s">
        <v>2173</v>
      </c>
      <c r="B1334" t="s">
        <v>1348</v>
      </c>
      <c r="C1334" t="s">
        <v>30</v>
      </c>
      <c r="D1334" t="s">
        <v>88</v>
      </c>
      <c r="E1334" t="s">
        <v>15</v>
      </c>
      <c r="F1334">
        <v>191</v>
      </c>
      <c r="G1334">
        <v>75512</v>
      </c>
      <c r="H1334">
        <v>14422792</v>
      </c>
      <c r="I1334" t="s">
        <v>134</v>
      </c>
      <c r="J1334" t="s">
        <v>494</v>
      </c>
      <c r="K1334">
        <v>191</v>
      </c>
      <c r="L1334">
        <v>0</v>
      </c>
      <c r="M1334" t="s">
        <v>115</v>
      </c>
      <c r="N1334" t="str">
        <f t="shared" si="120"/>
        <v>PO-101333</v>
      </c>
      <c r="O1334" t="str">
        <f t="shared" si="121"/>
        <v>Delivered</v>
      </c>
      <c r="P1334" t="str">
        <f t="shared" si="122"/>
        <v>WH-BOM</v>
      </c>
      <c r="Q1334" t="str">
        <f>VLOOKUP(C1334, Lookups!$A$2:$D$10, 2, FALSE())</f>
        <v>TechSupply Corp</v>
      </c>
      <c r="R1334" t="str">
        <f>_xlfn.XLOOKUP(D1334, Lookups!$A$12:$A$51, Lookups!$C$12:$C$51, "Unknown")</f>
        <v>Electronics</v>
      </c>
      <c r="S1334" t="str">
        <f>IF(ISBLANK(I1334), B1334+VLOOKUP(C1334, Lookups!$A$2:$D$10, 4, FALSE()), I1334)</f>
        <v>2026-09-03</v>
      </c>
      <c r="T1334">
        <f t="shared" si="123"/>
        <v>29</v>
      </c>
      <c r="U1334" t="str">
        <f t="shared" si="124"/>
        <v>Late</v>
      </c>
      <c r="V1334">
        <f t="shared" si="125"/>
        <v>0</v>
      </c>
    </row>
    <row r="1335" spans="1:22" x14ac:dyDescent="0.45">
      <c r="A1335" t="s">
        <v>2174</v>
      </c>
      <c r="B1335" t="s">
        <v>1142</v>
      </c>
      <c r="C1335" t="s">
        <v>35</v>
      </c>
      <c r="D1335" t="s">
        <v>60</v>
      </c>
      <c r="E1335" t="s">
        <v>16</v>
      </c>
      <c r="F1335">
        <v>241</v>
      </c>
      <c r="G1335">
        <v>3291</v>
      </c>
      <c r="H1335">
        <v>793131</v>
      </c>
      <c r="I1335" t="s">
        <v>505</v>
      </c>
      <c r="J1335" t="s">
        <v>1377</v>
      </c>
      <c r="K1335">
        <v>241</v>
      </c>
      <c r="L1335">
        <v>0</v>
      </c>
      <c r="M1335" t="s">
        <v>115</v>
      </c>
      <c r="N1335" t="str">
        <f t="shared" si="120"/>
        <v>PO-101334</v>
      </c>
      <c r="O1335" t="str">
        <f t="shared" si="121"/>
        <v>Delivered</v>
      </c>
      <c r="P1335" t="str">
        <f t="shared" si="122"/>
        <v>WH-DEL</v>
      </c>
      <c r="Q1335" t="str">
        <f>VLOOKUP(C1335, Lookups!$A$2:$D$10, 2, FALSE())</f>
        <v>Peripheral Source</v>
      </c>
      <c r="R1335" t="str">
        <f>_xlfn.XLOOKUP(D1335, Lookups!$A$12:$A$51, Lookups!$C$12:$C$51, "Unknown")</f>
        <v>Peripherals</v>
      </c>
      <c r="S1335" t="str">
        <f>IF(ISBLANK(I1335), B1335+VLOOKUP(C1335, Lookups!$A$2:$D$10, 4, FALSE()), I1335)</f>
        <v>2025-04-11</v>
      </c>
      <c r="T1335">
        <f t="shared" si="123"/>
        <v>16</v>
      </c>
      <c r="U1335" t="str">
        <f t="shared" si="124"/>
        <v>Late</v>
      </c>
      <c r="V1335">
        <f t="shared" si="125"/>
        <v>0</v>
      </c>
    </row>
    <row r="1336" spans="1:22" x14ac:dyDescent="0.45">
      <c r="A1336" t="s">
        <v>2175</v>
      </c>
      <c r="B1336" t="s">
        <v>555</v>
      </c>
      <c r="C1336" t="s">
        <v>35</v>
      </c>
      <c r="D1336" t="s">
        <v>57</v>
      </c>
      <c r="E1336" t="s">
        <v>15</v>
      </c>
      <c r="F1336">
        <v>62</v>
      </c>
      <c r="G1336">
        <v>2212</v>
      </c>
      <c r="H1336">
        <v>137144</v>
      </c>
      <c r="I1336" t="s">
        <v>868</v>
      </c>
      <c r="J1336" t="s">
        <v>868</v>
      </c>
      <c r="K1336">
        <v>62</v>
      </c>
      <c r="L1336">
        <v>0</v>
      </c>
      <c r="M1336" t="s">
        <v>115</v>
      </c>
      <c r="N1336" t="str">
        <f t="shared" si="120"/>
        <v>PO-101335</v>
      </c>
      <c r="O1336" t="str">
        <f t="shared" si="121"/>
        <v>Delivered</v>
      </c>
      <c r="P1336" t="str">
        <f t="shared" si="122"/>
        <v>WH-BOM</v>
      </c>
      <c r="Q1336" t="str">
        <f>VLOOKUP(C1336, Lookups!$A$2:$D$10, 2, FALSE())</f>
        <v>Peripheral Source</v>
      </c>
      <c r="R1336" t="str">
        <f>_xlfn.XLOOKUP(D1336, Lookups!$A$12:$A$51, Lookups!$C$12:$C$51, "Unknown")</f>
        <v>Peripherals</v>
      </c>
      <c r="S1336" t="str">
        <f>IF(ISBLANK(I1336), B1336+VLOOKUP(C1336, Lookups!$A$2:$D$10, 4, FALSE()), I1336)</f>
        <v>2026-09-11</v>
      </c>
      <c r="T1336">
        <f t="shared" si="123"/>
        <v>10</v>
      </c>
      <c r="U1336" t="str">
        <f t="shared" si="124"/>
        <v>On-Time</v>
      </c>
      <c r="V1336">
        <f t="shared" si="125"/>
        <v>0</v>
      </c>
    </row>
    <row r="1337" spans="1:22" x14ac:dyDescent="0.45">
      <c r="A1337" t="s">
        <v>2176</v>
      </c>
      <c r="B1337" t="s">
        <v>837</v>
      </c>
      <c r="C1337" t="s">
        <v>30</v>
      </c>
      <c r="D1337" t="s">
        <v>82</v>
      </c>
      <c r="E1337" t="s">
        <v>15</v>
      </c>
      <c r="F1337">
        <v>61</v>
      </c>
      <c r="G1337">
        <v>83427</v>
      </c>
      <c r="H1337">
        <v>5089047</v>
      </c>
      <c r="I1337" t="s">
        <v>1080</v>
      </c>
      <c r="J1337" t="s">
        <v>538</v>
      </c>
      <c r="K1337">
        <v>61</v>
      </c>
      <c r="L1337">
        <v>0</v>
      </c>
      <c r="M1337" t="s">
        <v>115</v>
      </c>
      <c r="N1337" t="str">
        <f t="shared" si="120"/>
        <v>PO-101336</v>
      </c>
      <c r="O1337" t="str">
        <f t="shared" si="121"/>
        <v>Delivered</v>
      </c>
      <c r="P1337" t="str">
        <f t="shared" si="122"/>
        <v>WH-BOM</v>
      </c>
      <c r="Q1337" t="str">
        <f>VLOOKUP(C1337, Lookups!$A$2:$D$10, 2, FALSE())</f>
        <v>TechSupply Corp</v>
      </c>
      <c r="R1337" t="str">
        <f>_xlfn.XLOOKUP(D1337, Lookups!$A$12:$A$51, Lookups!$C$12:$C$51, "Unknown")</f>
        <v>Electronics</v>
      </c>
      <c r="S1337" t="str">
        <f>IF(ISBLANK(I1337), B1337+VLOOKUP(C1337, Lookups!$A$2:$D$10, 4, FALSE()), I1337)</f>
        <v>2026-01-25</v>
      </c>
      <c r="T1337">
        <f t="shared" si="123"/>
        <v>13</v>
      </c>
      <c r="U1337" t="str">
        <f t="shared" si="124"/>
        <v>On-Time</v>
      </c>
      <c r="V1337">
        <f t="shared" si="125"/>
        <v>0</v>
      </c>
    </row>
    <row r="1338" spans="1:22" x14ac:dyDescent="0.45">
      <c r="A1338" t="s">
        <v>2177</v>
      </c>
      <c r="B1338" t="s">
        <v>935</v>
      </c>
      <c r="C1338" t="s">
        <v>30</v>
      </c>
      <c r="D1338" t="s">
        <v>86</v>
      </c>
      <c r="E1338" t="s">
        <v>18</v>
      </c>
      <c r="F1338">
        <v>32</v>
      </c>
      <c r="G1338">
        <v>74871</v>
      </c>
      <c r="H1338">
        <v>2395872</v>
      </c>
      <c r="I1338" t="s">
        <v>1671</v>
      </c>
      <c r="J1338" t="s">
        <v>388</v>
      </c>
      <c r="K1338">
        <v>32</v>
      </c>
      <c r="L1338">
        <v>0</v>
      </c>
      <c r="M1338" t="s">
        <v>115</v>
      </c>
      <c r="N1338" t="str">
        <f t="shared" si="120"/>
        <v>PO-101337</v>
      </c>
      <c r="O1338" t="str">
        <f t="shared" si="121"/>
        <v>Delivered</v>
      </c>
      <c r="P1338" t="str">
        <f t="shared" si="122"/>
        <v>WH-PUN</v>
      </c>
      <c r="Q1338" t="str">
        <f>VLOOKUP(C1338, Lookups!$A$2:$D$10, 2, FALSE())</f>
        <v>TechSupply Corp</v>
      </c>
      <c r="R1338" t="str">
        <f>_xlfn.XLOOKUP(D1338, Lookups!$A$12:$A$51, Lookups!$C$12:$C$51, "Unknown")</f>
        <v>Electronics</v>
      </c>
      <c r="S1338" t="str">
        <f>IF(ISBLANK(I1338), B1338+VLOOKUP(C1338, Lookups!$A$2:$D$10, 4, FALSE()), I1338)</f>
        <v>2026-03-28</v>
      </c>
      <c r="T1338">
        <f t="shared" si="123"/>
        <v>11</v>
      </c>
      <c r="U1338" t="str">
        <f t="shared" si="124"/>
        <v>On-Time</v>
      </c>
      <c r="V1338">
        <f t="shared" si="125"/>
        <v>0</v>
      </c>
    </row>
    <row r="1339" spans="1:22" x14ac:dyDescent="0.45">
      <c r="A1339" t="s">
        <v>2178</v>
      </c>
      <c r="B1339" t="s">
        <v>983</v>
      </c>
      <c r="C1339" t="s">
        <v>30</v>
      </c>
      <c r="D1339" t="s">
        <v>61</v>
      </c>
      <c r="E1339" t="s">
        <v>15</v>
      </c>
      <c r="F1339">
        <v>207</v>
      </c>
      <c r="G1339">
        <v>111237</v>
      </c>
      <c r="H1339">
        <v>23026059</v>
      </c>
      <c r="I1339" t="s">
        <v>408</v>
      </c>
      <c r="J1339" t="s">
        <v>2179</v>
      </c>
      <c r="K1339">
        <v>207</v>
      </c>
      <c r="L1339">
        <v>0</v>
      </c>
      <c r="M1339" t="s">
        <v>115</v>
      </c>
      <c r="N1339" t="str">
        <f t="shared" si="120"/>
        <v>PO-101338</v>
      </c>
      <c r="O1339" t="str">
        <f t="shared" si="121"/>
        <v>Delivered</v>
      </c>
      <c r="P1339" t="str">
        <f t="shared" si="122"/>
        <v>WH-BOM</v>
      </c>
      <c r="Q1339" t="str">
        <f>VLOOKUP(C1339, Lookups!$A$2:$D$10, 2, FALSE())</f>
        <v>TechSupply Corp</v>
      </c>
      <c r="R1339" t="str">
        <f>_xlfn.XLOOKUP(D1339, Lookups!$A$12:$A$51, Lookups!$C$12:$C$51, "Unknown")</f>
        <v>Electronics</v>
      </c>
      <c r="S1339" t="str">
        <f>IF(ISBLANK(I1339), B1339+VLOOKUP(C1339, Lookups!$A$2:$D$10, 4, FALSE()), I1339)</f>
        <v>2025-05-14</v>
      </c>
      <c r="T1339">
        <f t="shared" si="123"/>
        <v>17</v>
      </c>
      <c r="U1339" t="str">
        <f t="shared" si="124"/>
        <v>Late</v>
      </c>
      <c r="V1339">
        <f t="shared" si="125"/>
        <v>0</v>
      </c>
    </row>
    <row r="1340" spans="1:22" x14ac:dyDescent="0.45">
      <c r="A1340" t="s">
        <v>2180</v>
      </c>
      <c r="B1340" t="s">
        <v>1661</v>
      </c>
      <c r="C1340" t="s">
        <v>35</v>
      </c>
      <c r="D1340" t="s">
        <v>57</v>
      </c>
      <c r="E1340" t="s">
        <v>16</v>
      </c>
      <c r="F1340">
        <v>20</v>
      </c>
      <c r="G1340">
        <v>2212</v>
      </c>
      <c r="H1340">
        <v>44240</v>
      </c>
      <c r="I1340" t="s">
        <v>303</v>
      </c>
      <c r="J1340" t="s">
        <v>907</v>
      </c>
      <c r="K1340">
        <v>20</v>
      </c>
      <c r="L1340">
        <v>0</v>
      </c>
      <c r="M1340" t="s">
        <v>115</v>
      </c>
      <c r="N1340" t="str">
        <f t="shared" si="120"/>
        <v>PO-101339</v>
      </c>
      <c r="O1340" t="str">
        <f t="shared" si="121"/>
        <v>Delivered</v>
      </c>
      <c r="P1340" t="str">
        <f t="shared" si="122"/>
        <v>WH-DEL</v>
      </c>
      <c r="Q1340" t="str">
        <f>VLOOKUP(C1340, Lookups!$A$2:$D$10, 2, FALSE())</f>
        <v>Peripheral Source</v>
      </c>
      <c r="R1340" t="str">
        <f>_xlfn.XLOOKUP(D1340, Lookups!$A$12:$A$51, Lookups!$C$12:$C$51, "Unknown")</f>
        <v>Peripherals</v>
      </c>
      <c r="S1340" t="str">
        <f>IF(ISBLANK(I1340), B1340+VLOOKUP(C1340, Lookups!$A$2:$D$10, 4, FALSE()), I1340)</f>
        <v>2026-06-09</v>
      </c>
      <c r="T1340">
        <f t="shared" si="123"/>
        <v>21</v>
      </c>
      <c r="U1340" t="str">
        <f t="shared" si="124"/>
        <v>Late</v>
      </c>
      <c r="V1340">
        <f t="shared" si="125"/>
        <v>0</v>
      </c>
    </row>
    <row r="1341" spans="1:22" x14ac:dyDescent="0.45">
      <c r="A1341" t="s">
        <v>2181</v>
      </c>
      <c r="B1341" t="s">
        <v>486</v>
      </c>
      <c r="C1341" t="s">
        <v>35</v>
      </c>
      <c r="D1341" t="s">
        <v>91</v>
      </c>
      <c r="E1341" t="s">
        <v>15</v>
      </c>
      <c r="F1341">
        <v>152</v>
      </c>
      <c r="G1341">
        <v>6707</v>
      </c>
      <c r="H1341">
        <v>1019464</v>
      </c>
      <c r="I1341" t="s">
        <v>487</v>
      </c>
      <c r="J1341" t="s">
        <v>487</v>
      </c>
      <c r="K1341">
        <v>152</v>
      </c>
      <c r="L1341">
        <v>0</v>
      </c>
      <c r="M1341" t="s">
        <v>115</v>
      </c>
      <c r="N1341" t="str">
        <f t="shared" si="120"/>
        <v>PO-101340</v>
      </c>
      <c r="O1341" t="str">
        <f t="shared" si="121"/>
        <v>Delivered</v>
      </c>
      <c r="P1341" t="str">
        <f t="shared" si="122"/>
        <v>WH-BOM</v>
      </c>
      <c r="Q1341" t="str">
        <f>VLOOKUP(C1341, Lookups!$A$2:$D$10, 2, FALSE())</f>
        <v>Peripheral Source</v>
      </c>
      <c r="R1341" t="str">
        <f>_xlfn.XLOOKUP(D1341, Lookups!$A$12:$A$51, Lookups!$C$12:$C$51, "Unknown")</f>
        <v>Peripherals</v>
      </c>
      <c r="S1341" t="str">
        <f>IF(ISBLANK(I1341), B1341+VLOOKUP(C1341, Lookups!$A$2:$D$10, 4, FALSE()), I1341)</f>
        <v>2025-06-26</v>
      </c>
      <c r="T1341">
        <f t="shared" si="123"/>
        <v>10</v>
      </c>
      <c r="U1341" t="str">
        <f t="shared" si="124"/>
        <v>On-Time</v>
      </c>
      <c r="V1341">
        <f t="shared" si="125"/>
        <v>0</v>
      </c>
    </row>
    <row r="1342" spans="1:22" x14ac:dyDescent="0.45">
      <c r="A1342" t="s">
        <v>2182</v>
      </c>
      <c r="B1342" t="s">
        <v>1005</v>
      </c>
      <c r="C1342" t="s">
        <v>35</v>
      </c>
      <c r="D1342" t="s">
        <v>75</v>
      </c>
      <c r="E1342" t="s">
        <v>16</v>
      </c>
      <c r="F1342">
        <v>58</v>
      </c>
      <c r="G1342">
        <v>4440</v>
      </c>
      <c r="H1342">
        <v>257520</v>
      </c>
      <c r="I1342" t="s">
        <v>1006</v>
      </c>
      <c r="J1342" t="s">
        <v>638</v>
      </c>
      <c r="K1342">
        <v>58</v>
      </c>
      <c r="L1342">
        <v>0</v>
      </c>
      <c r="M1342" t="s">
        <v>115</v>
      </c>
      <c r="N1342" t="str">
        <f t="shared" si="120"/>
        <v>PO-101341</v>
      </c>
      <c r="O1342" t="str">
        <f t="shared" si="121"/>
        <v>Delivered</v>
      </c>
      <c r="P1342" t="str">
        <f t="shared" si="122"/>
        <v>WH-DEL</v>
      </c>
      <c r="Q1342" t="str">
        <f>VLOOKUP(C1342, Lookups!$A$2:$D$10, 2, FALSE())</f>
        <v>Peripheral Source</v>
      </c>
      <c r="R1342" t="str">
        <f>_xlfn.XLOOKUP(D1342, Lookups!$A$12:$A$51, Lookups!$C$12:$C$51, "Unknown")</f>
        <v>Peripherals</v>
      </c>
      <c r="S1342" t="str">
        <f>IF(ISBLANK(I1342), B1342+VLOOKUP(C1342, Lookups!$A$2:$D$10, 4, FALSE()), I1342)</f>
        <v>2025-11-16</v>
      </c>
      <c r="T1342">
        <f t="shared" si="123"/>
        <v>21</v>
      </c>
      <c r="U1342" t="str">
        <f t="shared" si="124"/>
        <v>Late</v>
      </c>
      <c r="V1342">
        <f t="shared" si="125"/>
        <v>0</v>
      </c>
    </row>
    <row r="1343" spans="1:22" x14ac:dyDescent="0.45">
      <c r="A1343" t="s">
        <v>2183</v>
      </c>
      <c r="B1343" t="s">
        <v>999</v>
      </c>
      <c r="C1343" t="s">
        <v>34</v>
      </c>
      <c r="D1343" t="s">
        <v>54</v>
      </c>
      <c r="E1343" t="s">
        <v>16</v>
      </c>
      <c r="F1343">
        <v>27</v>
      </c>
      <c r="G1343">
        <v>22314</v>
      </c>
      <c r="H1343">
        <v>602478</v>
      </c>
      <c r="I1343" t="s">
        <v>556</v>
      </c>
      <c r="J1343" t="s">
        <v>556</v>
      </c>
      <c r="K1343">
        <v>27</v>
      </c>
      <c r="L1343">
        <v>0</v>
      </c>
      <c r="M1343" t="s">
        <v>115</v>
      </c>
      <c r="N1343" t="str">
        <f t="shared" si="120"/>
        <v>PO-101342</v>
      </c>
      <c r="O1343" t="str">
        <f t="shared" si="121"/>
        <v>Delivered</v>
      </c>
      <c r="P1343" t="str">
        <f t="shared" si="122"/>
        <v>WH-DEL</v>
      </c>
      <c r="Q1343" t="str">
        <f>VLOOKUP(C1343, Lookups!$A$2:$D$10, 2, FALSE())</f>
        <v>FastElectronics</v>
      </c>
      <c r="R1343" t="str">
        <f>_xlfn.XLOOKUP(D1343, Lookups!$A$12:$A$51, Lookups!$C$12:$C$51, "Unknown")</f>
        <v>Networking</v>
      </c>
      <c r="S1343" t="str">
        <f>IF(ISBLANK(I1343), B1343+VLOOKUP(C1343, Lookups!$A$2:$D$10, 4, FALSE()), I1343)</f>
        <v>2026-09-15</v>
      </c>
      <c r="T1343">
        <f t="shared" si="123"/>
        <v>18</v>
      </c>
      <c r="U1343" t="str">
        <f t="shared" si="124"/>
        <v>On-Time</v>
      </c>
      <c r="V1343">
        <f t="shared" si="125"/>
        <v>0</v>
      </c>
    </row>
    <row r="1344" spans="1:22" x14ac:dyDescent="0.45">
      <c r="A1344" t="s">
        <v>2184</v>
      </c>
      <c r="B1344" t="s">
        <v>653</v>
      </c>
      <c r="C1344" t="s">
        <v>35</v>
      </c>
      <c r="D1344" t="s">
        <v>65</v>
      </c>
      <c r="E1344" t="s">
        <v>15</v>
      </c>
      <c r="F1344">
        <v>123</v>
      </c>
      <c r="G1344">
        <v>4936</v>
      </c>
      <c r="H1344">
        <v>607128</v>
      </c>
      <c r="I1344" t="s">
        <v>767</v>
      </c>
      <c r="J1344" t="s">
        <v>767</v>
      </c>
      <c r="K1344">
        <v>123</v>
      </c>
      <c r="L1344">
        <v>0</v>
      </c>
      <c r="M1344" t="s">
        <v>115</v>
      </c>
      <c r="N1344" t="str">
        <f t="shared" si="120"/>
        <v>PO-101343</v>
      </c>
      <c r="O1344" t="str">
        <f t="shared" si="121"/>
        <v>Delivered</v>
      </c>
      <c r="P1344" t="str">
        <f t="shared" si="122"/>
        <v>WH-BOM</v>
      </c>
      <c r="Q1344" t="str">
        <f>VLOOKUP(C1344, Lookups!$A$2:$D$10, 2, FALSE())</f>
        <v>Peripheral Source</v>
      </c>
      <c r="R1344" t="str">
        <f>_xlfn.XLOOKUP(D1344, Lookups!$A$12:$A$51, Lookups!$C$12:$C$51, "Unknown")</f>
        <v>Peripherals</v>
      </c>
      <c r="S1344" t="str">
        <f>IF(ISBLANK(I1344), B1344+VLOOKUP(C1344, Lookups!$A$2:$D$10, 4, FALSE()), I1344)</f>
        <v>2026-12-24</v>
      </c>
      <c r="T1344">
        <f t="shared" si="123"/>
        <v>10</v>
      </c>
      <c r="U1344" t="str">
        <f t="shared" si="124"/>
        <v>On-Time</v>
      </c>
      <c r="V1344">
        <f t="shared" si="125"/>
        <v>0</v>
      </c>
    </row>
    <row r="1345" spans="1:22" x14ac:dyDescent="0.45">
      <c r="A1345" t="s">
        <v>2185</v>
      </c>
      <c r="B1345" t="s">
        <v>1463</v>
      </c>
      <c r="C1345" t="s">
        <v>36</v>
      </c>
      <c r="D1345" t="s">
        <v>55</v>
      </c>
      <c r="E1345" t="s">
        <v>17</v>
      </c>
      <c r="F1345">
        <v>246</v>
      </c>
      <c r="G1345">
        <v>58434</v>
      </c>
      <c r="H1345">
        <v>14374764</v>
      </c>
      <c r="I1345" t="s">
        <v>303</v>
      </c>
      <c r="J1345" t="s">
        <v>303</v>
      </c>
      <c r="K1345">
        <v>246</v>
      </c>
      <c r="L1345">
        <v>0</v>
      </c>
      <c r="M1345" t="s">
        <v>115</v>
      </c>
      <c r="N1345" t="str">
        <f t="shared" si="120"/>
        <v>PO-101344</v>
      </c>
      <c r="O1345" t="str">
        <f t="shared" si="121"/>
        <v>Delivered</v>
      </c>
      <c r="P1345" t="str">
        <f t="shared" si="122"/>
        <v>WH-BLR</v>
      </c>
      <c r="Q1345" t="str">
        <f>VLOOKUP(C1345, Lookups!$A$2:$D$10, 2, FALSE())</f>
        <v>NextGen Hardware</v>
      </c>
      <c r="R1345" t="str">
        <f>_xlfn.XLOOKUP(D1345, Lookups!$A$12:$A$51, Lookups!$C$12:$C$51, "Unknown")</f>
        <v>Electronics</v>
      </c>
      <c r="S1345" t="str">
        <f>IF(ISBLANK(I1345), B1345+VLOOKUP(C1345, Lookups!$A$2:$D$10, 4, FALSE()), I1345)</f>
        <v>2026-06-09</v>
      </c>
      <c r="T1345">
        <f t="shared" si="123"/>
        <v>24</v>
      </c>
      <c r="U1345" t="str">
        <f t="shared" si="124"/>
        <v>On-Time</v>
      </c>
      <c r="V1345">
        <f t="shared" si="125"/>
        <v>0</v>
      </c>
    </row>
    <row r="1346" spans="1:22" x14ac:dyDescent="0.45">
      <c r="A1346" t="s">
        <v>2186</v>
      </c>
      <c r="B1346" t="s">
        <v>1403</v>
      </c>
      <c r="C1346" t="s">
        <v>35</v>
      </c>
      <c r="D1346" t="s">
        <v>65</v>
      </c>
      <c r="E1346" t="s">
        <v>15</v>
      </c>
      <c r="F1346">
        <v>168</v>
      </c>
      <c r="G1346">
        <v>4936</v>
      </c>
      <c r="H1346">
        <v>829248</v>
      </c>
      <c r="I1346" t="s">
        <v>1368</v>
      </c>
      <c r="J1346" t="s">
        <v>693</v>
      </c>
      <c r="K1346">
        <v>168</v>
      </c>
      <c r="L1346">
        <v>0</v>
      </c>
      <c r="M1346" t="s">
        <v>115</v>
      </c>
      <c r="N1346" t="str">
        <f t="shared" ref="N1346:N1409" si="126">TRIM(A1346)</f>
        <v>PO-101345</v>
      </c>
      <c r="O1346" t="str">
        <f t="shared" ref="O1346:O1409" si="127">PROPER(TRIM(M1346))</f>
        <v>Delivered</v>
      </c>
      <c r="P1346" t="str">
        <f t="shared" ref="P1346:P1409" si="128">TRIM(E1346)</f>
        <v>WH-BOM</v>
      </c>
      <c r="Q1346" t="str">
        <f>VLOOKUP(C1346, Lookups!$A$2:$D$10, 2, FALSE())</f>
        <v>Peripheral Source</v>
      </c>
      <c r="R1346" t="str">
        <f>_xlfn.XLOOKUP(D1346, Lookups!$A$12:$A$51, Lookups!$C$12:$C$51, "Unknown")</f>
        <v>Peripherals</v>
      </c>
      <c r="S1346" t="str">
        <f>IF(ISBLANK(I1346), B1346+VLOOKUP(C1346, Lookups!$A$2:$D$10, 4, FALSE()), I1346)</f>
        <v>2026-11-12</v>
      </c>
      <c r="T1346">
        <f t="shared" ref="T1346:T1409" si="129">IF(ISBLANK(J1346), "", J1346-B1346)</f>
        <v>20</v>
      </c>
      <c r="U1346" t="str">
        <f t="shared" ref="U1346:U1409" si="130">IF(O1346="Open", "Open", IF(J1346&gt;S1346, "Late", "On-Time"))</f>
        <v>Late</v>
      </c>
      <c r="V1346">
        <f t="shared" ref="V1346:V1409" si="131">IF(K1346&gt;0, L1346/K1346, 0)</f>
        <v>0</v>
      </c>
    </row>
    <row r="1347" spans="1:22" x14ac:dyDescent="0.45">
      <c r="A1347" t="s">
        <v>2187</v>
      </c>
      <c r="B1347" t="s">
        <v>258</v>
      </c>
      <c r="C1347" t="s">
        <v>35</v>
      </c>
      <c r="D1347" t="s">
        <v>72</v>
      </c>
      <c r="E1347" t="s">
        <v>15</v>
      </c>
      <c r="F1347">
        <v>38</v>
      </c>
      <c r="G1347">
        <v>7754</v>
      </c>
      <c r="H1347">
        <v>294652</v>
      </c>
      <c r="I1347" t="s">
        <v>379</v>
      </c>
      <c r="J1347" t="s">
        <v>379</v>
      </c>
      <c r="K1347">
        <v>38</v>
      </c>
      <c r="L1347">
        <v>2</v>
      </c>
      <c r="M1347" t="s">
        <v>115</v>
      </c>
      <c r="N1347" t="str">
        <f t="shared" si="126"/>
        <v>PO-101346</v>
      </c>
      <c r="O1347" t="str">
        <f t="shared" si="127"/>
        <v>Delivered</v>
      </c>
      <c r="P1347" t="str">
        <f t="shared" si="128"/>
        <v>WH-BOM</v>
      </c>
      <c r="Q1347" t="str">
        <f>VLOOKUP(C1347, Lookups!$A$2:$D$10, 2, FALSE())</f>
        <v>Peripheral Source</v>
      </c>
      <c r="R1347" t="str">
        <f>_xlfn.XLOOKUP(D1347, Lookups!$A$12:$A$51, Lookups!$C$12:$C$51, "Unknown")</f>
        <v>Peripherals</v>
      </c>
      <c r="S1347" t="str">
        <f>IF(ISBLANK(I1347), B1347+VLOOKUP(C1347, Lookups!$A$2:$D$10, 4, FALSE()), I1347)</f>
        <v>2025-02-16</v>
      </c>
      <c r="T1347">
        <f t="shared" si="129"/>
        <v>10</v>
      </c>
      <c r="U1347" t="str">
        <f t="shared" si="130"/>
        <v>On-Time</v>
      </c>
      <c r="V1347">
        <f t="shared" si="131"/>
        <v>5.2631578947368418E-2</v>
      </c>
    </row>
    <row r="1348" spans="1:22" x14ac:dyDescent="0.45">
      <c r="A1348" t="s">
        <v>2188</v>
      </c>
      <c r="B1348" t="s">
        <v>785</v>
      </c>
      <c r="C1348" t="s">
        <v>34</v>
      </c>
      <c r="D1348" t="s">
        <v>68</v>
      </c>
      <c r="E1348" t="s">
        <v>17</v>
      </c>
      <c r="F1348">
        <v>120</v>
      </c>
      <c r="G1348">
        <v>41405</v>
      </c>
      <c r="H1348">
        <v>4968600</v>
      </c>
      <c r="I1348" t="s">
        <v>871</v>
      </c>
      <c r="J1348" t="s">
        <v>247</v>
      </c>
      <c r="K1348">
        <v>117</v>
      </c>
      <c r="L1348">
        <v>0</v>
      </c>
      <c r="M1348" t="s">
        <v>115</v>
      </c>
      <c r="N1348" t="str">
        <f t="shared" si="126"/>
        <v>PO-101347</v>
      </c>
      <c r="O1348" t="str">
        <f t="shared" si="127"/>
        <v>Delivered</v>
      </c>
      <c r="P1348" t="str">
        <f t="shared" si="128"/>
        <v>WH-BLR</v>
      </c>
      <c r="Q1348" t="str">
        <f>VLOOKUP(C1348, Lookups!$A$2:$D$10, 2, FALSE())</f>
        <v>FastElectronics</v>
      </c>
      <c r="R1348" t="str">
        <f>_xlfn.XLOOKUP(D1348, Lookups!$A$12:$A$51, Lookups!$C$12:$C$51, "Unknown")</f>
        <v>Networking</v>
      </c>
      <c r="S1348" t="str">
        <f>IF(ISBLANK(I1348), B1348+VLOOKUP(C1348, Lookups!$A$2:$D$10, 4, FALSE()), I1348)</f>
        <v>2025-10-24</v>
      </c>
      <c r="T1348">
        <f t="shared" si="129"/>
        <v>27</v>
      </c>
      <c r="U1348" t="str">
        <f t="shared" si="130"/>
        <v>Late</v>
      </c>
      <c r="V1348">
        <f t="shared" si="131"/>
        <v>0</v>
      </c>
    </row>
    <row r="1349" spans="1:22" x14ac:dyDescent="0.45">
      <c r="A1349" t="s">
        <v>2189</v>
      </c>
      <c r="B1349" t="s">
        <v>164</v>
      </c>
      <c r="C1349" t="s">
        <v>34</v>
      </c>
      <c r="D1349" t="s">
        <v>74</v>
      </c>
      <c r="E1349" t="s">
        <v>15</v>
      </c>
      <c r="F1349">
        <v>221</v>
      </c>
      <c r="G1349">
        <v>94797</v>
      </c>
      <c r="H1349">
        <v>20950137</v>
      </c>
      <c r="I1349" t="s">
        <v>330</v>
      </c>
      <c r="J1349" t="s">
        <v>1216</v>
      </c>
      <c r="K1349">
        <v>221</v>
      </c>
      <c r="L1349">
        <v>0</v>
      </c>
      <c r="M1349" t="s">
        <v>115</v>
      </c>
      <c r="N1349" t="str">
        <f t="shared" si="126"/>
        <v>PO-101348</v>
      </c>
      <c r="O1349" t="str">
        <f t="shared" si="127"/>
        <v>Delivered</v>
      </c>
      <c r="P1349" t="str">
        <f t="shared" si="128"/>
        <v>WH-BOM</v>
      </c>
      <c r="Q1349" t="str">
        <f>VLOOKUP(C1349, Lookups!$A$2:$D$10, 2, FALSE())</f>
        <v>FastElectronics</v>
      </c>
      <c r="R1349" t="str">
        <f>_xlfn.XLOOKUP(D1349, Lookups!$A$12:$A$51, Lookups!$C$12:$C$51, "Unknown")</f>
        <v>Electronics</v>
      </c>
      <c r="S1349" t="str">
        <f>IF(ISBLANK(I1349), B1349+VLOOKUP(C1349, Lookups!$A$2:$D$10, 4, FALSE()), I1349)</f>
        <v>2026-02-23</v>
      </c>
      <c r="T1349">
        <f t="shared" si="129"/>
        <v>19</v>
      </c>
      <c r="U1349" t="str">
        <f t="shared" si="130"/>
        <v>Late</v>
      </c>
      <c r="V1349">
        <f t="shared" si="131"/>
        <v>0</v>
      </c>
    </row>
    <row r="1350" spans="1:22" x14ac:dyDescent="0.45">
      <c r="A1350" t="s">
        <v>2190</v>
      </c>
      <c r="B1350" t="s">
        <v>773</v>
      </c>
      <c r="C1350" t="s">
        <v>34</v>
      </c>
      <c r="D1350" t="s">
        <v>81</v>
      </c>
      <c r="E1350" t="s">
        <v>16</v>
      </c>
      <c r="F1350">
        <v>67</v>
      </c>
      <c r="G1350">
        <v>55328</v>
      </c>
      <c r="H1350">
        <v>3706976</v>
      </c>
      <c r="I1350" t="s">
        <v>591</v>
      </c>
      <c r="J1350" t="s">
        <v>1622</v>
      </c>
      <c r="K1350">
        <v>67</v>
      </c>
      <c r="L1350">
        <v>0</v>
      </c>
      <c r="M1350" t="s">
        <v>115</v>
      </c>
      <c r="N1350" t="str">
        <f t="shared" si="126"/>
        <v>PO-101349</v>
      </c>
      <c r="O1350" t="str">
        <f t="shared" si="127"/>
        <v>Delivered</v>
      </c>
      <c r="P1350" t="str">
        <f t="shared" si="128"/>
        <v>WH-DEL</v>
      </c>
      <c r="Q1350" t="str">
        <f>VLOOKUP(C1350, Lookups!$A$2:$D$10, 2, FALSE())</f>
        <v>FastElectronics</v>
      </c>
      <c r="R1350" t="str">
        <f>_xlfn.XLOOKUP(D1350, Lookups!$A$12:$A$51, Lookups!$C$12:$C$51, "Unknown")</f>
        <v>Electronics</v>
      </c>
      <c r="S1350" t="str">
        <f>IF(ISBLANK(I1350), B1350+VLOOKUP(C1350, Lookups!$A$2:$D$10, 4, FALSE()), I1350)</f>
        <v>2026-01-20</v>
      </c>
      <c r="T1350">
        <f t="shared" si="129"/>
        <v>26</v>
      </c>
      <c r="U1350" t="str">
        <f t="shared" si="130"/>
        <v>Late</v>
      </c>
      <c r="V1350">
        <f t="shared" si="131"/>
        <v>0</v>
      </c>
    </row>
    <row r="1351" spans="1:22" x14ac:dyDescent="0.45">
      <c r="A1351" t="s">
        <v>2191</v>
      </c>
      <c r="B1351" t="s">
        <v>262</v>
      </c>
      <c r="C1351" t="s">
        <v>30</v>
      </c>
      <c r="D1351" t="s">
        <v>53</v>
      </c>
      <c r="E1351" t="s">
        <v>16</v>
      </c>
      <c r="F1351">
        <v>179</v>
      </c>
      <c r="G1351">
        <v>81048</v>
      </c>
      <c r="H1351">
        <v>14507592</v>
      </c>
      <c r="I1351" t="s">
        <v>502</v>
      </c>
      <c r="J1351" t="s">
        <v>502</v>
      </c>
      <c r="K1351">
        <v>174</v>
      </c>
      <c r="L1351">
        <v>0</v>
      </c>
      <c r="M1351" t="s">
        <v>115</v>
      </c>
      <c r="N1351" t="str">
        <f t="shared" si="126"/>
        <v>PO-101350</v>
      </c>
      <c r="O1351" t="str">
        <f t="shared" si="127"/>
        <v>Delivered</v>
      </c>
      <c r="P1351" t="str">
        <f t="shared" si="128"/>
        <v>WH-DEL</v>
      </c>
      <c r="Q1351" t="str">
        <f>VLOOKUP(C1351, Lookups!$A$2:$D$10, 2, FALSE())</f>
        <v>TechSupply Corp</v>
      </c>
      <c r="R1351" t="str">
        <f>_xlfn.XLOOKUP(D1351, Lookups!$A$12:$A$51, Lookups!$C$12:$C$51, "Unknown")</f>
        <v>Electronics</v>
      </c>
      <c r="S1351" t="str">
        <f>IF(ISBLANK(I1351), B1351+VLOOKUP(C1351, Lookups!$A$2:$D$10, 4, FALSE()), I1351)</f>
        <v>2026-02-22</v>
      </c>
      <c r="T1351">
        <f t="shared" si="129"/>
        <v>14</v>
      </c>
      <c r="U1351" t="str">
        <f t="shared" si="130"/>
        <v>On-Time</v>
      </c>
      <c r="V1351">
        <f t="shared" si="131"/>
        <v>0</v>
      </c>
    </row>
    <row r="1352" spans="1:22" x14ac:dyDescent="0.45">
      <c r="A1352" t="s">
        <v>2192</v>
      </c>
      <c r="B1352" t="s">
        <v>185</v>
      </c>
      <c r="C1352" t="s">
        <v>35</v>
      </c>
      <c r="D1352" t="s">
        <v>72</v>
      </c>
      <c r="E1352" t="s">
        <v>18</v>
      </c>
      <c r="F1352">
        <v>226</v>
      </c>
      <c r="G1352">
        <v>7754</v>
      </c>
      <c r="H1352">
        <v>1752404</v>
      </c>
      <c r="I1352" t="s">
        <v>926</v>
      </c>
      <c r="J1352" t="s">
        <v>926</v>
      </c>
      <c r="K1352">
        <v>226</v>
      </c>
      <c r="L1352">
        <v>0</v>
      </c>
      <c r="M1352" t="s">
        <v>115</v>
      </c>
      <c r="N1352" t="str">
        <f t="shared" si="126"/>
        <v>PO-101351</v>
      </c>
      <c r="O1352" t="str">
        <f t="shared" si="127"/>
        <v>Delivered</v>
      </c>
      <c r="P1352" t="str">
        <f t="shared" si="128"/>
        <v>WH-PUN</v>
      </c>
      <c r="Q1352" t="str">
        <f>VLOOKUP(C1352, Lookups!$A$2:$D$10, 2, FALSE())</f>
        <v>Peripheral Source</v>
      </c>
      <c r="R1352" t="str">
        <f>_xlfn.XLOOKUP(D1352, Lookups!$A$12:$A$51, Lookups!$C$12:$C$51, "Unknown")</f>
        <v>Peripherals</v>
      </c>
      <c r="S1352" t="str">
        <f>IF(ISBLANK(I1352), B1352+VLOOKUP(C1352, Lookups!$A$2:$D$10, 4, FALSE()), I1352)</f>
        <v>2025-03-08</v>
      </c>
      <c r="T1352">
        <f t="shared" si="129"/>
        <v>10</v>
      </c>
      <c r="U1352" t="str">
        <f t="shared" si="130"/>
        <v>On-Time</v>
      </c>
      <c r="V1352">
        <f t="shared" si="131"/>
        <v>0</v>
      </c>
    </row>
    <row r="1353" spans="1:22" x14ac:dyDescent="0.45">
      <c r="A1353" t="s">
        <v>2193</v>
      </c>
      <c r="B1353" t="s">
        <v>538</v>
      </c>
      <c r="C1353" t="s">
        <v>35</v>
      </c>
      <c r="D1353" t="s">
        <v>65</v>
      </c>
      <c r="E1353" t="s">
        <v>15</v>
      </c>
      <c r="F1353">
        <v>118</v>
      </c>
      <c r="G1353">
        <v>4936</v>
      </c>
      <c r="H1353">
        <v>582448</v>
      </c>
      <c r="I1353" t="s">
        <v>342</v>
      </c>
      <c r="J1353" t="s">
        <v>343</v>
      </c>
      <c r="K1353">
        <v>81</v>
      </c>
      <c r="L1353">
        <v>0</v>
      </c>
      <c r="M1353" t="s">
        <v>178</v>
      </c>
      <c r="N1353" t="str">
        <f t="shared" si="126"/>
        <v>PO-101352</v>
      </c>
      <c r="O1353" t="str">
        <f t="shared" si="127"/>
        <v>Delivered</v>
      </c>
      <c r="P1353" t="str">
        <f t="shared" si="128"/>
        <v>WH-BOM</v>
      </c>
      <c r="Q1353" t="str">
        <f>VLOOKUP(C1353, Lookups!$A$2:$D$10, 2, FALSE())</f>
        <v>Peripheral Source</v>
      </c>
      <c r="R1353" t="str">
        <f>_xlfn.XLOOKUP(D1353, Lookups!$A$12:$A$51, Lookups!$C$12:$C$51, "Unknown")</f>
        <v>Peripherals</v>
      </c>
      <c r="S1353" t="str">
        <f>IF(ISBLANK(I1353), B1353+VLOOKUP(C1353, Lookups!$A$2:$D$10, 4, FALSE()), I1353)</f>
        <v>2026-02-03</v>
      </c>
      <c r="T1353">
        <f t="shared" si="129"/>
        <v>11</v>
      </c>
      <c r="U1353" t="str">
        <f t="shared" si="130"/>
        <v>Late</v>
      </c>
      <c r="V1353">
        <f t="shared" si="131"/>
        <v>0</v>
      </c>
    </row>
    <row r="1354" spans="1:22" x14ac:dyDescent="0.45">
      <c r="A1354" t="s">
        <v>2194</v>
      </c>
      <c r="B1354" t="s">
        <v>320</v>
      </c>
      <c r="C1354" t="s">
        <v>31</v>
      </c>
      <c r="D1354" t="s">
        <v>77</v>
      </c>
      <c r="E1354" t="s">
        <v>18</v>
      </c>
      <c r="F1354">
        <v>111</v>
      </c>
      <c r="G1354">
        <v>23667</v>
      </c>
      <c r="H1354">
        <v>2627037</v>
      </c>
      <c r="I1354" t="s">
        <v>462</v>
      </c>
      <c r="J1354" t="s">
        <v>462</v>
      </c>
      <c r="K1354">
        <v>111</v>
      </c>
      <c r="L1354">
        <v>0</v>
      </c>
      <c r="M1354" t="s">
        <v>115</v>
      </c>
      <c r="N1354" t="str">
        <f t="shared" si="126"/>
        <v>PO-101353</v>
      </c>
      <c r="O1354" t="str">
        <f t="shared" si="127"/>
        <v>Delivered</v>
      </c>
      <c r="P1354" t="str">
        <f t="shared" si="128"/>
        <v>WH-PUN</v>
      </c>
      <c r="Q1354" t="str">
        <f>VLOOKUP(C1354, Lookups!$A$2:$D$10, 2, FALSE())</f>
        <v>Global Networks</v>
      </c>
      <c r="R1354" t="str">
        <f>_xlfn.XLOOKUP(D1354, Lookups!$A$12:$A$51, Lookups!$C$12:$C$51, "Unknown")</f>
        <v>Networking</v>
      </c>
      <c r="S1354" t="str">
        <f>IF(ISBLANK(I1354), B1354+VLOOKUP(C1354, Lookups!$A$2:$D$10, 4, FALSE()), I1354)</f>
        <v>2025-11-05</v>
      </c>
      <c r="T1354">
        <f t="shared" si="129"/>
        <v>21</v>
      </c>
      <c r="U1354" t="str">
        <f t="shared" si="130"/>
        <v>On-Time</v>
      </c>
      <c r="V1354">
        <f t="shared" si="131"/>
        <v>0</v>
      </c>
    </row>
    <row r="1355" spans="1:22" x14ac:dyDescent="0.45">
      <c r="A1355" t="s">
        <v>2195</v>
      </c>
      <c r="B1355" t="s">
        <v>875</v>
      </c>
      <c r="C1355" t="s">
        <v>35</v>
      </c>
      <c r="D1355" t="s">
        <v>65</v>
      </c>
      <c r="E1355" t="s">
        <v>18</v>
      </c>
      <c r="F1355">
        <v>25</v>
      </c>
      <c r="G1355">
        <v>4936</v>
      </c>
      <c r="H1355">
        <v>123400</v>
      </c>
      <c r="I1355" t="s">
        <v>1584</v>
      </c>
      <c r="J1355" t="s">
        <v>145</v>
      </c>
      <c r="K1355">
        <v>25</v>
      </c>
      <c r="L1355">
        <v>0</v>
      </c>
      <c r="M1355" t="s">
        <v>115</v>
      </c>
      <c r="N1355" t="str">
        <f t="shared" si="126"/>
        <v>PO-101354</v>
      </c>
      <c r="O1355" t="str">
        <f t="shared" si="127"/>
        <v>Delivered</v>
      </c>
      <c r="P1355" t="str">
        <f t="shared" si="128"/>
        <v>WH-PUN</v>
      </c>
      <c r="Q1355" t="str">
        <f>VLOOKUP(C1355, Lookups!$A$2:$D$10, 2, FALSE())</f>
        <v>Peripheral Source</v>
      </c>
      <c r="R1355" t="str">
        <f>_xlfn.XLOOKUP(D1355, Lookups!$A$12:$A$51, Lookups!$C$12:$C$51, "Unknown")</f>
        <v>Peripherals</v>
      </c>
      <c r="S1355" t="str">
        <f>IF(ISBLANK(I1355), B1355+VLOOKUP(C1355, Lookups!$A$2:$D$10, 4, FALSE()), I1355)</f>
        <v>2025-09-21</v>
      </c>
      <c r="T1355">
        <f t="shared" si="129"/>
        <v>13</v>
      </c>
      <c r="U1355" t="str">
        <f t="shared" si="130"/>
        <v>Late</v>
      </c>
      <c r="V1355">
        <f t="shared" si="131"/>
        <v>0</v>
      </c>
    </row>
    <row r="1356" spans="1:22" x14ac:dyDescent="0.45">
      <c r="A1356" t="s">
        <v>2196</v>
      </c>
      <c r="B1356" t="s">
        <v>1514</v>
      </c>
      <c r="C1356" t="s">
        <v>30</v>
      </c>
      <c r="D1356" t="s">
        <v>53</v>
      </c>
      <c r="E1356" t="s">
        <v>18</v>
      </c>
      <c r="F1356">
        <v>231</v>
      </c>
      <c r="G1356">
        <v>81048</v>
      </c>
      <c r="H1356">
        <v>18722088</v>
      </c>
      <c r="I1356" t="s">
        <v>668</v>
      </c>
      <c r="J1356" t="s">
        <v>1038</v>
      </c>
      <c r="K1356">
        <v>231</v>
      </c>
      <c r="L1356">
        <v>0</v>
      </c>
      <c r="M1356" t="s">
        <v>115</v>
      </c>
      <c r="N1356" t="str">
        <f t="shared" si="126"/>
        <v>PO-101355</v>
      </c>
      <c r="O1356" t="str">
        <f t="shared" si="127"/>
        <v>Delivered</v>
      </c>
      <c r="P1356" t="str">
        <f t="shared" si="128"/>
        <v>WH-PUN</v>
      </c>
      <c r="Q1356" t="str">
        <f>VLOOKUP(C1356, Lookups!$A$2:$D$10, 2, FALSE())</f>
        <v>TechSupply Corp</v>
      </c>
      <c r="R1356" t="str">
        <f>_xlfn.XLOOKUP(D1356, Lookups!$A$12:$A$51, Lookups!$C$12:$C$51, "Unknown")</f>
        <v>Electronics</v>
      </c>
      <c r="S1356" t="str">
        <f>IF(ISBLANK(I1356), B1356+VLOOKUP(C1356, Lookups!$A$2:$D$10, 4, FALSE()), I1356)</f>
        <v>2025-01-24</v>
      </c>
      <c r="T1356">
        <f t="shared" si="129"/>
        <v>15</v>
      </c>
      <c r="U1356" t="str">
        <f t="shared" si="130"/>
        <v>Late</v>
      </c>
      <c r="V1356">
        <f t="shared" si="131"/>
        <v>0</v>
      </c>
    </row>
    <row r="1357" spans="1:22" x14ac:dyDescent="0.45">
      <c r="A1357" t="s">
        <v>2197</v>
      </c>
      <c r="B1357" t="s">
        <v>585</v>
      </c>
      <c r="C1357" t="s">
        <v>32</v>
      </c>
      <c r="D1357" t="s">
        <v>67</v>
      </c>
      <c r="E1357" t="s">
        <v>16</v>
      </c>
      <c r="F1357">
        <v>65</v>
      </c>
      <c r="G1357">
        <v>1553</v>
      </c>
      <c r="H1357">
        <v>100945</v>
      </c>
      <c r="I1357" t="s">
        <v>739</v>
      </c>
      <c r="J1357" t="s">
        <v>739</v>
      </c>
      <c r="K1357">
        <v>65</v>
      </c>
      <c r="L1357">
        <v>0</v>
      </c>
      <c r="M1357" t="s">
        <v>115</v>
      </c>
      <c r="N1357" t="str">
        <f t="shared" si="126"/>
        <v>PO-101356</v>
      </c>
      <c r="O1357" t="str">
        <f t="shared" si="127"/>
        <v>Delivered</v>
      </c>
      <c r="P1357" t="str">
        <f t="shared" si="128"/>
        <v>WH-DEL</v>
      </c>
      <c r="Q1357" t="str">
        <f>VLOOKUP(C1357, Lookups!$A$2:$D$10, 2, FALSE())</f>
        <v>OfficeDepot Pro</v>
      </c>
      <c r="R1357" t="str">
        <f>_xlfn.XLOOKUP(D1357, Lookups!$A$12:$A$51, Lookups!$C$12:$C$51, "Unknown")</f>
        <v>Peripherals</v>
      </c>
      <c r="S1357" t="str">
        <f>IF(ISBLANK(I1357), B1357+VLOOKUP(C1357, Lookups!$A$2:$D$10, 4, FALSE()), I1357)</f>
        <v>2025-07-29</v>
      </c>
      <c r="T1357">
        <f t="shared" si="129"/>
        <v>7</v>
      </c>
      <c r="U1357" t="str">
        <f t="shared" si="130"/>
        <v>On-Time</v>
      </c>
      <c r="V1357">
        <f t="shared" si="131"/>
        <v>0</v>
      </c>
    </row>
    <row r="1358" spans="1:22" x14ac:dyDescent="0.45">
      <c r="A1358" t="s">
        <v>2198</v>
      </c>
      <c r="B1358" t="s">
        <v>951</v>
      </c>
      <c r="C1358" t="s">
        <v>37</v>
      </c>
      <c r="D1358" t="s">
        <v>83</v>
      </c>
      <c r="E1358" t="s">
        <v>17</v>
      </c>
      <c r="F1358">
        <v>83</v>
      </c>
      <c r="G1358">
        <v>19850</v>
      </c>
      <c r="H1358">
        <v>1647550</v>
      </c>
      <c r="I1358" t="s">
        <v>514</v>
      </c>
      <c r="J1358" t="s">
        <v>514</v>
      </c>
      <c r="K1358">
        <v>83</v>
      </c>
      <c r="L1358">
        <v>0</v>
      </c>
      <c r="M1358" t="s">
        <v>115</v>
      </c>
      <c r="N1358" t="str">
        <f t="shared" si="126"/>
        <v>PO-101357</v>
      </c>
      <c r="O1358" t="str">
        <f t="shared" si="127"/>
        <v>Delivered</v>
      </c>
      <c r="P1358" t="str">
        <f t="shared" si="128"/>
        <v>WH-BLR</v>
      </c>
      <c r="Q1358" t="str">
        <f>VLOOKUP(C1358, Lookups!$A$2:$D$10, 2, FALSE())</f>
        <v>Premium Desks Ltd</v>
      </c>
      <c r="R1358" t="str">
        <f>_xlfn.XLOOKUP(D1358, Lookups!$A$12:$A$51, Lookups!$C$12:$C$51, "Unknown")</f>
        <v>Office Furniture</v>
      </c>
      <c r="S1358" t="str">
        <f>IF(ISBLANK(I1358), B1358+VLOOKUP(C1358, Lookups!$A$2:$D$10, 4, FALSE()), I1358)</f>
        <v>2026-07-14</v>
      </c>
      <c r="T1358">
        <f t="shared" si="129"/>
        <v>12</v>
      </c>
      <c r="U1358" t="str">
        <f t="shared" si="130"/>
        <v>On-Time</v>
      </c>
      <c r="V1358">
        <f t="shared" si="131"/>
        <v>0</v>
      </c>
    </row>
    <row r="1359" spans="1:22" x14ac:dyDescent="0.45">
      <c r="A1359" t="s">
        <v>2199</v>
      </c>
      <c r="B1359" t="s">
        <v>1604</v>
      </c>
      <c r="C1359" t="s">
        <v>34</v>
      </c>
      <c r="D1359" t="s">
        <v>81</v>
      </c>
      <c r="E1359" t="s">
        <v>17</v>
      </c>
      <c r="F1359">
        <v>163</v>
      </c>
      <c r="G1359">
        <v>55328</v>
      </c>
      <c r="H1359">
        <v>9018464</v>
      </c>
      <c r="I1359" t="s">
        <v>1129</v>
      </c>
      <c r="J1359" t="s">
        <v>138</v>
      </c>
      <c r="K1359">
        <v>163</v>
      </c>
      <c r="L1359">
        <v>0</v>
      </c>
      <c r="M1359" t="s">
        <v>115</v>
      </c>
      <c r="N1359" t="str">
        <f t="shared" si="126"/>
        <v>PO-101358</v>
      </c>
      <c r="O1359" t="str">
        <f t="shared" si="127"/>
        <v>Delivered</v>
      </c>
      <c r="P1359" t="str">
        <f t="shared" si="128"/>
        <v>WH-BLR</v>
      </c>
      <c r="Q1359" t="str">
        <f>VLOOKUP(C1359, Lookups!$A$2:$D$10, 2, FALSE())</f>
        <v>FastElectronics</v>
      </c>
      <c r="R1359" t="str">
        <f>_xlfn.XLOOKUP(D1359, Lookups!$A$12:$A$51, Lookups!$C$12:$C$51, "Unknown")</f>
        <v>Electronics</v>
      </c>
      <c r="S1359" t="str">
        <f>IF(ISBLANK(I1359), B1359+VLOOKUP(C1359, Lookups!$A$2:$D$10, 4, FALSE()), I1359)</f>
        <v>2025-09-25</v>
      </c>
      <c r="T1359">
        <f t="shared" si="129"/>
        <v>19</v>
      </c>
      <c r="U1359" t="str">
        <f t="shared" si="130"/>
        <v>Late</v>
      </c>
      <c r="V1359">
        <f t="shared" si="131"/>
        <v>0</v>
      </c>
    </row>
    <row r="1360" spans="1:22" x14ac:dyDescent="0.45">
      <c r="A1360" t="s">
        <v>2200</v>
      </c>
      <c r="B1360" t="s">
        <v>446</v>
      </c>
      <c r="C1360" t="s">
        <v>30</v>
      </c>
      <c r="D1360" t="s">
        <v>86</v>
      </c>
      <c r="E1360" t="s">
        <v>16</v>
      </c>
      <c r="F1360">
        <v>185</v>
      </c>
      <c r="G1360">
        <v>74871</v>
      </c>
      <c r="H1360">
        <v>13851135</v>
      </c>
      <c r="I1360" t="s">
        <v>778</v>
      </c>
      <c r="J1360" t="s">
        <v>207</v>
      </c>
      <c r="K1360">
        <v>185</v>
      </c>
      <c r="L1360">
        <v>0</v>
      </c>
      <c r="M1360" t="s">
        <v>115</v>
      </c>
      <c r="N1360" t="str">
        <f t="shared" si="126"/>
        <v>PO-101359</v>
      </c>
      <c r="O1360" t="str">
        <f t="shared" si="127"/>
        <v>Delivered</v>
      </c>
      <c r="P1360" t="str">
        <f t="shared" si="128"/>
        <v>WH-DEL</v>
      </c>
      <c r="Q1360" t="str">
        <f>VLOOKUP(C1360, Lookups!$A$2:$D$10, 2, FALSE())</f>
        <v>TechSupply Corp</v>
      </c>
      <c r="R1360" t="str">
        <f>_xlfn.XLOOKUP(D1360, Lookups!$A$12:$A$51, Lookups!$C$12:$C$51, "Unknown")</f>
        <v>Electronics</v>
      </c>
      <c r="S1360" t="str">
        <f>IF(ISBLANK(I1360), B1360+VLOOKUP(C1360, Lookups!$A$2:$D$10, 4, FALSE()), I1360)</f>
        <v>2025-12-13</v>
      </c>
      <c r="T1360">
        <f t="shared" si="129"/>
        <v>15</v>
      </c>
      <c r="U1360" t="str">
        <f t="shared" si="130"/>
        <v>Late</v>
      </c>
      <c r="V1360">
        <f t="shared" si="131"/>
        <v>0</v>
      </c>
    </row>
    <row r="1361" spans="1:22" x14ac:dyDescent="0.45">
      <c r="A1361" t="s">
        <v>2201</v>
      </c>
      <c r="B1361" t="s">
        <v>583</v>
      </c>
      <c r="C1361" t="s">
        <v>35</v>
      </c>
      <c r="D1361" t="s">
        <v>65</v>
      </c>
      <c r="E1361" t="s">
        <v>15</v>
      </c>
      <c r="F1361">
        <v>238</v>
      </c>
      <c r="G1361">
        <v>4936</v>
      </c>
      <c r="H1361">
        <v>1174768</v>
      </c>
      <c r="I1361" t="s">
        <v>1191</v>
      </c>
      <c r="J1361" t="s">
        <v>481</v>
      </c>
      <c r="K1361">
        <v>238</v>
      </c>
      <c r="L1361">
        <v>0</v>
      </c>
      <c r="M1361" t="s">
        <v>115</v>
      </c>
      <c r="N1361" t="str">
        <f t="shared" si="126"/>
        <v>PO-101360</v>
      </c>
      <c r="O1361" t="str">
        <f t="shared" si="127"/>
        <v>Delivered</v>
      </c>
      <c r="P1361" t="str">
        <f t="shared" si="128"/>
        <v>WH-BOM</v>
      </c>
      <c r="Q1361" t="str">
        <f>VLOOKUP(C1361, Lookups!$A$2:$D$10, 2, FALSE())</f>
        <v>Peripheral Source</v>
      </c>
      <c r="R1361" t="str">
        <f>_xlfn.XLOOKUP(D1361, Lookups!$A$12:$A$51, Lookups!$C$12:$C$51, "Unknown")</f>
        <v>Peripherals</v>
      </c>
      <c r="S1361" t="str">
        <f>IF(ISBLANK(I1361), B1361+VLOOKUP(C1361, Lookups!$A$2:$D$10, 4, FALSE()), I1361)</f>
        <v>2025-05-06</v>
      </c>
      <c r="T1361">
        <f t="shared" si="129"/>
        <v>11</v>
      </c>
      <c r="U1361" t="str">
        <f t="shared" si="130"/>
        <v>Late</v>
      </c>
      <c r="V1361">
        <f t="shared" si="131"/>
        <v>0</v>
      </c>
    </row>
    <row r="1362" spans="1:22" x14ac:dyDescent="0.45">
      <c r="A1362" t="s">
        <v>2202</v>
      </c>
      <c r="B1362" t="s">
        <v>1087</v>
      </c>
      <c r="C1362" t="s">
        <v>31</v>
      </c>
      <c r="D1362" t="s">
        <v>85</v>
      </c>
      <c r="E1362" t="s">
        <v>16</v>
      </c>
      <c r="F1362">
        <v>209</v>
      </c>
      <c r="G1362">
        <v>16501</v>
      </c>
      <c r="H1362">
        <v>3448709</v>
      </c>
      <c r="I1362" t="s">
        <v>947</v>
      </c>
      <c r="J1362" t="s">
        <v>206</v>
      </c>
      <c r="K1362">
        <v>209</v>
      </c>
      <c r="L1362">
        <v>0</v>
      </c>
      <c r="M1362" t="s">
        <v>115</v>
      </c>
      <c r="N1362" t="str">
        <f t="shared" si="126"/>
        <v>PO-101361</v>
      </c>
      <c r="O1362" t="str">
        <f t="shared" si="127"/>
        <v>Delivered</v>
      </c>
      <c r="P1362" t="str">
        <f t="shared" si="128"/>
        <v>WH-DEL</v>
      </c>
      <c r="Q1362" t="str">
        <f>VLOOKUP(C1362, Lookups!$A$2:$D$10, 2, FALSE())</f>
        <v>Global Networks</v>
      </c>
      <c r="R1362" t="str">
        <f>_xlfn.XLOOKUP(D1362, Lookups!$A$12:$A$51, Lookups!$C$12:$C$51, "Unknown")</f>
        <v>Networking</v>
      </c>
      <c r="S1362" t="str">
        <f>IF(ISBLANK(I1362), B1362+VLOOKUP(C1362, Lookups!$A$2:$D$10, 4, FALSE()), I1362)</f>
        <v>2025-12-06</v>
      </c>
      <c r="T1362">
        <f t="shared" si="129"/>
        <v>22</v>
      </c>
      <c r="U1362" t="str">
        <f t="shared" si="130"/>
        <v>Late</v>
      </c>
      <c r="V1362">
        <f t="shared" si="131"/>
        <v>0</v>
      </c>
    </row>
    <row r="1363" spans="1:22" x14ac:dyDescent="0.45">
      <c r="A1363" t="s">
        <v>2203</v>
      </c>
      <c r="B1363" t="s">
        <v>2204</v>
      </c>
      <c r="C1363" t="s">
        <v>36</v>
      </c>
      <c r="D1363" t="s">
        <v>87</v>
      </c>
      <c r="E1363" t="s">
        <v>18</v>
      </c>
      <c r="F1363">
        <v>60</v>
      </c>
      <c r="G1363">
        <v>82930</v>
      </c>
      <c r="H1363">
        <v>4975800</v>
      </c>
      <c r="I1363" t="s">
        <v>1104</v>
      </c>
      <c r="J1363" t="s">
        <v>1104</v>
      </c>
      <c r="K1363">
        <v>60</v>
      </c>
      <c r="L1363">
        <v>0</v>
      </c>
      <c r="M1363" t="s">
        <v>115</v>
      </c>
      <c r="N1363" t="str">
        <f t="shared" si="126"/>
        <v>PO-101362</v>
      </c>
      <c r="O1363" t="str">
        <f t="shared" si="127"/>
        <v>Delivered</v>
      </c>
      <c r="P1363" t="str">
        <f t="shared" si="128"/>
        <v>WH-PUN</v>
      </c>
      <c r="Q1363" t="str">
        <f>VLOOKUP(C1363, Lookups!$A$2:$D$10, 2, FALSE())</f>
        <v>NextGen Hardware</v>
      </c>
      <c r="R1363" t="str">
        <f>_xlfn.XLOOKUP(D1363, Lookups!$A$12:$A$51, Lookups!$C$12:$C$51, "Unknown")</f>
        <v>Electronics</v>
      </c>
      <c r="S1363" t="str">
        <f>IF(ISBLANK(I1363), B1363+VLOOKUP(C1363, Lookups!$A$2:$D$10, 4, FALSE()), I1363)</f>
        <v>2025-08-24</v>
      </c>
      <c r="T1363">
        <f t="shared" si="129"/>
        <v>24</v>
      </c>
      <c r="U1363" t="str">
        <f t="shared" si="130"/>
        <v>On-Time</v>
      </c>
      <c r="V1363">
        <f t="shared" si="131"/>
        <v>0</v>
      </c>
    </row>
    <row r="1364" spans="1:22" x14ac:dyDescent="0.45">
      <c r="A1364" t="s">
        <v>2205</v>
      </c>
      <c r="B1364" t="s">
        <v>1273</v>
      </c>
      <c r="C1364" t="s">
        <v>34</v>
      </c>
      <c r="D1364" t="s">
        <v>54</v>
      </c>
      <c r="E1364" t="s">
        <v>17</v>
      </c>
      <c r="F1364">
        <v>187</v>
      </c>
      <c r="G1364">
        <v>22314</v>
      </c>
      <c r="H1364">
        <v>4172718</v>
      </c>
      <c r="I1364" t="s">
        <v>613</v>
      </c>
      <c r="J1364" t="s">
        <v>258</v>
      </c>
      <c r="K1364">
        <v>187</v>
      </c>
      <c r="L1364">
        <v>0</v>
      </c>
      <c r="M1364" t="s">
        <v>115</v>
      </c>
      <c r="N1364" t="str">
        <f t="shared" si="126"/>
        <v>PO-101363</v>
      </c>
      <c r="O1364" t="str">
        <f t="shared" si="127"/>
        <v>Delivered</v>
      </c>
      <c r="P1364" t="str">
        <f t="shared" si="128"/>
        <v>WH-BLR</v>
      </c>
      <c r="Q1364" t="str">
        <f>VLOOKUP(C1364, Lookups!$A$2:$D$10, 2, FALSE())</f>
        <v>FastElectronics</v>
      </c>
      <c r="R1364" t="str">
        <f>_xlfn.XLOOKUP(D1364, Lookups!$A$12:$A$51, Lookups!$C$12:$C$51, "Unknown")</f>
        <v>Networking</v>
      </c>
      <c r="S1364" t="str">
        <f>IF(ISBLANK(I1364), B1364+VLOOKUP(C1364, Lookups!$A$2:$D$10, 4, FALSE()), I1364)</f>
        <v>2025-02-05</v>
      </c>
      <c r="T1364">
        <f t="shared" si="129"/>
        <v>19</v>
      </c>
      <c r="U1364" t="str">
        <f t="shared" si="130"/>
        <v>Late</v>
      </c>
      <c r="V1364">
        <f t="shared" si="131"/>
        <v>0</v>
      </c>
    </row>
    <row r="1365" spans="1:22" x14ac:dyDescent="0.45">
      <c r="A1365" t="s">
        <v>2206</v>
      </c>
      <c r="B1365" t="s">
        <v>221</v>
      </c>
      <c r="C1365" t="s">
        <v>37</v>
      </c>
      <c r="D1365" t="s">
        <v>78</v>
      </c>
      <c r="E1365" t="s">
        <v>17</v>
      </c>
      <c r="F1365">
        <v>142</v>
      </c>
      <c r="G1365">
        <v>9423</v>
      </c>
      <c r="H1365">
        <v>1338066</v>
      </c>
      <c r="I1365" t="s">
        <v>337</v>
      </c>
      <c r="J1365" t="s">
        <v>1979</v>
      </c>
      <c r="K1365">
        <v>142</v>
      </c>
      <c r="L1365">
        <v>0</v>
      </c>
      <c r="M1365" t="s">
        <v>115</v>
      </c>
      <c r="N1365" t="str">
        <f t="shared" si="126"/>
        <v>PO-101364</v>
      </c>
      <c r="O1365" t="str">
        <f t="shared" si="127"/>
        <v>Delivered</v>
      </c>
      <c r="P1365" t="str">
        <f t="shared" si="128"/>
        <v>WH-BLR</v>
      </c>
      <c r="Q1365" t="str">
        <f>VLOOKUP(C1365, Lookups!$A$2:$D$10, 2, FALSE())</f>
        <v>Premium Desks Ltd</v>
      </c>
      <c r="R1365" t="str">
        <f>_xlfn.XLOOKUP(D1365, Lookups!$A$12:$A$51, Lookups!$C$12:$C$51, "Unknown")</f>
        <v>Office Furniture</v>
      </c>
      <c r="S1365" t="str">
        <f>IF(ISBLANK(I1365), B1365+VLOOKUP(C1365, Lookups!$A$2:$D$10, 4, FALSE()), I1365)</f>
        <v>2026-03-12</v>
      </c>
      <c r="T1365">
        <f t="shared" si="129"/>
        <v>13</v>
      </c>
      <c r="U1365" t="str">
        <f t="shared" si="130"/>
        <v>Late</v>
      </c>
      <c r="V1365">
        <f t="shared" si="131"/>
        <v>0</v>
      </c>
    </row>
    <row r="1366" spans="1:22" x14ac:dyDescent="0.45">
      <c r="A1366" t="s">
        <v>2207</v>
      </c>
      <c r="B1366" t="s">
        <v>359</v>
      </c>
      <c r="C1366" t="s">
        <v>31</v>
      </c>
      <c r="D1366" t="s">
        <v>66</v>
      </c>
      <c r="E1366" t="s">
        <v>18</v>
      </c>
      <c r="F1366">
        <v>206</v>
      </c>
      <c r="G1366">
        <v>29719</v>
      </c>
      <c r="H1366">
        <v>6122114</v>
      </c>
      <c r="I1366" t="s">
        <v>221</v>
      </c>
      <c r="J1366" t="s">
        <v>1413</v>
      </c>
      <c r="K1366">
        <v>206</v>
      </c>
      <c r="L1366">
        <v>0</v>
      </c>
      <c r="M1366" t="s">
        <v>115</v>
      </c>
      <c r="N1366" t="str">
        <f t="shared" si="126"/>
        <v>PO-101365</v>
      </c>
      <c r="O1366" t="str">
        <f t="shared" si="127"/>
        <v>Delivered</v>
      </c>
      <c r="P1366" t="str">
        <f t="shared" si="128"/>
        <v>WH-PUN</v>
      </c>
      <c r="Q1366" t="str">
        <f>VLOOKUP(C1366, Lookups!$A$2:$D$10, 2, FALSE())</f>
        <v>Global Networks</v>
      </c>
      <c r="R1366" t="str">
        <f>_xlfn.XLOOKUP(D1366, Lookups!$A$12:$A$51, Lookups!$C$12:$C$51, "Unknown")</f>
        <v>Networking</v>
      </c>
      <c r="S1366" t="str">
        <f>IF(ISBLANK(I1366), B1366+VLOOKUP(C1366, Lookups!$A$2:$D$10, 4, FALSE()), I1366)</f>
        <v>2026-02-28</v>
      </c>
      <c r="T1366">
        <f t="shared" si="129"/>
        <v>23</v>
      </c>
      <c r="U1366" t="str">
        <f t="shared" si="130"/>
        <v>Late</v>
      </c>
      <c r="V1366">
        <f t="shared" si="131"/>
        <v>0</v>
      </c>
    </row>
    <row r="1367" spans="1:22" x14ac:dyDescent="0.45">
      <c r="A1367" t="s">
        <v>2208</v>
      </c>
      <c r="B1367" t="s">
        <v>206</v>
      </c>
      <c r="C1367" t="s">
        <v>34</v>
      </c>
      <c r="D1367" t="s">
        <v>74</v>
      </c>
      <c r="E1367" t="s">
        <v>913</v>
      </c>
      <c r="F1367">
        <v>157</v>
      </c>
      <c r="G1367">
        <v>94797</v>
      </c>
      <c r="H1367">
        <v>14883129</v>
      </c>
      <c r="I1367" t="s">
        <v>547</v>
      </c>
      <c r="J1367" t="s">
        <v>640</v>
      </c>
      <c r="K1367">
        <v>111</v>
      </c>
      <c r="L1367">
        <v>0</v>
      </c>
      <c r="M1367" t="s">
        <v>115</v>
      </c>
      <c r="N1367" t="str">
        <f t="shared" si="126"/>
        <v>PO-101366</v>
      </c>
      <c r="O1367" t="str">
        <f t="shared" si="127"/>
        <v>Delivered</v>
      </c>
      <c r="P1367" t="str">
        <f t="shared" si="128"/>
        <v>WH-DEL</v>
      </c>
      <c r="Q1367" t="str">
        <f>VLOOKUP(C1367, Lookups!$A$2:$D$10, 2, FALSE())</f>
        <v>FastElectronics</v>
      </c>
      <c r="R1367" t="str">
        <f>_xlfn.XLOOKUP(D1367, Lookups!$A$12:$A$51, Lookups!$C$12:$C$51, "Unknown")</f>
        <v>Electronics</v>
      </c>
      <c r="S1367" t="str">
        <f>IF(ISBLANK(I1367), B1367+VLOOKUP(C1367, Lookups!$A$2:$D$10, 4, FALSE()), I1367)</f>
        <v>2025-12-25</v>
      </c>
      <c r="T1367">
        <f t="shared" si="129"/>
        <v>19</v>
      </c>
      <c r="U1367" t="str">
        <f t="shared" si="130"/>
        <v>Late</v>
      </c>
      <c r="V1367">
        <f t="shared" si="131"/>
        <v>0</v>
      </c>
    </row>
    <row r="1368" spans="1:22" x14ac:dyDescent="0.45">
      <c r="A1368" t="s">
        <v>2209</v>
      </c>
      <c r="B1368" t="s">
        <v>1005</v>
      </c>
      <c r="C1368" t="s">
        <v>30</v>
      </c>
      <c r="D1368" t="s">
        <v>52</v>
      </c>
      <c r="E1368" t="s">
        <v>15</v>
      </c>
      <c r="F1368">
        <v>38</v>
      </c>
      <c r="G1368">
        <v>59592</v>
      </c>
      <c r="H1368">
        <v>2264496</v>
      </c>
      <c r="I1368" t="s">
        <v>464</v>
      </c>
      <c r="J1368" t="s">
        <v>1075</v>
      </c>
      <c r="K1368">
        <v>38</v>
      </c>
      <c r="L1368">
        <v>4</v>
      </c>
      <c r="M1368" t="s">
        <v>115</v>
      </c>
      <c r="N1368" t="str">
        <f t="shared" si="126"/>
        <v>PO-101367</v>
      </c>
      <c r="O1368" t="str">
        <f t="shared" si="127"/>
        <v>Delivered</v>
      </c>
      <c r="P1368" t="str">
        <f t="shared" si="128"/>
        <v>WH-BOM</v>
      </c>
      <c r="Q1368" t="str">
        <f>VLOOKUP(C1368, Lookups!$A$2:$D$10, 2, FALSE())</f>
        <v>TechSupply Corp</v>
      </c>
      <c r="R1368" t="str">
        <f>_xlfn.XLOOKUP(D1368, Lookups!$A$12:$A$51, Lookups!$C$12:$C$51, "Unknown")</f>
        <v>Electronics</v>
      </c>
      <c r="S1368" t="str">
        <f>IF(ISBLANK(I1368), B1368+VLOOKUP(C1368, Lookups!$A$2:$D$10, 4, FALSE()), I1368)</f>
        <v>2025-11-20</v>
      </c>
      <c r="T1368">
        <f t="shared" si="129"/>
        <v>15</v>
      </c>
      <c r="U1368" t="str">
        <f t="shared" si="130"/>
        <v>Late</v>
      </c>
      <c r="V1368">
        <f t="shared" si="131"/>
        <v>0.10526315789473684</v>
      </c>
    </row>
    <row r="1369" spans="1:22" x14ac:dyDescent="0.45">
      <c r="A1369" t="s">
        <v>2210</v>
      </c>
      <c r="B1369" t="s">
        <v>1442</v>
      </c>
      <c r="C1369" t="s">
        <v>30</v>
      </c>
      <c r="D1369" t="s">
        <v>86</v>
      </c>
      <c r="E1369" t="s">
        <v>15</v>
      </c>
      <c r="F1369">
        <v>190</v>
      </c>
      <c r="G1369">
        <v>74871</v>
      </c>
      <c r="H1369">
        <v>14225490</v>
      </c>
      <c r="I1369" t="s">
        <v>491</v>
      </c>
      <c r="J1369" t="s">
        <v>491</v>
      </c>
      <c r="K1369">
        <v>190</v>
      </c>
      <c r="L1369">
        <v>0</v>
      </c>
      <c r="M1369" t="s">
        <v>115</v>
      </c>
      <c r="N1369" t="str">
        <f t="shared" si="126"/>
        <v>PO-101368</v>
      </c>
      <c r="O1369" t="str">
        <f t="shared" si="127"/>
        <v>Delivered</v>
      </c>
      <c r="P1369" t="str">
        <f t="shared" si="128"/>
        <v>WH-BOM</v>
      </c>
      <c r="Q1369" t="str">
        <f>VLOOKUP(C1369, Lookups!$A$2:$D$10, 2, FALSE())</f>
        <v>TechSupply Corp</v>
      </c>
      <c r="R1369" t="str">
        <f>_xlfn.XLOOKUP(D1369, Lookups!$A$12:$A$51, Lookups!$C$12:$C$51, "Unknown")</f>
        <v>Electronics</v>
      </c>
      <c r="S1369" t="str">
        <f>IF(ISBLANK(I1369), B1369+VLOOKUP(C1369, Lookups!$A$2:$D$10, 4, FALSE()), I1369)</f>
        <v>2025-07-16</v>
      </c>
      <c r="T1369">
        <f t="shared" si="129"/>
        <v>14</v>
      </c>
      <c r="U1369" t="str">
        <f t="shared" si="130"/>
        <v>On-Time</v>
      </c>
      <c r="V1369">
        <f t="shared" si="131"/>
        <v>0</v>
      </c>
    </row>
    <row r="1370" spans="1:22" x14ac:dyDescent="0.45">
      <c r="A1370" t="s">
        <v>2211</v>
      </c>
      <c r="B1370" t="s">
        <v>431</v>
      </c>
      <c r="C1370" t="s">
        <v>37</v>
      </c>
      <c r="D1370" t="s">
        <v>78</v>
      </c>
      <c r="E1370" t="s">
        <v>18</v>
      </c>
      <c r="F1370">
        <v>40</v>
      </c>
      <c r="G1370">
        <v>9423</v>
      </c>
      <c r="H1370">
        <v>376920</v>
      </c>
      <c r="I1370" t="s">
        <v>477</v>
      </c>
      <c r="J1370" t="s">
        <v>1921</v>
      </c>
      <c r="K1370">
        <v>40</v>
      </c>
      <c r="L1370">
        <v>0</v>
      </c>
      <c r="M1370" t="s">
        <v>115</v>
      </c>
      <c r="N1370" t="str">
        <f t="shared" si="126"/>
        <v>PO-101369</v>
      </c>
      <c r="O1370" t="str">
        <f t="shared" si="127"/>
        <v>Delivered</v>
      </c>
      <c r="P1370" t="str">
        <f t="shared" si="128"/>
        <v>WH-PUN</v>
      </c>
      <c r="Q1370" t="str">
        <f>VLOOKUP(C1370, Lookups!$A$2:$D$10, 2, FALSE())</f>
        <v>Premium Desks Ltd</v>
      </c>
      <c r="R1370" t="str">
        <f>_xlfn.XLOOKUP(D1370, Lookups!$A$12:$A$51, Lookups!$C$12:$C$51, "Unknown")</f>
        <v>Office Furniture</v>
      </c>
      <c r="S1370" t="str">
        <f>IF(ISBLANK(I1370), B1370+VLOOKUP(C1370, Lookups!$A$2:$D$10, 4, FALSE()), I1370)</f>
        <v>2025-03-28</v>
      </c>
      <c r="T1370">
        <f t="shared" si="129"/>
        <v>20</v>
      </c>
      <c r="U1370" t="str">
        <f t="shared" si="130"/>
        <v>Late</v>
      </c>
      <c r="V1370">
        <f t="shared" si="131"/>
        <v>0</v>
      </c>
    </row>
    <row r="1371" spans="1:22" x14ac:dyDescent="0.45">
      <c r="A1371" t="s">
        <v>2212</v>
      </c>
      <c r="B1371" t="s">
        <v>591</v>
      </c>
      <c r="C1371" t="s">
        <v>31</v>
      </c>
      <c r="D1371" t="s">
        <v>56</v>
      </c>
      <c r="E1371" t="s">
        <v>15</v>
      </c>
      <c r="F1371">
        <v>142</v>
      </c>
      <c r="G1371">
        <v>39270</v>
      </c>
      <c r="H1371">
        <v>5576340</v>
      </c>
      <c r="I1371" t="s">
        <v>617</v>
      </c>
      <c r="J1371" t="s">
        <v>718</v>
      </c>
      <c r="K1371">
        <v>142</v>
      </c>
      <c r="L1371">
        <v>11</v>
      </c>
      <c r="M1371" t="s">
        <v>115</v>
      </c>
      <c r="N1371" t="str">
        <f t="shared" si="126"/>
        <v>PO-101370</v>
      </c>
      <c r="O1371" t="str">
        <f t="shared" si="127"/>
        <v>Delivered</v>
      </c>
      <c r="P1371" t="str">
        <f t="shared" si="128"/>
        <v>WH-BOM</v>
      </c>
      <c r="Q1371" t="str">
        <f>VLOOKUP(C1371, Lookups!$A$2:$D$10, 2, FALSE())</f>
        <v>Global Networks</v>
      </c>
      <c r="R1371" t="str">
        <f>_xlfn.XLOOKUP(D1371, Lookups!$A$12:$A$51, Lookups!$C$12:$C$51, "Unknown")</f>
        <v>Networking</v>
      </c>
      <c r="S1371" t="str">
        <f>IF(ISBLANK(I1371), B1371+VLOOKUP(C1371, Lookups!$A$2:$D$10, 4, FALSE()), I1371)</f>
        <v>2026-02-10</v>
      </c>
      <c r="T1371">
        <f t="shared" si="129"/>
        <v>22</v>
      </c>
      <c r="U1371" t="str">
        <f t="shared" si="130"/>
        <v>Late</v>
      </c>
      <c r="V1371">
        <f t="shared" si="131"/>
        <v>7.746478873239436E-2</v>
      </c>
    </row>
    <row r="1372" spans="1:22" x14ac:dyDescent="0.45">
      <c r="A1372" t="s">
        <v>2213</v>
      </c>
      <c r="B1372" t="s">
        <v>1770</v>
      </c>
      <c r="C1372" t="s">
        <v>34</v>
      </c>
      <c r="D1372" t="s">
        <v>73</v>
      </c>
      <c r="E1372" t="s">
        <v>17</v>
      </c>
      <c r="F1372">
        <v>107</v>
      </c>
      <c r="G1372">
        <v>58396</v>
      </c>
      <c r="H1372">
        <v>6248372</v>
      </c>
      <c r="I1372" t="s">
        <v>537</v>
      </c>
      <c r="J1372" t="s">
        <v>917</v>
      </c>
      <c r="K1372">
        <v>107</v>
      </c>
      <c r="L1372">
        <v>0</v>
      </c>
      <c r="M1372" t="s">
        <v>115</v>
      </c>
      <c r="N1372" t="str">
        <f t="shared" si="126"/>
        <v>PO-101371</v>
      </c>
      <c r="O1372" t="str">
        <f t="shared" si="127"/>
        <v>Delivered</v>
      </c>
      <c r="P1372" t="str">
        <f t="shared" si="128"/>
        <v>WH-BLR</v>
      </c>
      <c r="Q1372" t="str">
        <f>VLOOKUP(C1372, Lookups!$A$2:$D$10, 2, FALSE())</f>
        <v>FastElectronics</v>
      </c>
      <c r="R1372" t="str">
        <f>_xlfn.XLOOKUP(D1372, Lookups!$A$12:$A$51, Lookups!$C$12:$C$51, "Unknown")</f>
        <v>Electronics</v>
      </c>
      <c r="S1372" t="str">
        <f>IF(ISBLANK(I1372), B1372+VLOOKUP(C1372, Lookups!$A$2:$D$10, 4, FALSE()), I1372)</f>
        <v>2026-01-03</v>
      </c>
      <c r="T1372">
        <f t="shared" si="129"/>
        <v>19</v>
      </c>
      <c r="U1372" t="str">
        <f t="shared" si="130"/>
        <v>Late</v>
      </c>
      <c r="V1372">
        <f t="shared" si="131"/>
        <v>0</v>
      </c>
    </row>
    <row r="1373" spans="1:22" x14ac:dyDescent="0.45">
      <c r="A1373" t="s">
        <v>2214</v>
      </c>
      <c r="B1373" t="s">
        <v>728</v>
      </c>
      <c r="C1373" t="s">
        <v>34</v>
      </c>
      <c r="D1373" t="s">
        <v>76</v>
      </c>
      <c r="E1373" t="s">
        <v>17</v>
      </c>
      <c r="F1373">
        <v>246</v>
      </c>
      <c r="G1373">
        <v>26270</v>
      </c>
      <c r="H1373">
        <v>6462420</v>
      </c>
      <c r="I1373" t="s">
        <v>729</v>
      </c>
      <c r="J1373" t="s">
        <v>729</v>
      </c>
      <c r="K1373">
        <v>246</v>
      </c>
      <c r="L1373">
        <v>0</v>
      </c>
      <c r="M1373" t="s">
        <v>115</v>
      </c>
      <c r="N1373" t="str">
        <f t="shared" si="126"/>
        <v>PO-101372</v>
      </c>
      <c r="O1373" t="str">
        <f t="shared" si="127"/>
        <v>Delivered</v>
      </c>
      <c r="P1373" t="str">
        <f t="shared" si="128"/>
        <v>WH-BLR</v>
      </c>
      <c r="Q1373" t="str">
        <f>VLOOKUP(C1373, Lookups!$A$2:$D$10, 2, FALSE())</f>
        <v>FastElectronics</v>
      </c>
      <c r="R1373" t="str">
        <f>_xlfn.XLOOKUP(D1373, Lookups!$A$12:$A$51, Lookups!$C$12:$C$51, "Unknown")</f>
        <v>Networking</v>
      </c>
      <c r="S1373" t="str">
        <f>IF(ISBLANK(I1373), B1373+VLOOKUP(C1373, Lookups!$A$2:$D$10, 4, FALSE()), I1373)</f>
        <v>2025-09-28</v>
      </c>
      <c r="T1373">
        <f t="shared" si="129"/>
        <v>18</v>
      </c>
      <c r="U1373" t="str">
        <f t="shared" si="130"/>
        <v>On-Time</v>
      </c>
      <c r="V1373">
        <f t="shared" si="131"/>
        <v>0</v>
      </c>
    </row>
    <row r="1374" spans="1:22" x14ac:dyDescent="0.45">
      <c r="A1374" t="s">
        <v>2215</v>
      </c>
      <c r="B1374" t="s">
        <v>1252</v>
      </c>
      <c r="C1374" t="s">
        <v>30</v>
      </c>
      <c r="D1374" t="s">
        <v>53</v>
      </c>
      <c r="E1374" t="s">
        <v>16</v>
      </c>
      <c r="F1374">
        <v>84</v>
      </c>
      <c r="G1374">
        <v>81048</v>
      </c>
      <c r="H1374">
        <v>6808032</v>
      </c>
      <c r="I1374" t="s">
        <v>320</v>
      </c>
      <c r="J1374" t="s">
        <v>199</v>
      </c>
      <c r="K1374">
        <v>84</v>
      </c>
      <c r="L1374">
        <v>0</v>
      </c>
      <c r="M1374" t="s">
        <v>115</v>
      </c>
      <c r="N1374" t="str">
        <f t="shared" si="126"/>
        <v>PO-101373</v>
      </c>
      <c r="O1374" t="str">
        <f t="shared" si="127"/>
        <v>Delivered</v>
      </c>
      <c r="P1374" t="str">
        <f t="shared" si="128"/>
        <v>WH-DEL</v>
      </c>
      <c r="Q1374" t="str">
        <f>VLOOKUP(C1374, Lookups!$A$2:$D$10, 2, FALSE())</f>
        <v>TechSupply Corp</v>
      </c>
      <c r="R1374" t="str">
        <f>_xlfn.XLOOKUP(D1374, Lookups!$A$12:$A$51, Lookups!$C$12:$C$51, "Unknown")</f>
        <v>Electronics</v>
      </c>
      <c r="S1374" t="str">
        <f>IF(ISBLANK(I1374), B1374+VLOOKUP(C1374, Lookups!$A$2:$D$10, 4, FALSE()), I1374)</f>
        <v>2025-10-15</v>
      </c>
      <c r="T1374">
        <f t="shared" si="129"/>
        <v>15</v>
      </c>
      <c r="U1374" t="str">
        <f t="shared" si="130"/>
        <v>Late</v>
      </c>
      <c r="V1374">
        <f t="shared" si="131"/>
        <v>0</v>
      </c>
    </row>
    <row r="1375" spans="1:22" x14ac:dyDescent="0.45">
      <c r="A1375" t="s">
        <v>2216</v>
      </c>
      <c r="B1375" t="s">
        <v>778</v>
      </c>
      <c r="C1375" t="s">
        <v>30</v>
      </c>
      <c r="D1375" t="s">
        <v>88</v>
      </c>
      <c r="E1375" t="s">
        <v>17</v>
      </c>
      <c r="F1375">
        <v>182</v>
      </c>
      <c r="G1375">
        <v>75512</v>
      </c>
      <c r="H1375">
        <v>13743184</v>
      </c>
      <c r="I1375" t="s">
        <v>1302</v>
      </c>
      <c r="J1375" t="s">
        <v>1430</v>
      </c>
      <c r="K1375">
        <v>120</v>
      </c>
      <c r="L1375">
        <v>0</v>
      </c>
      <c r="M1375" t="s">
        <v>115</v>
      </c>
      <c r="N1375" t="str">
        <f t="shared" si="126"/>
        <v>PO-101374</v>
      </c>
      <c r="O1375" t="str">
        <f t="shared" si="127"/>
        <v>Delivered</v>
      </c>
      <c r="P1375" t="str">
        <f t="shared" si="128"/>
        <v>WH-BLR</v>
      </c>
      <c r="Q1375" t="str">
        <f>VLOOKUP(C1375, Lookups!$A$2:$D$10, 2, FALSE())</f>
        <v>TechSupply Corp</v>
      </c>
      <c r="R1375" t="str">
        <f>_xlfn.XLOOKUP(D1375, Lookups!$A$12:$A$51, Lookups!$C$12:$C$51, "Unknown")</f>
        <v>Electronics</v>
      </c>
      <c r="S1375" t="str">
        <f>IF(ISBLANK(I1375), B1375+VLOOKUP(C1375, Lookups!$A$2:$D$10, 4, FALSE()), I1375)</f>
        <v>2025-12-27</v>
      </c>
      <c r="T1375">
        <f t="shared" si="129"/>
        <v>15</v>
      </c>
      <c r="U1375" t="str">
        <f t="shared" si="130"/>
        <v>Late</v>
      </c>
      <c r="V1375">
        <f t="shared" si="131"/>
        <v>0</v>
      </c>
    </row>
    <row r="1376" spans="1:22" x14ac:dyDescent="0.45">
      <c r="A1376" t="s">
        <v>2217</v>
      </c>
      <c r="B1376" t="s">
        <v>1158</v>
      </c>
      <c r="C1376" t="s">
        <v>35</v>
      </c>
      <c r="D1376" t="s">
        <v>57</v>
      </c>
      <c r="E1376" t="s">
        <v>18</v>
      </c>
      <c r="F1376">
        <v>174</v>
      </c>
      <c r="G1376">
        <v>2212</v>
      </c>
      <c r="H1376">
        <v>384888</v>
      </c>
      <c r="I1376" t="s">
        <v>911</v>
      </c>
      <c r="J1376" t="s">
        <v>911</v>
      </c>
      <c r="K1376">
        <v>174</v>
      </c>
      <c r="L1376">
        <v>0</v>
      </c>
      <c r="M1376" t="s">
        <v>115</v>
      </c>
      <c r="N1376" t="str">
        <f t="shared" si="126"/>
        <v>PO-101375</v>
      </c>
      <c r="O1376" t="str">
        <f t="shared" si="127"/>
        <v>Delivered</v>
      </c>
      <c r="P1376" t="str">
        <f t="shared" si="128"/>
        <v>WH-PUN</v>
      </c>
      <c r="Q1376" t="str">
        <f>VLOOKUP(C1376, Lookups!$A$2:$D$10, 2, FALSE())</f>
        <v>Peripheral Source</v>
      </c>
      <c r="R1376" t="str">
        <f>_xlfn.XLOOKUP(D1376, Lookups!$A$12:$A$51, Lookups!$C$12:$C$51, "Unknown")</f>
        <v>Peripherals</v>
      </c>
      <c r="S1376" t="str">
        <f>IF(ISBLANK(I1376), B1376+VLOOKUP(C1376, Lookups!$A$2:$D$10, 4, FALSE()), I1376)</f>
        <v>2025-04-09</v>
      </c>
      <c r="T1376">
        <f t="shared" si="129"/>
        <v>10</v>
      </c>
      <c r="U1376" t="str">
        <f t="shared" si="130"/>
        <v>On-Time</v>
      </c>
      <c r="V1376">
        <f t="shared" si="131"/>
        <v>0</v>
      </c>
    </row>
    <row r="1377" spans="1:22" x14ac:dyDescent="0.45">
      <c r="A1377" t="s">
        <v>2218</v>
      </c>
      <c r="B1377" t="s">
        <v>1069</v>
      </c>
      <c r="C1377" t="s">
        <v>31</v>
      </c>
      <c r="D1377" t="s">
        <v>85</v>
      </c>
      <c r="E1377" t="s">
        <v>18</v>
      </c>
      <c r="F1377">
        <v>214</v>
      </c>
      <c r="G1377">
        <v>16501</v>
      </c>
      <c r="H1377">
        <v>3531214</v>
      </c>
      <c r="I1377" t="s">
        <v>293</v>
      </c>
      <c r="J1377" t="s">
        <v>933</v>
      </c>
      <c r="K1377">
        <v>214</v>
      </c>
      <c r="L1377">
        <v>0</v>
      </c>
      <c r="M1377" t="s">
        <v>115</v>
      </c>
      <c r="N1377" t="str">
        <f t="shared" si="126"/>
        <v>PO-101376</v>
      </c>
      <c r="O1377" t="str">
        <f t="shared" si="127"/>
        <v>Delivered</v>
      </c>
      <c r="P1377" t="str">
        <f t="shared" si="128"/>
        <v>WH-PUN</v>
      </c>
      <c r="Q1377" t="str">
        <f>VLOOKUP(C1377, Lookups!$A$2:$D$10, 2, FALSE())</f>
        <v>Global Networks</v>
      </c>
      <c r="R1377" t="str">
        <f>_xlfn.XLOOKUP(D1377, Lookups!$A$12:$A$51, Lookups!$C$12:$C$51, "Unknown")</f>
        <v>Networking</v>
      </c>
      <c r="S1377" t="str">
        <f>IF(ISBLANK(I1377), B1377+VLOOKUP(C1377, Lookups!$A$2:$D$10, 4, FALSE()), I1377)</f>
        <v>2025-09-04</v>
      </c>
      <c r="T1377">
        <f t="shared" si="129"/>
        <v>22</v>
      </c>
      <c r="U1377" t="str">
        <f t="shared" si="130"/>
        <v>Late</v>
      </c>
      <c r="V1377">
        <f t="shared" si="131"/>
        <v>0</v>
      </c>
    </row>
    <row r="1378" spans="1:22" x14ac:dyDescent="0.45">
      <c r="A1378" t="s">
        <v>2219</v>
      </c>
      <c r="B1378" t="s">
        <v>736</v>
      </c>
      <c r="C1378" t="s">
        <v>34</v>
      </c>
      <c r="D1378" t="s">
        <v>80</v>
      </c>
      <c r="E1378" t="s">
        <v>16</v>
      </c>
      <c r="F1378">
        <v>109</v>
      </c>
      <c r="G1378">
        <v>19090</v>
      </c>
      <c r="H1378">
        <v>2080810</v>
      </c>
      <c r="I1378" t="s">
        <v>1024</v>
      </c>
      <c r="J1378" t="s">
        <v>1024</v>
      </c>
      <c r="K1378">
        <v>109</v>
      </c>
      <c r="L1378">
        <v>0</v>
      </c>
      <c r="M1378" t="s">
        <v>115</v>
      </c>
      <c r="N1378" t="str">
        <f t="shared" si="126"/>
        <v>PO-101377</v>
      </c>
      <c r="O1378" t="str">
        <f t="shared" si="127"/>
        <v>Delivered</v>
      </c>
      <c r="P1378" t="str">
        <f t="shared" si="128"/>
        <v>WH-DEL</v>
      </c>
      <c r="Q1378" t="str">
        <f>VLOOKUP(C1378, Lookups!$A$2:$D$10, 2, FALSE())</f>
        <v>FastElectronics</v>
      </c>
      <c r="R1378" t="str">
        <f>_xlfn.XLOOKUP(D1378, Lookups!$A$12:$A$51, Lookups!$C$12:$C$51, "Unknown")</f>
        <v>Networking</v>
      </c>
      <c r="S1378" t="str">
        <f>IF(ISBLANK(I1378), B1378+VLOOKUP(C1378, Lookups!$A$2:$D$10, 4, FALSE()), I1378)</f>
        <v>2026-11-17</v>
      </c>
      <c r="T1378">
        <f t="shared" si="129"/>
        <v>18</v>
      </c>
      <c r="U1378" t="str">
        <f t="shared" si="130"/>
        <v>On-Time</v>
      </c>
      <c r="V1378">
        <f t="shared" si="131"/>
        <v>0</v>
      </c>
    </row>
    <row r="1379" spans="1:22" x14ac:dyDescent="0.45">
      <c r="A1379" t="s">
        <v>2220</v>
      </c>
      <c r="B1379" t="s">
        <v>185</v>
      </c>
      <c r="C1379" t="s">
        <v>33</v>
      </c>
      <c r="D1379" t="s">
        <v>89</v>
      </c>
      <c r="E1379" t="s">
        <v>17</v>
      </c>
      <c r="F1379">
        <v>224</v>
      </c>
      <c r="G1379">
        <v>11309</v>
      </c>
      <c r="H1379">
        <v>2533216</v>
      </c>
      <c r="I1379" t="s">
        <v>477</v>
      </c>
      <c r="J1379" t="s">
        <v>478</v>
      </c>
      <c r="K1379">
        <v>213</v>
      </c>
      <c r="L1379">
        <v>0</v>
      </c>
      <c r="M1379" t="s">
        <v>115</v>
      </c>
      <c r="N1379" t="str">
        <f t="shared" si="126"/>
        <v>PO-101378</v>
      </c>
      <c r="O1379" t="str">
        <f t="shared" si="127"/>
        <v>Delivered</v>
      </c>
      <c r="P1379" t="str">
        <f t="shared" si="128"/>
        <v>WH-BLR</v>
      </c>
      <c r="Q1379" t="str">
        <f>VLOOKUP(C1379, Lookups!$A$2:$D$10, 2, FALSE())</f>
        <v>MegaFurnish</v>
      </c>
      <c r="R1379" t="str">
        <f>_xlfn.XLOOKUP(D1379, Lookups!$A$12:$A$51, Lookups!$C$12:$C$51, "Unknown")</f>
        <v>Office Furniture</v>
      </c>
      <c r="S1379" t="str">
        <f>IF(ISBLANK(I1379), B1379+VLOOKUP(C1379, Lookups!$A$2:$D$10, 4, FALSE()), I1379)</f>
        <v>2025-03-28</v>
      </c>
      <c r="T1379">
        <f t="shared" si="129"/>
        <v>31</v>
      </c>
      <c r="U1379" t="str">
        <f t="shared" si="130"/>
        <v>Late</v>
      </c>
      <c r="V1379">
        <f t="shared" si="131"/>
        <v>0</v>
      </c>
    </row>
    <row r="1380" spans="1:22" x14ac:dyDescent="0.45">
      <c r="A1380" t="s">
        <v>2221</v>
      </c>
      <c r="B1380" t="s">
        <v>198</v>
      </c>
      <c r="C1380" t="s">
        <v>30</v>
      </c>
      <c r="D1380" t="s">
        <v>53</v>
      </c>
      <c r="E1380" t="s">
        <v>15</v>
      </c>
      <c r="F1380">
        <v>114</v>
      </c>
      <c r="G1380">
        <v>81048</v>
      </c>
      <c r="H1380">
        <v>9239472</v>
      </c>
      <c r="I1380" t="s">
        <v>785</v>
      </c>
      <c r="J1380" t="s">
        <v>153</v>
      </c>
      <c r="K1380">
        <v>64</v>
      </c>
      <c r="L1380">
        <v>7</v>
      </c>
      <c r="M1380" t="s">
        <v>115</v>
      </c>
      <c r="N1380" t="str">
        <f t="shared" si="126"/>
        <v>PO-101379</v>
      </c>
      <c r="O1380" t="str">
        <f t="shared" si="127"/>
        <v>Delivered</v>
      </c>
      <c r="P1380" t="str">
        <f t="shared" si="128"/>
        <v>WH-BOM</v>
      </c>
      <c r="Q1380" t="str">
        <f>VLOOKUP(C1380, Lookups!$A$2:$D$10, 2, FALSE())</f>
        <v>TechSupply Corp</v>
      </c>
      <c r="R1380" t="str">
        <f>_xlfn.XLOOKUP(D1380, Lookups!$A$12:$A$51, Lookups!$C$12:$C$51, "Unknown")</f>
        <v>Electronics</v>
      </c>
      <c r="S1380" t="str">
        <f>IF(ISBLANK(I1380), B1380+VLOOKUP(C1380, Lookups!$A$2:$D$10, 4, FALSE()), I1380)</f>
        <v>2025-10-06</v>
      </c>
      <c r="T1380">
        <f t="shared" si="129"/>
        <v>15</v>
      </c>
      <c r="U1380" t="str">
        <f t="shared" si="130"/>
        <v>Late</v>
      </c>
      <c r="V1380">
        <f t="shared" si="131"/>
        <v>0.109375</v>
      </c>
    </row>
    <row r="1381" spans="1:22" x14ac:dyDescent="0.45">
      <c r="A1381" t="s">
        <v>2222</v>
      </c>
      <c r="B1381" t="s">
        <v>383</v>
      </c>
      <c r="C1381" t="s">
        <v>34</v>
      </c>
      <c r="D1381" t="s">
        <v>68</v>
      </c>
      <c r="E1381" t="s">
        <v>15</v>
      </c>
      <c r="F1381">
        <v>71</v>
      </c>
      <c r="G1381">
        <v>41405</v>
      </c>
      <c r="H1381">
        <v>2939755</v>
      </c>
      <c r="I1381" t="s">
        <v>826</v>
      </c>
      <c r="K1381">
        <v>0</v>
      </c>
      <c r="L1381">
        <v>0</v>
      </c>
      <c r="M1381" t="s">
        <v>297</v>
      </c>
      <c r="N1381" t="str">
        <f t="shared" si="126"/>
        <v>PO-101380</v>
      </c>
      <c r="O1381" t="str">
        <f t="shared" si="127"/>
        <v>Open</v>
      </c>
      <c r="P1381" t="str">
        <f t="shared" si="128"/>
        <v>WH-BOM</v>
      </c>
      <c r="Q1381" t="str">
        <f>VLOOKUP(C1381, Lookups!$A$2:$D$10, 2, FALSE())</f>
        <v>FastElectronics</v>
      </c>
      <c r="R1381" t="str">
        <f>_xlfn.XLOOKUP(D1381, Lookups!$A$12:$A$51, Lookups!$C$12:$C$51, "Unknown")</f>
        <v>Networking</v>
      </c>
      <c r="S1381" t="str">
        <f>IF(ISBLANK(I1381), B1381+VLOOKUP(C1381, Lookups!$A$2:$D$10, 4, FALSE()), I1381)</f>
        <v>2026-12-29</v>
      </c>
      <c r="T1381" t="str">
        <f t="shared" si="129"/>
        <v/>
      </c>
      <c r="U1381" t="str">
        <f t="shared" si="130"/>
        <v>Open</v>
      </c>
      <c r="V1381">
        <f t="shared" si="131"/>
        <v>0</v>
      </c>
    </row>
    <row r="1382" spans="1:22" x14ac:dyDescent="0.45">
      <c r="A1382" t="s">
        <v>2223</v>
      </c>
      <c r="B1382" t="s">
        <v>228</v>
      </c>
      <c r="C1382" t="s">
        <v>30</v>
      </c>
      <c r="D1382" t="s">
        <v>82</v>
      </c>
      <c r="E1382" t="s">
        <v>18</v>
      </c>
      <c r="F1382">
        <v>18</v>
      </c>
      <c r="G1382">
        <v>83427</v>
      </c>
      <c r="H1382">
        <v>1501686</v>
      </c>
      <c r="I1382" t="s">
        <v>426</v>
      </c>
      <c r="J1382" t="s">
        <v>192</v>
      </c>
      <c r="K1382">
        <v>18</v>
      </c>
      <c r="L1382">
        <v>0</v>
      </c>
      <c r="M1382" t="s">
        <v>115</v>
      </c>
      <c r="N1382" t="str">
        <f t="shared" si="126"/>
        <v>PO-101381</v>
      </c>
      <c r="O1382" t="str">
        <f t="shared" si="127"/>
        <v>Delivered</v>
      </c>
      <c r="P1382" t="str">
        <f t="shared" si="128"/>
        <v>WH-PUN</v>
      </c>
      <c r="Q1382" t="str">
        <f>VLOOKUP(C1382, Lookups!$A$2:$D$10, 2, FALSE())</f>
        <v>TechSupply Corp</v>
      </c>
      <c r="R1382" t="str">
        <f>_xlfn.XLOOKUP(D1382, Lookups!$A$12:$A$51, Lookups!$C$12:$C$51, "Unknown")</f>
        <v>Electronics</v>
      </c>
      <c r="S1382" t="str">
        <f>IF(ISBLANK(I1382), B1382+VLOOKUP(C1382, Lookups!$A$2:$D$10, 4, FALSE()), I1382)</f>
        <v>2025-07-27</v>
      </c>
      <c r="T1382">
        <f t="shared" si="129"/>
        <v>22</v>
      </c>
      <c r="U1382" t="str">
        <f t="shared" si="130"/>
        <v>Late</v>
      </c>
      <c r="V1382">
        <f t="shared" si="131"/>
        <v>0</v>
      </c>
    </row>
    <row r="1383" spans="1:22" x14ac:dyDescent="0.45">
      <c r="A1383" t="s">
        <v>2224</v>
      </c>
      <c r="B1383" t="s">
        <v>177</v>
      </c>
      <c r="C1383" t="s">
        <v>34</v>
      </c>
      <c r="D1383" t="s">
        <v>73</v>
      </c>
      <c r="E1383" t="s">
        <v>17</v>
      </c>
      <c r="F1383">
        <v>234</v>
      </c>
      <c r="G1383">
        <v>58396</v>
      </c>
      <c r="H1383">
        <v>13664664</v>
      </c>
      <c r="I1383" t="s">
        <v>307</v>
      </c>
      <c r="J1383" t="s">
        <v>133</v>
      </c>
      <c r="K1383">
        <v>234</v>
      </c>
      <c r="L1383">
        <v>0</v>
      </c>
      <c r="M1383" t="s">
        <v>115</v>
      </c>
      <c r="N1383" t="str">
        <f t="shared" si="126"/>
        <v>PO-101382</v>
      </c>
      <c r="O1383" t="str">
        <f t="shared" si="127"/>
        <v>Delivered</v>
      </c>
      <c r="P1383" t="str">
        <f t="shared" si="128"/>
        <v>WH-BLR</v>
      </c>
      <c r="Q1383" t="str">
        <f>VLOOKUP(C1383, Lookups!$A$2:$D$10, 2, FALSE())</f>
        <v>FastElectronics</v>
      </c>
      <c r="R1383" t="str">
        <f>_xlfn.XLOOKUP(D1383, Lookups!$A$12:$A$51, Lookups!$C$12:$C$51, "Unknown")</f>
        <v>Electronics</v>
      </c>
      <c r="S1383" t="str">
        <f>IF(ISBLANK(I1383), B1383+VLOOKUP(C1383, Lookups!$A$2:$D$10, 4, FALSE()), I1383)</f>
        <v>2026-08-26</v>
      </c>
      <c r="T1383">
        <f t="shared" si="129"/>
        <v>19</v>
      </c>
      <c r="U1383" t="str">
        <f t="shared" si="130"/>
        <v>Late</v>
      </c>
      <c r="V1383">
        <f t="shared" si="131"/>
        <v>0</v>
      </c>
    </row>
    <row r="1384" spans="1:22" x14ac:dyDescent="0.45">
      <c r="A1384" t="s">
        <v>2225</v>
      </c>
      <c r="B1384" t="s">
        <v>1621</v>
      </c>
      <c r="C1384" t="s">
        <v>34</v>
      </c>
      <c r="D1384" t="s">
        <v>68</v>
      </c>
      <c r="E1384" t="s">
        <v>17</v>
      </c>
      <c r="F1384">
        <v>166</v>
      </c>
      <c r="G1384">
        <v>41405</v>
      </c>
      <c r="H1384">
        <v>6873230</v>
      </c>
      <c r="I1384" t="s">
        <v>508</v>
      </c>
      <c r="J1384" t="s">
        <v>1079</v>
      </c>
      <c r="K1384">
        <v>166</v>
      </c>
      <c r="L1384">
        <v>0</v>
      </c>
      <c r="M1384" t="s">
        <v>115</v>
      </c>
      <c r="N1384" t="str">
        <f t="shared" si="126"/>
        <v>PO-101383</v>
      </c>
      <c r="O1384" t="str">
        <f t="shared" si="127"/>
        <v>Delivered</v>
      </c>
      <c r="P1384" t="str">
        <f t="shared" si="128"/>
        <v>WH-BLR</v>
      </c>
      <c r="Q1384" t="str">
        <f>VLOOKUP(C1384, Lookups!$A$2:$D$10, 2, FALSE())</f>
        <v>FastElectronics</v>
      </c>
      <c r="R1384" t="str">
        <f>_xlfn.XLOOKUP(D1384, Lookups!$A$12:$A$51, Lookups!$C$12:$C$51, "Unknown")</f>
        <v>Networking</v>
      </c>
      <c r="S1384" t="str">
        <f>IF(ISBLANK(I1384), B1384+VLOOKUP(C1384, Lookups!$A$2:$D$10, 4, FALSE()), I1384)</f>
        <v>2026-01-17</v>
      </c>
      <c r="T1384">
        <f t="shared" si="129"/>
        <v>19</v>
      </c>
      <c r="U1384" t="str">
        <f t="shared" si="130"/>
        <v>Late</v>
      </c>
      <c r="V1384">
        <f t="shared" si="131"/>
        <v>0</v>
      </c>
    </row>
    <row r="1385" spans="1:22" x14ac:dyDescent="0.45">
      <c r="A1385" t="s">
        <v>2226</v>
      </c>
      <c r="B1385" t="s">
        <v>477</v>
      </c>
      <c r="C1385" t="s">
        <v>30</v>
      </c>
      <c r="D1385" t="s">
        <v>82</v>
      </c>
      <c r="E1385" t="s">
        <v>17</v>
      </c>
      <c r="F1385">
        <v>226</v>
      </c>
      <c r="G1385">
        <v>83427</v>
      </c>
      <c r="H1385">
        <v>18854502</v>
      </c>
      <c r="I1385" t="s">
        <v>505</v>
      </c>
      <c r="J1385" t="s">
        <v>276</v>
      </c>
      <c r="K1385">
        <v>226</v>
      </c>
      <c r="L1385">
        <v>0</v>
      </c>
      <c r="M1385" t="s">
        <v>115</v>
      </c>
      <c r="N1385" t="str">
        <f t="shared" si="126"/>
        <v>PO-101384</v>
      </c>
      <c r="O1385" t="str">
        <f t="shared" si="127"/>
        <v>Delivered</v>
      </c>
      <c r="P1385" t="str">
        <f t="shared" si="128"/>
        <v>WH-BLR</v>
      </c>
      <c r="Q1385" t="str">
        <f>VLOOKUP(C1385, Lookups!$A$2:$D$10, 2, FALSE())</f>
        <v>TechSupply Corp</v>
      </c>
      <c r="R1385" t="str">
        <f>_xlfn.XLOOKUP(D1385, Lookups!$A$12:$A$51, Lookups!$C$12:$C$51, "Unknown")</f>
        <v>Electronics</v>
      </c>
      <c r="S1385" t="str">
        <f>IF(ISBLANK(I1385), B1385+VLOOKUP(C1385, Lookups!$A$2:$D$10, 4, FALSE()), I1385)</f>
        <v>2025-04-11</v>
      </c>
      <c r="T1385">
        <f t="shared" si="129"/>
        <v>15</v>
      </c>
      <c r="U1385" t="str">
        <f t="shared" si="130"/>
        <v>Late</v>
      </c>
      <c r="V1385">
        <f t="shared" si="131"/>
        <v>0</v>
      </c>
    </row>
    <row r="1386" spans="1:22" x14ac:dyDescent="0.45">
      <c r="A1386" t="s">
        <v>2227</v>
      </c>
      <c r="B1386" t="s">
        <v>726</v>
      </c>
      <c r="C1386" t="s">
        <v>30</v>
      </c>
      <c r="D1386" t="s">
        <v>59</v>
      </c>
      <c r="E1386" t="s">
        <v>18</v>
      </c>
      <c r="F1386">
        <v>248</v>
      </c>
      <c r="G1386">
        <v>48905</v>
      </c>
      <c r="H1386">
        <v>12128440</v>
      </c>
      <c r="I1386" t="s">
        <v>763</v>
      </c>
      <c r="J1386" t="s">
        <v>763</v>
      </c>
      <c r="K1386">
        <v>248</v>
      </c>
      <c r="L1386">
        <v>0</v>
      </c>
      <c r="M1386" t="s">
        <v>115</v>
      </c>
      <c r="N1386" t="str">
        <f t="shared" si="126"/>
        <v>PO-101385</v>
      </c>
      <c r="O1386" t="str">
        <f t="shared" si="127"/>
        <v>Delivered</v>
      </c>
      <c r="P1386" t="str">
        <f t="shared" si="128"/>
        <v>WH-PUN</v>
      </c>
      <c r="Q1386" t="str">
        <f>VLOOKUP(C1386, Lookups!$A$2:$D$10, 2, FALSE())</f>
        <v>TechSupply Corp</v>
      </c>
      <c r="R1386" t="str">
        <f>_xlfn.XLOOKUP(D1386, Lookups!$A$12:$A$51, Lookups!$C$12:$C$51, "Unknown")</f>
        <v>Electronics</v>
      </c>
      <c r="S1386" t="str">
        <f>IF(ISBLANK(I1386), B1386+VLOOKUP(C1386, Lookups!$A$2:$D$10, 4, FALSE()), I1386)</f>
        <v>2025-01-27</v>
      </c>
      <c r="T1386">
        <f t="shared" si="129"/>
        <v>14</v>
      </c>
      <c r="U1386" t="str">
        <f t="shared" si="130"/>
        <v>On-Time</v>
      </c>
      <c r="V1386">
        <f t="shared" si="131"/>
        <v>0</v>
      </c>
    </row>
    <row r="1387" spans="1:22" x14ac:dyDescent="0.45">
      <c r="A1387" t="s">
        <v>2228</v>
      </c>
      <c r="B1387" t="s">
        <v>147</v>
      </c>
      <c r="C1387" t="s">
        <v>36</v>
      </c>
      <c r="D1387" t="s">
        <v>71</v>
      </c>
      <c r="E1387" t="s">
        <v>18</v>
      </c>
      <c r="F1387">
        <v>158</v>
      </c>
      <c r="G1387">
        <v>65379</v>
      </c>
      <c r="H1387">
        <v>10329882</v>
      </c>
      <c r="I1387" t="s">
        <v>988</v>
      </c>
      <c r="J1387" t="s">
        <v>155</v>
      </c>
      <c r="K1387">
        <v>158</v>
      </c>
      <c r="L1387">
        <v>0</v>
      </c>
      <c r="M1387" t="s">
        <v>115</v>
      </c>
      <c r="N1387" t="str">
        <f t="shared" si="126"/>
        <v>PO-101386</v>
      </c>
      <c r="O1387" t="str">
        <f t="shared" si="127"/>
        <v>Delivered</v>
      </c>
      <c r="P1387" t="str">
        <f t="shared" si="128"/>
        <v>WH-PUN</v>
      </c>
      <c r="Q1387" t="str">
        <f>VLOOKUP(C1387, Lookups!$A$2:$D$10, 2, FALSE())</f>
        <v>NextGen Hardware</v>
      </c>
      <c r="R1387" t="str">
        <f>_xlfn.XLOOKUP(D1387, Lookups!$A$12:$A$51, Lookups!$C$12:$C$51, "Unknown")</f>
        <v>Electronics</v>
      </c>
      <c r="S1387" t="str">
        <f>IF(ISBLANK(I1387), B1387+VLOOKUP(C1387, Lookups!$A$2:$D$10, 4, FALSE()), I1387)</f>
        <v>2025-10-29</v>
      </c>
      <c r="T1387">
        <f t="shared" si="129"/>
        <v>25</v>
      </c>
      <c r="U1387" t="str">
        <f t="shared" si="130"/>
        <v>Late</v>
      </c>
      <c r="V1387">
        <f t="shared" si="131"/>
        <v>0</v>
      </c>
    </row>
    <row r="1388" spans="1:22" x14ac:dyDescent="0.45">
      <c r="A1388" t="s">
        <v>2229</v>
      </c>
      <c r="B1388" t="s">
        <v>1482</v>
      </c>
      <c r="C1388" t="s">
        <v>31</v>
      </c>
      <c r="D1388" t="s">
        <v>66</v>
      </c>
      <c r="E1388" t="s">
        <v>17</v>
      </c>
      <c r="F1388">
        <v>182</v>
      </c>
      <c r="G1388">
        <v>29719</v>
      </c>
      <c r="H1388">
        <v>5408858</v>
      </c>
      <c r="I1388" t="s">
        <v>739</v>
      </c>
      <c r="J1388" t="s">
        <v>1327</v>
      </c>
      <c r="K1388">
        <v>182</v>
      </c>
      <c r="L1388">
        <v>0</v>
      </c>
      <c r="M1388" t="s">
        <v>115</v>
      </c>
      <c r="N1388" t="str">
        <f t="shared" si="126"/>
        <v>PO-101387</v>
      </c>
      <c r="O1388" t="str">
        <f t="shared" si="127"/>
        <v>Delivered</v>
      </c>
      <c r="P1388" t="str">
        <f t="shared" si="128"/>
        <v>WH-BLR</v>
      </c>
      <c r="Q1388" t="str">
        <f>VLOOKUP(C1388, Lookups!$A$2:$D$10, 2, FALSE())</f>
        <v>Global Networks</v>
      </c>
      <c r="R1388" t="str">
        <f>_xlfn.XLOOKUP(D1388, Lookups!$A$12:$A$51, Lookups!$C$12:$C$51, "Unknown")</f>
        <v>Networking</v>
      </c>
      <c r="S1388" t="str">
        <f>IF(ISBLANK(I1388), B1388+VLOOKUP(C1388, Lookups!$A$2:$D$10, 4, FALSE()), I1388)</f>
        <v>2025-07-29</v>
      </c>
      <c r="T1388">
        <f t="shared" si="129"/>
        <v>29</v>
      </c>
      <c r="U1388" t="str">
        <f t="shared" si="130"/>
        <v>Late</v>
      </c>
      <c r="V1388">
        <f t="shared" si="131"/>
        <v>0</v>
      </c>
    </row>
    <row r="1389" spans="1:22" x14ac:dyDescent="0.45">
      <c r="A1389" t="s">
        <v>2230</v>
      </c>
      <c r="B1389" t="s">
        <v>486</v>
      </c>
      <c r="C1389" t="s">
        <v>37</v>
      </c>
      <c r="D1389" t="s">
        <v>79</v>
      </c>
      <c r="E1389" t="s">
        <v>17</v>
      </c>
      <c r="F1389">
        <v>242</v>
      </c>
      <c r="G1389">
        <v>23054</v>
      </c>
      <c r="H1389">
        <v>5579068</v>
      </c>
      <c r="I1389" t="s">
        <v>215</v>
      </c>
      <c r="J1389" t="s">
        <v>880</v>
      </c>
      <c r="K1389">
        <v>242</v>
      </c>
      <c r="L1389">
        <v>0</v>
      </c>
      <c r="M1389" t="s">
        <v>115</v>
      </c>
      <c r="N1389" t="str">
        <f t="shared" si="126"/>
        <v>PO-101388</v>
      </c>
      <c r="O1389" t="str">
        <f t="shared" si="127"/>
        <v>Delivered</v>
      </c>
      <c r="P1389" t="str">
        <f t="shared" si="128"/>
        <v>WH-BLR</v>
      </c>
      <c r="Q1389" t="str">
        <f>VLOOKUP(C1389, Lookups!$A$2:$D$10, 2, FALSE())</f>
        <v>Premium Desks Ltd</v>
      </c>
      <c r="R1389" t="str">
        <f>_xlfn.XLOOKUP(D1389, Lookups!$A$12:$A$51, Lookups!$C$12:$C$51, "Unknown")</f>
        <v>Office Furniture</v>
      </c>
      <c r="S1389" t="str">
        <f>IF(ISBLANK(I1389), B1389+VLOOKUP(C1389, Lookups!$A$2:$D$10, 4, FALSE()), I1389)</f>
        <v>2025-06-28</v>
      </c>
      <c r="T1389">
        <f t="shared" si="129"/>
        <v>13</v>
      </c>
      <c r="U1389" t="str">
        <f t="shared" si="130"/>
        <v>Late</v>
      </c>
      <c r="V1389">
        <f t="shared" si="131"/>
        <v>0</v>
      </c>
    </row>
    <row r="1390" spans="1:22" x14ac:dyDescent="0.45">
      <c r="A1390" t="s">
        <v>2231</v>
      </c>
      <c r="B1390" t="s">
        <v>382</v>
      </c>
      <c r="C1390" t="s">
        <v>34</v>
      </c>
      <c r="D1390" t="s">
        <v>54</v>
      </c>
      <c r="E1390" t="s">
        <v>15</v>
      </c>
      <c r="F1390">
        <v>33</v>
      </c>
      <c r="G1390">
        <v>22314</v>
      </c>
      <c r="H1390">
        <v>736362</v>
      </c>
      <c r="I1390" t="s">
        <v>1713</v>
      </c>
      <c r="K1390">
        <v>0</v>
      </c>
      <c r="L1390">
        <v>0</v>
      </c>
      <c r="M1390" t="s">
        <v>297</v>
      </c>
      <c r="N1390" t="str">
        <f t="shared" si="126"/>
        <v>PO-101389</v>
      </c>
      <c r="O1390" t="str">
        <f t="shared" si="127"/>
        <v>Open</v>
      </c>
      <c r="P1390" t="str">
        <f t="shared" si="128"/>
        <v>WH-BOM</v>
      </c>
      <c r="Q1390" t="str">
        <f>VLOOKUP(C1390, Lookups!$A$2:$D$10, 2, FALSE())</f>
        <v>FastElectronics</v>
      </c>
      <c r="R1390" t="str">
        <f>_xlfn.XLOOKUP(D1390, Lookups!$A$12:$A$51, Lookups!$C$12:$C$51, "Unknown")</f>
        <v>Networking</v>
      </c>
      <c r="S1390" t="str">
        <f>IF(ISBLANK(I1390), B1390+VLOOKUP(C1390, Lookups!$A$2:$D$10, 4, FALSE()), I1390)</f>
        <v>2026-12-19</v>
      </c>
      <c r="T1390" t="str">
        <f t="shared" si="129"/>
        <v/>
      </c>
      <c r="U1390" t="str">
        <f t="shared" si="130"/>
        <v>Open</v>
      </c>
      <c r="V1390">
        <f t="shared" si="131"/>
        <v>0</v>
      </c>
    </row>
    <row r="1391" spans="1:22" x14ac:dyDescent="0.45">
      <c r="A1391" t="s">
        <v>2232</v>
      </c>
      <c r="B1391" t="s">
        <v>571</v>
      </c>
      <c r="C1391" t="s">
        <v>35</v>
      </c>
      <c r="D1391" t="s">
        <v>60</v>
      </c>
      <c r="E1391" t="s">
        <v>17</v>
      </c>
      <c r="F1391">
        <v>172</v>
      </c>
      <c r="G1391">
        <v>3291</v>
      </c>
      <c r="H1391">
        <v>566052</v>
      </c>
      <c r="I1391" t="s">
        <v>583</v>
      </c>
      <c r="J1391" t="s">
        <v>480</v>
      </c>
      <c r="K1391">
        <v>172</v>
      </c>
      <c r="L1391">
        <v>24</v>
      </c>
      <c r="M1391" t="s">
        <v>115</v>
      </c>
      <c r="N1391" t="str">
        <f t="shared" si="126"/>
        <v>PO-101390</v>
      </c>
      <c r="O1391" t="str">
        <f t="shared" si="127"/>
        <v>Delivered</v>
      </c>
      <c r="P1391" t="str">
        <f t="shared" si="128"/>
        <v>WH-BLR</v>
      </c>
      <c r="Q1391" t="str">
        <f>VLOOKUP(C1391, Lookups!$A$2:$D$10, 2, FALSE())</f>
        <v>Peripheral Source</v>
      </c>
      <c r="R1391" t="str">
        <f>_xlfn.XLOOKUP(D1391, Lookups!$A$12:$A$51, Lookups!$C$12:$C$51, "Unknown")</f>
        <v>Peripherals</v>
      </c>
      <c r="S1391" t="str">
        <f>IF(ISBLANK(I1391), B1391+VLOOKUP(C1391, Lookups!$A$2:$D$10, 4, FALSE()), I1391)</f>
        <v>2025-04-26</v>
      </c>
      <c r="T1391">
        <f t="shared" si="129"/>
        <v>11</v>
      </c>
      <c r="U1391" t="str">
        <f t="shared" si="130"/>
        <v>Late</v>
      </c>
      <c r="V1391">
        <f t="shared" si="131"/>
        <v>0.13953488372093023</v>
      </c>
    </row>
    <row r="1392" spans="1:22" x14ac:dyDescent="0.45">
      <c r="A1392" t="s">
        <v>2233</v>
      </c>
      <c r="B1392" t="s">
        <v>172</v>
      </c>
      <c r="C1392" t="s">
        <v>34</v>
      </c>
      <c r="D1392" t="s">
        <v>54</v>
      </c>
      <c r="E1392" t="s">
        <v>17</v>
      </c>
      <c r="F1392">
        <v>233</v>
      </c>
      <c r="G1392">
        <v>22314</v>
      </c>
      <c r="H1392">
        <v>5199162</v>
      </c>
      <c r="I1392" t="s">
        <v>1584</v>
      </c>
      <c r="J1392" t="s">
        <v>198</v>
      </c>
      <c r="K1392">
        <v>233</v>
      </c>
      <c r="L1392">
        <v>0</v>
      </c>
      <c r="M1392" t="s">
        <v>115</v>
      </c>
      <c r="N1392" t="str">
        <f t="shared" si="126"/>
        <v>PO-101391</v>
      </c>
      <c r="O1392" t="str">
        <f t="shared" si="127"/>
        <v>Delivered</v>
      </c>
      <c r="P1392" t="str">
        <f t="shared" si="128"/>
        <v>WH-BLR</v>
      </c>
      <c r="Q1392" t="str">
        <f>VLOOKUP(C1392, Lookups!$A$2:$D$10, 2, FALSE())</f>
        <v>FastElectronics</v>
      </c>
      <c r="R1392" t="str">
        <f>_xlfn.XLOOKUP(D1392, Lookups!$A$12:$A$51, Lookups!$C$12:$C$51, "Unknown")</f>
        <v>Networking</v>
      </c>
      <c r="S1392" t="str">
        <f>IF(ISBLANK(I1392), B1392+VLOOKUP(C1392, Lookups!$A$2:$D$10, 4, FALSE()), I1392)</f>
        <v>2025-09-21</v>
      </c>
      <c r="T1392">
        <f t="shared" si="129"/>
        <v>19</v>
      </c>
      <c r="U1392" t="str">
        <f t="shared" si="130"/>
        <v>Late</v>
      </c>
      <c r="V1392">
        <f t="shared" si="131"/>
        <v>0</v>
      </c>
    </row>
    <row r="1393" spans="1:22" x14ac:dyDescent="0.45">
      <c r="A1393" t="s">
        <v>2234</v>
      </c>
      <c r="B1393" t="s">
        <v>1046</v>
      </c>
      <c r="C1393" t="s">
        <v>36</v>
      </c>
      <c r="D1393" t="s">
        <v>63</v>
      </c>
      <c r="E1393" t="s">
        <v>16</v>
      </c>
      <c r="F1393">
        <v>90</v>
      </c>
      <c r="G1393">
        <v>71062</v>
      </c>
      <c r="H1393">
        <v>6395580</v>
      </c>
      <c r="I1393" t="s">
        <v>1006</v>
      </c>
      <c r="J1393" t="s">
        <v>1006</v>
      </c>
      <c r="K1393">
        <v>90</v>
      </c>
      <c r="L1393">
        <v>0</v>
      </c>
      <c r="M1393" t="s">
        <v>115</v>
      </c>
      <c r="N1393" t="str">
        <f t="shared" si="126"/>
        <v>PO-101392</v>
      </c>
      <c r="O1393" t="str">
        <f t="shared" si="127"/>
        <v>Delivered</v>
      </c>
      <c r="P1393" t="str">
        <f t="shared" si="128"/>
        <v>WH-DEL</v>
      </c>
      <c r="Q1393" t="str">
        <f>VLOOKUP(C1393, Lookups!$A$2:$D$10, 2, FALSE())</f>
        <v>NextGen Hardware</v>
      </c>
      <c r="R1393" t="str">
        <f>_xlfn.XLOOKUP(D1393, Lookups!$A$12:$A$51, Lookups!$C$12:$C$51, "Unknown")</f>
        <v>Electronics</v>
      </c>
      <c r="S1393" t="str">
        <f>IF(ISBLANK(I1393), B1393+VLOOKUP(C1393, Lookups!$A$2:$D$10, 4, FALSE()), I1393)</f>
        <v>2025-11-16</v>
      </c>
      <c r="T1393">
        <f t="shared" si="129"/>
        <v>24</v>
      </c>
      <c r="U1393" t="str">
        <f t="shared" si="130"/>
        <v>On-Time</v>
      </c>
      <c r="V1393">
        <f t="shared" si="131"/>
        <v>0</v>
      </c>
    </row>
    <row r="1394" spans="1:22" x14ac:dyDescent="0.45">
      <c r="A1394" t="s">
        <v>2235</v>
      </c>
      <c r="B1394" t="s">
        <v>289</v>
      </c>
      <c r="C1394" t="s">
        <v>31</v>
      </c>
      <c r="D1394" t="s">
        <v>64</v>
      </c>
      <c r="E1394" t="s">
        <v>16</v>
      </c>
      <c r="F1394">
        <v>133</v>
      </c>
      <c r="G1394">
        <v>36295</v>
      </c>
      <c r="H1394">
        <v>4827235</v>
      </c>
      <c r="I1394" t="s">
        <v>1562</v>
      </c>
      <c r="J1394" t="s">
        <v>1347</v>
      </c>
      <c r="K1394">
        <v>133</v>
      </c>
      <c r="L1394">
        <v>0</v>
      </c>
      <c r="M1394" t="s">
        <v>115</v>
      </c>
      <c r="N1394" t="str">
        <f t="shared" si="126"/>
        <v>PO-101393</v>
      </c>
      <c r="O1394" t="str">
        <f t="shared" si="127"/>
        <v>Delivered</v>
      </c>
      <c r="P1394" t="str">
        <f t="shared" si="128"/>
        <v>WH-DEL</v>
      </c>
      <c r="Q1394" t="str">
        <f>VLOOKUP(C1394, Lookups!$A$2:$D$10, 2, FALSE())</f>
        <v>Global Networks</v>
      </c>
      <c r="R1394" t="str">
        <f>_xlfn.XLOOKUP(D1394, Lookups!$A$12:$A$51, Lookups!$C$12:$C$51, "Unknown")</f>
        <v>Networking</v>
      </c>
      <c r="S1394" t="str">
        <f>IF(ISBLANK(I1394), B1394+VLOOKUP(C1394, Lookups!$A$2:$D$10, 4, FALSE()), I1394)</f>
        <v>2026-07-30</v>
      </c>
      <c r="T1394">
        <f t="shared" si="129"/>
        <v>31</v>
      </c>
      <c r="U1394" t="str">
        <f t="shared" si="130"/>
        <v>Late</v>
      </c>
      <c r="V1394">
        <f t="shared" si="131"/>
        <v>0</v>
      </c>
    </row>
    <row r="1395" spans="1:22" x14ac:dyDescent="0.45">
      <c r="A1395" t="s">
        <v>2236</v>
      </c>
      <c r="B1395" t="s">
        <v>839</v>
      </c>
      <c r="C1395" t="s">
        <v>37</v>
      </c>
      <c r="D1395" t="s">
        <v>83</v>
      </c>
      <c r="E1395" t="s">
        <v>15</v>
      </c>
      <c r="F1395">
        <v>178</v>
      </c>
      <c r="G1395">
        <v>19850</v>
      </c>
      <c r="H1395">
        <v>3533300</v>
      </c>
      <c r="I1395" t="s">
        <v>787</v>
      </c>
      <c r="J1395" t="s">
        <v>222</v>
      </c>
      <c r="K1395">
        <v>178</v>
      </c>
      <c r="L1395">
        <v>0</v>
      </c>
      <c r="M1395" t="s">
        <v>115</v>
      </c>
      <c r="N1395" t="str">
        <f t="shared" si="126"/>
        <v>PO-101394</v>
      </c>
      <c r="O1395" t="str">
        <f t="shared" si="127"/>
        <v>Delivered</v>
      </c>
      <c r="P1395" t="str">
        <f t="shared" si="128"/>
        <v>WH-BOM</v>
      </c>
      <c r="Q1395" t="str">
        <f>VLOOKUP(C1395, Lookups!$A$2:$D$10, 2, FALSE())</f>
        <v>Premium Desks Ltd</v>
      </c>
      <c r="R1395" t="str">
        <f>_xlfn.XLOOKUP(D1395, Lookups!$A$12:$A$51, Lookups!$C$12:$C$51, "Unknown")</f>
        <v>Office Furniture</v>
      </c>
      <c r="S1395" t="str">
        <f>IF(ISBLANK(I1395), B1395+VLOOKUP(C1395, Lookups!$A$2:$D$10, 4, FALSE()), I1395)</f>
        <v>2026-03-04</v>
      </c>
      <c r="T1395">
        <f t="shared" si="129"/>
        <v>9</v>
      </c>
      <c r="U1395" t="str">
        <f t="shared" si="130"/>
        <v>On-Time</v>
      </c>
      <c r="V1395">
        <f t="shared" si="131"/>
        <v>0</v>
      </c>
    </row>
    <row r="1396" spans="1:22" x14ac:dyDescent="0.45">
      <c r="A1396" t="s">
        <v>2237</v>
      </c>
      <c r="B1396" t="s">
        <v>146</v>
      </c>
      <c r="C1396" t="s">
        <v>34</v>
      </c>
      <c r="D1396" t="s">
        <v>81</v>
      </c>
      <c r="E1396" t="s">
        <v>18</v>
      </c>
      <c r="F1396">
        <v>34</v>
      </c>
      <c r="G1396">
        <v>55328</v>
      </c>
      <c r="H1396">
        <v>1881152</v>
      </c>
      <c r="I1396" t="s">
        <v>610</v>
      </c>
      <c r="J1396" t="s">
        <v>1077</v>
      </c>
      <c r="K1396">
        <v>34</v>
      </c>
      <c r="L1396">
        <v>0</v>
      </c>
      <c r="M1396" t="s">
        <v>115</v>
      </c>
      <c r="N1396" t="str">
        <f t="shared" si="126"/>
        <v>PO-101395</v>
      </c>
      <c r="O1396" t="str">
        <f t="shared" si="127"/>
        <v>Delivered</v>
      </c>
      <c r="P1396" t="str">
        <f t="shared" si="128"/>
        <v>WH-PUN</v>
      </c>
      <c r="Q1396" t="str">
        <f>VLOOKUP(C1396, Lookups!$A$2:$D$10, 2, FALSE())</f>
        <v>FastElectronics</v>
      </c>
      <c r="R1396" t="str">
        <f>_xlfn.XLOOKUP(D1396, Lookups!$A$12:$A$51, Lookups!$C$12:$C$51, "Unknown")</f>
        <v>Electronics</v>
      </c>
      <c r="S1396" t="str">
        <f>IF(ISBLANK(I1396), B1396+VLOOKUP(C1396, Lookups!$A$2:$D$10, 4, FALSE()), I1396)</f>
        <v>2025-10-26</v>
      </c>
      <c r="T1396">
        <f t="shared" si="129"/>
        <v>19</v>
      </c>
      <c r="U1396" t="str">
        <f t="shared" si="130"/>
        <v>Late</v>
      </c>
      <c r="V1396">
        <f t="shared" si="131"/>
        <v>0</v>
      </c>
    </row>
    <row r="1397" spans="1:22" x14ac:dyDescent="0.45">
      <c r="A1397" t="s">
        <v>2238</v>
      </c>
      <c r="B1397" t="s">
        <v>926</v>
      </c>
      <c r="C1397" t="s">
        <v>31</v>
      </c>
      <c r="D1397" t="s">
        <v>85</v>
      </c>
      <c r="E1397" t="s">
        <v>18</v>
      </c>
      <c r="F1397">
        <v>19</v>
      </c>
      <c r="G1397">
        <v>16501</v>
      </c>
      <c r="H1397">
        <v>313519</v>
      </c>
      <c r="I1397" t="s">
        <v>478</v>
      </c>
      <c r="J1397" t="s">
        <v>1158</v>
      </c>
      <c r="K1397">
        <v>9</v>
      </c>
      <c r="L1397">
        <v>0</v>
      </c>
      <c r="M1397" t="s">
        <v>115</v>
      </c>
      <c r="N1397" t="str">
        <f t="shared" si="126"/>
        <v>PO-101396</v>
      </c>
      <c r="O1397" t="str">
        <f t="shared" si="127"/>
        <v>Delivered</v>
      </c>
      <c r="P1397" t="str">
        <f t="shared" si="128"/>
        <v>WH-PUN</v>
      </c>
      <c r="Q1397" t="str">
        <f>VLOOKUP(C1397, Lookups!$A$2:$D$10, 2, FALSE())</f>
        <v>Global Networks</v>
      </c>
      <c r="R1397" t="str">
        <f>_xlfn.XLOOKUP(D1397, Lookups!$A$12:$A$51, Lookups!$C$12:$C$51, "Unknown")</f>
        <v>Networking</v>
      </c>
      <c r="S1397" t="str">
        <f>IF(ISBLANK(I1397), B1397+VLOOKUP(C1397, Lookups!$A$2:$D$10, 4, FALSE()), I1397)</f>
        <v>2025-03-29</v>
      </c>
      <c r="T1397">
        <f t="shared" si="129"/>
        <v>22</v>
      </c>
      <c r="U1397" t="str">
        <f t="shared" si="130"/>
        <v>Late</v>
      </c>
      <c r="V1397">
        <f t="shared" si="131"/>
        <v>0</v>
      </c>
    </row>
    <row r="1398" spans="1:22" x14ac:dyDescent="0.45">
      <c r="A1398" t="s">
        <v>2239</v>
      </c>
      <c r="B1398" t="s">
        <v>1122</v>
      </c>
      <c r="C1398" t="s">
        <v>30</v>
      </c>
      <c r="D1398" t="s">
        <v>59</v>
      </c>
      <c r="E1398" t="s">
        <v>15</v>
      </c>
      <c r="F1398">
        <v>116</v>
      </c>
      <c r="G1398">
        <v>48905</v>
      </c>
      <c r="H1398">
        <v>5672980</v>
      </c>
      <c r="I1398" t="s">
        <v>999</v>
      </c>
      <c r="J1398" t="s">
        <v>134</v>
      </c>
      <c r="K1398">
        <v>116</v>
      </c>
      <c r="L1398">
        <v>0</v>
      </c>
      <c r="M1398" t="s">
        <v>115</v>
      </c>
      <c r="N1398" t="str">
        <f t="shared" si="126"/>
        <v>PO-101397</v>
      </c>
      <c r="O1398" t="str">
        <f t="shared" si="127"/>
        <v>Delivered</v>
      </c>
      <c r="P1398" t="str">
        <f t="shared" si="128"/>
        <v>WH-BOM</v>
      </c>
      <c r="Q1398" t="str">
        <f>VLOOKUP(C1398, Lookups!$A$2:$D$10, 2, FALSE())</f>
        <v>TechSupply Corp</v>
      </c>
      <c r="R1398" t="str">
        <f>_xlfn.XLOOKUP(D1398, Lookups!$A$12:$A$51, Lookups!$C$12:$C$51, "Unknown")</f>
        <v>Electronics</v>
      </c>
      <c r="S1398" t="str">
        <f>IF(ISBLANK(I1398), B1398+VLOOKUP(C1398, Lookups!$A$2:$D$10, 4, FALSE()), I1398)</f>
        <v>2026-08-28</v>
      </c>
      <c r="T1398">
        <f t="shared" si="129"/>
        <v>20</v>
      </c>
      <c r="U1398" t="str">
        <f t="shared" si="130"/>
        <v>Late</v>
      </c>
      <c r="V1398">
        <f t="shared" si="131"/>
        <v>0</v>
      </c>
    </row>
    <row r="1399" spans="1:22" x14ac:dyDescent="0.45">
      <c r="A1399" t="s">
        <v>2240</v>
      </c>
      <c r="B1399" t="s">
        <v>708</v>
      </c>
      <c r="C1399" t="s">
        <v>35</v>
      </c>
      <c r="D1399" t="s">
        <v>57</v>
      </c>
      <c r="E1399" t="s">
        <v>15</v>
      </c>
      <c r="F1399">
        <v>159</v>
      </c>
      <c r="G1399">
        <v>2212</v>
      </c>
      <c r="H1399">
        <v>351708</v>
      </c>
      <c r="I1399" t="s">
        <v>164</v>
      </c>
      <c r="J1399" t="s">
        <v>164</v>
      </c>
      <c r="K1399">
        <v>152</v>
      </c>
      <c r="L1399">
        <v>0</v>
      </c>
      <c r="M1399" t="s">
        <v>115</v>
      </c>
      <c r="N1399" t="str">
        <f t="shared" si="126"/>
        <v>PO-101398</v>
      </c>
      <c r="O1399" t="str">
        <f t="shared" si="127"/>
        <v>Delivered</v>
      </c>
      <c r="P1399" t="str">
        <f t="shared" si="128"/>
        <v>WH-BOM</v>
      </c>
      <c r="Q1399" t="str">
        <f>VLOOKUP(C1399, Lookups!$A$2:$D$10, 2, FALSE())</f>
        <v>Peripheral Source</v>
      </c>
      <c r="R1399" t="str">
        <f>_xlfn.XLOOKUP(D1399, Lookups!$A$12:$A$51, Lookups!$C$12:$C$51, "Unknown")</f>
        <v>Peripherals</v>
      </c>
      <c r="S1399" t="str">
        <f>IF(ISBLANK(I1399), B1399+VLOOKUP(C1399, Lookups!$A$2:$D$10, 4, FALSE()), I1399)</f>
        <v>2026-02-05</v>
      </c>
      <c r="T1399">
        <f t="shared" si="129"/>
        <v>10</v>
      </c>
      <c r="U1399" t="str">
        <f t="shared" si="130"/>
        <v>On-Time</v>
      </c>
      <c r="V1399">
        <f t="shared" si="131"/>
        <v>0</v>
      </c>
    </row>
    <row r="1400" spans="1:22" x14ac:dyDescent="0.45">
      <c r="A1400" t="s">
        <v>2241</v>
      </c>
      <c r="B1400" t="s">
        <v>231</v>
      </c>
      <c r="C1400" t="s">
        <v>36</v>
      </c>
      <c r="D1400" t="s">
        <v>63</v>
      </c>
      <c r="E1400" t="s">
        <v>17</v>
      </c>
      <c r="F1400">
        <v>233</v>
      </c>
      <c r="G1400">
        <v>71062</v>
      </c>
      <c r="H1400">
        <v>16557446</v>
      </c>
      <c r="I1400" t="s">
        <v>372</v>
      </c>
      <c r="J1400" t="s">
        <v>372</v>
      </c>
      <c r="K1400">
        <v>233</v>
      </c>
      <c r="L1400">
        <v>0</v>
      </c>
      <c r="M1400" t="s">
        <v>115</v>
      </c>
      <c r="N1400" t="str">
        <f t="shared" si="126"/>
        <v>PO-101399</v>
      </c>
      <c r="O1400" t="str">
        <f t="shared" si="127"/>
        <v>Delivered</v>
      </c>
      <c r="P1400" t="str">
        <f t="shared" si="128"/>
        <v>WH-BLR</v>
      </c>
      <c r="Q1400" t="str">
        <f>VLOOKUP(C1400, Lookups!$A$2:$D$10, 2, FALSE())</f>
        <v>NextGen Hardware</v>
      </c>
      <c r="R1400" t="str">
        <f>_xlfn.XLOOKUP(D1400, Lookups!$A$12:$A$51, Lookups!$C$12:$C$51, "Unknown")</f>
        <v>Electronics</v>
      </c>
      <c r="S1400" t="str">
        <f>IF(ISBLANK(I1400), B1400+VLOOKUP(C1400, Lookups!$A$2:$D$10, 4, FALSE()), I1400)</f>
        <v>2025-12-01</v>
      </c>
      <c r="T1400">
        <f t="shared" si="129"/>
        <v>24</v>
      </c>
      <c r="U1400" t="str">
        <f t="shared" si="130"/>
        <v>On-Time</v>
      </c>
      <c r="V1400">
        <f t="shared" si="131"/>
        <v>0</v>
      </c>
    </row>
    <row r="1401" spans="1:22" x14ac:dyDescent="0.45">
      <c r="A1401" t="s">
        <v>2242</v>
      </c>
      <c r="B1401" t="s">
        <v>1126</v>
      </c>
      <c r="C1401" t="s">
        <v>31</v>
      </c>
      <c r="D1401" t="s">
        <v>85</v>
      </c>
      <c r="E1401" t="s">
        <v>326</v>
      </c>
      <c r="F1401">
        <v>191</v>
      </c>
      <c r="G1401">
        <v>16501</v>
      </c>
      <c r="H1401">
        <v>3151691</v>
      </c>
      <c r="I1401" t="s">
        <v>1010</v>
      </c>
      <c r="J1401" t="s">
        <v>2097</v>
      </c>
      <c r="K1401">
        <v>191</v>
      </c>
      <c r="L1401">
        <v>0</v>
      </c>
      <c r="M1401" t="s">
        <v>115</v>
      </c>
      <c r="N1401" t="str">
        <f t="shared" si="126"/>
        <v>PO-101400</v>
      </c>
      <c r="O1401" t="str">
        <f t="shared" si="127"/>
        <v>Delivered</v>
      </c>
      <c r="P1401" t="str">
        <f t="shared" si="128"/>
        <v>WH-BLR</v>
      </c>
      <c r="Q1401" t="str">
        <f>VLOOKUP(C1401, Lookups!$A$2:$D$10, 2, FALSE())</f>
        <v>Global Networks</v>
      </c>
      <c r="R1401" t="str">
        <f>_xlfn.XLOOKUP(D1401, Lookups!$A$12:$A$51, Lookups!$C$12:$C$51, "Unknown")</f>
        <v>Networking</v>
      </c>
      <c r="S1401" t="str">
        <f>IF(ISBLANK(I1401), B1401+VLOOKUP(C1401, Lookups!$A$2:$D$10, 4, FALSE()), I1401)</f>
        <v>2026-12-09</v>
      </c>
      <c r="T1401">
        <f t="shared" si="129"/>
        <v>20</v>
      </c>
      <c r="U1401" t="str">
        <f t="shared" si="130"/>
        <v>On-Time</v>
      </c>
      <c r="V1401">
        <f t="shared" si="131"/>
        <v>0</v>
      </c>
    </row>
    <row r="1402" spans="1:22" x14ac:dyDescent="0.45">
      <c r="A1402" t="s">
        <v>2243</v>
      </c>
      <c r="B1402" t="s">
        <v>1077</v>
      </c>
      <c r="C1402" t="s">
        <v>36</v>
      </c>
      <c r="D1402" t="s">
        <v>87</v>
      </c>
      <c r="E1402" t="s">
        <v>18</v>
      </c>
      <c r="F1402">
        <v>127</v>
      </c>
      <c r="G1402">
        <v>82930</v>
      </c>
      <c r="H1402">
        <v>10532110</v>
      </c>
      <c r="I1402" t="s">
        <v>464</v>
      </c>
      <c r="J1402" t="s">
        <v>446</v>
      </c>
      <c r="K1402">
        <v>127</v>
      </c>
      <c r="L1402">
        <v>0</v>
      </c>
      <c r="M1402" t="s">
        <v>115</v>
      </c>
      <c r="N1402" t="str">
        <f t="shared" si="126"/>
        <v>PO-101401</v>
      </c>
      <c r="O1402" t="str">
        <f t="shared" si="127"/>
        <v>Delivered</v>
      </c>
      <c r="P1402" t="str">
        <f t="shared" si="128"/>
        <v>WH-PUN</v>
      </c>
      <c r="Q1402" t="str">
        <f>VLOOKUP(C1402, Lookups!$A$2:$D$10, 2, FALSE())</f>
        <v>NextGen Hardware</v>
      </c>
      <c r="R1402" t="str">
        <f>_xlfn.XLOOKUP(D1402, Lookups!$A$12:$A$51, Lookups!$C$12:$C$51, "Unknown")</f>
        <v>Electronics</v>
      </c>
      <c r="S1402" t="str">
        <f>IF(ISBLANK(I1402), B1402+VLOOKUP(C1402, Lookups!$A$2:$D$10, 4, FALSE()), I1402)</f>
        <v>2025-11-20</v>
      </c>
      <c r="T1402">
        <f t="shared" si="129"/>
        <v>33</v>
      </c>
      <c r="U1402" t="str">
        <f t="shared" si="130"/>
        <v>Late</v>
      </c>
      <c r="V1402">
        <f t="shared" si="131"/>
        <v>0</v>
      </c>
    </row>
    <row r="1403" spans="1:22" x14ac:dyDescent="0.45">
      <c r="A1403" t="s">
        <v>2244</v>
      </c>
      <c r="B1403" t="s">
        <v>1254</v>
      </c>
      <c r="C1403" t="s">
        <v>30</v>
      </c>
      <c r="D1403" t="s">
        <v>61</v>
      </c>
      <c r="E1403" t="s">
        <v>17</v>
      </c>
      <c r="F1403">
        <v>72</v>
      </c>
      <c r="G1403">
        <v>111237</v>
      </c>
      <c r="H1403">
        <v>8009064</v>
      </c>
      <c r="I1403" t="s">
        <v>1401</v>
      </c>
      <c r="J1403" t="s">
        <v>282</v>
      </c>
      <c r="K1403">
        <v>72</v>
      </c>
      <c r="L1403">
        <v>0</v>
      </c>
      <c r="M1403" t="s">
        <v>115</v>
      </c>
      <c r="N1403" t="str">
        <f t="shared" si="126"/>
        <v>PO-101402</v>
      </c>
      <c r="O1403" t="str">
        <f t="shared" si="127"/>
        <v>Delivered</v>
      </c>
      <c r="P1403" t="str">
        <f t="shared" si="128"/>
        <v>WH-BLR</v>
      </c>
      <c r="Q1403" t="str">
        <f>VLOOKUP(C1403, Lookups!$A$2:$D$10, 2, FALSE())</f>
        <v>TechSupply Corp</v>
      </c>
      <c r="R1403" t="str">
        <f>_xlfn.XLOOKUP(D1403, Lookups!$A$12:$A$51, Lookups!$C$12:$C$51, "Unknown")</f>
        <v>Electronics</v>
      </c>
      <c r="S1403" t="str">
        <f>IF(ISBLANK(I1403), B1403+VLOOKUP(C1403, Lookups!$A$2:$D$10, 4, FALSE()), I1403)</f>
        <v>2026-10-24</v>
      </c>
      <c r="T1403">
        <f t="shared" si="129"/>
        <v>17</v>
      </c>
      <c r="U1403" t="str">
        <f t="shared" si="130"/>
        <v>Late</v>
      </c>
      <c r="V1403">
        <f t="shared" si="131"/>
        <v>0</v>
      </c>
    </row>
    <row r="1404" spans="1:22" x14ac:dyDescent="0.45">
      <c r="A1404" t="s">
        <v>2245</v>
      </c>
      <c r="B1404" t="s">
        <v>141</v>
      </c>
      <c r="C1404" t="s">
        <v>30</v>
      </c>
      <c r="D1404" t="s">
        <v>53</v>
      </c>
      <c r="E1404" t="s">
        <v>16</v>
      </c>
      <c r="F1404">
        <v>203</v>
      </c>
      <c r="G1404">
        <v>81048</v>
      </c>
      <c r="H1404">
        <v>16452744</v>
      </c>
      <c r="I1404" t="s">
        <v>2246</v>
      </c>
      <c r="J1404" t="s">
        <v>334</v>
      </c>
      <c r="K1404">
        <v>203</v>
      </c>
      <c r="L1404">
        <v>0</v>
      </c>
      <c r="M1404" t="s">
        <v>115</v>
      </c>
      <c r="N1404" t="str">
        <f t="shared" si="126"/>
        <v>PO-101403</v>
      </c>
      <c r="O1404" t="str">
        <f t="shared" si="127"/>
        <v>Delivered</v>
      </c>
      <c r="P1404" t="str">
        <f t="shared" si="128"/>
        <v>WH-DEL</v>
      </c>
      <c r="Q1404" t="str">
        <f>VLOOKUP(C1404, Lookups!$A$2:$D$10, 2, FALSE())</f>
        <v>TechSupply Corp</v>
      </c>
      <c r="R1404" t="str">
        <f>_xlfn.XLOOKUP(D1404, Lookups!$A$12:$A$51, Lookups!$C$12:$C$51, "Unknown")</f>
        <v>Electronics</v>
      </c>
      <c r="S1404" t="str">
        <f>IF(ISBLANK(I1404), B1404+VLOOKUP(C1404, Lookups!$A$2:$D$10, 4, FALSE()), I1404)</f>
        <v>2026-08-06</v>
      </c>
      <c r="T1404">
        <f t="shared" si="129"/>
        <v>23</v>
      </c>
      <c r="U1404" t="str">
        <f t="shared" si="130"/>
        <v>Late</v>
      </c>
      <c r="V1404">
        <f t="shared" si="131"/>
        <v>0</v>
      </c>
    </row>
    <row r="1405" spans="1:22" x14ac:dyDescent="0.45">
      <c r="A1405" t="s">
        <v>2247</v>
      </c>
      <c r="B1405" t="s">
        <v>1337</v>
      </c>
      <c r="C1405" t="s">
        <v>37</v>
      </c>
      <c r="D1405" t="s">
        <v>78</v>
      </c>
      <c r="E1405" t="s">
        <v>18</v>
      </c>
      <c r="F1405">
        <v>115</v>
      </c>
      <c r="G1405">
        <v>9423</v>
      </c>
      <c r="H1405">
        <v>1083645</v>
      </c>
      <c r="I1405" t="s">
        <v>451</v>
      </c>
      <c r="J1405" t="s">
        <v>451</v>
      </c>
      <c r="K1405">
        <v>115</v>
      </c>
      <c r="L1405">
        <v>0</v>
      </c>
      <c r="M1405" t="s">
        <v>301</v>
      </c>
      <c r="N1405" t="str">
        <f t="shared" si="126"/>
        <v>PO-101404</v>
      </c>
      <c r="O1405" t="str">
        <f t="shared" si="127"/>
        <v>Delivered</v>
      </c>
      <c r="P1405" t="str">
        <f t="shared" si="128"/>
        <v>WH-PUN</v>
      </c>
      <c r="Q1405" t="str">
        <f>VLOOKUP(C1405, Lookups!$A$2:$D$10, 2, FALSE())</f>
        <v>Premium Desks Ltd</v>
      </c>
      <c r="R1405" t="str">
        <f>_xlfn.XLOOKUP(D1405, Lookups!$A$12:$A$51, Lookups!$C$12:$C$51, "Unknown")</f>
        <v>Office Furniture</v>
      </c>
      <c r="S1405" t="str">
        <f>IF(ISBLANK(I1405), B1405+VLOOKUP(C1405, Lookups!$A$2:$D$10, 4, FALSE()), I1405)</f>
        <v>2026-10-04</v>
      </c>
      <c r="T1405">
        <f t="shared" si="129"/>
        <v>12</v>
      </c>
      <c r="U1405" t="str">
        <f t="shared" si="130"/>
        <v>On-Time</v>
      </c>
      <c r="V1405">
        <f t="shared" si="131"/>
        <v>0</v>
      </c>
    </row>
    <row r="1406" spans="1:22" x14ac:dyDescent="0.45">
      <c r="A1406" t="s">
        <v>2248</v>
      </c>
      <c r="B1406" t="s">
        <v>648</v>
      </c>
      <c r="C1406" t="s">
        <v>36</v>
      </c>
      <c r="D1406" t="s">
        <v>87</v>
      </c>
      <c r="E1406" t="s">
        <v>16</v>
      </c>
      <c r="F1406">
        <v>222</v>
      </c>
      <c r="G1406">
        <v>82930</v>
      </c>
      <c r="H1406">
        <v>18410460</v>
      </c>
      <c r="I1406" t="s">
        <v>310</v>
      </c>
      <c r="J1406" t="s">
        <v>995</v>
      </c>
      <c r="K1406">
        <v>222</v>
      </c>
      <c r="L1406">
        <v>0</v>
      </c>
      <c r="M1406" t="s">
        <v>115</v>
      </c>
      <c r="N1406" t="str">
        <f t="shared" si="126"/>
        <v>PO-101405</v>
      </c>
      <c r="O1406" t="str">
        <f t="shared" si="127"/>
        <v>Delivered</v>
      </c>
      <c r="P1406" t="str">
        <f t="shared" si="128"/>
        <v>WH-DEL</v>
      </c>
      <c r="Q1406" t="str">
        <f>VLOOKUP(C1406, Lookups!$A$2:$D$10, 2, FALSE())</f>
        <v>NextGen Hardware</v>
      </c>
      <c r="R1406" t="str">
        <f>_xlfn.XLOOKUP(D1406, Lookups!$A$12:$A$51, Lookups!$C$12:$C$51, "Unknown")</f>
        <v>Electronics</v>
      </c>
      <c r="S1406" t="str">
        <f>IF(ISBLANK(I1406), B1406+VLOOKUP(C1406, Lookups!$A$2:$D$10, 4, FALSE()), I1406)</f>
        <v>2025-08-21</v>
      </c>
      <c r="T1406">
        <f t="shared" si="129"/>
        <v>25</v>
      </c>
      <c r="U1406" t="str">
        <f t="shared" si="130"/>
        <v>Late</v>
      </c>
      <c r="V1406">
        <f t="shared" si="131"/>
        <v>0</v>
      </c>
    </row>
    <row r="1407" spans="1:22" x14ac:dyDescent="0.45">
      <c r="A1407" t="s">
        <v>2249</v>
      </c>
      <c r="B1407" t="s">
        <v>1206</v>
      </c>
      <c r="C1407" t="s">
        <v>31</v>
      </c>
      <c r="D1407" t="s">
        <v>85</v>
      </c>
      <c r="E1407" t="s">
        <v>16</v>
      </c>
      <c r="F1407">
        <v>37</v>
      </c>
      <c r="G1407">
        <v>16501</v>
      </c>
      <c r="H1407">
        <v>610537</v>
      </c>
      <c r="I1407" t="s">
        <v>685</v>
      </c>
      <c r="J1407" t="s">
        <v>685</v>
      </c>
      <c r="K1407">
        <v>37</v>
      </c>
      <c r="L1407">
        <v>0</v>
      </c>
      <c r="M1407" t="s">
        <v>115</v>
      </c>
      <c r="N1407" t="str">
        <f t="shared" si="126"/>
        <v>PO-101406</v>
      </c>
      <c r="O1407" t="str">
        <f t="shared" si="127"/>
        <v>Delivered</v>
      </c>
      <c r="P1407" t="str">
        <f t="shared" si="128"/>
        <v>WH-DEL</v>
      </c>
      <c r="Q1407" t="str">
        <f>VLOOKUP(C1407, Lookups!$A$2:$D$10, 2, FALSE())</f>
        <v>Global Networks</v>
      </c>
      <c r="R1407" t="str">
        <f>_xlfn.XLOOKUP(D1407, Lookups!$A$12:$A$51, Lookups!$C$12:$C$51, "Unknown")</f>
        <v>Networking</v>
      </c>
      <c r="S1407" t="str">
        <f>IF(ISBLANK(I1407), B1407+VLOOKUP(C1407, Lookups!$A$2:$D$10, 4, FALSE()), I1407)</f>
        <v>2026-03-10</v>
      </c>
      <c r="T1407">
        <f t="shared" si="129"/>
        <v>21</v>
      </c>
      <c r="U1407" t="str">
        <f t="shared" si="130"/>
        <v>On-Time</v>
      </c>
      <c r="V1407">
        <f t="shared" si="131"/>
        <v>0</v>
      </c>
    </row>
    <row r="1408" spans="1:22" x14ac:dyDescent="0.45">
      <c r="A1408" t="s">
        <v>2250</v>
      </c>
      <c r="B1408" t="s">
        <v>688</v>
      </c>
      <c r="C1408" t="s">
        <v>30</v>
      </c>
      <c r="D1408" t="s">
        <v>52</v>
      </c>
      <c r="E1408" t="s">
        <v>15</v>
      </c>
      <c r="F1408">
        <v>124</v>
      </c>
      <c r="G1408">
        <v>59592</v>
      </c>
      <c r="H1408">
        <v>7389408</v>
      </c>
      <c r="I1408" t="s">
        <v>1780</v>
      </c>
      <c r="J1408" t="s">
        <v>1459</v>
      </c>
      <c r="K1408">
        <v>124</v>
      </c>
      <c r="L1408">
        <v>0</v>
      </c>
      <c r="M1408" t="s">
        <v>115</v>
      </c>
      <c r="N1408" t="str">
        <f t="shared" si="126"/>
        <v>PO-101407</v>
      </c>
      <c r="O1408" t="str">
        <f t="shared" si="127"/>
        <v>Delivered</v>
      </c>
      <c r="P1408" t="str">
        <f t="shared" si="128"/>
        <v>WH-BOM</v>
      </c>
      <c r="Q1408" t="str">
        <f>VLOOKUP(C1408, Lookups!$A$2:$D$10, 2, FALSE())</f>
        <v>TechSupply Corp</v>
      </c>
      <c r="R1408" t="str">
        <f>_xlfn.XLOOKUP(D1408, Lookups!$A$12:$A$51, Lookups!$C$12:$C$51, "Unknown")</f>
        <v>Electronics</v>
      </c>
      <c r="S1408" t="str">
        <f>IF(ISBLANK(I1408), B1408+VLOOKUP(C1408, Lookups!$A$2:$D$10, 4, FALSE()), I1408)</f>
        <v>2026-05-13</v>
      </c>
      <c r="T1408">
        <f t="shared" si="129"/>
        <v>19</v>
      </c>
      <c r="U1408" t="str">
        <f t="shared" si="130"/>
        <v>Late</v>
      </c>
      <c r="V1408">
        <f t="shared" si="131"/>
        <v>0</v>
      </c>
    </row>
    <row r="1409" spans="1:22" x14ac:dyDescent="0.45">
      <c r="A1409" t="s">
        <v>2251</v>
      </c>
      <c r="B1409" t="s">
        <v>484</v>
      </c>
      <c r="C1409" t="s">
        <v>32</v>
      </c>
      <c r="D1409" t="s">
        <v>84</v>
      </c>
      <c r="E1409" t="s">
        <v>18</v>
      </c>
      <c r="F1409">
        <v>245</v>
      </c>
      <c r="G1409">
        <v>7271</v>
      </c>
      <c r="H1409">
        <v>1781395</v>
      </c>
      <c r="I1409" t="s">
        <v>951</v>
      </c>
      <c r="J1409" t="s">
        <v>1026</v>
      </c>
      <c r="K1409">
        <v>245</v>
      </c>
      <c r="L1409">
        <v>0</v>
      </c>
      <c r="M1409" t="s">
        <v>115</v>
      </c>
      <c r="N1409" t="str">
        <f t="shared" si="126"/>
        <v>PO-101408</v>
      </c>
      <c r="O1409" t="str">
        <f t="shared" si="127"/>
        <v>Delivered</v>
      </c>
      <c r="P1409" t="str">
        <f t="shared" si="128"/>
        <v>WH-PUN</v>
      </c>
      <c r="Q1409" t="str">
        <f>VLOOKUP(C1409, Lookups!$A$2:$D$10, 2, FALSE())</f>
        <v>OfficeDepot Pro</v>
      </c>
      <c r="R1409" t="str">
        <f>_xlfn.XLOOKUP(D1409, Lookups!$A$12:$A$51, Lookups!$C$12:$C$51, "Unknown")</f>
        <v>Peripherals</v>
      </c>
      <c r="S1409" t="str">
        <f>IF(ISBLANK(I1409), B1409+VLOOKUP(C1409, Lookups!$A$2:$D$10, 4, FALSE()), I1409)</f>
        <v>2026-07-02</v>
      </c>
      <c r="T1409">
        <f t="shared" si="129"/>
        <v>8</v>
      </c>
      <c r="U1409" t="str">
        <f t="shared" si="130"/>
        <v>Late</v>
      </c>
      <c r="V1409">
        <f t="shared" si="131"/>
        <v>0</v>
      </c>
    </row>
    <row r="1410" spans="1:22" x14ac:dyDescent="0.45">
      <c r="A1410" t="s">
        <v>2252</v>
      </c>
      <c r="B1410" t="s">
        <v>252</v>
      </c>
      <c r="C1410" t="s">
        <v>36</v>
      </c>
      <c r="D1410" t="s">
        <v>62</v>
      </c>
      <c r="E1410" t="s">
        <v>245</v>
      </c>
      <c r="F1410">
        <v>137</v>
      </c>
      <c r="G1410">
        <v>48478</v>
      </c>
      <c r="H1410">
        <v>6641486</v>
      </c>
      <c r="I1410" t="s">
        <v>784</v>
      </c>
      <c r="J1410" t="s">
        <v>784</v>
      </c>
      <c r="K1410">
        <v>137</v>
      </c>
      <c r="L1410">
        <v>0</v>
      </c>
      <c r="M1410" t="s">
        <v>115</v>
      </c>
      <c r="N1410" t="str">
        <f t="shared" ref="N1410:N1473" si="132">TRIM(A1410)</f>
        <v>PO-101409</v>
      </c>
      <c r="O1410" t="str">
        <f t="shared" ref="O1410:O1473" si="133">PROPER(TRIM(M1410))</f>
        <v>Delivered</v>
      </c>
      <c r="P1410" t="str">
        <f t="shared" ref="P1410:P1473" si="134">TRIM(E1410)</f>
        <v>WH-BOM</v>
      </c>
      <c r="Q1410" t="str">
        <f>VLOOKUP(C1410, Lookups!$A$2:$D$10, 2, FALSE())</f>
        <v>NextGen Hardware</v>
      </c>
      <c r="R1410" t="str">
        <f>_xlfn.XLOOKUP(D1410, Lookups!$A$12:$A$51, Lookups!$C$12:$C$51, "Unknown")</f>
        <v>Electronics</v>
      </c>
      <c r="S1410" t="str">
        <f>IF(ISBLANK(I1410), B1410+VLOOKUP(C1410, Lookups!$A$2:$D$10, 4, FALSE()), I1410)</f>
        <v>2025-09-12</v>
      </c>
      <c r="T1410">
        <f t="shared" ref="T1410:T1473" si="135">IF(ISBLANK(J1410), "", J1410-B1410)</f>
        <v>24</v>
      </c>
      <c r="U1410" t="str">
        <f t="shared" ref="U1410:U1473" si="136">IF(O1410="Open", "Open", IF(J1410&gt;S1410, "Late", "On-Time"))</f>
        <v>On-Time</v>
      </c>
      <c r="V1410">
        <f t="shared" ref="V1410:V1473" si="137">IF(K1410&gt;0, L1410/K1410, 0)</f>
        <v>0</v>
      </c>
    </row>
    <row r="1411" spans="1:22" x14ac:dyDescent="0.45">
      <c r="A1411" t="s">
        <v>2253</v>
      </c>
      <c r="B1411" t="s">
        <v>124</v>
      </c>
      <c r="C1411" t="s">
        <v>32</v>
      </c>
      <c r="D1411" t="s">
        <v>67</v>
      </c>
      <c r="E1411" t="s">
        <v>17</v>
      </c>
      <c r="F1411">
        <v>139</v>
      </c>
      <c r="G1411">
        <v>1553</v>
      </c>
      <c r="H1411">
        <v>215867</v>
      </c>
      <c r="I1411" t="s">
        <v>1218</v>
      </c>
      <c r="J1411" t="s">
        <v>1218</v>
      </c>
      <c r="K1411">
        <v>139</v>
      </c>
      <c r="L1411">
        <v>0</v>
      </c>
      <c r="M1411" t="s">
        <v>115</v>
      </c>
      <c r="N1411" t="str">
        <f t="shared" si="132"/>
        <v>PO-101410</v>
      </c>
      <c r="O1411" t="str">
        <f t="shared" si="133"/>
        <v>Delivered</v>
      </c>
      <c r="P1411" t="str">
        <f t="shared" si="134"/>
        <v>WH-BLR</v>
      </c>
      <c r="Q1411" t="str">
        <f>VLOOKUP(C1411, Lookups!$A$2:$D$10, 2, FALSE())</f>
        <v>OfficeDepot Pro</v>
      </c>
      <c r="R1411" t="str">
        <f>_xlfn.XLOOKUP(D1411, Lookups!$A$12:$A$51, Lookups!$C$12:$C$51, "Unknown")</f>
        <v>Peripherals</v>
      </c>
      <c r="S1411" t="str">
        <f>IF(ISBLANK(I1411), B1411+VLOOKUP(C1411, Lookups!$A$2:$D$10, 4, FALSE()), I1411)</f>
        <v>2026-06-19</v>
      </c>
      <c r="T1411">
        <f t="shared" si="135"/>
        <v>7</v>
      </c>
      <c r="U1411" t="str">
        <f t="shared" si="136"/>
        <v>On-Time</v>
      </c>
      <c r="V1411">
        <f t="shared" si="137"/>
        <v>0</v>
      </c>
    </row>
    <row r="1412" spans="1:22" x14ac:dyDescent="0.45">
      <c r="A1412" t="s">
        <v>2254</v>
      </c>
      <c r="B1412" t="s">
        <v>542</v>
      </c>
      <c r="C1412" t="s">
        <v>36</v>
      </c>
      <c r="D1412" t="s">
        <v>71</v>
      </c>
      <c r="E1412" t="s">
        <v>18</v>
      </c>
      <c r="F1412">
        <v>231</v>
      </c>
      <c r="G1412">
        <v>65379</v>
      </c>
      <c r="H1412">
        <v>15102549</v>
      </c>
      <c r="I1412" t="s">
        <v>124</v>
      </c>
      <c r="J1412" t="s">
        <v>124</v>
      </c>
      <c r="K1412">
        <v>231</v>
      </c>
      <c r="L1412">
        <v>0</v>
      </c>
      <c r="M1412" t="s">
        <v>115</v>
      </c>
      <c r="N1412" t="str">
        <f t="shared" si="132"/>
        <v>PO-101411</v>
      </c>
      <c r="O1412" t="str">
        <f t="shared" si="133"/>
        <v>Delivered</v>
      </c>
      <c r="P1412" t="str">
        <f t="shared" si="134"/>
        <v>WH-PUN</v>
      </c>
      <c r="Q1412" t="str">
        <f>VLOOKUP(C1412, Lookups!$A$2:$D$10, 2, FALSE())</f>
        <v>NextGen Hardware</v>
      </c>
      <c r="R1412" t="str">
        <f>_xlfn.XLOOKUP(D1412, Lookups!$A$12:$A$51, Lookups!$C$12:$C$51, "Unknown")</f>
        <v>Electronics</v>
      </c>
      <c r="S1412" t="str">
        <f>IF(ISBLANK(I1412), B1412+VLOOKUP(C1412, Lookups!$A$2:$D$10, 4, FALSE()), I1412)</f>
        <v>2026-06-12</v>
      </c>
      <c r="T1412">
        <f t="shared" si="135"/>
        <v>24</v>
      </c>
      <c r="U1412" t="str">
        <f t="shared" si="136"/>
        <v>On-Time</v>
      </c>
      <c r="V1412">
        <f t="shared" si="137"/>
        <v>0</v>
      </c>
    </row>
    <row r="1413" spans="1:22" x14ac:dyDescent="0.45">
      <c r="A1413" t="s">
        <v>2255</v>
      </c>
      <c r="B1413" t="s">
        <v>856</v>
      </c>
      <c r="C1413" t="s">
        <v>35</v>
      </c>
      <c r="D1413" t="s">
        <v>70</v>
      </c>
      <c r="E1413" t="s">
        <v>17</v>
      </c>
      <c r="F1413">
        <v>217</v>
      </c>
      <c r="G1413">
        <v>4287</v>
      </c>
      <c r="H1413">
        <v>930279</v>
      </c>
      <c r="I1413" t="s">
        <v>957</v>
      </c>
      <c r="J1413" t="s">
        <v>1780</v>
      </c>
      <c r="K1413">
        <v>217</v>
      </c>
      <c r="L1413">
        <v>0</v>
      </c>
      <c r="M1413" t="s">
        <v>115</v>
      </c>
      <c r="N1413" t="str">
        <f t="shared" si="132"/>
        <v>PO-101412</v>
      </c>
      <c r="O1413" t="str">
        <f t="shared" si="133"/>
        <v>Delivered</v>
      </c>
      <c r="P1413" t="str">
        <f t="shared" si="134"/>
        <v>WH-BLR</v>
      </c>
      <c r="Q1413" t="str">
        <f>VLOOKUP(C1413, Lookups!$A$2:$D$10, 2, FALSE())</f>
        <v>Peripheral Source</v>
      </c>
      <c r="R1413" t="str">
        <f>_xlfn.XLOOKUP(D1413, Lookups!$A$12:$A$51, Lookups!$C$12:$C$51, "Unknown")</f>
        <v>Peripherals</v>
      </c>
      <c r="S1413" t="str">
        <f>IF(ISBLANK(I1413), B1413+VLOOKUP(C1413, Lookups!$A$2:$D$10, 4, FALSE()), I1413)</f>
        <v>2026-05-12</v>
      </c>
      <c r="T1413">
        <f t="shared" si="135"/>
        <v>11</v>
      </c>
      <c r="U1413" t="str">
        <f t="shared" si="136"/>
        <v>Late</v>
      </c>
      <c r="V1413">
        <f t="shared" si="137"/>
        <v>0</v>
      </c>
    </row>
    <row r="1414" spans="1:22" x14ac:dyDescent="0.45">
      <c r="A1414" t="s">
        <v>2256</v>
      </c>
      <c r="B1414" t="s">
        <v>873</v>
      </c>
      <c r="C1414" t="s">
        <v>35</v>
      </c>
      <c r="D1414" t="s">
        <v>75</v>
      </c>
      <c r="E1414" t="s">
        <v>17</v>
      </c>
      <c r="F1414">
        <v>32</v>
      </c>
      <c r="G1414">
        <v>4440</v>
      </c>
      <c r="H1414">
        <v>142080</v>
      </c>
      <c r="I1414" t="s">
        <v>165</v>
      </c>
      <c r="J1414" t="s">
        <v>165</v>
      </c>
      <c r="K1414">
        <v>32</v>
      </c>
      <c r="L1414">
        <v>0</v>
      </c>
      <c r="M1414" t="s">
        <v>115</v>
      </c>
      <c r="N1414" t="str">
        <f t="shared" si="132"/>
        <v>PO-101413</v>
      </c>
      <c r="O1414" t="str">
        <f t="shared" si="133"/>
        <v>Delivered</v>
      </c>
      <c r="P1414" t="str">
        <f t="shared" si="134"/>
        <v>WH-BLR</v>
      </c>
      <c r="Q1414" t="str">
        <f>VLOOKUP(C1414, Lookups!$A$2:$D$10, 2, FALSE())</f>
        <v>Peripheral Source</v>
      </c>
      <c r="R1414" t="str">
        <f>_xlfn.XLOOKUP(D1414, Lookups!$A$12:$A$51, Lookups!$C$12:$C$51, "Unknown")</f>
        <v>Peripherals</v>
      </c>
      <c r="S1414" t="str">
        <f>IF(ISBLANK(I1414), B1414+VLOOKUP(C1414, Lookups!$A$2:$D$10, 4, FALSE()), I1414)</f>
        <v>2026-02-19</v>
      </c>
      <c r="T1414">
        <f t="shared" si="135"/>
        <v>10</v>
      </c>
      <c r="U1414" t="str">
        <f t="shared" si="136"/>
        <v>On-Time</v>
      </c>
      <c r="V1414">
        <f t="shared" si="137"/>
        <v>0</v>
      </c>
    </row>
    <row r="1415" spans="1:22" x14ac:dyDescent="0.45">
      <c r="A1415" t="s">
        <v>2257</v>
      </c>
      <c r="B1415" t="s">
        <v>1343</v>
      </c>
      <c r="C1415" t="s">
        <v>37</v>
      </c>
      <c r="D1415" t="s">
        <v>69</v>
      </c>
      <c r="E1415" t="s">
        <v>18</v>
      </c>
      <c r="F1415">
        <v>132</v>
      </c>
      <c r="G1415">
        <v>13231</v>
      </c>
      <c r="H1415">
        <v>1746492</v>
      </c>
      <c r="I1415" t="s">
        <v>350</v>
      </c>
      <c r="J1415" t="s">
        <v>350</v>
      </c>
      <c r="K1415">
        <v>132</v>
      </c>
      <c r="L1415">
        <v>0</v>
      </c>
      <c r="M1415" t="s">
        <v>115</v>
      </c>
      <c r="N1415" t="str">
        <f t="shared" si="132"/>
        <v>PO-101414</v>
      </c>
      <c r="O1415" t="str">
        <f t="shared" si="133"/>
        <v>Delivered</v>
      </c>
      <c r="P1415" t="str">
        <f t="shared" si="134"/>
        <v>WH-PUN</v>
      </c>
      <c r="Q1415" t="str">
        <f>VLOOKUP(C1415, Lookups!$A$2:$D$10, 2, FALSE())</f>
        <v>Premium Desks Ltd</v>
      </c>
      <c r="R1415" t="str">
        <f>_xlfn.XLOOKUP(D1415, Lookups!$A$12:$A$51, Lookups!$C$12:$C$51, "Unknown")</f>
        <v>Office Furniture</v>
      </c>
      <c r="S1415" t="str">
        <f>IF(ISBLANK(I1415), B1415+VLOOKUP(C1415, Lookups!$A$2:$D$10, 4, FALSE()), I1415)</f>
        <v>2026-09-05</v>
      </c>
      <c r="T1415">
        <f t="shared" si="135"/>
        <v>12</v>
      </c>
      <c r="U1415" t="str">
        <f t="shared" si="136"/>
        <v>On-Time</v>
      </c>
      <c r="V1415">
        <f t="shared" si="137"/>
        <v>0</v>
      </c>
    </row>
    <row r="1416" spans="1:22" x14ac:dyDescent="0.45">
      <c r="A1416" t="s">
        <v>2258</v>
      </c>
      <c r="B1416" t="s">
        <v>760</v>
      </c>
      <c r="C1416" t="s">
        <v>36</v>
      </c>
      <c r="D1416" t="s">
        <v>71</v>
      </c>
      <c r="E1416" t="s">
        <v>17</v>
      </c>
      <c r="F1416">
        <v>205</v>
      </c>
      <c r="G1416">
        <v>65379</v>
      </c>
      <c r="H1416">
        <v>13402695</v>
      </c>
      <c r="I1416" t="s">
        <v>716</v>
      </c>
      <c r="J1416" t="s">
        <v>1070</v>
      </c>
      <c r="K1416">
        <v>157</v>
      </c>
      <c r="L1416">
        <v>0</v>
      </c>
      <c r="M1416" t="s">
        <v>115</v>
      </c>
      <c r="N1416" t="str">
        <f t="shared" si="132"/>
        <v>PO-101415</v>
      </c>
      <c r="O1416" t="str">
        <f t="shared" si="133"/>
        <v>Delivered</v>
      </c>
      <c r="P1416" t="str">
        <f t="shared" si="134"/>
        <v>WH-BLR</v>
      </c>
      <c r="Q1416" t="str">
        <f>VLOOKUP(C1416, Lookups!$A$2:$D$10, 2, FALSE())</f>
        <v>NextGen Hardware</v>
      </c>
      <c r="R1416" t="str">
        <f>_xlfn.XLOOKUP(D1416, Lookups!$A$12:$A$51, Lookups!$C$12:$C$51, "Unknown")</f>
        <v>Electronics</v>
      </c>
      <c r="S1416" t="str">
        <f>IF(ISBLANK(I1416), B1416+VLOOKUP(C1416, Lookups!$A$2:$D$10, 4, FALSE()), I1416)</f>
        <v>2025-08-11</v>
      </c>
      <c r="T1416">
        <f t="shared" si="135"/>
        <v>28</v>
      </c>
      <c r="U1416" t="str">
        <f t="shared" si="136"/>
        <v>Late</v>
      </c>
      <c r="V1416">
        <f t="shared" si="137"/>
        <v>0</v>
      </c>
    </row>
    <row r="1417" spans="1:22" x14ac:dyDescent="0.45">
      <c r="A1417" t="s">
        <v>2259</v>
      </c>
      <c r="B1417" t="s">
        <v>718</v>
      </c>
      <c r="C1417" t="s">
        <v>35</v>
      </c>
      <c r="D1417" t="s">
        <v>91</v>
      </c>
      <c r="E1417" t="s">
        <v>16</v>
      </c>
      <c r="F1417">
        <v>24</v>
      </c>
      <c r="G1417">
        <v>6707</v>
      </c>
      <c r="H1417">
        <v>160968</v>
      </c>
      <c r="I1417" t="s">
        <v>1285</v>
      </c>
      <c r="J1417" t="s">
        <v>839</v>
      </c>
      <c r="K1417">
        <v>24</v>
      </c>
      <c r="L1417">
        <v>0</v>
      </c>
      <c r="M1417" t="s">
        <v>115</v>
      </c>
      <c r="N1417" t="str">
        <f t="shared" si="132"/>
        <v>PO-101416</v>
      </c>
      <c r="O1417" t="str">
        <f t="shared" si="133"/>
        <v>Delivered</v>
      </c>
      <c r="P1417" t="str">
        <f t="shared" si="134"/>
        <v>WH-DEL</v>
      </c>
      <c r="Q1417" t="str">
        <f>VLOOKUP(C1417, Lookups!$A$2:$D$10, 2, FALSE())</f>
        <v>Peripheral Source</v>
      </c>
      <c r="R1417" t="str">
        <f>_xlfn.XLOOKUP(D1417, Lookups!$A$12:$A$51, Lookups!$C$12:$C$51, "Unknown")</f>
        <v>Peripherals</v>
      </c>
      <c r="S1417" t="str">
        <f>IF(ISBLANK(I1417), B1417+VLOOKUP(C1417, Lookups!$A$2:$D$10, 4, FALSE()), I1417)</f>
        <v>2026-02-21</v>
      </c>
      <c r="T1417">
        <f t="shared" si="135"/>
        <v>9</v>
      </c>
      <c r="U1417" t="str">
        <f t="shared" si="136"/>
        <v>On-Time</v>
      </c>
      <c r="V1417">
        <f t="shared" si="137"/>
        <v>0</v>
      </c>
    </row>
    <row r="1418" spans="1:22" x14ac:dyDescent="0.45">
      <c r="A1418" t="s">
        <v>2260</v>
      </c>
      <c r="B1418" t="s">
        <v>1776</v>
      </c>
      <c r="C1418" t="s">
        <v>36</v>
      </c>
      <c r="D1418" t="s">
        <v>62</v>
      </c>
      <c r="E1418" t="s">
        <v>17</v>
      </c>
      <c r="F1418">
        <v>123</v>
      </c>
      <c r="G1418">
        <v>48478</v>
      </c>
      <c r="H1418">
        <v>5962794</v>
      </c>
      <c r="I1418" t="s">
        <v>341</v>
      </c>
      <c r="J1418" t="s">
        <v>1415</v>
      </c>
      <c r="K1418">
        <v>123</v>
      </c>
      <c r="L1418">
        <v>0</v>
      </c>
      <c r="M1418" t="s">
        <v>115</v>
      </c>
      <c r="N1418" t="str">
        <f t="shared" si="132"/>
        <v>PO-101417</v>
      </c>
      <c r="O1418" t="str">
        <f t="shared" si="133"/>
        <v>Delivered</v>
      </c>
      <c r="P1418" t="str">
        <f t="shared" si="134"/>
        <v>WH-BLR</v>
      </c>
      <c r="Q1418" t="str">
        <f>VLOOKUP(C1418, Lookups!$A$2:$D$10, 2, FALSE())</f>
        <v>NextGen Hardware</v>
      </c>
      <c r="R1418" t="str">
        <f>_xlfn.XLOOKUP(D1418, Lookups!$A$12:$A$51, Lookups!$C$12:$C$51, "Unknown")</f>
        <v>Electronics</v>
      </c>
      <c r="S1418" t="str">
        <f>IF(ISBLANK(I1418), B1418+VLOOKUP(C1418, Lookups!$A$2:$D$10, 4, FALSE()), I1418)</f>
        <v>2026-01-13</v>
      </c>
      <c r="T1418">
        <f t="shared" si="135"/>
        <v>20</v>
      </c>
      <c r="U1418" t="str">
        <f t="shared" si="136"/>
        <v>On-Time</v>
      </c>
      <c r="V1418">
        <f t="shared" si="137"/>
        <v>0</v>
      </c>
    </row>
    <row r="1419" spans="1:22" x14ac:dyDescent="0.45">
      <c r="A1419" t="s">
        <v>2261</v>
      </c>
      <c r="B1419" t="s">
        <v>437</v>
      </c>
      <c r="C1419" t="s">
        <v>34</v>
      </c>
      <c r="D1419" t="s">
        <v>81</v>
      </c>
      <c r="E1419" t="s">
        <v>17</v>
      </c>
      <c r="F1419">
        <v>208</v>
      </c>
      <c r="G1419">
        <v>55328</v>
      </c>
      <c r="H1419">
        <v>11508224</v>
      </c>
      <c r="I1419" t="s">
        <v>1484</v>
      </c>
      <c r="J1419" t="s">
        <v>284</v>
      </c>
      <c r="K1419">
        <v>208</v>
      </c>
      <c r="L1419">
        <v>0</v>
      </c>
      <c r="M1419" t="s">
        <v>115</v>
      </c>
      <c r="N1419" t="str">
        <f t="shared" si="132"/>
        <v>PO-101418</v>
      </c>
      <c r="O1419" t="str">
        <f t="shared" si="133"/>
        <v>Delivered</v>
      </c>
      <c r="P1419" t="str">
        <f t="shared" si="134"/>
        <v>WH-BLR</v>
      </c>
      <c r="Q1419" t="str">
        <f>VLOOKUP(C1419, Lookups!$A$2:$D$10, 2, FALSE())</f>
        <v>FastElectronics</v>
      </c>
      <c r="R1419" t="str">
        <f>_xlfn.XLOOKUP(D1419, Lookups!$A$12:$A$51, Lookups!$C$12:$C$51, "Unknown")</f>
        <v>Electronics</v>
      </c>
      <c r="S1419" t="str">
        <f>IF(ISBLANK(I1419), B1419+VLOOKUP(C1419, Lookups!$A$2:$D$10, 4, FALSE()), I1419)</f>
        <v>2025-02-21</v>
      </c>
      <c r="T1419">
        <f t="shared" si="135"/>
        <v>19</v>
      </c>
      <c r="U1419" t="str">
        <f t="shared" si="136"/>
        <v>Late</v>
      </c>
      <c r="V1419">
        <f t="shared" si="137"/>
        <v>0</v>
      </c>
    </row>
    <row r="1420" spans="1:22" x14ac:dyDescent="0.45">
      <c r="A1420" t="s">
        <v>2262</v>
      </c>
      <c r="B1420" t="s">
        <v>124</v>
      </c>
      <c r="C1420" t="s">
        <v>34</v>
      </c>
      <c r="D1420" t="s">
        <v>73</v>
      </c>
      <c r="E1420" t="s">
        <v>16</v>
      </c>
      <c r="F1420">
        <v>175</v>
      </c>
      <c r="G1420">
        <v>58396</v>
      </c>
      <c r="H1420">
        <v>10219300</v>
      </c>
      <c r="I1420" t="s">
        <v>194</v>
      </c>
      <c r="J1420" t="s">
        <v>289</v>
      </c>
      <c r="K1420">
        <v>175</v>
      </c>
      <c r="L1420">
        <v>0</v>
      </c>
      <c r="M1420" t="s">
        <v>115</v>
      </c>
      <c r="N1420" t="str">
        <f t="shared" si="132"/>
        <v>PO-101419</v>
      </c>
      <c r="O1420" t="str">
        <f t="shared" si="133"/>
        <v>Delivered</v>
      </c>
      <c r="P1420" t="str">
        <f t="shared" si="134"/>
        <v>WH-DEL</v>
      </c>
      <c r="Q1420" t="str">
        <f>VLOOKUP(C1420, Lookups!$A$2:$D$10, 2, FALSE())</f>
        <v>FastElectronics</v>
      </c>
      <c r="R1420" t="str">
        <f>_xlfn.XLOOKUP(D1420, Lookups!$A$12:$A$51, Lookups!$C$12:$C$51, "Unknown")</f>
        <v>Electronics</v>
      </c>
      <c r="S1420" t="str">
        <f>IF(ISBLANK(I1420), B1420+VLOOKUP(C1420, Lookups!$A$2:$D$10, 4, FALSE()), I1420)</f>
        <v>2026-06-30</v>
      </c>
      <c r="T1420">
        <f t="shared" si="135"/>
        <v>27</v>
      </c>
      <c r="U1420" t="str">
        <f t="shared" si="136"/>
        <v>Late</v>
      </c>
      <c r="V1420">
        <f t="shared" si="137"/>
        <v>0</v>
      </c>
    </row>
    <row r="1421" spans="1:22" x14ac:dyDescent="0.45">
      <c r="A1421" t="s">
        <v>2263</v>
      </c>
      <c r="B1421" t="s">
        <v>1191</v>
      </c>
      <c r="C1421" t="s">
        <v>35</v>
      </c>
      <c r="D1421" t="s">
        <v>60</v>
      </c>
      <c r="E1421" t="s">
        <v>17</v>
      </c>
      <c r="F1421">
        <v>191</v>
      </c>
      <c r="G1421">
        <v>3291</v>
      </c>
      <c r="H1421">
        <v>628581</v>
      </c>
      <c r="I1421" t="s">
        <v>1451</v>
      </c>
      <c r="J1421" t="s">
        <v>2179</v>
      </c>
      <c r="K1421">
        <v>191</v>
      </c>
      <c r="L1421">
        <v>0</v>
      </c>
      <c r="M1421" t="s">
        <v>115</v>
      </c>
      <c r="N1421" t="str">
        <f t="shared" si="132"/>
        <v>PO-101420</v>
      </c>
      <c r="O1421" t="str">
        <f t="shared" si="133"/>
        <v>Delivered</v>
      </c>
      <c r="P1421" t="str">
        <f t="shared" si="134"/>
        <v>WH-BLR</v>
      </c>
      <c r="Q1421" t="str">
        <f>VLOOKUP(C1421, Lookups!$A$2:$D$10, 2, FALSE())</f>
        <v>Peripheral Source</v>
      </c>
      <c r="R1421" t="str">
        <f>_xlfn.XLOOKUP(D1421, Lookups!$A$12:$A$51, Lookups!$C$12:$C$51, "Unknown")</f>
        <v>Peripherals</v>
      </c>
      <c r="S1421" t="str">
        <f>IF(ISBLANK(I1421), B1421+VLOOKUP(C1421, Lookups!$A$2:$D$10, 4, FALSE()), I1421)</f>
        <v>2025-05-16</v>
      </c>
      <c r="T1421">
        <f t="shared" si="135"/>
        <v>11</v>
      </c>
      <c r="U1421" t="str">
        <f t="shared" si="136"/>
        <v>Late</v>
      </c>
      <c r="V1421">
        <f t="shared" si="137"/>
        <v>0</v>
      </c>
    </row>
    <row r="1422" spans="1:22" x14ac:dyDescent="0.45">
      <c r="A1422" t="s">
        <v>2264</v>
      </c>
      <c r="B1422" t="s">
        <v>1202</v>
      </c>
      <c r="C1422" t="s">
        <v>36</v>
      </c>
      <c r="D1422" t="s">
        <v>55</v>
      </c>
      <c r="E1422" t="s">
        <v>17</v>
      </c>
      <c r="F1422">
        <v>225</v>
      </c>
      <c r="G1422">
        <v>58434</v>
      </c>
      <c r="H1422">
        <v>13147650</v>
      </c>
      <c r="I1422" t="s">
        <v>764</v>
      </c>
      <c r="J1422" t="s">
        <v>764</v>
      </c>
      <c r="K1422">
        <v>225</v>
      </c>
      <c r="L1422">
        <v>0</v>
      </c>
      <c r="M1422" t="s">
        <v>166</v>
      </c>
      <c r="N1422" t="str">
        <f t="shared" si="132"/>
        <v>PO-101421</v>
      </c>
      <c r="O1422" t="str">
        <f t="shared" si="133"/>
        <v>Delivered</v>
      </c>
      <c r="P1422" t="str">
        <f t="shared" si="134"/>
        <v>WH-BLR</v>
      </c>
      <c r="Q1422" t="str">
        <f>VLOOKUP(C1422, Lookups!$A$2:$D$10, 2, FALSE())</f>
        <v>NextGen Hardware</v>
      </c>
      <c r="R1422" t="str">
        <f>_xlfn.XLOOKUP(D1422, Lookups!$A$12:$A$51, Lookups!$C$12:$C$51, "Unknown")</f>
        <v>Electronics</v>
      </c>
      <c r="S1422" t="str">
        <f>IF(ISBLANK(I1422), B1422+VLOOKUP(C1422, Lookups!$A$2:$D$10, 4, FALSE()), I1422)</f>
        <v>2025-02-19</v>
      </c>
      <c r="T1422">
        <f t="shared" si="135"/>
        <v>24</v>
      </c>
      <c r="U1422" t="str">
        <f t="shared" si="136"/>
        <v>On-Time</v>
      </c>
      <c r="V1422">
        <f t="shared" si="137"/>
        <v>0</v>
      </c>
    </row>
    <row r="1423" spans="1:22" x14ac:dyDescent="0.45">
      <c r="A1423" t="s">
        <v>2265</v>
      </c>
      <c r="B1423" t="s">
        <v>502</v>
      </c>
      <c r="C1423" t="s">
        <v>36</v>
      </c>
      <c r="D1423" t="s">
        <v>90</v>
      </c>
      <c r="E1423" t="s">
        <v>16</v>
      </c>
      <c r="F1423">
        <v>59</v>
      </c>
      <c r="G1423">
        <v>81434</v>
      </c>
      <c r="H1423">
        <v>4804606</v>
      </c>
      <c r="I1423" t="s">
        <v>387</v>
      </c>
      <c r="J1423" t="s">
        <v>512</v>
      </c>
      <c r="K1423">
        <v>59</v>
      </c>
      <c r="L1423">
        <v>0</v>
      </c>
      <c r="M1423" t="s">
        <v>115</v>
      </c>
      <c r="N1423" t="str">
        <f t="shared" si="132"/>
        <v>PO-101422</v>
      </c>
      <c r="O1423" t="str">
        <f t="shared" si="133"/>
        <v>Delivered</v>
      </c>
      <c r="P1423" t="str">
        <f t="shared" si="134"/>
        <v>WH-DEL</v>
      </c>
      <c r="Q1423" t="str">
        <f>VLOOKUP(C1423, Lookups!$A$2:$D$10, 2, FALSE())</f>
        <v>NextGen Hardware</v>
      </c>
      <c r="R1423" t="str">
        <f>_xlfn.XLOOKUP(D1423, Lookups!$A$12:$A$51, Lookups!$C$12:$C$51, "Unknown")</f>
        <v>Electronics</v>
      </c>
      <c r="S1423" t="str">
        <f>IF(ISBLANK(I1423), B1423+VLOOKUP(C1423, Lookups!$A$2:$D$10, 4, FALSE()), I1423)</f>
        <v>2026-03-18</v>
      </c>
      <c r="T1423">
        <f t="shared" si="135"/>
        <v>32</v>
      </c>
      <c r="U1423" t="str">
        <f t="shared" si="136"/>
        <v>Late</v>
      </c>
      <c r="V1423">
        <f t="shared" si="137"/>
        <v>0</v>
      </c>
    </row>
    <row r="1424" spans="1:22" x14ac:dyDescent="0.45">
      <c r="A1424" t="s">
        <v>2266</v>
      </c>
      <c r="B1424" t="s">
        <v>278</v>
      </c>
      <c r="C1424" t="s">
        <v>30</v>
      </c>
      <c r="D1424" t="s">
        <v>61</v>
      </c>
      <c r="E1424" t="s">
        <v>17</v>
      </c>
      <c r="F1424">
        <v>188</v>
      </c>
      <c r="G1424">
        <v>111237</v>
      </c>
      <c r="H1424">
        <v>20912556</v>
      </c>
      <c r="I1424" t="s">
        <v>1593</v>
      </c>
      <c r="J1424" t="s">
        <v>1593</v>
      </c>
      <c r="K1424">
        <v>188</v>
      </c>
      <c r="L1424">
        <v>0</v>
      </c>
      <c r="M1424" t="s">
        <v>115</v>
      </c>
      <c r="N1424" t="str">
        <f t="shared" si="132"/>
        <v>PO-101423</v>
      </c>
      <c r="O1424" t="str">
        <f t="shared" si="133"/>
        <v>Delivered</v>
      </c>
      <c r="P1424" t="str">
        <f t="shared" si="134"/>
        <v>WH-BLR</v>
      </c>
      <c r="Q1424" t="str">
        <f>VLOOKUP(C1424, Lookups!$A$2:$D$10, 2, FALSE())</f>
        <v>TechSupply Corp</v>
      </c>
      <c r="R1424" t="str">
        <f>_xlfn.XLOOKUP(D1424, Lookups!$A$12:$A$51, Lookups!$C$12:$C$51, "Unknown")</f>
        <v>Electronics</v>
      </c>
      <c r="S1424" t="str">
        <f>IF(ISBLANK(I1424), B1424+VLOOKUP(C1424, Lookups!$A$2:$D$10, 4, FALSE()), I1424)</f>
        <v>2025-05-27</v>
      </c>
      <c r="T1424">
        <f t="shared" si="135"/>
        <v>14</v>
      </c>
      <c r="U1424" t="str">
        <f t="shared" si="136"/>
        <v>On-Time</v>
      </c>
      <c r="V1424">
        <f t="shared" si="137"/>
        <v>0</v>
      </c>
    </row>
    <row r="1425" spans="1:22" x14ac:dyDescent="0.45">
      <c r="A1425" t="s">
        <v>2267</v>
      </c>
      <c r="B1425" t="s">
        <v>272</v>
      </c>
      <c r="C1425" t="s">
        <v>37</v>
      </c>
      <c r="D1425" t="s">
        <v>83</v>
      </c>
      <c r="E1425" t="s">
        <v>16</v>
      </c>
      <c r="F1425">
        <v>57</v>
      </c>
      <c r="G1425">
        <v>19850</v>
      </c>
      <c r="H1425">
        <v>1131450</v>
      </c>
      <c r="I1425" t="s">
        <v>895</v>
      </c>
      <c r="J1425" t="s">
        <v>895</v>
      </c>
      <c r="K1425">
        <v>57</v>
      </c>
      <c r="L1425">
        <v>0</v>
      </c>
      <c r="M1425" t="s">
        <v>115</v>
      </c>
      <c r="N1425" t="str">
        <f t="shared" si="132"/>
        <v>PO-101424</v>
      </c>
      <c r="O1425" t="str">
        <f t="shared" si="133"/>
        <v>Delivered</v>
      </c>
      <c r="P1425" t="str">
        <f t="shared" si="134"/>
        <v>WH-DEL</v>
      </c>
      <c r="Q1425" t="str">
        <f>VLOOKUP(C1425, Lookups!$A$2:$D$10, 2, FALSE())</f>
        <v>Premium Desks Ltd</v>
      </c>
      <c r="R1425" t="str">
        <f>_xlfn.XLOOKUP(D1425, Lookups!$A$12:$A$51, Lookups!$C$12:$C$51, "Unknown")</f>
        <v>Office Furniture</v>
      </c>
      <c r="S1425" t="str">
        <f>IF(ISBLANK(I1425), B1425+VLOOKUP(C1425, Lookups!$A$2:$D$10, 4, FALSE()), I1425)</f>
        <v>2025-08-25</v>
      </c>
      <c r="T1425">
        <f t="shared" si="135"/>
        <v>12</v>
      </c>
      <c r="U1425" t="str">
        <f t="shared" si="136"/>
        <v>On-Time</v>
      </c>
      <c r="V1425">
        <f t="shared" si="137"/>
        <v>0</v>
      </c>
    </row>
    <row r="1426" spans="1:22" x14ac:dyDescent="0.45">
      <c r="A1426" t="s">
        <v>2268</v>
      </c>
      <c r="B1426" t="s">
        <v>1236</v>
      </c>
      <c r="C1426" t="s">
        <v>30</v>
      </c>
      <c r="D1426" t="s">
        <v>82</v>
      </c>
      <c r="E1426" t="s">
        <v>15</v>
      </c>
      <c r="F1426">
        <v>11</v>
      </c>
      <c r="G1426">
        <v>83427</v>
      </c>
      <c r="H1426">
        <v>917697</v>
      </c>
      <c r="I1426" t="s">
        <v>173</v>
      </c>
      <c r="J1426" t="s">
        <v>1604</v>
      </c>
      <c r="K1426">
        <v>11</v>
      </c>
      <c r="L1426">
        <v>0</v>
      </c>
      <c r="M1426" t="s">
        <v>115</v>
      </c>
      <c r="N1426" t="str">
        <f t="shared" si="132"/>
        <v>PO-101425</v>
      </c>
      <c r="O1426" t="str">
        <f t="shared" si="133"/>
        <v>Delivered</v>
      </c>
      <c r="P1426" t="str">
        <f t="shared" si="134"/>
        <v>WH-BOM</v>
      </c>
      <c r="Q1426" t="str">
        <f>VLOOKUP(C1426, Lookups!$A$2:$D$10, 2, FALSE())</f>
        <v>TechSupply Corp</v>
      </c>
      <c r="R1426" t="str">
        <f>_xlfn.XLOOKUP(D1426, Lookups!$A$12:$A$51, Lookups!$C$12:$C$51, "Unknown")</f>
        <v>Electronics</v>
      </c>
      <c r="S1426" t="str">
        <f>IF(ISBLANK(I1426), B1426+VLOOKUP(C1426, Lookups!$A$2:$D$10, 4, FALSE()), I1426)</f>
        <v>2025-09-06</v>
      </c>
      <c r="T1426">
        <f t="shared" si="135"/>
        <v>15</v>
      </c>
      <c r="U1426" t="str">
        <f t="shared" si="136"/>
        <v>Late</v>
      </c>
      <c r="V1426">
        <f t="shared" si="137"/>
        <v>0</v>
      </c>
    </row>
    <row r="1427" spans="1:22" x14ac:dyDescent="0.45">
      <c r="A1427" t="s">
        <v>2269</v>
      </c>
      <c r="B1427" t="s">
        <v>612</v>
      </c>
      <c r="C1427" t="s">
        <v>35</v>
      </c>
      <c r="D1427" t="s">
        <v>65</v>
      </c>
      <c r="E1427" t="s">
        <v>18</v>
      </c>
      <c r="F1427">
        <v>12</v>
      </c>
      <c r="G1427">
        <v>4936</v>
      </c>
      <c r="H1427">
        <v>59232</v>
      </c>
      <c r="I1427" t="s">
        <v>265</v>
      </c>
      <c r="J1427" t="s">
        <v>265</v>
      </c>
      <c r="K1427">
        <v>12</v>
      </c>
      <c r="L1427">
        <v>0</v>
      </c>
      <c r="M1427" t="s">
        <v>927</v>
      </c>
      <c r="N1427" t="str">
        <f t="shared" si="132"/>
        <v>PO-101426</v>
      </c>
      <c r="O1427" t="str">
        <f t="shared" si="133"/>
        <v>Delivered</v>
      </c>
      <c r="P1427" t="str">
        <f t="shared" si="134"/>
        <v>WH-PUN</v>
      </c>
      <c r="Q1427" t="str">
        <f>VLOOKUP(C1427, Lookups!$A$2:$D$10, 2, FALSE())</f>
        <v>Peripheral Source</v>
      </c>
      <c r="R1427" t="str">
        <f>_xlfn.XLOOKUP(D1427, Lookups!$A$12:$A$51, Lookups!$C$12:$C$51, "Unknown")</f>
        <v>Peripherals</v>
      </c>
      <c r="S1427" t="str">
        <f>IF(ISBLANK(I1427), B1427+VLOOKUP(C1427, Lookups!$A$2:$D$10, 4, FALSE()), I1427)</f>
        <v>2025-02-14</v>
      </c>
      <c r="T1427">
        <f t="shared" si="135"/>
        <v>10</v>
      </c>
      <c r="U1427" t="str">
        <f t="shared" si="136"/>
        <v>On-Time</v>
      </c>
      <c r="V1427">
        <f t="shared" si="137"/>
        <v>0</v>
      </c>
    </row>
    <row r="1428" spans="1:22" x14ac:dyDescent="0.45">
      <c r="A1428" t="s">
        <v>2270</v>
      </c>
      <c r="B1428" t="s">
        <v>382</v>
      </c>
      <c r="C1428" t="s">
        <v>30</v>
      </c>
      <c r="D1428" t="s">
        <v>59</v>
      </c>
      <c r="E1428" t="s">
        <v>16</v>
      </c>
      <c r="F1428">
        <v>146</v>
      </c>
      <c r="G1428">
        <v>48905</v>
      </c>
      <c r="H1428">
        <v>7140130</v>
      </c>
      <c r="I1428" t="s">
        <v>1697</v>
      </c>
      <c r="J1428" t="s">
        <v>955</v>
      </c>
      <c r="K1428">
        <v>146</v>
      </c>
      <c r="L1428">
        <v>0</v>
      </c>
      <c r="M1428" t="s">
        <v>115</v>
      </c>
      <c r="N1428" t="str">
        <f t="shared" si="132"/>
        <v>PO-101427</v>
      </c>
      <c r="O1428" t="str">
        <f t="shared" si="133"/>
        <v>Delivered</v>
      </c>
      <c r="P1428" t="str">
        <f t="shared" si="134"/>
        <v>WH-DEL</v>
      </c>
      <c r="Q1428" t="str">
        <f>VLOOKUP(C1428, Lookups!$A$2:$D$10, 2, FALSE())</f>
        <v>TechSupply Corp</v>
      </c>
      <c r="R1428" t="str">
        <f>_xlfn.XLOOKUP(D1428, Lookups!$A$12:$A$51, Lookups!$C$12:$C$51, "Unknown")</f>
        <v>Electronics</v>
      </c>
      <c r="S1428" t="str">
        <f>IF(ISBLANK(I1428), B1428+VLOOKUP(C1428, Lookups!$A$2:$D$10, 4, FALSE()), I1428)</f>
        <v>2026-12-15</v>
      </c>
      <c r="T1428">
        <f t="shared" si="135"/>
        <v>15</v>
      </c>
      <c r="U1428" t="str">
        <f t="shared" si="136"/>
        <v>Late</v>
      </c>
      <c r="V1428">
        <f t="shared" si="137"/>
        <v>0</v>
      </c>
    </row>
    <row r="1429" spans="1:22" x14ac:dyDescent="0.45">
      <c r="A1429" t="s">
        <v>2271</v>
      </c>
      <c r="B1429" t="s">
        <v>1401</v>
      </c>
      <c r="C1429" t="s">
        <v>37</v>
      </c>
      <c r="D1429" t="s">
        <v>83</v>
      </c>
      <c r="E1429" t="s">
        <v>15</v>
      </c>
      <c r="F1429">
        <v>78</v>
      </c>
      <c r="G1429">
        <v>19850</v>
      </c>
      <c r="H1429">
        <v>1548300</v>
      </c>
      <c r="I1429" t="s">
        <v>158</v>
      </c>
      <c r="J1429" t="s">
        <v>734</v>
      </c>
      <c r="K1429">
        <v>78</v>
      </c>
      <c r="L1429">
        <v>0</v>
      </c>
      <c r="M1429" t="s">
        <v>115</v>
      </c>
      <c r="N1429" t="str">
        <f t="shared" si="132"/>
        <v>PO-101428</v>
      </c>
      <c r="O1429" t="str">
        <f t="shared" si="133"/>
        <v>Delivered</v>
      </c>
      <c r="P1429" t="str">
        <f t="shared" si="134"/>
        <v>WH-BOM</v>
      </c>
      <c r="Q1429" t="str">
        <f>VLOOKUP(C1429, Lookups!$A$2:$D$10, 2, FALSE())</f>
        <v>Premium Desks Ltd</v>
      </c>
      <c r="R1429" t="str">
        <f>_xlfn.XLOOKUP(D1429, Lookups!$A$12:$A$51, Lookups!$C$12:$C$51, "Unknown")</f>
        <v>Office Furniture</v>
      </c>
      <c r="S1429" t="str">
        <f>IF(ISBLANK(I1429), B1429+VLOOKUP(C1429, Lookups!$A$2:$D$10, 4, FALSE()), I1429)</f>
        <v>2026-11-05</v>
      </c>
      <c r="T1429">
        <f t="shared" si="135"/>
        <v>13</v>
      </c>
      <c r="U1429" t="str">
        <f t="shared" si="136"/>
        <v>Late</v>
      </c>
      <c r="V1429">
        <f t="shared" si="137"/>
        <v>0</v>
      </c>
    </row>
    <row r="1430" spans="1:22" x14ac:dyDescent="0.45">
      <c r="A1430" t="s">
        <v>2272</v>
      </c>
      <c r="B1430" t="s">
        <v>750</v>
      </c>
      <c r="C1430" t="s">
        <v>35</v>
      </c>
      <c r="D1430" t="s">
        <v>75</v>
      </c>
      <c r="E1430" t="s">
        <v>15</v>
      </c>
      <c r="F1430">
        <v>132</v>
      </c>
      <c r="G1430">
        <v>4440</v>
      </c>
      <c r="H1430">
        <v>586080</v>
      </c>
      <c r="I1430" t="s">
        <v>736</v>
      </c>
      <c r="J1430" t="s">
        <v>182</v>
      </c>
      <c r="K1430">
        <v>132</v>
      </c>
      <c r="L1430">
        <v>0</v>
      </c>
      <c r="M1430" t="s">
        <v>115</v>
      </c>
      <c r="N1430" t="str">
        <f t="shared" si="132"/>
        <v>PO-101429</v>
      </c>
      <c r="O1430" t="str">
        <f t="shared" si="133"/>
        <v>Delivered</v>
      </c>
      <c r="P1430" t="str">
        <f t="shared" si="134"/>
        <v>WH-BOM</v>
      </c>
      <c r="Q1430" t="str">
        <f>VLOOKUP(C1430, Lookups!$A$2:$D$10, 2, FALSE())</f>
        <v>Peripheral Source</v>
      </c>
      <c r="R1430" t="str">
        <f>_xlfn.XLOOKUP(D1430, Lookups!$A$12:$A$51, Lookups!$C$12:$C$51, "Unknown")</f>
        <v>Peripherals</v>
      </c>
      <c r="S1430" t="str">
        <f>IF(ISBLANK(I1430), B1430+VLOOKUP(C1430, Lookups!$A$2:$D$10, 4, FALSE()), I1430)</f>
        <v>2026-10-30</v>
      </c>
      <c r="T1430">
        <f t="shared" si="135"/>
        <v>11</v>
      </c>
      <c r="U1430" t="str">
        <f t="shared" si="136"/>
        <v>Late</v>
      </c>
      <c r="V1430">
        <f t="shared" si="137"/>
        <v>0</v>
      </c>
    </row>
    <row r="1431" spans="1:22" x14ac:dyDescent="0.45">
      <c r="A1431" t="s">
        <v>2273</v>
      </c>
      <c r="B1431" t="s">
        <v>182</v>
      </c>
      <c r="C1431" t="s">
        <v>34</v>
      </c>
      <c r="D1431" t="s">
        <v>76</v>
      </c>
      <c r="E1431" t="s">
        <v>17</v>
      </c>
      <c r="F1431">
        <v>104</v>
      </c>
      <c r="G1431">
        <v>26270</v>
      </c>
      <c r="H1431">
        <v>2732080</v>
      </c>
      <c r="I1431" t="s">
        <v>1126</v>
      </c>
      <c r="J1431" t="s">
        <v>674</v>
      </c>
      <c r="K1431">
        <v>104</v>
      </c>
      <c r="L1431">
        <v>0</v>
      </c>
      <c r="M1431" t="s">
        <v>115</v>
      </c>
      <c r="N1431" t="str">
        <f t="shared" si="132"/>
        <v>PO-101430</v>
      </c>
      <c r="O1431" t="str">
        <f t="shared" si="133"/>
        <v>Delivered</v>
      </c>
      <c r="P1431" t="str">
        <f t="shared" si="134"/>
        <v>WH-BLR</v>
      </c>
      <c r="Q1431" t="str">
        <f>VLOOKUP(C1431, Lookups!$A$2:$D$10, 2, FALSE())</f>
        <v>FastElectronics</v>
      </c>
      <c r="R1431" t="str">
        <f>_xlfn.XLOOKUP(D1431, Lookups!$A$12:$A$51, Lookups!$C$12:$C$51, "Unknown")</f>
        <v>Networking</v>
      </c>
      <c r="S1431" t="str">
        <f>IF(ISBLANK(I1431), B1431+VLOOKUP(C1431, Lookups!$A$2:$D$10, 4, FALSE()), I1431)</f>
        <v>2026-11-18</v>
      </c>
      <c r="T1431">
        <f t="shared" si="135"/>
        <v>19</v>
      </c>
      <c r="U1431" t="str">
        <f t="shared" si="136"/>
        <v>Late</v>
      </c>
      <c r="V1431">
        <f t="shared" si="137"/>
        <v>0</v>
      </c>
    </row>
    <row r="1432" spans="1:22" x14ac:dyDescent="0.45">
      <c r="A1432" t="s">
        <v>2274</v>
      </c>
      <c r="B1432" t="s">
        <v>1010</v>
      </c>
      <c r="C1432" t="s">
        <v>30</v>
      </c>
      <c r="D1432" t="s">
        <v>61</v>
      </c>
      <c r="E1432" t="s">
        <v>15</v>
      </c>
      <c r="F1432">
        <v>104</v>
      </c>
      <c r="G1432">
        <v>111237</v>
      </c>
      <c r="H1432">
        <v>11568648</v>
      </c>
      <c r="I1432" t="s">
        <v>1751</v>
      </c>
      <c r="K1432">
        <v>0</v>
      </c>
      <c r="L1432">
        <v>0</v>
      </c>
      <c r="M1432" t="s">
        <v>297</v>
      </c>
      <c r="N1432" t="str">
        <f t="shared" si="132"/>
        <v>PO-101431</v>
      </c>
      <c r="O1432" t="str">
        <f t="shared" si="133"/>
        <v>Open</v>
      </c>
      <c r="P1432" t="str">
        <f t="shared" si="134"/>
        <v>WH-BOM</v>
      </c>
      <c r="Q1432" t="str">
        <f>VLOOKUP(C1432, Lookups!$A$2:$D$10, 2, FALSE())</f>
        <v>TechSupply Corp</v>
      </c>
      <c r="R1432" t="str">
        <f>_xlfn.XLOOKUP(D1432, Lookups!$A$12:$A$51, Lookups!$C$12:$C$51, "Unknown")</f>
        <v>Electronics</v>
      </c>
      <c r="S1432" t="str">
        <f>IF(ISBLANK(I1432), B1432+VLOOKUP(C1432, Lookups!$A$2:$D$10, 4, FALSE()), I1432)</f>
        <v>2026-12-23</v>
      </c>
      <c r="T1432" t="str">
        <f t="shared" si="135"/>
        <v/>
      </c>
      <c r="U1432" t="str">
        <f t="shared" si="136"/>
        <v>Open</v>
      </c>
      <c r="V1432">
        <f t="shared" si="137"/>
        <v>0</v>
      </c>
    </row>
    <row r="1433" spans="1:22" x14ac:dyDescent="0.45">
      <c r="A1433" t="s">
        <v>2275</v>
      </c>
      <c r="B1433" t="s">
        <v>954</v>
      </c>
      <c r="C1433" t="s">
        <v>36</v>
      </c>
      <c r="D1433" t="s">
        <v>62</v>
      </c>
      <c r="E1433" t="s">
        <v>18</v>
      </c>
      <c r="F1433">
        <v>84</v>
      </c>
      <c r="G1433">
        <v>48478</v>
      </c>
      <c r="H1433">
        <v>4072152</v>
      </c>
      <c r="I1433" t="s">
        <v>766</v>
      </c>
      <c r="J1433" t="s">
        <v>1697</v>
      </c>
      <c r="K1433">
        <v>84</v>
      </c>
      <c r="L1433">
        <v>0</v>
      </c>
      <c r="M1433" t="s">
        <v>115</v>
      </c>
      <c r="N1433" t="str">
        <f t="shared" si="132"/>
        <v>PO-101432</v>
      </c>
      <c r="O1433" t="str">
        <f t="shared" si="133"/>
        <v>Delivered</v>
      </c>
      <c r="P1433" t="str">
        <f t="shared" si="134"/>
        <v>WH-PUN</v>
      </c>
      <c r="Q1433" t="str">
        <f>VLOOKUP(C1433, Lookups!$A$2:$D$10, 2, FALSE())</f>
        <v>NextGen Hardware</v>
      </c>
      <c r="R1433" t="str">
        <f>_xlfn.XLOOKUP(D1433, Lookups!$A$12:$A$51, Lookups!$C$12:$C$51, "Unknown")</f>
        <v>Electronics</v>
      </c>
      <c r="S1433" t="str">
        <f>IF(ISBLANK(I1433), B1433+VLOOKUP(C1433, Lookups!$A$2:$D$10, 4, FALSE()), I1433)</f>
        <v>2026-12-10</v>
      </c>
      <c r="T1433">
        <f t="shared" si="135"/>
        <v>29</v>
      </c>
      <c r="U1433" t="str">
        <f t="shared" si="136"/>
        <v>Late</v>
      </c>
      <c r="V1433">
        <f t="shared" si="137"/>
        <v>0</v>
      </c>
    </row>
    <row r="1434" spans="1:22" x14ac:dyDescent="0.45">
      <c r="A1434" t="s">
        <v>2276</v>
      </c>
      <c r="B1434" t="s">
        <v>540</v>
      </c>
      <c r="C1434" t="s">
        <v>31</v>
      </c>
      <c r="D1434" t="s">
        <v>64</v>
      </c>
      <c r="E1434" t="s">
        <v>18</v>
      </c>
      <c r="F1434">
        <v>143</v>
      </c>
      <c r="G1434">
        <v>36295</v>
      </c>
      <c r="H1434">
        <v>5190185</v>
      </c>
      <c r="I1434" t="s">
        <v>2277</v>
      </c>
      <c r="J1434" t="s">
        <v>2277</v>
      </c>
      <c r="K1434">
        <v>143</v>
      </c>
      <c r="L1434">
        <v>0</v>
      </c>
      <c r="M1434" t="s">
        <v>115</v>
      </c>
      <c r="N1434" t="str">
        <f t="shared" si="132"/>
        <v>PO-101433</v>
      </c>
      <c r="O1434" t="str">
        <f t="shared" si="133"/>
        <v>Delivered</v>
      </c>
      <c r="P1434" t="str">
        <f t="shared" si="134"/>
        <v>WH-PUN</v>
      </c>
      <c r="Q1434" t="str">
        <f>VLOOKUP(C1434, Lookups!$A$2:$D$10, 2, FALSE())</f>
        <v>Global Networks</v>
      </c>
      <c r="R1434" t="str">
        <f>_xlfn.XLOOKUP(D1434, Lookups!$A$12:$A$51, Lookups!$C$12:$C$51, "Unknown")</f>
        <v>Networking</v>
      </c>
      <c r="S1434" t="str">
        <f>IF(ISBLANK(I1434), B1434+VLOOKUP(C1434, Lookups!$A$2:$D$10, 4, FALSE()), I1434)</f>
        <v>2026-04-28</v>
      </c>
      <c r="T1434">
        <f t="shared" si="135"/>
        <v>21</v>
      </c>
      <c r="U1434" t="str">
        <f t="shared" si="136"/>
        <v>On-Time</v>
      </c>
      <c r="V1434">
        <f t="shared" si="137"/>
        <v>0</v>
      </c>
    </row>
    <row r="1435" spans="1:22" x14ac:dyDescent="0.45">
      <c r="A1435" t="s">
        <v>2278</v>
      </c>
      <c r="B1435" t="s">
        <v>304</v>
      </c>
      <c r="C1435" t="s">
        <v>36</v>
      </c>
      <c r="D1435" t="s">
        <v>87</v>
      </c>
      <c r="E1435" t="s">
        <v>16</v>
      </c>
      <c r="F1435">
        <v>172</v>
      </c>
      <c r="G1435">
        <v>82930</v>
      </c>
      <c r="H1435">
        <v>14263960</v>
      </c>
      <c r="I1435" t="s">
        <v>428</v>
      </c>
      <c r="J1435" t="s">
        <v>428</v>
      </c>
      <c r="K1435">
        <v>172</v>
      </c>
      <c r="L1435">
        <v>0</v>
      </c>
      <c r="M1435" t="s">
        <v>115</v>
      </c>
      <c r="N1435" t="str">
        <f t="shared" si="132"/>
        <v>PO-101434</v>
      </c>
      <c r="O1435" t="str">
        <f t="shared" si="133"/>
        <v>Delivered</v>
      </c>
      <c r="P1435" t="str">
        <f t="shared" si="134"/>
        <v>WH-DEL</v>
      </c>
      <c r="Q1435" t="str">
        <f>VLOOKUP(C1435, Lookups!$A$2:$D$10, 2, FALSE())</f>
        <v>NextGen Hardware</v>
      </c>
      <c r="R1435" t="str">
        <f>_xlfn.XLOOKUP(D1435, Lookups!$A$12:$A$51, Lookups!$C$12:$C$51, "Unknown")</f>
        <v>Electronics</v>
      </c>
      <c r="S1435" t="str">
        <f>IF(ISBLANK(I1435), B1435+VLOOKUP(C1435, Lookups!$A$2:$D$10, 4, FALSE()), I1435)</f>
        <v>2026-07-17</v>
      </c>
      <c r="T1435">
        <f t="shared" si="135"/>
        <v>24</v>
      </c>
      <c r="U1435" t="str">
        <f t="shared" si="136"/>
        <v>On-Time</v>
      </c>
      <c r="V1435">
        <f t="shared" si="137"/>
        <v>0</v>
      </c>
    </row>
    <row r="1436" spans="1:22" x14ac:dyDescent="0.45">
      <c r="A1436" t="s">
        <v>2279</v>
      </c>
      <c r="B1436" t="s">
        <v>661</v>
      </c>
      <c r="C1436" t="s">
        <v>34</v>
      </c>
      <c r="D1436" t="s">
        <v>81</v>
      </c>
      <c r="E1436" t="s">
        <v>16</v>
      </c>
      <c r="F1436">
        <v>183</v>
      </c>
      <c r="G1436">
        <v>55328</v>
      </c>
      <c r="H1436">
        <v>10125024</v>
      </c>
      <c r="I1436" t="s">
        <v>1338</v>
      </c>
      <c r="J1436" t="s">
        <v>658</v>
      </c>
      <c r="K1436">
        <v>112</v>
      </c>
      <c r="L1436">
        <v>0</v>
      </c>
      <c r="M1436" t="s">
        <v>115</v>
      </c>
      <c r="N1436" t="str">
        <f t="shared" si="132"/>
        <v>PO-101435</v>
      </c>
      <c r="O1436" t="str">
        <f t="shared" si="133"/>
        <v>Delivered</v>
      </c>
      <c r="P1436" t="str">
        <f t="shared" si="134"/>
        <v>WH-DEL</v>
      </c>
      <c r="Q1436" t="str">
        <f>VLOOKUP(C1436, Lookups!$A$2:$D$10, 2, FALSE())</f>
        <v>FastElectronics</v>
      </c>
      <c r="R1436" t="str">
        <f>_xlfn.XLOOKUP(D1436, Lookups!$A$12:$A$51, Lookups!$C$12:$C$51, "Unknown")</f>
        <v>Electronics</v>
      </c>
      <c r="S1436" t="str">
        <f>IF(ISBLANK(I1436), B1436+VLOOKUP(C1436, Lookups!$A$2:$D$10, 4, FALSE()), I1436)</f>
        <v>2026-10-02</v>
      </c>
      <c r="T1436">
        <f t="shared" si="135"/>
        <v>16</v>
      </c>
      <c r="U1436" t="str">
        <f t="shared" si="136"/>
        <v>On-Time</v>
      </c>
      <c r="V1436">
        <f t="shared" si="137"/>
        <v>0</v>
      </c>
    </row>
    <row r="1437" spans="1:22" x14ac:dyDescent="0.45">
      <c r="A1437" t="s">
        <v>2280</v>
      </c>
      <c r="B1437" t="s">
        <v>530</v>
      </c>
      <c r="C1437" t="s">
        <v>35</v>
      </c>
      <c r="D1437" t="s">
        <v>75</v>
      </c>
      <c r="E1437" t="s">
        <v>18</v>
      </c>
      <c r="F1437">
        <v>98</v>
      </c>
      <c r="G1437">
        <v>4440</v>
      </c>
      <c r="H1437">
        <v>435120</v>
      </c>
      <c r="I1437" t="s">
        <v>2281</v>
      </c>
      <c r="J1437" t="s">
        <v>2281</v>
      </c>
      <c r="K1437">
        <v>98</v>
      </c>
      <c r="L1437">
        <v>0</v>
      </c>
      <c r="M1437" t="s">
        <v>115</v>
      </c>
      <c r="N1437" t="str">
        <f t="shared" si="132"/>
        <v>PO-101436</v>
      </c>
      <c r="O1437" t="str">
        <f t="shared" si="133"/>
        <v>Delivered</v>
      </c>
      <c r="P1437" t="str">
        <f t="shared" si="134"/>
        <v>WH-PUN</v>
      </c>
      <c r="Q1437" t="str">
        <f>VLOOKUP(C1437, Lookups!$A$2:$D$10, 2, FALSE())</f>
        <v>Peripheral Source</v>
      </c>
      <c r="R1437" t="str">
        <f>_xlfn.XLOOKUP(D1437, Lookups!$A$12:$A$51, Lookups!$C$12:$C$51, "Unknown")</f>
        <v>Peripherals</v>
      </c>
      <c r="S1437" t="str">
        <f>IF(ISBLANK(I1437), B1437+VLOOKUP(C1437, Lookups!$A$2:$D$10, 4, FALSE()), I1437)</f>
        <v>2026-06-17</v>
      </c>
      <c r="T1437">
        <f t="shared" si="135"/>
        <v>10</v>
      </c>
      <c r="U1437" t="str">
        <f t="shared" si="136"/>
        <v>On-Time</v>
      </c>
      <c r="V1437">
        <f t="shared" si="137"/>
        <v>0</v>
      </c>
    </row>
    <row r="1438" spans="1:22" x14ac:dyDescent="0.45">
      <c r="A1438" t="s">
        <v>2282</v>
      </c>
      <c r="B1438" t="s">
        <v>506</v>
      </c>
      <c r="C1438" t="s">
        <v>34</v>
      </c>
      <c r="D1438" t="s">
        <v>73</v>
      </c>
      <c r="E1438" t="s">
        <v>15</v>
      </c>
      <c r="F1438">
        <v>111</v>
      </c>
      <c r="G1438">
        <v>58396</v>
      </c>
      <c r="H1438">
        <v>6481956</v>
      </c>
      <c r="I1438" t="s">
        <v>524</v>
      </c>
      <c r="J1438" t="s">
        <v>525</v>
      </c>
      <c r="K1438">
        <v>111</v>
      </c>
      <c r="L1438">
        <v>0</v>
      </c>
      <c r="M1438" t="s">
        <v>115</v>
      </c>
      <c r="N1438" t="str">
        <f t="shared" si="132"/>
        <v>PO-101437</v>
      </c>
      <c r="O1438" t="str">
        <f t="shared" si="133"/>
        <v>Delivered</v>
      </c>
      <c r="P1438" t="str">
        <f t="shared" si="134"/>
        <v>WH-BOM</v>
      </c>
      <c r="Q1438" t="str">
        <f>VLOOKUP(C1438, Lookups!$A$2:$D$10, 2, FALSE())</f>
        <v>FastElectronics</v>
      </c>
      <c r="R1438" t="str">
        <f>_xlfn.XLOOKUP(D1438, Lookups!$A$12:$A$51, Lookups!$C$12:$C$51, "Unknown")</f>
        <v>Electronics</v>
      </c>
      <c r="S1438" t="str">
        <f>IF(ISBLANK(I1438), B1438+VLOOKUP(C1438, Lookups!$A$2:$D$10, 4, FALSE()), I1438)</f>
        <v>2025-05-29</v>
      </c>
      <c r="T1438">
        <f t="shared" si="135"/>
        <v>19</v>
      </c>
      <c r="U1438" t="str">
        <f t="shared" si="136"/>
        <v>Late</v>
      </c>
      <c r="V1438">
        <f t="shared" si="137"/>
        <v>0</v>
      </c>
    </row>
    <row r="1439" spans="1:22" x14ac:dyDescent="0.45">
      <c r="A1439" t="s">
        <v>2283</v>
      </c>
      <c r="B1439" t="s">
        <v>1206</v>
      </c>
      <c r="C1439" t="s">
        <v>34</v>
      </c>
      <c r="D1439" t="s">
        <v>81</v>
      </c>
      <c r="E1439" t="s">
        <v>16</v>
      </c>
      <c r="F1439">
        <v>86</v>
      </c>
      <c r="G1439">
        <v>55328</v>
      </c>
      <c r="H1439">
        <v>4758208</v>
      </c>
      <c r="I1439" t="s">
        <v>315</v>
      </c>
      <c r="J1439" t="s">
        <v>316</v>
      </c>
      <c r="K1439">
        <v>62</v>
      </c>
      <c r="L1439">
        <v>0</v>
      </c>
      <c r="M1439" t="s">
        <v>115</v>
      </c>
      <c r="N1439" t="str">
        <f t="shared" si="132"/>
        <v>PO-101438</v>
      </c>
      <c r="O1439" t="str">
        <f t="shared" si="133"/>
        <v>Delivered</v>
      </c>
      <c r="P1439" t="str">
        <f t="shared" si="134"/>
        <v>WH-DEL</v>
      </c>
      <c r="Q1439" t="str">
        <f>VLOOKUP(C1439, Lookups!$A$2:$D$10, 2, FALSE())</f>
        <v>FastElectronics</v>
      </c>
      <c r="R1439" t="str">
        <f>_xlfn.XLOOKUP(D1439, Lookups!$A$12:$A$51, Lookups!$C$12:$C$51, "Unknown")</f>
        <v>Electronics</v>
      </c>
      <c r="S1439" t="str">
        <f>IF(ISBLANK(I1439), B1439+VLOOKUP(C1439, Lookups!$A$2:$D$10, 4, FALSE()), I1439)</f>
        <v>2026-03-07</v>
      </c>
      <c r="T1439">
        <f t="shared" si="135"/>
        <v>19</v>
      </c>
      <c r="U1439" t="str">
        <f t="shared" si="136"/>
        <v>Late</v>
      </c>
      <c r="V1439">
        <f t="shared" si="137"/>
        <v>0</v>
      </c>
    </row>
    <row r="1440" spans="1:22" x14ac:dyDescent="0.45">
      <c r="A1440" t="s">
        <v>2284</v>
      </c>
      <c r="B1440" t="s">
        <v>1122</v>
      </c>
      <c r="C1440" t="s">
        <v>30</v>
      </c>
      <c r="D1440" t="s">
        <v>86</v>
      </c>
      <c r="E1440" t="s">
        <v>18</v>
      </c>
      <c r="F1440">
        <v>73</v>
      </c>
      <c r="G1440">
        <v>74871</v>
      </c>
      <c r="H1440">
        <v>5465583</v>
      </c>
      <c r="I1440" t="s">
        <v>999</v>
      </c>
      <c r="J1440" t="s">
        <v>493</v>
      </c>
      <c r="K1440">
        <v>73</v>
      </c>
      <c r="L1440">
        <v>0</v>
      </c>
      <c r="M1440" t="s">
        <v>115</v>
      </c>
      <c r="N1440" t="str">
        <f t="shared" si="132"/>
        <v>PO-101439</v>
      </c>
      <c r="O1440" t="str">
        <f t="shared" si="133"/>
        <v>Delivered</v>
      </c>
      <c r="P1440" t="str">
        <f t="shared" si="134"/>
        <v>WH-PUN</v>
      </c>
      <c r="Q1440" t="str">
        <f>VLOOKUP(C1440, Lookups!$A$2:$D$10, 2, FALSE())</f>
        <v>TechSupply Corp</v>
      </c>
      <c r="R1440" t="str">
        <f>_xlfn.XLOOKUP(D1440, Lookups!$A$12:$A$51, Lookups!$C$12:$C$51, "Unknown")</f>
        <v>Electronics</v>
      </c>
      <c r="S1440" t="str">
        <f>IF(ISBLANK(I1440), B1440+VLOOKUP(C1440, Lookups!$A$2:$D$10, 4, FALSE()), I1440)</f>
        <v>2026-08-28</v>
      </c>
      <c r="T1440">
        <f t="shared" si="135"/>
        <v>25</v>
      </c>
      <c r="U1440" t="str">
        <f t="shared" si="136"/>
        <v>Late</v>
      </c>
      <c r="V1440">
        <f t="shared" si="137"/>
        <v>0</v>
      </c>
    </row>
    <row r="1441" spans="1:22" x14ac:dyDescent="0.45">
      <c r="A1441" t="s">
        <v>2285</v>
      </c>
      <c r="B1441" t="s">
        <v>1208</v>
      </c>
      <c r="C1441" t="s">
        <v>31</v>
      </c>
      <c r="D1441" t="s">
        <v>66</v>
      </c>
      <c r="E1441" t="s">
        <v>17</v>
      </c>
      <c r="F1441">
        <v>57</v>
      </c>
      <c r="G1441">
        <v>29719</v>
      </c>
      <c r="H1441">
        <v>1693983</v>
      </c>
      <c r="I1441" t="s">
        <v>697</v>
      </c>
      <c r="J1441" t="s">
        <v>466</v>
      </c>
      <c r="K1441">
        <v>57</v>
      </c>
      <c r="L1441">
        <v>0</v>
      </c>
      <c r="M1441" t="s">
        <v>115</v>
      </c>
      <c r="N1441" t="str">
        <f t="shared" si="132"/>
        <v>PO-101440</v>
      </c>
      <c r="O1441" t="str">
        <f t="shared" si="133"/>
        <v>Delivered</v>
      </c>
      <c r="P1441" t="str">
        <f t="shared" si="134"/>
        <v>WH-BLR</v>
      </c>
      <c r="Q1441" t="str">
        <f>VLOOKUP(C1441, Lookups!$A$2:$D$10, 2, FALSE())</f>
        <v>Global Networks</v>
      </c>
      <c r="R1441" t="str">
        <f>_xlfn.XLOOKUP(D1441, Lookups!$A$12:$A$51, Lookups!$C$12:$C$51, "Unknown")</f>
        <v>Networking</v>
      </c>
      <c r="S1441" t="str">
        <f>IF(ISBLANK(I1441), B1441+VLOOKUP(C1441, Lookups!$A$2:$D$10, 4, FALSE()), I1441)</f>
        <v>2025-01-22</v>
      </c>
      <c r="T1441">
        <f t="shared" si="135"/>
        <v>22</v>
      </c>
      <c r="U1441" t="str">
        <f t="shared" si="136"/>
        <v>Late</v>
      </c>
      <c r="V1441">
        <f t="shared" si="137"/>
        <v>0</v>
      </c>
    </row>
    <row r="1442" spans="1:22" x14ac:dyDescent="0.45">
      <c r="A1442" t="s">
        <v>2286</v>
      </c>
      <c r="B1442" t="s">
        <v>1574</v>
      </c>
      <c r="C1442" t="s">
        <v>34</v>
      </c>
      <c r="D1442" t="s">
        <v>74</v>
      </c>
      <c r="E1442" t="s">
        <v>532</v>
      </c>
      <c r="F1442">
        <v>71</v>
      </c>
      <c r="G1442">
        <v>94797</v>
      </c>
      <c r="H1442">
        <v>6730587</v>
      </c>
      <c r="I1442" t="s">
        <v>448</v>
      </c>
      <c r="J1442" t="s">
        <v>1260</v>
      </c>
      <c r="K1442">
        <v>71</v>
      </c>
      <c r="L1442">
        <v>0</v>
      </c>
      <c r="M1442" t="s">
        <v>115</v>
      </c>
      <c r="N1442" t="str">
        <f t="shared" si="132"/>
        <v>PO-101441</v>
      </c>
      <c r="O1442" t="str">
        <f t="shared" si="133"/>
        <v>Delivered</v>
      </c>
      <c r="P1442" t="str">
        <f t="shared" si="134"/>
        <v>WH-PUN</v>
      </c>
      <c r="Q1442" t="str">
        <f>VLOOKUP(C1442, Lookups!$A$2:$D$10, 2, FALSE())</f>
        <v>FastElectronics</v>
      </c>
      <c r="R1442" t="str">
        <f>_xlfn.XLOOKUP(D1442, Lookups!$A$12:$A$51, Lookups!$C$12:$C$51, "Unknown")</f>
        <v>Electronics</v>
      </c>
      <c r="S1442" t="str">
        <f>IF(ISBLANK(I1442), B1442+VLOOKUP(C1442, Lookups!$A$2:$D$10, 4, FALSE()), I1442)</f>
        <v>2025-12-18</v>
      </c>
      <c r="T1442">
        <f t="shared" si="135"/>
        <v>19</v>
      </c>
      <c r="U1442" t="str">
        <f t="shared" si="136"/>
        <v>Late</v>
      </c>
      <c r="V1442">
        <f t="shared" si="137"/>
        <v>0</v>
      </c>
    </row>
    <row r="1443" spans="1:22" x14ac:dyDescent="0.45">
      <c r="A1443" t="s">
        <v>2287</v>
      </c>
      <c r="B1443" t="s">
        <v>222</v>
      </c>
      <c r="C1443" t="s">
        <v>31</v>
      </c>
      <c r="D1443" t="s">
        <v>66</v>
      </c>
      <c r="E1443" t="s">
        <v>17</v>
      </c>
      <c r="F1443">
        <v>167</v>
      </c>
      <c r="G1443">
        <v>29719</v>
      </c>
      <c r="H1443">
        <v>4963073</v>
      </c>
      <c r="I1443" t="s">
        <v>361</v>
      </c>
      <c r="J1443" t="s">
        <v>887</v>
      </c>
      <c r="K1443">
        <v>154</v>
      </c>
      <c r="L1443">
        <v>0</v>
      </c>
      <c r="M1443" t="s">
        <v>115</v>
      </c>
      <c r="N1443" t="str">
        <f t="shared" si="132"/>
        <v>PO-101442</v>
      </c>
      <c r="O1443" t="str">
        <f t="shared" si="133"/>
        <v>Delivered</v>
      </c>
      <c r="P1443" t="str">
        <f t="shared" si="134"/>
        <v>WH-BLR</v>
      </c>
      <c r="Q1443" t="str">
        <f>VLOOKUP(C1443, Lookups!$A$2:$D$10, 2, FALSE())</f>
        <v>Global Networks</v>
      </c>
      <c r="R1443" t="str">
        <f>_xlfn.XLOOKUP(D1443, Lookups!$A$12:$A$51, Lookups!$C$12:$C$51, "Unknown")</f>
        <v>Networking</v>
      </c>
      <c r="S1443" t="str">
        <f>IF(ISBLANK(I1443), B1443+VLOOKUP(C1443, Lookups!$A$2:$D$10, 4, FALSE()), I1443)</f>
        <v>2026-03-22</v>
      </c>
      <c r="T1443">
        <f t="shared" si="135"/>
        <v>22</v>
      </c>
      <c r="U1443" t="str">
        <f t="shared" si="136"/>
        <v>Late</v>
      </c>
      <c r="V1443">
        <f t="shared" si="137"/>
        <v>0</v>
      </c>
    </row>
    <row r="1444" spans="1:22" x14ac:dyDescent="0.45">
      <c r="A1444" t="s">
        <v>2288</v>
      </c>
      <c r="B1444" t="s">
        <v>777</v>
      </c>
      <c r="C1444" t="s">
        <v>35</v>
      </c>
      <c r="D1444" t="s">
        <v>70</v>
      </c>
      <c r="E1444" t="s">
        <v>18</v>
      </c>
      <c r="F1444">
        <v>102</v>
      </c>
      <c r="G1444">
        <v>4287</v>
      </c>
      <c r="H1444">
        <v>437274</v>
      </c>
      <c r="I1444" t="s">
        <v>1597</v>
      </c>
      <c r="J1444" t="s">
        <v>947</v>
      </c>
      <c r="K1444">
        <v>102</v>
      </c>
      <c r="L1444">
        <v>0</v>
      </c>
      <c r="M1444" t="s">
        <v>115</v>
      </c>
      <c r="N1444" t="str">
        <f t="shared" si="132"/>
        <v>PO-101443</v>
      </c>
      <c r="O1444" t="str">
        <f t="shared" si="133"/>
        <v>Delivered</v>
      </c>
      <c r="P1444" t="str">
        <f t="shared" si="134"/>
        <v>WH-PUN</v>
      </c>
      <c r="Q1444" t="str">
        <f>VLOOKUP(C1444, Lookups!$A$2:$D$10, 2, FALSE())</f>
        <v>Peripheral Source</v>
      </c>
      <c r="R1444" t="str">
        <f>_xlfn.XLOOKUP(D1444, Lookups!$A$12:$A$51, Lookups!$C$12:$C$51, "Unknown")</f>
        <v>Peripherals</v>
      </c>
      <c r="S1444" t="str">
        <f>IF(ISBLANK(I1444), B1444+VLOOKUP(C1444, Lookups!$A$2:$D$10, 4, FALSE()), I1444)</f>
        <v>2025-12-05</v>
      </c>
      <c r="T1444">
        <f t="shared" si="135"/>
        <v>11</v>
      </c>
      <c r="U1444" t="str">
        <f t="shared" si="136"/>
        <v>Late</v>
      </c>
      <c r="V1444">
        <f t="shared" si="137"/>
        <v>0</v>
      </c>
    </row>
    <row r="1445" spans="1:22" x14ac:dyDescent="0.45">
      <c r="A1445" t="s">
        <v>2289</v>
      </c>
      <c r="B1445" t="s">
        <v>375</v>
      </c>
      <c r="C1445" t="s">
        <v>37</v>
      </c>
      <c r="D1445" t="s">
        <v>83</v>
      </c>
      <c r="E1445" t="s">
        <v>16</v>
      </c>
      <c r="F1445">
        <v>18</v>
      </c>
      <c r="G1445">
        <v>19850</v>
      </c>
      <c r="H1445">
        <v>357300</v>
      </c>
      <c r="I1445" t="s">
        <v>882</v>
      </c>
      <c r="J1445" t="s">
        <v>114</v>
      </c>
      <c r="K1445">
        <v>18</v>
      </c>
      <c r="L1445">
        <v>1</v>
      </c>
      <c r="M1445" t="s">
        <v>115</v>
      </c>
      <c r="N1445" t="str">
        <f t="shared" si="132"/>
        <v>PO-101444</v>
      </c>
      <c r="O1445" t="str">
        <f t="shared" si="133"/>
        <v>Delivered</v>
      </c>
      <c r="P1445" t="str">
        <f t="shared" si="134"/>
        <v>WH-DEL</v>
      </c>
      <c r="Q1445" t="str">
        <f>VLOOKUP(C1445, Lookups!$A$2:$D$10, 2, FALSE())</f>
        <v>Premium Desks Ltd</v>
      </c>
      <c r="R1445" t="str">
        <f>_xlfn.XLOOKUP(D1445, Lookups!$A$12:$A$51, Lookups!$C$12:$C$51, "Unknown")</f>
        <v>Office Furniture</v>
      </c>
      <c r="S1445" t="str">
        <f>IF(ISBLANK(I1445), B1445+VLOOKUP(C1445, Lookups!$A$2:$D$10, 4, FALSE()), I1445)</f>
        <v>2026-06-22</v>
      </c>
      <c r="T1445">
        <f t="shared" si="135"/>
        <v>25</v>
      </c>
      <c r="U1445" t="str">
        <f t="shared" si="136"/>
        <v>Late</v>
      </c>
      <c r="V1445">
        <f t="shared" si="137"/>
        <v>5.5555555555555552E-2</v>
      </c>
    </row>
    <row r="1446" spans="1:22" x14ac:dyDescent="0.45">
      <c r="A1446" t="s">
        <v>2290</v>
      </c>
      <c r="B1446" t="s">
        <v>218</v>
      </c>
      <c r="C1446" t="s">
        <v>35</v>
      </c>
      <c r="D1446" t="s">
        <v>65</v>
      </c>
      <c r="E1446" t="s">
        <v>18</v>
      </c>
      <c r="F1446">
        <v>181</v>
      </c>
      <c r="G1446">
        <v>4936</v>
      </c>
      <c r="H1446">
        <v>893416</v>
      </c>
      <c r="I1446" t="s">
        <v>723</v>
      </c>
      <c r="J1446" t="s">
        <v>723</v>
      </c>
      <c r="K1446">
        <v>181</v>
      </c>
      <c r="L1446">
        <v>0</v>
      </c>
      <c r="M1446" t="s">
        <v>115</v>
      </c>
      <c r="N1446" t="str">
        <f t="shared" si="132"/>
        <v>PO-101445</v>
      </c>
      <c r="O1446" t="str">
        <f t="shared" si="133"/>
        <v>Delivered</v>
      </c>
      <c r="P1446" t="str">
        <f t="shared" si="134"/>
        <v>WH-PUN</v>
      </c>
      <c r="Q1446" t="str">
        <f>VLOOKUP(C1446, Lookups!$A$2:$D$10, 2, FALSE())</f>
        <v>Peripheral Source</v>
      </c>
      <c r="R1446" t="str">
        <f>_xlfn.XLOOKUP(D1446, Lookups!$A$12:$A$51, Lookups!$C$12:$C$51, "Unknown")</f>
        <v>Peripherals</v>
      </c>
      <c r="S1446" t="str">
        <f>IF(ISBLANK(I1446), B1446+VLOOKUP(C1446, Lookups!$A$2:$D$10, 4, FALSE()), I1446)</f>
        <v>2026-05-04</v>
      </c>
      <c r="T1446">
        <f t="shared" si="135"/>
        <v>10</v>
      </c>
      <c r="U1446" t="str">
        <f t="shared" si="136"/>
        <v>On-Time</v>
      </c>
      <c r="V1446">
        <f t="shared" si="137"/>
        <v>0</v>
      </c>
    </row>
    <row r="1447" spans="1:22" x14ac:dyDescent="0.45">
      <c r="A1447" t="s">
        <v>2291</v>
      </c>
      <c r="B1447" t="s">
        <v>558</v>
      </c>
      <c r="C1447" t="s">
        <v>35</v>
      </c>
      <c r="D1447" t="s">
        <v>65</v>
      </c>
      <c r="E1447" t="s">
        <v>16</v>
      </c>
      <c r="F1447">
        <v>53</v>
      </c>
      <c r="G1447">
        <v>4936</v>
      </c>
      <c r="H1447">
        <v>261608</v>
      </c>
      <c r="I1447" t="s">
        <v>2277</v>
      </c>
      <c r="J1447" t="s">
        <v>2277</v>
      </c>
      <c r="K1447">
        <v>53</v>
      </c>
      <c r="L1447">
        <v>0</v>
      </c>
      <c r="M1447" t="s">
        <v>115</v>
      </c>
      <c r="N1447" t="str">
        <f t="shared" si="132"/>
        <v>PO-101446</v>
      </c>
      <c r="O1447" t="str">
        <f t="shared" si="133"/>
        <v>Delivered</v>
      </c>
      <c r="P1447" t="str">
        <f t="shared" si="134"/>
        <v>WH-DEL</v>
      </c>
      <c r="Q1447" t="str">
        <f>VLOOKUP(C1447, Lookups!$A$2:$D$10, 2, FALSE())</f>
        <v>Peripheral Source</v>
      </c>
      <c r="R1447" t="str">
        <f>_xlfn.XLOOKUP(D1447, Lookups!$A$12:$A$51, Lookups!$C$12:$C$51, "Unknown")</f>
        <v>Peripherals</v>
      </c>
      <c r="S1447" t="str">
        <f>IF(ISBLANK(I1447), B1447+VLOOKUP(C1447, Lookups!$A$2:$D$10, 4, FALSE()), I1447)</f>
        <v>2026-04-28</v>
      </c>
      <c r="T1447">
        <f t="shared" si="135"/>
        <v>10</v>
      </c>
      <c r="U1447" t="str">
        <f t="shared" si="136"/>
        <v>On-Time</v>
      </c>
      <c r="V1447">
        <f t="shared" si="137"/>
        <v>0</v>
      </c>
    </row>
    <row r="1448" spans="1:22" x14ac:dyDescent="0.45">
      <c r="A1448" t="s">
        <v>2292</v>
      </c>
      <c r="B1448" t="s">
        <v>609</v>
      </c>
      <c r="C1448" t="s">
        <v>30</v>
      </c>
      <c r="D1448" t="s">
        <v>88</v>
      </c>
      <c r="E1448" t="s">
        <v>16</v>
      </c>
      <c r="F1448">
        <v>163</v>
      </c>
      <c r="G1448">
        <v>75512</v>
      </c>
      <c r="H1448">
        <v>12308456</v>
      </c>
      <c r="I1448" t="s">
        <v>199</v>
      </c>
      <c r="J1448" t="s">
        <v>809</v>
      </c>
      <c r="K1448">
        <v>163</v>
      </c>
      <c r="L1448">
        <v>4</v>
      </c>
      <c r="M1448" t="s">
        <v>115</v>
      </c>
      <c r="N1448" t="str">
        <f t="shared" si="132"/>
        <v>PO-101447</v>
      </c>
      <c r="O1448" t="str">
        <f t="shared" si="133"/>
        <v>Delivered</v>
      </c>
      <c r="P1448" t="str">
        <f t="shared" si="134"/>
        <v>WH-DEL</v>
      </c>
      <c r="Q1448" t="str">
        <f>VLOOKUP(C1448, Lookups!$A$2:$D$10, 2, FALSE())</f>
        <v>TechSupply Corp</v>
      </c>
      <c r="R1448" t="str">
        <f>_xlfn.XLOOKUP(D1448, Lookups!$A$12:$A$51, Lookups!$C$12:$C$51, "Unknown")</f>
        <v>Electronics</v>
      </c>
      <c r="S1448" t="str">
        <f>IF(ISBLANK(I1448), B1448+VLOOKUP(C1448, Lookups!$A$2:$D$10, 4, FALSE()), I1448)</f>
        <v>2025-10-16</v>
      </c>
      <c r="T1448">
        <f t="shared" si="135"/>
        <v>15</v>
      </c>
      <c r="U1448" t="str">
        <f t="shared" si="136"/>
        <v>Late</v>
      </c>
      <c r="V1448">
        <f t="shared" si="137"/>
        <v>2.4539877300613498E-2</v>
      </c>
    </row>
    <row r="1449" spans="1:22" x14ac:dyDescent="0.45">
      <c r="A1449" t="s">
        <v>2293</v>
      </c>
      <c r="B1449" t="s">
        <v>998</v>
      </c>
      <c r="C1449" t="s">
        <v>30</v>
      </c>
      <c r="D1449" t="s">
        <v>59</v>
      </c>
      <c r="E1449" t="s">
        <v>15</v>
      </c>
      <c r="F1449">
        <v>164</v>
      </c>
      <c r="G1449">
        <v>48905</v>
      </c>
      <c r="H1449">
        <v>8020420</v>
      </c>
      <c r="I1449" t="s">
        <v>555</v>
      </c>
      <c r="J1449" t="s">
        <v>868</v>
      </c>
      <c r="K1449">
        <v>164</v>
      </c>
      <c r="L1449">
        <v>0</v>
      </c>
      <c r="M1449" t="s">
        <v>115</v>
      </c>
      <c r="N1449" t="str">
        <f t="shared" si="132"/>
        <v>PO-101448</v>
      </c>
      <c r="O1449" t="str">
        <f t="shared" si="133"/>
        <v>Delivered</v>
      </c>
      <c r="P1449" t="str">
        <f t="shared" si="134"/>
        <v>WH-BOM</v>
      </c>
      <c r="Q1449" t="str">
        <f>VLOOKUP(C1449, Lookups!$A$2:$D$10, 2, FALSE())</f>
        <v>TechSupply Corp</v>
      </c>
      <c r="R1449" t="str">
        <f>_xlfn.XLOOKUP(D1449, Lookups!$A$12:$A$51, Lookups!$C$12:$C$51, "Unknown")</f>
        <v>Electronics</v>
      </c>
      <c r="S1449" t="str">
        <f>IF(ISBLANK(I1449), B1449+VLOOKUP(C1449, Lookups!$A$2:$D$10, 4, FALSE()), I1449)</f>
        <v>2026-09-01</v>
      </c>
      <c r="T1449">
        <f t="shared" si="135"/>
        <v>24</v>
      </c>
      <c r="U1449" t="str">
        <f t="shared" si="136"/>
        <v>Late</v>
      </c>
      <c r="V1449">
        <f t="shared" si="137"/>
        <v>0</v>
      </c>
    </row>
    <row r="1450" spans="1:22" x14ac:dyDescent="0.45">
      <c r="A1450" t="s">
        <v>2294</v>
      </c>
      <c r="B1450" t="s">
        <v>668</v>
      </c>
      <c r="C1450" t="s">
        <v>34</v>
      </c>
      <c r="D1450" t="s">
        <v>80</v>
      </c>
      <c r="E1450" t="s">
        <v>16</v>
      </c>
      <c r="F1450">
        <v>229</v>
      </c>
      <c r="G1450">
        <v>19090</v>
      </c>
      <c r="H1450">
        <v>4371610</v>
      </c>
      <c r="I1450" t="s">
        <v>1486</v>
      </c>
      <c r="J1450" t="s">
        <v>439</v>
      </c>
      <c r="K1450">
        <v>229</v>
      </c>
      <c r="L1450">
        <v>0</v>
      </c>
      <c r="M1450" t="s">
        <v>115</v>
      </c>
      <c r="N1450" t="str">
        <f t="shared" si="132"/>
        <v>PO-101449</v>
      </c>
      <c r="O1450" t="str">
        <f t="shared" si="133"/>
        <v>Delivered</v>
      </c>
      <c r="P1450" t="str">
        <f t="shared" si="134"/>
        <v>WH-DEL</v>
      </c>
      <c r="Q1450" t="str">
        <f>VLOOKUP(C1450, Lookups!$A$2:$D$10, 2, FALSE())</f>
        <v>FastElectronics</v>
      </c>
      <c r="R1450" t="str">
        <f>_xlfn.XLOOKUP(D1450, Lookups!$A$12:$A$51, Lookups!$C$12:$C$51, "Unknown")</f>
        <v>Networking</v>
      </c>
      <c r="S1450" t="str">
        <f>IF(ISBLANK(I1450), B1450+VLOOKUP(C1450, Lookups!$A$2:$D$10, 4, FALSE()), I1450)</f>
        <v>2025-02-11</v>
      </c>
      <c r="T1450">
        <f t="shared" si="135"/>
        <v>19</v>
      </c>
      <c r="U1450" t="str">
        <f t="shared" si="136"/>
        <v>Late</v>
      </c>
      <c r="V1450">
        <f t="shared" si="137"/>
        <v>0</v>
      </c>
    </row>
    <row r="1451" spans="1:22" x14ac:dyDescent="0.45">
      <c r="A1451" t="s">
        <v>2295</v>
      </c>
      <c r="B1451" t="s">
        <v>323</v>
      </c>
      <c r="C1451" t="s">
        <v>36</v>
      </c>
      <c r="D1451" t="s">
        <v>87</v>
      </c>
      <c r="E1451" t="s">
        <v>16</v>
      </c>
      <c r="F1451">
        <v>180</v>
      </c>
      <c r="G1451">
        <v>82930</v>
      </c>
      <c r="H1451">
        <v>14927400</v>
      </c>
      <c r="I1451" t="s">
        <v>2277</v>
      </c>
      <c r="J1451" t="s">
        <v>688</v>
      </c>
      <c r="K1451">
        <v>180</v>
      </c>
      <c r="L1451">
        <v>0</v>
      </c>
      <c r="M1451" t="s">
        <v>115</v>
      </c>
      <c r="N1451" t="str">
        <f t="shared" si="132"/>
        <v>PO-101450</v>
      </c>
      <c r="O1451" t="str">
        <f t="shared" si="133"/>
        <v>Delivered</v>
      </c>
      <c r="P1451" t="str">
        <f t="shared" si="134"/>
        <v>WH-DEL</v>
      </c>
      <c r="Q1451" t="str">
        <f>VLOOKUP(C1451, Lookups!$A$2:$D$10, 2, FALSE())</f>
        <v>NextGen Hardware</v>
      </c>
      <c r="R1451" t="str">
        <f>_xlfn.XLOOKUP(D1451, Lookups!$A$12:$A$51, Lookups!$C$12:$C$51, "Unknown")</f>
        <v>Electronics</v>
      </c>
      <c r="S1451" t="str">
        <f>IF(ISBLANK(I1451), B1451+VLOOKUP(C1451, Lookups!$A$2:$D$10, 4, FALSE()), I1451)</f>
        <v>2026-04-28</v>
      </c>
      <c r="T1451">
        <f t="shared" si="135"/>
        <v>25</v>
      </c>
      <c r="U1451" t="str">
        <f t="shared" si="136"/>
        <v>Late</v>
      </c>
      <c r="V1451">
        <f t="shared" si="137"/>
        <v>0</v>
      </c>
    </row>
    <row r="1452" spans="1:22" x14ac:dyDescent="0.45">
      <c r="A1452" t="s">
        <v>2296</v>
      </c>
      <c r="B1452" t="s">
        <v>319</v>
      </c>
      <c r="C1452" t="s">
        <v>35</v>
      </c>
      <c r="D1452" t="s">
        <v>57</v>
      </c>
      <c r="E1452" t="s">
        <v>18</v>
      </c>
      <c r="F1452">
        <v>120</v>
      </c>
      <c r="G1452">
        <v>2212</v>
      </c>
      <c r="H1452">
        <v>265440</v>
      </c>
      <c r="I1452" t="s">
        <v>871</v>
      </c>
      <c r="J1452" t="s">
        <v>871</v>
      </c>
      <c r="K1452">
        <v>120</v>
      </c>
      <c r="L1452">
        <v>0</v>
      </c>
      <c r="M1452" t="s">
        <v>115</v>
      </c>
      <c r="N1452" t="str">
        <f t="shared" si="132"/>
        <v>PO-101451</v>
      </c>
      <c r="O1452" t="str">
        <f t="shared" si="133"/>
        <v>Delivered</v>
      </c>
      <c r="P1452" t="str">
        <f t="shared" si="134"/>
        <v>WH-PUN</v>
      </c>
      <c r="Q1452" t="str">
        <f>VLOOKUP(C1452, Lookups!$A$2:$D$10, 2, FALSE())</f>
        <v>Peripheral Source</v>
      </c>
      <c r="R1452" t="str">
        <f>_xlfn.XLOOKUP(D1452, Lookups!$A$12:$A$51, Lookups!$C$12:$C$51, "Unknown")</f>
        <v>Peripherals</v>
      </c>
      <c r="S1452" t="str">
        <f>IF(ISBLANK(I1452), B1452+VLOOKUP(C1452, Lookups!$A$2:$D$10, 4, FALSE()), I1452)</f>
        <v>2025-10-24</v>
      </c>
      <c r="T1452">
        <f t="shared" si="135"/>
        <v>10</v>
      </c>
      <c r="U1452" t="str">
        <f t="shared" si="136"/>
        <v>On-Time</v>
      </c>
      <c r="V1452">
        <f t="shared" si="137"/>
        <v>0</v>
      </c>
    </row>
    <row r="1453" spans="1:22" x14ac:dyDescent="0.45">
      <c r="A1453" t="s">
        <v>2297</v>
      </c>
      <c r="B1453" t="s">
        <v>222</v>
      </c>
      <c r="C1453" t="s">
        <v>35</v>
      </c>
      <c r="D1453" t="s">
        <v>70</v>
      </c>
      <c r="E1453" t="s">
        <v>17</v>
      </c>
      <c r="F1453">
        <v>173</v>
      </c>
      <c r="G1453">
        <v>4287</v>
      </c>
      <c r="H1453">
        <v>741651</v>
      </c>
      <c r="I1453" t="s">
        <v>1496</v>
      </c>
      <c r="J1453" t="s">
        <v>1496</v>
      </c>
      <c r="K1453">
        <v>130</v>
      </c>
      <c r="L1453">
        <v>0</v>
      </c>
      <c r="M1453" t="s">
        <v>115</v>
      </c>
      <c r="N1453" t="str">
        <f t="shared" si="132"/>
        <v>PO-101452</v>
      </c>
      <c r="O1453" t="str">
        <f t="shared" si="133"/>
        <v>Delivered</v>
      </c>
      <c r="P1453" t="str">
        <f t="shared" si="134"/>
        <v>WH-BLR</v>
      </c>
      <c r="Q1453" t="str">
        <f>VLOOKUP(C1453, Lookups!$A$2:$D$10, 2, FALSE())</f>
        <v>Peripheral Source</v>
      </c>
      <c r="R1453" t="str">
        <f>_xlfn.XLOOKUP(D1453, Lookups!$A$12:$A$51, Lookups!$C$12:$C$51, "Unknown")</f>
        <v>Peripherals</v>
      </c>
      <c r="S1453" t="str">
        <f>IF(ISBLANK(I1453), B1453+VLOOKUP(C1453, Lookups!$A$2:$D$10, 4, FALSE()), I1453)</f>
        <v>2026-03-11</v>
      </c>
      <c r="T1453">
        <f t="shared" si="135"/>
        <v>10</v>
      </c>
      <c r="U1453" t="str">
        <f t="shared" si="136"/>
        <v>On-Time</v>
      </c>
      <c r="V1453">
        <f t="shared" si="137"/>
        <v>0</v>
      </c>
    </row>
    <row r="1454" spans="1:22" x14ac:dyDescent="0.45">
      <c r="A1454" t="s">
        <v>2298</v>
      </c>
      <c r="B1454" t="s">
        <v>728</v>
      </c>
      <c r="C1454" t="s">
        <v>37</v>
      </c>
      <c r="D1454" t="s">
        <v>69</v>
      </c>
      <c r="E1454" t="s">
        <v>18</v>
      </c>
      <c r="F1454">
        <v>121</v>
      </c>
      <c r="G1454">
        <v>13231</v>
      </c>
      <c r="H1454">
        <v>1600951</v>
      </c>
      <c r="I1454" t="s">
        <v>198</v>
      </c>
      <c r="J1454" t="s">
        <v>318</v>
      </c>
      <c r="K1454">
        <v>121</v>
      </c>
      <c r="L1454">
        <v>0</v>
      </c>
      <c r="M1454" t="s">
        <v>178</v>
      </c>
      <c r="N1454" t="str">
        <f t="shared" si="132"/>
        <v>PO-101453</v>
      </c>
      <c r="O1454" t="str">
        <f t="shared" si="133"/>
        <v>Delivered</v>
      </c>
      <c r="P1454" t="str">
        <f t="shared" si="134"/>
        <v>WH-PUN</v>
      </c>
      <c r="Q1454" t="str">
        <f>VLOOKUP(C1454, Lookups!$A$2:$D$10, 2, FALSE())</f>
        <v>Premium Desks Ltd</v>
      </c>
      <c r="R1454" t="str">
        <f>_xlfn.XLOOKUP(D1454, Lookups!$A$12:$A$51, Lookups!$C$12:$C$51, "Unknown")</f>
        <v>Office Furniture</v>
      </c>
      <c r="S1454" t="str">
        <f>IF(ISBLANK(I1454), B1454+VLOOKUP(C1454, Lookups!$A$2:$D$10, 4, FALSE()), I1454)</f>
        <v>2025-09-22</v>
      </c>
      <c r="T1454">
        <f t="shared" si="135"/>
        <v>13</v>
      </c>
      <c r="U1454" t="str">
        <f t="shared" si="136"/>
        <v>Late</v>
      </c>
      <c r="V1454">
        <f t="shared" si="137"/>
        <v>0</v>
      </c>
    </row>
    <row r="1455" spans="1:22" x14ac:dyDescent="0.45">
      <c r="A1455" t="s">
        <v>2299</v>
      </c>
      <c r="B1455" t="s">
        <v>1461</v>
      </c>
      <c r="C1455" t="s">
        <v>31</v>
      </c>
      <c r="D1455" t="s">
        <v>66</v>
      </c>
      <c r="E1455" t="s">
        <v>18</v>
      </c>
      <c r="F1455">
        <v>206</v>
      </c>
      <c r="G1455">
        <v>29719</v>
      </c>
      <c r="H1455">
        <v>6122114</v>
      </c>
      <c r="I1455" t="s">
        <v>236</v>
      </c>
      <c r="J1455" t="s">
        <v>236</v>
      </c>
      <c r="K1455">
        <v>206</v>
      </c>
      <c r="L1455">
        <v>0</v>
      </c>
      <c r="M1455" t="s">
        <v>115</v>
      </c>
      <c r="N1455" t="str">
        <f t="shared" si="132"/>
        <v>PO-101454</v>
      </c>
      <c r="O1455" t="str">
        <f t="shared" si="133"/>
        <v>Delivered</v>
      </c>
      <c r="P1455" t="str">
        <f t="shared" si="134"/>
        <v>WH-PUN</v>
      </c>
      <c r="Q1455" t="str">
        <f>VLOOKUP(C1455, Lookups!$A$2:$D$10, 2, FALSE())</f>
        <v>Global Networks</v>
      </c>
      <c r="R1455" t="str">
        <f>_xlfn.XLOOKUP(D1455, Lookups!$A$12:$A$51, Lookups!$C$12:$C$51, "Unknown")</f>
        <v>Networking</v>
      </c>
      <c r="S1455" t="str">
        <f>IF(ISBLANK(I1455), B1455+VLOOKUP(C1455, Lookups!$A$2:$D$10, 4, FALSE()), I1455)</f>
        <v>2025-08-28</v>
      </c>
      <c r="T1455">
        <f t="shared" si="135"/>
        <v>21</v>
      </c>
      <c r="U1455" t="str">
        <f t="shared" si="136"/>
        <v>On-Time</v>
      </c>
      <c r="V1455">
        <f t="shared" si="137"/>
        <v>0</v>
      </c>
    </row>
    <row r="1456" spans="1:22" x14ac:dyDescent="0.45">
      <c r="A1456" t="s">
        <v>2300</v>
      </c>
      <c r="B1456" t="s">
        <v>1574</v>
      </c>
      <c r="C1456" t="s">
        <v>35</v>
      </c>
      <c r="D1456" t="s">
        <v>60</v>
      </c>
      <c r="E1456" t="s">
        <v>15</v>
      </c>
      <c r="F1456">
        <v>178</v>
      </c>
      <c r="G1456">
        <v>3291</v>
      </c>
      <c r="H1456">
        <v>585798</v>
      </c>
      <c r="I1456" t="s">
        <v>930</v>
      </c>
      <c r="J1456" t="s">
        <v>639</v>
      </c>
      <c r="K1456">
        <v>178</v>
      </c>
      <c r="L1456">
        <v>0</v>
      </c>
      <c r="M1456" t="s">
        <v>166</v>
      </c>
      <c r="N1456" t="str">
        <f t="shared" si="132"/>
        <v>PO-101455</v>
      </c>
      <c r="O1456" t="str">
        <f t="shared" si="133"/>
        <v>Delivered</v>
      </c>
      <c r="P1456" t="str">
        <f t="shared" si="134"/>
        <v>WH-BOM</v>
      </c>
      <c r="Q1456" t="str">
        <f>VLOOKUP(C1456, Lookups!$A$2:$D$10, 2, FALSE())</f>
        <v>Peripheral Source</v>
      </c>
      <c r="R1456" t="str">
        <f>_xlfn.XLOOKUP(D1456, Lookups!$A$12:$A$51, Lookups!$C$12:$C$51, "Unknown")</f>
        <v>Peripherals</v>
      </c>
      <c r="S1456" t="str">
        <f>IF(ISBLANK(I1456), B1456+VLOOKUP(C1456, Lookups!$A$2:$D$10, 4, FALSE()), I1456)</f>
        <v>2025-12-10</v>
      </c>
      <c r="T1456">
        <f t="shared" si="135"/>
        <v>11</v>
      </c>
      <c r="U1456" t="str">
        <f t="shared" si="136"/>
        <v>Late</v>
      </c>
      <c r="V1456">
        <f t="shared" si="137"/>
        <v>0</v>
      </c>
    </row>
    <row r="1457" spans="1:22" x14ac:dyDescent="0.45">
      <c r="A1457" t="s">
        <v>2301</v>
      </c>
      <c r="B1457" t="s">
        <v>419</v>
      </c>
      <c r="C1457" t="s">
        <v>31</v>
      </c>
      <c r="D1457" t="s">
        <v>64</v>
      </c>
      <c r="E1457" t="s">
        <v>18</v>
      </c>
      <c r="F1457">
        <v>148</v>
      </c>
      <c r="G1457">
        <v>36295</v>
      </c>
      <c r="H1457">
        <v>5371660</v>
      </c>
      <c r="I1457" t="s">
        <v>1295</v>
      </c>
      <c r="J1457" t="s">
        <v>454</v>
      </c>
      <c r="K1457">
        <v>148</v>
      </c>
      <c r="L1457">
        <v>0</v>
      </c>
      <c r="M1457" t="s">
        <v>115</v>
      </c>
      <c r="N1457" t="str">
        <f t="shared" si="132"/>
        <v>PO-101456</v>
      </c>
      <c r="O1457" t="str">
        <f t="shared" si="133"/>
        <v>Delivered</v>
      </c>
      <c r="P1457" t="str">
        <f t="shared" si="134"/>
        <v>WH-PUN</v>
      </c>
      <c r="Q1457" t="str">
        <f>VLOOKUP(C1457, Lookups!$A$2:$D$10, 2, FALSE())</f>
        <v>Global Networks</v>
      </c>
      <c r="R1457" t="str">
        <f>_xlfn.XLOOKUP(D1457, Lookups!$A$12:$A$51, Lookups!$C$12:$C$51, "Unknown")</f>
        <v>Networking</v>
      </c>
      <c r="S1457" t="str">
        <f>IF(ISBLANK(I1457), B1457+VLOOKUP(C1457, Lookups!$A$2:$D$10, 4, FALSE()), I1457)</f>
        <v>2026-08-11</v>
      </c>
      <c r="T1457">
        <f t="shared" si="135"/>
        <v>22</v>
      </c>
      <c r="U1457" t="str">
        <f t="shared" si="136"/>
        <v>Late</v>
      </c>
      <c r="V1457">
        <f t="shared" si="137"/>
        <v>0</v>
      </c>
    </row>
    <row r="1458" spans="1:22" x14ac:dyDescent="0.45">
      <c r="A1458" t="s">
        <v>2302</v>
      </c>
      <c r="B1458" t="s">
        <v>1271</v>
      </c>
      <c r="C1458" t="s">
        <v>31</v>
      </c>
      <c r="D1458" t="s">
        <v>85</v>
      </c>
      <c r="E1458" t="s">
        <v>16</v>
      </c>
      <c r="F1458">
        <v>123</v>
      </c>
      <c r="G1458">
        <v>16501</v>
      </c>
      <c r="H1458">
        <v>2029623</v>
      </c>
      <c r="I1458" t="s">
        <v>1480</v>
      </c>
      <c r="J1458" t="s">
        <v>1337</v>
      </c>
      <c r="K1458">
        <v>123</v>
      </c>
      <c r="L1458">
        <v>0</v>
      </c>
      <c r="M1458" t="s">
        <v>115</v>
      </c>
      <c r="N1458" t="str">
        <f t="shared" si="132"/>
        <v>PO-101457</v>
      </c>
      <c r="O1458" t="str">
        <f t="shared" si="133"/>
        <v>Delivered</v>
      </c>
      <c r="P1458" t="str">
        <f t="shared" si="134"/>
        <v>WH-DEL</v>
      </c>
      <c r="Q1458" t="str">
        <f>VLOOKUP(C1458, Lookups!$A$2:$D$10, 2, FALSE())</f>
        <v>Global Networks</v>
      </c>
      <c r="R1458" t="str">
        <f>_xlfn.XLOOKUP(D1458, Lookups!$A$12:$A$51, Lookups!$C$12:$C$51, "Unknown")</f>
        <v>Networking</v>
      </c>
      <c r="S1458" t="str">
        <f>IF(ISBLANK(I1458), B1458+VLOOKUP(C1458, Lookups!$A$2:$D$10, 4, FALSE()), I1458)</f>
        <v>2026-09-21</v>
      </c>
      <c r="T1458">
        <f t="shared" si="135"/>
        <v>22</v>
      </c>
      <c r="U1458" t="str">
        <f t="shared" si="136"/>
        <v>Late</v>
      </c>
      <c r="V1458">
        <f t="shared" si="137"/>
        <v>0</v>
      </c>
    </row>
    <row r="1459" spans="1:22" x14ac:dyDescent="0.45">
      <c r="A1459" t="s">
        <v>2303</v>
      </c>
      <c r="B1459" t="s">
        <v>1206</v>
      </c>
      <c r="C1459" t="s">
        <v>32</v>
      </c>
      <c r="D1459" t="s">
        <v>84</v>
      </c>
      <c r="E1459" t="s">
        <v>17</v>
      </c>
      <c r="F1459">
        <v>168</v>
      </c>
      <c r="G1459">
        <v>7271</v>
      </c>
      <c r="H1459">
        <v>1221528</v>
      </c>
      <c r="I1459" t="s">
        <v>1216</v>
      </c>
      <c r="J1459" t="s">
        <v>839</v>
      </c>
      <c r="K1459">
        <v>168</v>
      </c>
      <c r="L1459">
        <v>0</v>
      </c>
      <c r="M1459" t="s">
        <v>166</v>
      </c>
      <c r="N1459" t="str">
        <f t="shared" si="132"/>
        <v>PO-101458</v>
      </c>
      <c r="O1459" t="str">
        <f t="shared" si="133"/>
        <v>Delivered</v>
      </c>
      <c r="P1459" t="str">
        <f t="shared" si="134"/>
        <v>WH-BLR</v>
      </c>
      <c r="Q1459" t="str">
        <f>VLOOKUP(C1459, Lookups!$A$2:$D$10, 2, FALSE())</f>
        <v>OfficeDepot Pro</v>
      </c>
      <c r="R1459" t="str">
        <f>_xlfn.XLOOKUP(D1459, Lookups!$A$12:$A$51, Lookups!$C$12:$C$51, "Unknown")</f>
        <v>Peripherals</v>
      </c>
      <c r="S1459" t="str">
        <f>IF(ISBLANK(I1459), B1459+VLOOKUP(C1459, Lookups!$A$2:$D$10, 4, FALSE()), I1459)</f>
        <v>2026-02-24</v>
      </c>
      <c r="T1459">
        <f t="shared" si="135"/>
        <v>3</v>
      </c>
      <c r="U1459" t="str">
        <f t="shared" si="136"/>
        <v>On-Time</v>
      </c>
      <c r="V1459">
        <f t="shared" si="137"/>
        <v>0</v>
      </c>
    </row>
    <row r="1460" spans="1:22" x14ac:dyDescent="0.45">
      <c r="A1460" t="s">
        <v>2304</v>
      </c>
      <c r="B1460" t="s">
        <v>285</v>
      </c>
      <c r="C1460" t="s">
        <v>30</v>
      </c>
      <c r="D1460" t="s">
        <v>61</v>
      </c>
      <c r="E1460" t="s">
        <v>16</v>
      </c>
      <c r="F1460">
        <v>21</v>
      </c>
      <c r="G1460">
        <v>111237</v>
      </c>
      <c r="H1460">
        <v>2335977</v>
      </c>
      <c r="I1460" t="s">
        <v>1090</v>
      </c>
      <c r="J1460" t="s">
        <v>431</v>
      </c>
      <c r="K1460">
        <v>21</v>
      </c>
      <c r="L1460">
        <v>0</v>
      </c>
      <c r="M1460" t="s">
        <v>115</v>
      </c>
      <c r="N1460" t="str">
        <f t="shared" si="132"/>
        <v>PO-101459</v>
      </c>
      <c r="O1460" t="str">
        <f t="shared" si="133"/>
        <v>Delivered</v>
      </c>
      <c r="P1460" t="str">
        <f t="shared" si="134"/>
        <v>WH-DEL</v>
      </c>
      <c r="Q1460" t="str">
        <f>VLOOKUP(C1460, Lookups!$A$2:$D$10, 2, FALSE())</f>
        <v>TechSupply Corp</v>
      </c>
      <c r="R1460" t="str">
        <f>_xlfn.XLOOKUP(D1460, Lookups!$A$12:$A$51, Lookups!$C$12:$C$51, "Unknown")</f>
        <v>Electronics</v>
      </c>
      <c r="S1460" t="str">
        <f>IF(ISBLANK(I1460), B1460+VLOOKUP(C1460, Lookups!$A$2:$D$10, 4, FALSE()), I1460)</f>
        <v>2025-03-15</v>
      </c>
      <c r="T1460">
        <f t="shared" si="135"/>
        <v>15</v>
      </c>
      <c r="U1460" t="str">
        <f t="shared" si="136"/>
        <v>Late</v>
      </c>
      <c r="V1460">
        <f t="shared" si="137"/>
        <v>0</v>
      </c>
    </row>
    <row r="1461" spans="1:22" x14ac:dyDescent="0.45">
      <c r="A1461" t="s">
        <v>2305</v>
      </c>
      <c r="B1461" t="s">
        <v>846</v>
      </c>
      <c r="C1461" t="s">
        <v>36</v>
      </c>
      <c r="D1461" t="s">
        <v>62</v>
      </c>
      <c r="E1461" t="s">
        <v>17</v>
      </c>
      <c r="F1461">
        <v>248</v>
      </c>
      <c r="G1461">
        <v>48478</v>
      </c>
      <c r="H1461">
        <v>12022544</v>
      </c>
      <c r="I1461" t="s">
        <v>1100</v>
      </c>
      <c r="J1461" t="s">
        <v>921</v>
      </c>
      <c r="K1461">
        <v>248</v>
      </c>
      <c r="L1461">
        <v>0</v>
      </c>
      <c r="M1461" t="s">
        <v>115</v>
      </c>
      <c r="N1461" t="str">
        <f t="shared" si="132"/>
        <v>PO-101460</v>
      </c>
      <c r="O1461" t="str">
        <f t="shared" si="133"/>
        <v>Delivered</v>
      </c>
      <c r="P1461" t="str">
        <f t="shared" si="134"/>
        <v>WH-BLR</v>
      </c>
      <c r="Q1461" t="str">
        <f>VLOOKUP(C1461, Lookups!$A$2:$D$10, 2, FALSE())</f>
        <v>NextGen Hardware</v>
      </c>
      <c r="R1461" t="str">
        <f>_xlfn.XLOOKUP(D1461, Lookups!$A$12:$A$51, Lookups!$C$12:$C$51, "Unknown")</f>
        <v>Electronics</v>
      </c>
      <c r="S1461" t="str">
        <f>IF(ISBLANK(I1461), B1461+VLOOKUP(C1461, Lookups!$A$2:$D$10, 4, FALSE()), I1461)</f>
        <v>2026-11-11</v>
      </c>
      <c r="T1461">
        <f t="shared" si="135"/>
        <v>21</v>
      </c>
      <c r="U1461" t="str">
        <f t="shared" si="136"/>
        <v>On-Time</v>
      </c>
      <c r="V1461">
        <f t="shared" si="137"/>
        <v>0</v>
      </c>
    </row>
    <row r="1462" spans="1:22" x14ac:dyDescent="0.45">
      <c r="A1462" t="s">
        <v>2306</v>
      </c>
      <c r="B1462" t="s">
        <v>135</v>
      </c>
      <c r="C1462" t="s">
        <v>34</v>
      </c>
      <c r="D1462" t="s">
        <v>73</v>
      </c>
      <c r="E1462" t="s">
        <v>16</v>
      </c>
      <c r="F1462">
        <v>38</v>
      </c>
      <c r="G1462">
        <v>58396</v>
      </c>
      <c r="H1462">
        <v>2219048</v>
      </c>
      <c r="I1462" t="s">
        <v>866</v>
      </c>
      <c r="J1462" t="s">
        <v>521</v>
      </c>
      <c r="K1462">
        <v>38</v>
      </c>
      <c r="L1462">
        <v>0</v>
      </c>
      <c r="M1462" t="s">
        <v>115</v>
      </c>
      <c r="N1462" t="str">
        <f t="shared" si="132"/>
        <v>PO-101461</v>
      </c>
      <c r="O1462" t="str">
        <f t="shared" si="133"/>
        <v>Delivered</v>
      </c>
      <c r="P1462" t="str">
        <f t="shared" si="134"/>
        <v>WH-DEL</v>
      </c>
      <c r="Q1462" t="str">
        <f>VLOOKUP(C1462, Lookups!$A$2:$D$10, 2, FALSE())</f>
        <v>FastElectronics</v>
      </c>
      <c r="R1462" t="str">
        <f>_xlfn.XLOOKUP(D1462, Lookups!$A$12:$A$51, Lookups!$C$12:$C$51, "Unknown")</f>
        <v>Electronics</v>
      </c>
      <c r="S1462" t="str">
        <f>IF(ISBLANK(I1462), B1462+VLOOKUP(C1462, Lookups!$A$2:$D$10, 4, FALSE()), I1462)</f>
        <v>2026-09-20</v>
      </c>
      <c r="T1462">
        <f t="shared" si="135"/>
        <v>14</v>
      </c>
      <c r="U1462" t="str">
        <f t="shared" si="136"/>
        <v>On-Time</v>
      </c>
      <c r="V1462">
        <f t="shared" si="137"/>
        <v>0</v>
      </c>
    </row>
    <row r="1463" spans="1:22" x14ac:dyDescent="0.45">
      <c r="A1463" t="s">
        <v>2307</v>
      </c>
      <c r="B1463" t="s">
        <v>393</v>
      </c>
      <c r="C1463" t="s">
        <v>32</v>
      </c>
      <c r="D1463" t="s">
        <v>84</v>
      </c>
      <c r="E1463" t="s">
        <v>18</v>
      </c>
      <c r="F1463">
        <v>26</v>
      </c>
      <c r="G1463">
        <v>7271</v>
      </c>
      <c r="H1463">
        <v>189046</v>
      </c>
      <c r="I1463" t="s">
        <v>933</v>
      </c>
      <c r="J1463" t="s">
        <v>593</v>
      </c>
      <c r="K1463">
        <v>18</v>
      </c>
      <c r="L1463">
        <v>0</v>
      </c>
      <c r="M1463" t="s">
        <v>115</v>
      </c>
      <c r="N1463" t="str">
        <f t="shared" si="132"/>
        <v>PO-101462</v>
      </c>
      <c r="O1463" t="str">
        <f t="shared" si="133"/>
        <v>Delivered</v>
      </c>
      <c r="P1463" t="str">
        <f t="shared" si="134"/>
        <v>WH-PUN</v>
      </c>
      <c r="Q1463" t="str">
        <f>VLOOKUP(C1463, Lookups!$A$2:$D$10, 2, FALSE())</f>
        <v>OfficeDepot Pro</v>
      </c>
      <c r="R1463" t="str">
        <f>_xlfn.XLOOKUP(D1463, Lookups!$A$12:$A$51, Lookups!$C$12:$C$51, "Unknown")</f>
        <v>Peripherals</v>
      </c>
      <c r="S1463" t="str">
        <f>IF(ISBLANK(I1463), B1463+VLOOKUP(C1463, Lookups!$A$2:$D$10, 4, FALSE()), I1463)</f>
        <v>2025-09-05</v>
      </c>
      <c r="T1463">
        <f t="shared" si="135"/>
        <v>17</v>
      </c>
      <c r="U1463" t="str">
        <f t="shared" si="136"/>
        <v>Late</v>
      </c>
      <c r="V1463">
        <f t="shared" si="137"/>
        <v>0</v>
      </c>
    </row>
    <row r="1464" spans="1:22" x14ac:dyDescent="0.45">
      <c r="A1464" t="s">
        <v>2308</v>
      </c>
      <c r="B1464" t="s">
        <v>1354</v>
      </c>
      <c r="C1464" t="s">
        <v>35</v>
      </c>
      <c r="D1464" t="s">
        <v>91</v>
      </c>
      <c r="E1464" t="s">
        <v>17</v>
      </c>
      <c r="F1464">
        <v>107</v>
      </c>
      <c r="G1464">
        <v>6707</v>
      </c>
      <c r="H1464">
        <v>717649</v>
      </c>
      <c r="I1464" t="s">
        <v>700</v>
      </c>
      <c r="J1464" t="s">
        <v>840</v>
      </c>
      <c r="K1464">
        <v>107</v>
      </c>
      <c r="L1464">
        <v>16</v>
      </c>
      <c r="M1464" t="s">
        <v>115</v>
      </c>
      <c r="N1464" t="str">
        <f t="shared" si="132"/>
        <v>PO-101463</v>
      </c>
      <c r="O1464" t="str">
        <f t="shared" si="133"/>
        <v>Delivered</v>
      </c>
      <c r="P1464" t="str">
        <f t="shared" si="134"/>
        <v>WH-BLR</v>
      </c>
      <c r="Q1464" t="str">
        <f>VLOOKUP(C1464, Lookups!$A$2:$D$10, 2, FALSE())</f>
        <v>Peripheral Source</v>
      </c>
      <c r="R1464" t="str">
        <f>_xlfn.XLOOKUP(D1464, Lookups!$A$12:$A$51, Lookups!$C$12:$C$51, "Unknown")</f>
        <v>Peripherals</v>
      </c>
      <c r="S1464" t="str">
        <f>IF(ISBLANK(I1464), B1464+VLOOKUP(C1464, Lookups!$A$2:$D$10, 4, FALSE()), I1464)</f>
        <v>2026-03-16</v>
      </c>
      <c r="T1464">
        <f t="shared" si="135"/>
        <v>11</v>
      </c>
      <c r="U1464" t="str">
        <f t="shared" si="136"/>
        <v>Late</v>
      </c>
      <c r="V1464">
        <f t="shared" si="137"/>
        <v>0.14953271028037382</v>
      </c>
    </row>
    <row r="1465" spans="1:22" x14ac:dyDescent="0.45">
      <c r="A1465" t="s">
        <v>2309</v>
      </c>
      <c r="B1465" t="s">
        <v>1206</v>
      </c>
      <c r="C1465" t="s">
        <v>34</v>
      </c>
      <c r="D1465" t="s">
        <v>68</v>
      </c>
      <c r="E1465" t="s">
        <v>18</v>
      </c>
      <c r="F1465">
        <v>80</v>
      </c>
      <c r="G1465">
        <v>41405</v>
      </c>
      <c r="H1465">
        <v>3312400</v>
      </c>
      <c r="I1465" t="s">
        <v>315</v>
      </c>
      <c r="J1465" t="s">
        <v>315</v>
      </c>
      <c r="K1465">
        <v>80</v>
      </c>
      <c r="L1465">
        <v>0</v>
      </c>
      <c r="M1465" t="s">
        <v>115</v>
      </c>
      <c r="N1465" t="str">
        <f t="shared" si="132"/>
        <v>PO-101464</v>
      </c>
      <c r="O1465" t="str">
        <f t="shared" si="133"/>
        <v>Delivered</v>
      </c>
      <c r="P1465" t="str">
        <f t="shared" si="134"/>
        <v>WH-PUN</v>
      </c>
      <c r="Q1465" t="str">
        <f>VLOOKUP(C1465, Lookups!$A$2:$D$10, 2, FALSE())</f>
        <v>FastElectronics</v>
      </c>
      <c r="R1465" t="str">
        <f>_xlfn.XLOOKUP(D1465, Lookups!$A$12:$A$51, Lookups!$C$12:$C$51, "Unknown")</f>
        <v>Networking</v>
      </c>
      <c r="S1465" t="str">
        <f>IF(ISBLANK(I1465), B1465+VLOOKUP(C1465, Lookups!$A$2:$D$10, 4, FALSE()), I1465)</f>
        <v>2026-03-07</v>
      </c>
      <c r="T1465">
        <f t="shared" si="135"/>
        <v>18</v>
      </c>
      <c r="U1465" t="str">
        <f t="shared" si="136"/>
        <v>On-Time</v>
      </c>
      <c r="V1465">
        <f t="shared" si="137"/>
        <v>0</v>
      </c>
    </row>
    <row r="1466" spans="1:22" x14ac:dyDescent="0.45">
      <c r="A1466" t="s">
        <v>2310</v>
      </c>
      <c r="B1466" t="s">
        <v>1979</v>
      </c>
      <c r="C1466" t="s">
        <v>35</v>
      </c>
      <c r="D1466" t="s">
        <v>57</v>
      </c>
      <c r="E1466" t="s">
        <v>16</v>
      </c>
      <c r="F1466">
        <v>55</v>
      </c>
      <c r="G1466">
        <v>2212</v>
      </c>
      <c r="H1466">
        <v>121660</v>
      </c>
      <c r="I1466" t="s">
        <v>887</v>
      </c>
      <c r="J1466" t="s">
        <v>577</v>
      </c>
      <c r="K1466">
        <v>51</v>
      </c>
      <c r="L1466">
        <v>0</v>
      </c>
      <c r="M1466" t="s">
        <v>115</v>
      </c>
      <c r="N1466" t="str">
        <f t="shared" si="132"/>
        <v>PO-101465</v>
      </c>
      <c r="O1466" t="str">
        <f t="shared" si="133"/>
        <v>Delivered</v>
      </c>
      <c r="P1466" t="str">
        <f t="shared" si="134"/>
        <v>WH-DEL</v>
      </c>
      <c r="Q1466" t="str">
        <f>VLOOKUP(C1466, Lookups!$A$2:$D$10, 2, FALSE())</f>
        <v>Peripheral Source</v>
      </c>
      <c r="R1466" t="str">
        <f>_xlfn.XLOOKUP(D1466, Lookups!$A$12:$A$51, Lookups!$C$12:$C$51, "Unknown")</f>
        <v>Peripherals</v>
      </c>
      <c r="S1466" t="str">
        <f>IF(ISBLANK(I1466), B1466+VLOOKUP(C1466, Lookups!$A$2:$D$10, 4, FALSE()), I1466)</f>
        <v>2026-03-23</v>
      </c>
      <c r="T1466">
        <f t="shared" si="135"/>
        <v>17</v>
      </c>
      <c r="U1466" t="str">
        <f t="shared" si="136"/>
        <v>Late</v>
      </c>
      <c r="V1466">
        <f t="shared" si="137"/>
        <v>0</v>
      </c>
    </row>
    <row r="1467" spans="1:22" x14ac:dyDescent="0.45">
      <c r="A1467" t="s">
        <v>2311</v>
      </c>
      <c r="B1467" t="s">
        <v>454</v>
      </c>
      <c r="C1467" t="s">
        <v>31</v>
      </c>
      <c r="D1467" t="s">
        <v>77</v>
      </c>
      <c r="E1467" t="s">
        <v>17</v>
      </c>
      <c r="F1467">
        <v>99</v>
      </c>
      <c r="G1467">
        <v>23667</v>
      </c>
      <c r="H1467">
        <v>2343033</v>
      </c>
      <c r="I1467" t="s">
        <v>135</v>
      </c>
      <c r="J1467" t="s">
        <v>134</v>
      </c>
      <c r="K1467">
        <v>99</v>
      </c>
      <c r="L1467">
        <v>0</v>
      </c>
      <c r="M1467" t="s">
        <v>115</v>
      </c>
      <c r="N1467" t="str">
        <f t="shared" si="132"/>
        <v>PO-101466</v>
      </c>
      <c r="O1467" t="str">
        <f t="shared" si="133"/>
        <v>Delivered</v>
      </c>
      <c r="P1467" t="str">
        <f t="shared" si="134"/>
        <v>WH-BLR</v>
      </c>
      <c r="Q1467" t="str">
        <f>VLOOKUP(C1467, Lookups!$A$2:$D$10, 2, FALSE())</f>
        <v>Global Networks</v>
      </c>
      <c r="R1467" t="str">
        <f>_xlfn.XLOOKUP(D1467, Lookups!$A$12:$A$51, Lookups!$C$12:$C$51, "Unknown")</f>
        <v>Networking</v>
      </c>
      <c r="S1467" t="str">
        <f>IF(ISBLANK(I1467), B1467+VLOOKUP(C1467, Lookups!$A$2:$D$10, 4, FALSE()), I1467)</f>
        <v>2026-09-02</v>
      </c>
      <c r="T1467">
        <f t="shared" si="135"/>
        <v>22</v>
      </c>
      <c r="U1467" t="str">
        <f t="shared" si="136"/>
        <v>Late</v>
      </c>
      <c r="V1467">
        <f t="shared" si="137"/>
        <v>0</v>
      </c>
    </row>
    <row r="1468" spans="1:22" x14ac:dyDescent="0.45">
      <c r="A1468" t="s">
        <v>2312</v>
      </c>
      <c r="B1468" t="s">
        <v>595</v>
      </c>
      <c r="C1468" t="s">
        <v>30</v>
      </c>
      <c r="D1468" t="s">
        <v>88</v>
      </c>
      <c r="E1468" t="s">
        <v>15</v>
      </c>
      <c r="F1468">
        <v>20</v>
      </c>
      <c r="G1468">
        <v>75512</v>
      </c>
      <c r="H1468">
        <v>1510240</v>
      </c>
      <c r="I1468" t="s">
        <v>396</v>
      </c>
      <c r="J1468" t="s">
        <v>477</v>
      </c>
      <c r="K1468">
        <v>20</v>
      </c>
      <c r="L1468">
        <v>0</v>
      </c>
      <c r="M1468" t="s">
        <v>115</v>
      </c>
      <c r="N1468" t="str">
        <f t="shared" si="132"/>
        <v>PO-101467</v>
      </c>
      <c r="O1468" t="str">
        <f t="shared" si="133"/>
        <v>Delivered</v>
      </c>
      <c r="P1468" t="str">
        <f t="shared" si="134"/>
        <v>WH-BOM</v>
      </c>
      <c r="Q1468" t="str">
        <f>VLOOKUP(C1468, Lookups!$A$2:$D$10, 2, FALSE())</f>
        <v>TechSupply Corp</v>
      </c>
      <c r="R1468" t="str">
        <f>_xlfn.XLOOKUP(D1468, Lookups!$A$12:$A$51, Lookups!$C$12:$C$51, "Unknown")</f>
        <v>Electronics</v>
      </c>
      <c r="S1468" t="str">
        <f>IF(ISBLANK(I1468), B1468+VLOOKUP(C1468, Lookups!$A$2:$D$10, 4, FALSE()), I1468)</f>
        <v>2025-03-27</v>
      </c>
      <c r="T1468">
        <f t="shared" si="135"/>
        <v>15</v>
      </c>
      <c r="U1468" t="str">
        <f t="shared" si="136"/>
        <v>Late</v>
      </c>
      <c r="V1468">
        <f t="shared" si="137"/>
        <v>0</v>
      </c>
    </row>
    <row r="1469" spans="1:22" x14ac:dyDescent="0.45">
      <c r="A1469" t="s">
        <v>2313</v>
      </c>
      <c r="B1469" t="s">
        <v>1070</v>
      </c>
      <c r="C1469" t="s">
        <v>35</v>
      </c>
      <c r="D1469" t="s">
        <v>65</v>
      </c>
      <c r="E1469" t="s">
        <v>16</v>
      </c>
      <c r="F1469">
        <v>105</v>
      </c>
      <c r="G1469">
        <v>4936</v>
      </c>
      <c r="H1469">
        <v>518280</v>
      </c>
      <c r="I1469" t="s">
        <v>895</v>
      </c>
      <c r="J1469" t="s">
        <v>293</v>
      </c>
      <c r="K1469">
        <v>105</v>
      </c>
      <c r="L1469">
        <v>0</v>
      </c>
      <c r="M1469" t="s">
        <v>115</v>
      </c>
      <c r="N1469" t="str">
        <f t="shared" si="132"/>
        <v>PO-101468</v>
      </c>
      <c r="O1469" t="str">
        <f t="shared" si="133"/>
        <v>Delivered</v>
      </c>
      <c r="P1469" t="str">
        <f t="shared" si="134"/>
        <v>WH-DEL</v>
      </c>
      <c r="Q1469" t="str">
        <f>VLOOKUP(C1469, Lookups!$A$2:$D$10, 2, FALSE())</f>
        <v>Peripheral Source</v>
      </c>
      <c r="R1469" t="str">
        <f>_xlfn.XLOOKUP(D1469, Lookups!$A$12:$A$51, Lookups!$C$12:$C$51, "Unknown")</f>
        <v>Peripherals</v>
      </c>
      <c r="S1469" t="str">
        <f>IF(ISBLANK(I1469), B1469+VLOOKUP(C1469, Lookups!$A$2:$D$10, 4, FALSE()), I1469)</f>
        <v>2025-08-25</v>
      </c>
      <c r="T1469">
        <f t="shared" si="135"/>
        <v>20</v>
      </c>
      <c r="U1469" t="str">
        <f t="shared" si="136"/>
        <v>Late</v>
      </c>
      <c r="V1469">
        <f t="shared" si="137"/>
        <v>0</v>
      </c>
    </row>
    <row r="1470" spans="1:22" x14ac:dyDescent="0.45">
      <c r="A1470" t="s">
        <v>2314</v>
      </c>
      <c r="B1470" t="s">
        <v>385</v>
      </c>
      <c r="C1470" t="s">
        <v>30</v>
      </c>
      <c r="D1470" t="s">
        <v>52</v>
      </c>
      <c r="E1470" t="s">
        <v>15</v>
      </c>
      <c r="F1470">
        <v>218</v>
      </c>
      <c r="G1470">
        <v>59592</v>
      </c>
      <c r="H1470">
        <v>12991056</v>
      </c>
      <c r="I1470" t="s">
        <v>222</v>
      </c>
      <c r="J1470" t="s">
        <v>503</v>
      </c>
      <c r="K1470">
        <v>218</v>
      </c>
      <c r="L1470">
        <v>2</v>
      </c>
      <c r="M1470" t="s">
        <v>115</v>
      </c>
      <c r="N1470" t="str">
        <f t="shared" si="132"/>
        <v>PO-101469</v>
      </c>
      <c r="O1470" t="str">
        <f t="shared" si="133"/>
        <v>Delivered</v>
      </c>
      <c r="P1470" t="str">
        <f t="shared" si="134"/>
        <v>WH-BOM</v>
      </c>
      <c r="Q1470" t="str">
        <f>VLOOKUP(C1470, Lookups!$A$2:$D$10, 2, FALSE())</f>
        <v>TechSupply Corp</v>
      </c>
      <c r="R1470" t="str">
        <f>_xlfn.XLOOKUP(D1470, Lookups!$A$12:$A$51, Lookups!$C$12:$C$51, "Unknown")</f>
        <v>Electronics</v>
      </c>
      <c r="S1470" t="str">
        <f>IF(ISBLANK(I1470), B1470+VLOOKUP(C1470, Lookups!$A$2:$D$10, 4, FALSE()), I1470)</f>
        <v>2026-03-01</v>
      </c>
      <c r="T1470">
        <f t="shared" si="135"/>
        <v>12</v>
      </c>
      <c r="U1470" t="str">
        <f t="shared" si="136"/>
        <v>On-Time</v>
      </c>
      <c r="V1470">
        <f t="shared" si="137"/>
        <v>9.1743119266055051E-3</v>
      </c>
    </row>
    <row r="1471" spans="1:22" x14ac:dyDescent="0.45">
      <c r="A1471" t="s">
        <v>2315</v>
      </c>
      <c r="B1471" t="s">
        <v>211</v>
      </c>
      <c r="C1471" t="s">
        <v>33</v>
      </c>
      <c r="D1471" t="s">
        <v>89</v>
      </c>
      <c r="E1471" t="s">
        <v>17</v>
      </c>
      <c r="F1471">
        <v>211</v>
      </c>
      <c r="G1471">
        <v>11309</v>
      </c>
      <c r="H1471">
        <v>2386199</v>
      </c>
      <c r="I1471" t="s">
        <v>1641</v>
      </c>
      <c r="J1471" t="s">
        <v>1641</v>
      </c>
      <c r="K1471">
        <v>211</v>
      </c>
      <c r="L1471">
        <v>29</v>
      </c>
      <c r="M1471" t="s">
        <v>115</v>
      </c>
      <c r="N1471" t="str">
        <f t="shared" si="132"/>
        <v>PO-101470</v>
      </c>
      <c r="O1471" t="str">
        <f t="shared" si="133"/>
        <v>Delivered</v>
      </c>
      <c r="P1471" t="str">
        <f t="shared" si="134"/>
        <v>WH-BLR</v>
      </c>
      <c r="Q1471" t="str">
        <f>VLOOKUP(C1471, Lookups!$A$2:$D$10, 2, FALSE())</f>
        <v>MegaFurnish</v>
      </c>
      <c r="R1471" t="str">
        <f>_xlfn.XLOOKUP(D1471, Lookups!$A$12:$A$51, Lookups!$C$12:$C$51, "Unknown")</f>
        <v>Office Furniture</v>
      </c>
      <c r="S1471" t="str">
        <f>IF(ISBLANK(I1471), B1471+VLOOKUP(C1471, Lookups!$A$2:$D$10, 4, FALSE()), I1471)</f>
        <v>2025-07-21</v>
      </c>
      <c r="T1471">
        <f t="shared" si="135"/>
        <v>30</v>
      </c>
      <c r="U1471" t="str">
        <f t="shared" si="136"/>
        <v>On-Time</v>
      </c>
      <c r="V1471">
        <f t="shared" si="137"/>
        <v>0.13744075829383887</v>
      </c>
    </row>
    <row r="1472" spans="1:22" x14ac:dyDescent="0.45">
      <c r="A1472" t="s">
        <v>2316</v>
      </c>
      <c r="B1472" t="s">
        <v>1544</v>
      </c>
      <c r="C1472" t="s">
        <v>31</v>
      </c>
      <c r="D1472" t="s">
        <v>56</v>
      </c>
      <c r="E1472" t="s">
        <v>16</v>
      </c>
      <c r="F1472">
        <v>229</v>
      </c>
      <c r="G1472">
        <v>39270</v>
      </c>
      <c r="H1472">
        <v>8992830</v>
      </c>
      <c r="I1472" t="s">
        <v>284</v>
      </c>
      <c r="J1472" t="s">
        <v>561</v>
      </c>
      <c r="K1472">
        <v>229</v>
      </c>
      <c r="L1472">
        <v>0</v>
      </c>
      <c r="M1472" t="s">
        <v>115</v>
      </c>
      <c r="N1472" t="str">
        <f t="shared" si="132"/>
        <v>PO-101471</v>
      </c>
      <c r="O1472" t="str">
        <f t="shared" si="133"/>
        <v>Delivered</v>
      </c>
      <c r="P1472" t="str">
        <f t="shared" si="134"/>
        <v>WH-DEL</v>
      </c>
      <c r="Q1472" t="str">
        <f>VLOOKUP(C1472, Lookups!$A$2:$D$10, 2, FALSE())</f>
        <v>Global Networks</v>
      </c>
      <c r="R1472" t="str">
        <f>_xlfn.XLOOKUP(D1472, Lookups!$A$12:$A$51, Lookups!$C$12:$C$51, "Unknown")</f>
        <v>Networking</v>
      </c>
      <c r="S1472" t="str">
        <f>IF(ISBLANK(I1472), B1472+VLOOKUP(C1472, Lookups!$A$2:$D$10, 4, FALSE()), I1472)</f>
        <v>2025-02-22</v>
      </c>
      <c r="T1472">
        <f t="shared" si="135"/>
        <v>22</v>
      </c>
      <c r="U1472" t="str">
        <f t="shared" si="136"/>
        <v>Late</v>
      </c>
      <c r="V1472">
        <f t="shared" si="137"/>
        <v>0</v>
      </c>
    </row>
    <row r="1473" spans="1:22" x14ac:dyDescent="0.45">
      <c r="A1473" t="s">
        <v>2317</v>
      </c>
      <c r="B1473" t="s">
        <v>289</v>
      </c>
      <c r="C1473" t="s">
        <v>35</v>
      </c>
      <c r="D1473" t="s">
        <v>57</v>
      </c>
      <c r="E1473" t="s">
        <v>17</v>
      </c>
      <c r="F1473">
        <v>153</v>
      </c>
      <c r="G1473">
        <v>2212</v>
      </c>
      <c r="H1473">
        <v>338436</v>
      </c>
      <c r="I1473" t="s">
        <v>2065</v>
      </c>
      <c r="J1473" t="s">
        <v>226</v>
      </c>
      <c r="K1473">
        <v>153</v>
      </c>
      <c r="L1473">
        <v>0</v>
      </c>
      <c r="M1473" t="s">
        <v>115</v>
      </c>
      <c r="N1473" t="str">
        <f t="shared" si="132"/>
        <v>PO-101472</v>
      </c>
      <c r="O1473" t="str">
        <f t="shared" si="133"/>
        <v>Delivered</v>
      </c>
      <c r="P1473" t="str">
        <f t="shared" si="134"/>
        <v>WH-BLR</v>
      </c>
      <c r="Q1473" t="str">
        <f>VLOOKUP(C1473, Lookups!$A$2:$D$10, 2, FALSE())</f>
        <v>Peripheral Source</v>
      </c>
      <c r="R1473" t="str">
        <f>_xlfn.XLOOKUP(D1473, Lookups!$A$12:$A$51, Lookups!$C$12:$C$51, "Unknown")</f>
        <v>Peripherals</v>
      </c>
      <c r="S1473" t="str">
        <f>IF(ISBLANK(I1473), B1473+VLOOKUP(C1473, Lookups!$A$2:$D$10, 4, FALSE()), I1473)</f>
        <v>2026-07-19</v>
      </c>
      <c r="T1473">
        <f t="shared" si="135"/>
        <v>23</v>
      </c>
      <c r="U1473" t="str">
        <f t="shared" si="136"/>
        <v>Late</v>
      </c>
      <c r="V1473">
        <f t="shared" si="137"/>
        <v>0</v>
      </c>
    </row>
    <row r="1474" spans="1:22" x14ac:dyDescent="0.45">
      <c r="A1474" t="s">
        <v>2318</v>
      </c>
      <c r="B1474" t="s">
        <v>350</v>
      </c>
      <c r="C1474" t="s">
        <v>35</v>
      </c>
      <c r="D1474" t="s">
        <v>70</v>
      </c>
      <c r="E1474" t="s">
        <v>15</v>
      </c>
      <c r="F1474">
        <v>58</v>
      </c>
      <c r="G1474">
        <v>4287</v>
      </c>
      <c r="H1474">
        <v>248646</v>
      </c>
      <c r="I1474" t="s">
        <v>556</v>
      </c>
      <c r="J1474" t="s">
        <v>521</v>
      </c>
      <c r="K1474">
        <v>40</v>
      </c>
      <c r="L1474">
        <v>0</v>
      </c>
      <c r="M1474" t="s">
        <v>115</v>
      </c>
      <c r="N1474" t="str">
        <f t="shared" ref="N1474:N1537" si="138">TRIM(A1474)</f>
        <v>PO-101473</v>
      </c>
      <c r="O1474" t="str">
        <f t="shared" ref="O1474:O1537" si="139">PROPER(TRIM(M1474))</f>
        <v>Delivered</v>
      </c>
      <c r="P1474" t="str">
        <f t="shared" ref="P1474:P1537" si="140">TRIM(E1474)</f>
        <v>WH-BOM</v>
      </c>
      <c r="Q1474" t="str">
        <f>VLOOKUP(C1474, Lookups!$A$2:$D$10, 2, FALSE())</f>
        <v>Peripheral Source</v>
      </c>
      <c r="R1474" t="str">
        <f>_xlfn.XLOOKUP(D1474, Lookups!$A$12:$A$51, Lookups!$C$12:$C$51, "Unknown")</f>
        <v>Peripherals</v>
      </c>
      <c r="S1474" t="str">
        <f>IF(ISBLANK(I1474), B1474+VLOOKUP(C1474, Lookups!$A$2:$D$10, 4, FALSE()), I1474)</f>
        <v>2026-09-15</v>
      </c>
      <c r="T1474">
        <f t="shared" ref="T1474:T1537" si="141">IF(ISBLANK(J1474), "", J1474-B1474)</f>
        <v>11</v>
      </c>
      <c r="U1474" t="str">
        <f t="shared" ref="U1474:U1537" si="142">IF(O1474="Open", "Open", IF(J1474&gt;S1474, "Late", "On-Time"))</f>
        <v>Late</v>
      </c>
      <c r="V1474">
        <f t="shared" ref="V1474:V1537" si="143">IF(K1474&gt;0, L1474/K1474, 0)</f>
        <v>0</v>
      </c>
    </row>
    <row r="1475" spans="1:22" x14ac:dyDescent="0.45">
      <c r="A1475" t="s">
        <v>2319</v>
      </c>
      <c r="B1475" t="s">
        <v>455</v>
      </c>
      <c r="C1475" t="s">
        <v>34</v>
      </c>
      <c r="D1475" t="s">
        <v>58</v>
      </c>
      <c r="E1475" t="s">
        <v>16</v>
      </c>
      <c r="F1475">
        <v>223</v>
      </c>
      <c r="G1475">
        <v>100302</v>
      </c>
      <c r="H1475">
        <v>22367346</v>
      </c>
      <c r="I1475" t="s">
        <v>1271</v>
      </c>
      <c r="J1475" t="s">
        <v>555</v>
      </c>
      <c r="K1475">
        <v>223</v>
      </c>
      <c r="L1475">
        <v>0</v>
      </c>
      <c r="M1475" t="s">
        <v>115</v>
      </c>
      <c r="N1475" t="str">
        <f t="shared" si="138"/>
        <v>PO-101474</v>
      </c>
      <c r="O1475" t="str">
        <f t="shared" si="139"/>
        <v>Delivered</v>
      </c>
      <c r="P1475" t="str">
        <f t="shared" si="140"/>
        <v>WH-DEL</v>
      </c>
      <c r="Q1475" t="str">
        <f>VLOOKUP(C1475, Lookups!$A$2:$D$10, 2, FALSE())</f>
        <v>FastElectronics</v>
      </c>
      <c r="R1475" t="str">
        <f>_xlfn.XLOOKUP(D1475, Lookups!$A$12:$A$51, Lookups!$C$12:$C$51, "Unknown")</f>
        <v>Electronics</v>
      </c>
      <c r="S1475" t="str">
        <f>IF(ISBLANK(I1475), B1475+VLOOKUP(C1475, Lookups!$A$2:$D$10, 4, FALSE()), I1475)</f>
        <v>2026-08-31</v>
      </c>
      <c r="T1475">
        <f t="shared" si="141"/>
        <v>19</v>
      </c>
      <c r="U1475" t="str">
        <f t="shared" si="142"/>
        <v>Late</v>
      </c>
      <c r="V1475">
        <f t="shared" si="143"/>
        <v>0</v>
      </c>
    </row>
    <row r="1476" spans="1:22" x14ac:dyDescent="0.45">
      <c r="A1476" t="s">
        <v>2320</v>
      </c>
      <c r="B1476" t="s">
        <v>1084</v>
      </c>
      <c r="C1476" t="s">
        <v>37</v>
      </c>
      <c r="D1476" t="s">
        <v>83</v>
      </c>
      <c r="E1476" t="s">
        <v>15</v>
      </c>
      <c r="F1476">
        <v>133</v>
      </c>
      <c r="G1476">
        <v>19850</v>
      </c>
      <c r="H1476">
        <v>2640050</v>
      </c>
      <c r="I1476" t="s">
        <v>362</v>
      </c>
      <c r="J1476" t="s">
        <v>149</v>
      </c>
      <c r="K1476">
        <v>133</v>
      </c>
      <c r="L1476">
        <v>0</v>
      </c>
      <c r="M1476" t="s">
        <v>115</v>
      </c>
      <c r="N1476" t="str">
        <f t="shared" si="138"/>
        <v>PO-101475</v>
      </c>
      <c r="O1476" t="str">
        <f t="shared" si="139"/>
        <v>Delivered</v>
      </c>
      <c r="P1476" t="str">
        <f t="shared" si="140"/>
        <v>WH-BOM</v>
      </c>
      <c r="Q1476" t="str">
        <f>VLOOKUP(C1476, Lookups!$A$2:$D$10, 2, FALSE())</f>
        <v>Premium Desks Ltd</v>
      </c>
      <c r="R1476" t="str">
        <f>_xlfn.XLOOKUP(D1476, Lookups!$A$12:$A$51, Lookups!$C$12:$C$51, "Unknown")</f>
        <v>Office Furniture</v>
      </c>
      <c r="S1476" t="str">
        <f>IF(ISBLANK(I1476), B1476+VLOOKUP(C1476, Lookups!$A$2:$D$10, 4, FALSE()), I1476)</f>
        <v>2026-04-01</v>
      </c>
      <c r="T1476">
        <f t="shared" si="141"/>
        <v>14</v>
      </c>
      <c r="U1476" t="str">
        <f t="shared" si="142"/>
        <v>Late</v>
      </c>
      <c r="V1476">
        <f t="shared" si="143"/>
        <v>0</v>
      </c>
    </row>
    <row r="1477" spans="1:22" x14ac:dyDescent="0.45">
      <c r="A1477" t="s">
        <v>2321</v>
      </c>
      <c r="B1477" t="s">
        <v>409</v>
      </c>
      <c r="C1477" t="s">
        <v>36</v>
      </c>
      <c r="D1477" t="s">
        <v>90</v>
      </c>
      <c r="E1477" t="s">
        <v>16</v>
      </c>
      <c r="F1477">
        <v>191</v>
      </c>
      <c r="G1477">
        <v>81434</v>
      </c>
      <c r="H1477">
        <v>15553894</v>
      </c>
      <c r="I1477" t="s">
        <v>457</v>
      </c>
      <c r="J1477" t="s">
        <v>715</v>
      </c>
      <c r="K1477">
        <v>191</v>
      </c>
      <c r="L1477">
        <v>0</v>
      </c>
      <c r="M1477" t="s">
        <v>115</v>
      </c>
      <c r="N1477" t="str">
        <f t="shared" si="138"/>
        <v>PO-101476</v>
      </c>
      <c r="O1477" t="str">
        <f t="shared" si="139"/>
        <v>Delivered</v>
      </c>
      <c r="P1477" t="str">
        <f t="shared" si="140"/>
        <v>WH-DEL</v>
      </c>
      <c r="Q1477" t="str">
        <f>VLOOKUP(C1477, Lookups!$A$2:$D$10, 2, FALSE())</f>
        <v>NextGen Hardware</v>
      </c>
      <c r="R1477" t="str">
        <f>_xlfn.XLOOKUP(D1477, Lookups!$A$12:$A$51, Lookups!$C$12:$C$51, "Unknown")</f>
        <v>Electronics</v>
      </c>
      <c r="S1477" t="str">
        <f>IF(ISBLANK(I1477), B1477+VLOOKUP(C1477, Lookups!$A$2:$D$10, 4, FALSE()), I1477)</f>
        <v>2025-06-25</v>
      </c>
      <c r="T1477">
        <f t="shared" si="141"/>
        <v>39</v>
      </c>
      <c r="U1477" t="str">
        <f t="shared" si="142"/>
        <v>Late</v>
      </c>
      <c r="V1477">
        <f t="shared" si="143"/>
        <v>0</v>
      </c>
    </row>
    <row r="1478" spans="1:22" x14ac:dyDescent="0.45">
      <c r="A1478" t="s">
        <v>2322</v>
      </c>
      <c r="B1478" t="s">
        <v>836</v>
      </c>
      <c r="C1478" t="s">
        <v>30</v>
      </c>
      <c r="D1478" t="s">
        <v>53</v>
      </c>
      <c r="E1478" t="s">
        <v>18</v>
      </c>
      <c r="F1478">
        <v>245</v>
      </c>
      <c r="G1478">
        <v>81048</v>
      </c>
      <c r="H1478">
        <v>19856760</v>
      </c>
      <c r="I1478" t="s">
        <v>538</v>
      </c>
      <c r="J1478" t="s">
        <v>538</v>
      </c>
      <c r="K1478">
        <v>245</v>
      </c>
      <c r="L1478">
        <v>0</v>
      </c>
      <c r="M1478" t="s">
        <v>115</v>
      </c>
      <c r="N1478" t="str">
        <f t="shared" si="138"/>
        <v>PO-101477</v>
      </c>
      <c r="O1478" t="str">
        <f t="shared" si="139"/>
        <v>Delivered</v>
      </c>
      <c r="P1478" t="str">
        <f t="shared" si="140"/>
        <v>WH-PUN</v>
      </c>
      <c r="Q1478" t="str">
        <f>VLOOKUP(C1478, Lookups!$A$2:$D$10, 2, FALSE())</f>
        <v>TechSupply Corp</v>
      </c>
      <c r="R1478" t="str">
        <f>_xlfn.XLOOKUP(D1478, Lookups!$A$12:$A$51, Lookups!$C$12:$C$51, "Unknown")</f>
        <v>Electronics</v>
      </c>
      <c r="S1478" t="str">
        <f>IF(ISBLANK(I1478), B1478+VLOOKUP(C1478, Lookups!$A$2:$D$10, 4, FALSE()), I1478)</f>
        <v>2026-01-24</v>
      </c>
      <c r="T1478">
        <f t="shared" si="141"/>
        <v>14</v>
      </c>
      <c r="U1478" t="str">
        <f t="shared" si="142"/>
        <v>On-Time</v>
      </c>
      <c r="V1478">
        <f t="shared" si="143"/>
        <v>0</v>
      </c>
    </row>
    <row r="1479" spans="1:22" x14ac:dyDescent="0.45">
      <c r="A1479" t="s">
        <v>2323</v>
      </c>
      <c r="B1479" t="s">
        <v>520</v>
      </c>
      <c r="C1479" t="s">
        <v>31</v>
      </c>
      <c r="D1479" t="s">
        <v>66</v>
      </c>
      <c r="E1479" t="s">
        <v>16</v>
      </c>
      <c r="F1479">
        <v>218</v>
      </c>
      <c r="G1479">
        <v>29719</v>
      </c>
      <c r="H1479">
        <v>6478742</v>
      </c>
      <c r="I1479" t="s">
        <v>117</v>
      </c>
      <c r="J1479" t="s">
        <v>118</v>
      </c>
      <c r="K1479">
        <v>218</v>
      </c>
      <c r="L1479">
        <v>0</v>
      </c>
      <c r="M1479" t="s">
        <v>115</v>
      </c>
      <c r="N1479" t="str">
        <f t="shared" si="138"/>
        <v>PO-101478</v>
      </c>
      <c r="O1479" t="str">
        <f t="shared" si="139"/>
        <v>Delivered</v>
      </c>
      <c r="P1479" t="str">
        <f t="shared" si="140"/>
        <v>WH-DEL</v>
      </c>
      <c r="Q1479" t="str">
        <f>VLOOKUP(C1479, Lookups!$A$2:$D$10, 2, FALSE())</f>
        <v>Global Networks</v>
      </c>
      <c r="R1479" t="str">
        <f>_xlfn.XLOOKUP(D1479, Lookups!$A$12:$A$51, Lookups!$C$12:$C$51, "Unknown")</f>
        <v>Networking</v>
      </c>
      <c r="S1479" t="str">
        <f>IF(ISBLANK(I1479), B1479+VLOOKUP(C1479, Lookups!$A$2:$D$10, 4, FALSE()), I1479)</f>
        <v>2026-09-19</v>
      </c>
      <c r="T1479">
        <f t="shared" si="141"/>
        <v>35</v>
      </c>
      <c r="U1479" t="str">
        <f t="shared" si="142"/>
        <v>Late</v>
      </c>
      <c r="V1479">
        <f t="shared" si="143"/>
        <v>0</v>
      </c>
    </row>
    <row r="1480" spans="1:22" x14ac:dyDescent="0.45">
      <c r="A1480" t="s">
        <v>2324</v>
      </c>
      <c r="B1480" t="s">
        <v>213</v>
      </c>
      <c r="C1480" t="s">
        <v>35</v>
      </c>
      <c r="D1480" t="s">
        <v>60</v>
      </c>
      <c r="E1480" t="s">
        <v>15</v>
      </c>
      <c r="F1480">
        <v>154</v>
      </c>
      <c r="G1480">
        <v>3291</v>
      </c>
      <c r="H1480">
        <v>506814</v>
      </c>
      <c r="I1480" t="s">
        <v>214</v>
      </c>
      <c r="J1480" t="s">
        <v>215</v>
      </c>
      <c r="K1480">
        <v>83</v>
      </c>
      <c r="L1480">
        <v>0</v>
      </c>
      <c r="M1480" t="s">
        <v>115</v>
      </c>
      <c r="N1480" t="str">
        <f t="shared" si="138"/>
        <v>PO-101479</v>
      </c>
      <c r="O1480" t="str">
        <f t="shared" si="139"/>
        <v>Delivered</v>
      </c>
      <c r="P1480" t="str">
        <f t="shared" si="140"/>
        <v>WH-BOM</v>
      </c>
      <c r="Q1480" t="str">
        <f>VLOOKUP(C1480, Lookups!$A$2:$D$10, 2, FALSE())</f>
        <v>Peripheral Source</v>
      </c>
      <c r="R1480" t="str">
        <f>_xlfn.XLOOKUP(D1480, Lookups!$A$12:$A$51, Lookups!$C$12:$C$51, "Unknown")</f>
        <v>Peripherals</v>
      </c>
      <c r="S1480" t="str">
        <f>IF(ISBLANK(I1480), B1480+VLOOKUP(C1480, Lookups!$A$2:$D$10, 4, FALSE()), I1480)</f>
        <v>2025-06-27</v>
      </c>
      <c r="T1480">
        <f t="shared" si="141"/>
        <v>11</v>
      </c>
      <c r="U1480" t="str">
        <f t="shared" si="142"/>
        <v>Late</v>
      </c>
      <c r="V1480">
        <f t="shared" si="143"/>
        <v>0</v>
      </c>
    </row>
    <row r="1481" spans="1:22" x14ac:dyDescent="0.45">
      <c r="A1481" t="s">
        <v>2325</v>
      </c>
      <c r="B1481" t="s">
        <v>1461</v>
      </c>
      <c r="C1481" t="s">
        <v>30</v>
      </c>
      <c r="D1481" t="s">
        <v>82</v>
      </c>
      <c r="E1481" t="s">
        <v>15</v>
      </c>
      <c r="F1481">
        <v>249</v>
      </c>
      <c r="G1481">
        <v>83427</v>
      </c>
      <c r="H1481">
        <v>20773323</v>
      </c>
      <c r="I1481" t="s">
        <v>310</v>
      </c>
      <c r="J1481" t="s">
        <v>995</v>
      </c>
      <c r="K1481">
        <v>249</v>
      </c>
      <c r="L1481">
        <v>0</v>
      </c>
      <c r="M1481" t="s">
        <v>115</v>
      </c>
      <c r="N1481" t="str">
        <f t="shared" si="138"/>
        <v>PO-101480</v>
      </c>
      <c r="O1481" t="str">
        <f t="shared" si="139"/>
        <v>Delivered</v>
      </c>
      <c r="P1481" t="str">
        <f t="shared" si="140"/>
        <v>WH-BOM</v>
      </c>
      <c r="Q1481" t="str">
        <f>VLOOKUP(C1481, Lookups!$A$2:$D$10, 2, FALSE())</f>
        <v>TechSupply Corp</v>
      </c>
      <c r="R1481" t="str">
        <f>_xlfn.XLOOKUP(D1481, Lookups!$A$12:$A$51, Lookups!$C$12:$C$51, "Unknown")</f>
        <v>Electronics</v>
      </c>
      <c r="S1481" t="str">
        <f>IF(ISBLANK(I1481), B1481+VLOOKUP(C1481, Lookups!$A$2:$D$10, 4, FALSE()), I1481)</f>
        <v>2025-08-21</v>
      </c>
      <c r="T1481">
        <f t="shared" si="141"/>
        <v>15</v>
      </c>
      <c r="U1481" t="str">
        <f t="shared" si="142"/>
        <v>Late</v>
      </c>
      <c r="V1481">
        <f t="shared" si="143"/>
        <v>0</v>
      </c>
    </row>
    <row r="1482" spans="1:22" x14ac:dyDescent="0.45">
      <c r="A1482" t="s">
        <v>2326</v>
      </c>
      <c r="B1482" t="s">
        <v>1416</v>
      </c>
      <c r="C1482" t="s">
        <v>30</v>
      </c>
      <c r="D1482" t="s">
        <v>61</v>
      </c>
      <c r="E1482" t="s">
        <v>532</v>
      </c>
      <c r="F1482">
        <v>75</v>
      </c>
      <c r="G1482">
        <v>111237</v>
      </c>
      <c r="H1482">
        <v>8342775</v>
      </c>
      <c r="I1482" t="s">
        <v>815</v>
      </c>
      <c r="J1482" t="s">
        <v>220</v>
      </c>
      <c r="K1482">
        <v>75</v>
      </c>
      <c r="L1482">
        <v>3</v>
      </c>
      <c r="M1482" t="s">
        <v>115</v>
      </c>
      <c r="N1482" t="str">
        <f t="shared" si="138"/>
        <v>PO-101481</v>
      </c>
      <c r="O1482" t="str">
        <f t="shared" si="139"/>
        <v>Delivered</v>
      </c>
      <c r="P1482" t="str">
        <f t="shared" si="140"/>
        <v>WH-PUN</v>
      </c>
      <c r="Q1482" t="str">
        <f>VLOOKUP(C1482, Lookups!$A$2:$D$10, 2, FALSE())</f>
        <v>TechSupply Corp</v>
      </c>
      <c r="R1482" t="str">
        <f>_xlfn.XLOOKUP(D1482, Lookups!$A$12:$A$51, Lookups!$C$12:$C$51, "Unknown")</f>
        <v>Electronics</v>
      </c>
      <c r="S1482" t="str">
        <f>IF(ISBLANK(I1482), B1482+VLOOKUP(C1482, Lookups!$A$2:$D$10, 4, FALSE()), I1482)</f>
        <v>2026-02-13</v>
      </c>
      <c r="T1482">
        <f t="shared" si="141"/>
        <v>15</v>
      </c>
      <c r="U1482" t="str">
        <f t="shared" si="142"/>
        <v>Late</v>
      </c>
      <c r="V1482">
        <f t="shared" si="143"/>
        <v>0.04</v>
      </c>
    </row>
    <row r="1483" spans="1:22" x14ac:dyDescent="0.45">
      <c r="A1483" t="s">
        <v>2327</v>
      </c>
      <c r="B1483" t="s">
        <v>222</v>
      </c>
      <c r="C1483" t="s">
        <v>35</v>
      </c>
      <c r="D1483" t="s">
        <v>60</v>
      </c>
      <c r="E1483" t="s">
        <v>15</v>
      </c>
      <c r="F1483">
        <v>176</v>
      </c>
      <c r="G1483">
        <v>3291</v>
      </c>
      <c r="H1483">
        <v>579216</v>
      </c>
      <c r="I1483" t="s">
        <v>1496</v>
      </c>
      <c r="J1483" t="s">
        <v>315</v>
      </c>
      <c r="K1483">
        <v>176</v>
      </c>
      <c r="L1483">
        <v>0</v>
      </c>
      <c r="M1483" t="s">
        <v>115</v>
      </c>
      <c r="N1483" t="str">
        <f t="shared" si="138"/>
        <v>PO-101482</v>
      </c>
      <c r="O1483" t="str">
        <f t="shared" si="139"/>
        <v>Delivered</v>
      </c>
      <c r="P1483" t="str">
        <f t="shared" si="140"/>
        <v>WH-BOM</v>
      </c>
      <c r="Q1483" t="str">
        <f>VLOOKUP(C1483, Lookups!$A$2:$D$10, 2, FALSE())</f>
        <v>Peripheral Source</v>
      </c>
      <c r="R1483" t="str">
        <f>_xlfn.XLOOKUP(D1483, Lookups!$A$12:$A$51, Lookups!$C$12:$C$51, "Unknown")</f>
        <v>Peripherals</v>
      </c>
      <c r="S1483" t="str">
        <f>IF(ISBLANK(I1483), B1483+VLOOKUP(C1483, Lookups!$A$2:$D$10, 4, FALSE()), I1483)</f>
        <v>2026-03-11</v>
      </c>
      <c r="T1483">
        <f t="shared" si="141"/>
        <v>6</v>
      </c>
      <c r="U1483" t="str">
        <f t="shared" si="142"/>
        <v>On-Time</v>
      </c>
      <c r="V1483">
        <f t="shared" si="143"/>
        <v>0</v>
      </c>
    </row>
    <row r="1484" spans="1:22" x14ac:dyDescent="0.45">
      <c r="A1484" t="s">
        <v>2328</v>
      </c>
      <c r="B1484" t="s">
        <v>261</v>
      </c>
      <c r="C1484" t="s">
        <v>31</v>
      </c>
      <c r="D1484" t="s">
        <v>56</v>
      </c>
      <c r="E1484" t="s">
        <v>18</v>
      </c>
      <c r="F1484">
        <v>91</v>
      </c>
      <c r="G1484">
        <v>39270</v>
      </c>
      <c r="H1484">
        <v>3573570</v>
      </c>
      <c r="I1484" t="s">
        <v>164</v>
      </c>
      <c r="J1484" t="s">
        <v>164</v>
      </c>
      <c r="K1484">
        <v>91</v>
      </c>
      <c r="L1484">
        <v>0</v>
      </c>
      <c r="M1484" t="s">
        <v>115</v>
      </c>
      <c r="N1484" t="str">
        <f t="shared" si="138"/>
        <v>PO-101483</v>
      </c>
      <c r="O1484" t="str">
        <f t="shared" si="139"/>
        <v>Delivered</v>
      </c>
      <c r="P1484" t="str">
        <f t="shared" si="140"/>
        <v>WH-PUN</v>
      </c>
      <c r="Q1484" t="str">
        <f>VLOOKUP(C1484, Lookups!$A$2:$D$10, 2, FALSE())</f>
        <v>Global Networks</v>
      </c>
      <c r="R1484" t="str">
        <f>_xlfn.XLOOKUP(D1484, Lookups!$A$12:$A$51, Lookups!$C$12:$C$51, "Unknown")</f>
        <v>Networking</v>
      </c>
      <c r="S1484" t="str">
        <f>IF(ISBLANK(I1484), B1484+VLOOKUP(C1484, Lookups!$A$2:$D$10, 4, FALSE()), I1484)</f>
        <v>2026-02-05</v>
      </c>
      <c r="T1484">
        <f t="shared" si="141"/>
        <v>21</v>
      </c>
      <c r="U1484" t="str">
        <f t="shared" si="142"/>
        <v>On-Time</v>
      </c>
      <c r="V1484">
        <f t="shared" si="143"/>
        <v>0</v>
      </c>
    </row>
    <row r="1485" spans="1:22" x14ac:dyDescent="0.45">
      <c r="A1485" t="s">
        <v>2329</v>
      </c>
      <c r="B1485" t="s">
        <v>387</v>
      </c>
      <c r="C1485" t="s">
        <v>36</v>
      </c>
      <c r="D1485" t="s">
        <v>55</v>
      </c>
      <c r="E1485" t="s">
        <v>15</v>
      </c>
      <c r="F1485">
        <v>148</v>
      </c>
      <c r="G1485">
        <v>58434</v>
      </c>
      <c r="H1485">
        <v>8648232</v>
      </c>
      <c r="I1485" t="s">
        <v>587</v>
      </c>
      <c r="J1485" t="s">
        <v>151</v>
      </c>
      <c r="K1485">
        <v>148</v>
      </c>
      <c r="L1485">
        <v>0</v>
      </c>
      <c r="M1485" t="s">
        <v>115</v>
      </c>
      <c r="N1485" t="str">
        <f t="shared" si="138"/>
        <v>PO-101484</v>
      </c>
      <c r="O1485" t="str">
        <f t="shared" si="139"/>
        <v>Delivered</v>
      </c>
      <c r="P1485" t="str">
        <f t="shared" si="140"/>
        <v>WH-BOM</v>
      </c>
      <c r="Q1485" t="str">
        <f>VLOOKUP(C1485, Lookups!$A$2:$D$10, 2, FALSE())</f>
        <v>NextGen Hardware</v>
      </c>
      <c r="R1485" t="str">
        <f>_xlfn.XLOOKUP(D1485, Lookups!$A$12:$A$51, Lookups!$C$12:$C$51, "Unknown")</f>
        <v>Electronics</v>
      </c>
      <c r="S1485" t="str">
        <f>IF(ISBLANK(I1485), B1485+VLOOKUP(C1485, Lookups!$A$2:$D$10, 4, FALSE()), I1485)</f>
        <v>2026-04-11</v>
      </c>
      <c r="T1485">
        <f t="shared" si="141"/>
        <v>27</v>
      </c>
      <c r="U1485" t="str">
        <f t="shared" si="142"/>
        <v>Late</v>
      </c>
      <c r="V1485">
        <f t="shared" si="143"/>
        <v>0</v>
      </c>
    </row>
    <row r="1486" spans="1:22" x14ac:dyDescent="0.45">
      <c r="A1486" t="s">
        <v>2330</v>
      </c>
      <c r="B1486" t="s">
        <v>954</v>
      </c>
      <c r="C1486" t="s">
        <v>31</v>
      </c>
      <c r="D1486" t="s">
        <v>66</v>
      </c>
      <c r="E1486" t="s">
        <v>16</v>
      </c>
      <c r="F1486">
        <v>60</v>
      </c>
      <c r="G1486">
        <v>29719</v>
      </c>
      <c r="H1486">
        <v>1783140</v>
      </c>
      <c r="I1486" t="s">
        <v>824</v>
      </c>
      <c r="J1486" t="s">
        <v>653</v>
      </c>
      <c r="K1486">
        <v>60</v>
      </c>
      <c r="L1486">
        <v>0</v>
      </c>
      <c r="M1486" t="s">
        <v>115</v>
      </c>
      <c r="N1486" t="str">
        <f t="shared" si="138"/>
        <v>PO-101485</v>
      </c>
      <c r="O1486" t="str">
        <f t="shared" si="139"/>
        <v>Delivered</v>
      </c>
      <c r="P1486" t="str">
        <f t="shared" si="140"/>
        <v>WH-DEL</v>
      </c>
      <c r="Q1486" t="str">
        <f>VLOOKUP(C1486, Lookups!$A$2:$D$10, 2, FALSE())</f>
        <v>Global Networks</v>
      </c>
      <c r="R1486" t="str">
        <f>_xlfn.XLOOKUP(D1486, Lookups!$A$12:$A$51, Lookups!$C$12:$C$51, "Unknown")</f>
        <v>Networking</v>
      </c>
      <c r="S1486" t="str">
        <f>IF(ISBLANK(I1486), B1486+VLOOKUP(C1486, Lookups!$A$2:$D$10, 4, FALSE()), I1486)</f>
        <v>2026-12-07</v>
      </c>
      <c r="T1486">
        <f t="shared" si="141"/>
        <v>28</v>
      </c>
      <c r="U1486" t="str">
        <f t="shared" si="142"/>
        <v>Late</v>
      </c>
      <c r="V1486">
        <f t="shared" si="143"/>
        <v>0</v>
      </c>
    </row>
    <row r="1487" spans="1:22" x14ac:dyDescent="0.45">
      <c r="A1487" t="s">
        <v>2331</v>
      </c>
      <c r="B1487" t="s">
        <v>413</v>
      </c>
      <c r="C1487" t="s">
        <v>37</v>
      </c>
      <c r="D1487" t="s">
        <v>83</v>
      </c>
      <c r="E1487" t="s">
        <v>16</v>
      </c>
      <c r="F1487">
        <v>25</v>
      </c>
      <c r="G1487">
        <v>19850</v>
      </c>
      <c r="H1487">
        <v>496250</v>
      </c>
      <c r="I1487" t="s">
        <v>2281</v>
      </c>
      <c r="J1487" t="s">
        <v>2281</v>
      </c>
      <c r="K1487">
        <v>25</v>
      </c>
      <c r="L1487">
        <v>0</v>
      </c>
      <c r="M1487" t="s">
        <v>115</v>
      </c>
      <c r="N1487" t="str">
        <f t="shared" si="138"/>
        <v>PO-101486</v>
      </c>
      <c r="O1487" t="str">
        <f t="shared" si="139"/>
        <v>Delivered</v>
      </c>
      <c r="P1487" t="str">
        <f t="shared" si="140"/>
        <v>WH-DEL</v>
      </c>
      <c r="Q1487" t="str">
        <f>VLOOKUP(C1487, Lookups!$A$2:$D$10, 2, FALSE())</f>
        <v>Premium Desks Ltd</v>
      </c>
      <c r="R1487" t="str">
        <f>_xlfn.XLOOKUP(D1487, Lookups!$A$12:$A$51, Lookups!$C$12:$C$51, "Unknown")</f>
        <v>Office Furniture</v>
      </c>
      <c r="S1487" t="str">
        <f>IF(ISBLANK(I1487), B1487+VLOOKUP(C1487, Lookups!$A$2:$D$10, 4, FALSE()), I1487)</f>
        <v>2026-06-17</v>
      </c>
      <c r="T1487">
        <f t="shared" si="141"/>
        <v>12</v>
      </c>
      <c r="U1487" t="str">
        <f t="shared" si="142"/>
        <v>On-Time</v>
      </c>
      <c r="V1487">
        <f t="shared" si="143"/>
        <v>0</v>
      </c>
    </row>
    <row r="1488" spans="1:22" x14ac:dyDescent="0.45">
      <c r="A1488" t="s">
        <v>2332</v>
      </c>
      <c r="B1488" t="s">
        <v>903</v>
      </c>
      <c r="C1488" t="s">
        <v>34</v>
      </c>
      <c r="D1488" t="s">
        <v>73</v>
      </c>
      <c r="E1488" t="s">
        <v>18</v>
      </c>
      <c r="F1488">
        <v>152</v>
      </c>
      <c r="G1488">
        <v>58396</v>
      </c>
      <c r="H1488">
        <v>8876192</v>
      </c>
      <c r="I1488" t="s">
        <v>675</v>
      </c>
      <c r="J1488" t="s">
        <v>675</v>
      </c>
      <c r="K1488">
        <v>152</v>
      </c>
      <c r="L1488">
        <v>0</v>
      </c>
      <c r="M1488" t="s">
        <v>115</v>
      </c>
      <c r="N1488" t="str">
        <f t="shared" si="138"/>
        <v>PO-101487</v>
      </c>
      <c r="O1488" t="str">
        <f t="shared" si="139"/>
        <v>Delivered</v>
      </c>
      <c r="P1488" t="str">
        <f t="shared" si="140"/>
        <v>WH-PUN</v>
      </c>
      <c r="Q1488" t="str">
        <f>VLOOKUP(C1488, Lookups!$A$2:$D$10, 2, FALSE())</f>
        <v>FastElectronics</v>
      </c>
      <c r="R1488" t="str">
        <f>_xlfn.XLOOKUP(D1488, Lookups!$A$12:$A$51, Lookups!$C$12:$C$51, "Unknown")</f>
        <v>Electronics</v>
      </c>
      <c r="S1488" t="str">
        <f>IF(ISBLANK(I1488), B1488+VLOOKUP(C1488, Lookups!$A$2:$D$10, 4, FALSE()), I1488)</f>
        <v>2026-11-28</v>
      </c>
      <c r="T1488">
        <f t="shared" si="141"/>
        <v>18</v>
      </c>
      <c r="U1488" t="str">
        <f t="shared" si="142"/>
        <v>On-Time</v>
      </c>
      <c r="V1488">
        <f t="shared" si="143"/>
        <v>0</v>
      </c>
    </row>
    <row r="1489" spans="1:22" x14ac:dyDescent="0.45">
      <c r="A1489" t="s">
        <v>2333</v>
      </c>
      <c r="B1489" t="s">
        <v>721</v>
      </c>
      <c r="C1489" t="s">
        <v>34</v>
      </c>
      <c r="D1489" t="s">
        <v>58</v>
      </c>
      <c r="E1489" t="s">
        <v>18</v>
      </c>
      <c r="F1489">
        <v>230</v>
      </c>
      <c r="G1489">
        <v>100302</v>
      </c>
      <c r="H1489">
        <v>23069460</v>
      </c>
      <c r="I1489" t="s">
        <v>165</v>
      </c>
      <c r="J1489" t="s">
        <v>839</v>
      </c>
      <c r="K1489">
        <v>230</v>
      </c>
      <c r="L1489">
        <v>0</v>
      </c>
      <c r="M1489" t="s">
        <v>115</v>
      </c>
      <c r="N1489" t="str">
        <f t="shared" si="138"/>
        <v>PO-101488</v>
      </c>
      <c r="O1489" t="str">
        <f t="shared" si="139"/>
        <v>Delivered</v>
      </c>
      <c r="P1489" t="str">
        <f t="shared" si="140"/>
        <v>WH-PUN</v>
      </c>
      <c r="Q1489" t="str">
        <f>VLOOKUP(C1489, Lookups!$A$2:$D$10, 2, FALSE())</f>
        <v>FastElectronics</v>
      </c>
      <c r="R1489" t="str">
        <f>_xlfn.XLOOKUP(D1489, Lookups!$A$12:$A$51, Lookups!$C$12:$C$51, "Unknown")</f>
        <v>Electronics</v>
      </c>
      <c r="S1489" t="str">
        <f>IF(ISBLANK(I1489), B1489+VLOOKUP(C1489, Lookups!$A$2:$D$10, 4, FALSE()), I1489)</f>
        <v>2026-02-19</v>
      </c>
      <c r="T1489">
        <f t="shared" si="141"/>
        <v>19</v>
      </c>
      <c r="U1489" t="str">
        <f t="shared" si="142"/>
        <v>Late</v>
      </c>
      <c r="V1489">
        <f t="shared" si="143"/>
        <v>0</v>
      </c>
    </row>
    <row r="1490" spans="1:22" x14ac:dyDescent="0.45">
      <c r="A1490" t="s">
        <v>2334</v>
      </c>
      <c r="B1490" t="s">
        <v>498</v>
      </c>
      <c r="C1490" t="s">
        <v>31</v>
      </c>
      <c r="D1490" t="s">
        <v>56</v>
      </c>
      <c r="E1490" t="s">
        <v>16</v>
      </c>
      <c r="F1490">
        <v>203</v>
      </c>
      <c r="G1490">
        <v>39270</v>
      </c>
      <c r="H1490">
        <v>7971810</v>
      </c>
      <c r="I1490" t="s">
        <v>960</v>
      </c>
      <c r="J1490" t="s">
        <v>844</v>
      </c>
      <c r="K1490">
        <v>203</v>
      </c>
      <c r="L1490">
        <v>4</v>
      </c>
      <c r="M1490" t="s">
        <v>115</v>
      </c>
      <c r="N1490" t="str">
        <f t="shared" si="138"/>
        <v>PO-101489</v>
      </c>
      <c r="O1490" t="str">
        <f t="shared" si="139"/>
        <v>Delivered</v>
      </c>
      <c r="P1490" t="str">
        <f t="shared" si="140"/>
        <v>WH-DEL</v>
      </c>
      <c r="Q1490" t="str">
        <f>VLOOKUP(C1490, Lookups!$A$2:$D$10, 2, FALSE())</f>
        <v>Global Networks</v>
      </c>
      <c r="R1490" t="str">
        <f>_xlfn.XLOOKUP(D1490, Lookups!$A$12:$A$51, Lookups!$C$12:$C$51, "Unknown")</f>
        <v>Networking</v>
      </c>
      <c r="S1490" t="str">
        <f>IF(ISBLANK(I1490), B1490+VLOOKUP(C1490, Lookups!$A$2:$D$10, 4, FALSE()), I1490)</f>
        <v>2025-04-23</v>
      </c>
      <c r="T1490">
        <f t="shared" si="141"/>
        <v>26</v>
      </c>
      <c r="U1490" t="str">
        <f t="shared" si="142"/>
        <v>Late</v>
      </c>
      <c r="V1490">
        <f t="shared" si="143"/>
        <v>1.9704433497536946E-2</v>
      </c>
    </row>
    <row r="1491" spans="1:22" x14ac:dyDescent="0.45">
      <c r="A1491" t="s">
        <v>2335</v>
      </c>
      <c r="B1491" t="s">
        <v>165</v>
      </c>
      <c r="C1491" t="s">
        <v>37</v>
      </c>
      <c r="D1491" t="s">
        <v>69</v>
      </c>
      <c r="E1491" t="s">
        <v>15</v>
      </c>
      <c r="F1491">
        <v>186</v>
      </c>
      <c r="G1491">
        <v>13231</v>
      </c>
      <c r="H1491">
        <v>2460966</v>
      </c>
      <c r="I1491" t="s">
        <v>1547</v>
      </c>
      <c r="J1491" t="s">
        <v>1547</v>
      </c>
      <c r="K1491">
        <v>186</v>
      </c>
      <c r="L1491">
        <v>0</v>
      </c>
      <c r="M1491" t="s">
        <v>115</v>
      </c>
      <c r="N1491" t="str">
        <f t="shared" si="138"/>
        <v>PO-101490</v>
      </c>
      <c r="O1491" t="str">
        <f t="shared" si="139"/>
        <v>Delivered</v>
      </c>
      <c r="P1491" t="str">
        <f t="shared" si="140"/>
        <v>WH-BOM</v>
      </c>
      <c r="Q1491" t="str">
        <f>VLOOKUP(C1491, Lookups!$A$2:$D$10, 2, FALSE())</f>
        <v>Premium Desks Ltd</v>
      </c>
      <c r="R1491" t="str">
        <f>_xlfn.XLOOKUP(D1491, Lookups!$A$12:$A$51, Lookups!$C$12:$C$51, "Unknown")</f>
        <v>Office Furniture</v>
      </c>
      <c r="S1491" t="str">
        <f>IF(ISBLANK(I1491), B1491+VLOOKUP(C1491, Lookups!$A$2:$D$10, 4, FALSE()), I1491)</f>
        <v>2026-03-03</v>
      </c>
      <c r="T1491">
        <f t="shared" si="141"/>
        <v>12</v>
      </c>
      <c r="U1491" t="str">
        <f t="shared" si="142"/>
        <v>On-Time</v>
      </c>
      <c r="V1491">
        <f t="shared" si="143"/>
        <v>0</v>
      </c>
    </row>
    <row r="1492" spans="1:22" x14ac:dyDescent="0.45">
      <c r="A1492" t="s">
        <v>2336</v>
      </c>
      <c r="B1492" t="s">
        <v>1285</v>
      </c>
      <c r="C1492" t="s">
        <v>34</v>
      </c>
      <c r="D1492" t="s">
        <v>54</v>
      </c>
      <c r="E1492" t="s">
        <v>15</v>
      </c>
      <c r="F1492">
        <v>187</v>
      </c>
      <c r="G1492">
        <v>22314</v>
      </c>
      <c r="H1492">
        <v>4172718</v>
      </c>
      <c r="I1492" t="s">
        <v>1496</v>
      </c>
      <c r="J1492" t="s">
        <v>1496</v>
      </c>
      <c r="K1492">
        <v>187</v>
      </c>
      <c r="L1492">
        <v>0</v>
      </c>
      <c r="M1492" t="s">
        <v>115</v>
      </c>
      <c r="N1492" t="str">
        <f t="shared" si="138"/>
        <v>PO-101491</v>
      </c>
      <c r="O1492" t="str">
        <f t="shared" si="139"/>
        <v>Delivered</v>
      </c>
      <c r="P1492" t="str">
        <f t="shared" si="140"/>
        <v>WH-BOM</v>
      </c>
      <c r="Q1492" t="str">
        <f>VLOOKUP(C1492, Lookups!$A$2:$D$10, 2, FALSE())</f>
        <v>FastElectronics</v>
      </c>
      <c r="R1492" t="str">
        <f>_xlfn.XLOOKUP(D1492, Lookups!$A$12:$A$51, Lookups!$C$12:$C$51, "Unknown")</f>
        <v>Networking</v>
      </c>
      <c r="S1492" t="str">
        <f>IF(ISBLANK(I1492), B1492+VLOOKUP(C1492, Lookups!$A$2:$D$10, 4, FALSE()), I1492)</f>
        <v>2026-03-11</v>
      </c>
      <c r="T1492">
        <f t="shared" si="141"/>
        <v>18</v>
      </c>
      <c r="U1492" t="str">
        <f t="shared" si="142"/>
        <v>On-Time</v>
      </c>
      <c r="V1492">
        <f t="shared" si="143"/>
        <v>0</v>
      </c>
    </row>
    <row r="1493" spans="1:22" x14ac:dyDescent="0.45">
      <c r="A1493" t="s">
        <v>2337</v>
      </c>
      <c r="B1493" t="s">
        <v>679</v>
      </c>
      <c r="C1493" t="s">
        <v>32</v>
      </c>
      <c r="D1493" t="s">
        <v>67</v>
      </c>
      <c r="E1493" t="s">
        <v>17</v>
      </c>
      <c r="F1493">
        <v>118</v>
      </c>
      <c r="G1493">
        <v>1553</v>
      </c>
      <c r="H1493">
        <v>183254</v>
      </c>
      <c r="I1493" t="s">
        <v>131</v>
      </c>
      <c r="J1493" t="s">
        <v>175</v>
      </c>
      <c r="K1493">
        <v>118</v>
      </c>
      <c r="L1493">
        <v>0</v>
      </c>
      <c r="M1493" t="s">
        <v>115</v>
      </c>
      <c r="N1493" t="str">
        <f t="shared" si="138"/>
        <v>PO-101492</v>
      </c>
      <c r="O1493" t="str">
        <f t="shared" si="139"/>
        <v>Delivered</v>
      </c>
      <c r="P1493" t="str">
        <f t="shared" si="140"/>
        <v>WH-BLR</v>
      </c>
      <c r="Q1493" t="str">
        <f>VLOOKUP(C1493, Lookups!$A$2:$D$10, 2, FALSE())</f>
        <v>OfficeDepot Pro</v>
      </c>
      <c r="R1493" t="str">
        <f>_xlfn.XLOOKUP(D1493, Lookups!$A$12:$A$51, Lookups!$C$12:$C$51, "Unknown")</f>
        <v>Peripherals</v>
      </c>
      <c r="S1493" t="str">
        <f>IF(ISBLANK(I1493), B1493+VLOOKUP(C1493, Lookups!$A$2:$D$10, 4, FALSE()), I1493)</f>
        <v>2026-07-27</v>
      </c>
      <c r="T1493">
        <f t="shared" si="141"/>
        <v>8</v>
      </c>
      <c r="U1493" t="str">
        <f t="shared" si="142"/>
        <v>Late</v>
      </c>
      <c r="V1493">
        <f t="shared" si="143"/>
        <v>0</v>
      </c>
    </row>
    <row r="1494" spans="1:22" x14ac:dyDescent="0.45">
      <c r="A1494" t="s">
        <v>2338</v>
      </c>
      <c r="B1494" t="s">
        <v>264</v>
      </c>
      <c r="C1494" t="s">
        <v>31</v>
      </c>
      <c r="D1494" t="s">
        <v>77</v>
      </c>
      <c r="E1494" t="s">
        <v>15</v>
      </c>
      <c r="F1494">
        <v>161</v>
      </c>
      <c r="G1494">
        <v>23667</v>
      </c>
      <c r="H1494">
        <v>3810387</v>
      </c>
      <c r="I1494" t="s">
        <v>1484</v>
      </c>
      <c r="J1494" t="s">
        <v>284</v>
      </c>
      <c r="K1494">
        <v>161</v>
      </c>
      <c r="L1494">
        <v>0</v>
      </c>
      <c r="M1494" t="s">
        <v>115</v>
      </c>
      <c r="N1494" t="str">
        <f t="shared" si="138"/>
        <v>PO-101493</v>
      </c>
      <c r="O1494" t="str">
        <f t="shared" si="139"/>
        <v>Delivered</v>
      </c>
      <c r="P1494" t="str">
        <f t="shared" si="140"/>
        <v>WH-BOM</v>
      </c>
      <c r="Q1494" t="str">
        <f>VLOOKUP(C1494, Lookups!$A$2:$D$10, 2, FALSE())</f>
        <v>Global Networks</v>
      </c>
      <c r="R1494" t="str">
        <f>_xlfn.XLOOKUP(D1494, Lookups!$A$12:$A$51, Lookups!$C$12:$C$51, "Unknown")</f>
        <v>Networking</v>
      </c>
      <c r="S1494" t="str">
        <f>IF(ISBLANK(I1494), B1494+VLOOKUP(C1494, Lookups!$A$2:$D$10, 4, FALSE()), I1494)</f>
        <v>2025-02-21</v>
      </c>
      <c r="T1494">
        <f t="shared" si="141"/>
        <v>22</v>
      </c>
      <c r="U1494" t="str">
        <f t="shared" si="142"/>
        <v>Late</v>
      </c>
      <c r="V1494">
        <f t="shared" si="143"/>
        <v>0</v>
      </c>
    </row>
    <row r="1495" spans="1:22" x14ac:dyDescent="0.45">
      <c r="A1495" t="s">
        <v>2339</v>
      </c>
      <c r="B1495" t="s">
        <v>613</v>
      </c>
      <c r="C1495" t="s">
        <v>37</v>
      </c>
      <c r="D1495" t="s">
        <v>78</v>
      </c>
      <c r="E1495" t="s">
        <v>16</v>
      </c>
      <c r="F1495">
        <v>187</v>
      </c>
      <c r="G1495">
        <v>9423</v>
      </c>
      <c r="H1495">
        <v>1762101</v>
      </c>
      <c r="I1495" t="s">
        <v>633</v>
      </c>
      <c r="J1495" t="s">
        <v>1225</v>
      </c>
      <c r="K1495">
        <v>187</v>
      </c>
      <c r="L1495">
        <v>0</v>
      </c>
      <c r="M1495" t="s">
        <v>115</v>
      </c>
      <c r="N1495" t="str">
        <f t="shared" si="138"/>
        <v>PO-101494</v>
      </c>
      <c r="O1495" t="str">
        <f t="shared" si="139"/>
        <v>Delivered</v>
      </c>
      <c r="P1495" t="str">
        <f t="shared" si="140"/>
        <v>WH-DEL</v>
      </c>
      <c r="Q1495" t="str">
        <f>VLOOKUP(C1495, Lookups!$A$2:$D$10, 2, FALSE())</f>
        <v>Premium Desks Ltd</v>
      </c>
      <c r="R1495" t="str">
        <f>_xlfn.XLOOKUP(D1495, Lookups!$A$12:$A$51, Lookups!$C$12:$C$51, "Unknown")</f>
        <v>Office Furniture</v>
      </c>
      <c r="S1495" t="str">
        <f>IF(ISBLANK(I1495), B1495+VLOOKUP(C1495, Lookups!$A$2:$D$10, 4, FALSE()), I1495)</f>
        <v>2025-02-17</v>
      </c>
      <c r="T1495">
        <f t="shared" si="141"/>
        <v>13</v>
      </c>
      <c r="U1495" t="str">
        <f t="shared" si="142"/>
        <v>Late</v>
      </c>
      <c r="V1495">
        <f t="shared" si="143"/>
        <v>0</v>
      </c>
    </row>
    <row r="1496" spans="1:22" x14ac:dyDescent="0.45">
      <c r="A1496" t="s">
        <v>2340</v>
      </c>
      <c r="B1496" t="s">
        <v>1065</v>
      </c>
      <c r="C1496" t="s">
        <v>31</v>
      </c>
      <c r="D1496" t="s">
        <v>66</v>
      </c>
      <c r="E1496" t="s">
        <v>17</v>
      </c>
      <c r="F1496">
        <v>156</v>
      </c>
      <c r="G1496">
        <v>29719</v>
      </c>
      <c r="H1496">
        <v>4636164</v>
      </c>
      <c r="I1496" t="s">
        <v>334</v>
      </c>
      <c r="J1496" t="s">
        <v>803</v>
      </c>
      <c r="K1496">
        <v>156</v>
      </c>
      <c r="L1496">
        <v>0</v>
      </c>
      <c r="M1496" t="s">
        <v>115</v>
      </c>
      <c r="N1496" t="str">
        <f t="shared" si="138"/>
        <v>PO-101495</v>
      </c>
      <c r="O1496" t="str">
        <f t="shared" si="139"/>
        <v>Delivered</v>
      </c>
      <c r="P1496" t="str">
        <f t="shared" si="140"/>
        <v>WH-BLR</v>
      </c>
      <c r="Q1496" t="str">
        <f>VLOOKUP(C1496, Lookups!$A$2:$D$10, 2, FALSE())</f>
        <v>Global Networks</v>
      </c>
      <c r="R1496" t="str">
        <f>_xlfn.XLOOKUP(D1496, Lookups!$A$12:$A$51, Lookups!$C$12:$C$51, "Unknown")</f>
        <v>Networking</v>
      </c>
      <c r="S1496" t="str">
        <f>IF(ISBLANK(I1496), B1496+VLOOKUP(C1496, Lookups!$A$2:$D$10, 4, FALSE()), I1496)</f>
        <v>2026-08-15</v>
      </c>
      <c r="T1496">
        <f t="shared" si="141"/>
        <v>22</v>
      </c>
      <c r="U1496" t="str">
        <f t="shared" si="142"/>
        <v>Late</v>
      </c>
      <c r="V1496">
        <f t="shared" si="143"/>
        <v>0</v>
      </c>
    </row>
    <row r="1497" spans="1:22" x14ac:dyDescent="0.45">
      <c r="A1497" t="s">
        <v>2341</v>
      </c>
      <c r="B1497" t="s">
        <v>146</v>
      </c>
      <c r="C1497" t="s">
        <v>35</v>
      </c>
      <c r="D1497" t="s">
        <v>57</v>
      </c>
      <c r="E1497" t="s">
        <v>17</v>
      </c>
      <c r="F1497">
        <v>46</v>
      </c>
      <c r="G1497">
        <v>2212</v>
      </c>
      <c r="H1497">
        <v>101752</v>
      </c>
      <c r="I1497" t="s">
        <v>969</v>
      </c>
      <c r="J1497" t="s">
        <v>969</v>
      </c>
      <c r="K1497">
        <v>46</v>
      </c>
      <c r="L1497">
        <v>0</v>
      </c>
      <c r="M1497" t="s">
        <v>115</v>
      </c>
      <c r="N1497" t="str">
        <f t="shared" si="138"/>
        <v>PO-101496</v>
      </c>
      <c r="O1497" t="str">
        <f t="shared" si="139"/>
        <v>Delivered</v>
      </c>
      <c r="P1497" t="str">
        <f t="shared" si="140"/>
        <v>WH-BLR</v>
      </c>
      <c r="Q1497" t="str">
        <f>VLOOKUP(C1497, Lookups!$A$2:$D$10, 2, FALSE())</f>
        <v>Peripheral Source</v>
      </c>
      <c r="R1497" t="str">
        <f>_xlfn.XLOOKUP(D1497, Lookups!$A$12:$A$51, Lookups!$C$12:$C$51, "Unknown")</f>
        <v>Peripherals</v>
      </c>
      <c r="S1497" t="str">
        <f>IF(ISBLANK(I1497), B1497+VLOOKUP(C1497, Lookups!$A$2:$D$10, 4, FALSE()), I1497)</f>
        <v>2025-10-18</v>
      </c>
      <c r="T1497">
        <f t="shared" si="141"/>
        <v>10</v>
      </c>
      <c r="U1497" t="str">
        <f t="shared" si="142"/>
        <v>On-Time</v>
      </c>
      <c r="V1497">
        <f t="shared" si="143"/>
        <v>0</v>
      </c>
    </row>
    <row r="1498" spans="1:22" x14ac:dyDescent="0.45">
      <c r="A1498" t="s">
        <v>2342</v>
      </c>
      <c r="B1498" t="s">
        <v>692</v>
      </c>
      <c r="C1498" t="s">
        <v>34</v>
      </c>
      <c r="D1498" t="s">
        <v>80</v>
      </c>
      <c r="E1498" t="s">
        <v>18</v>
      </c>
      <c r="F1498">
        <v>55</v>
      </c>
      <c r="G1498">
        <v>19090</v>
      </c>
      <c r="H1498">
        <v>1049950</v>
      </c>
      <c r="I1498" t="s">
        <v>954</v>
      </c>
      <c r="J1498" t="s">
        <v>954</v>
      </c>
      <c r="K1498">
        <v>55</v>
      </c>
      <c r="L1498">
        <v>0</v>
      </c>
      <c r="M1498" t="s">
        <v>115</v>
      </c>
      <c r="N1498" t="str">
        <f t="shared" si="138"/>
        <v>PO-101497</v>
      </c>
      <c r="O1498" t="str">
        <f t="shared" si="139"/>
        <v>Delivered</v>
      </c>
      <c r="P1498" t="str">
        <f t="shared" si="140"/>
        <v>WH-PUN</v>
      </c>
      <c r="Q1498" t="str">
        <f>VLOOKUP(C1498, Lookups!$A$2:$D$10, 2, FALSE())</f>
        <v>FastElectronics</v>
      </c>
      <c r="R1498" t="str">
        <f>_xlfn.XLOOKUP(D1498, Lookups!$A$12:$A$51, Lookups!$C$12:$C$51, "Unknown")</f>
        <v>Networking</v>
      </c>
      <c r="S1498" t="str">
        <f>IF(ISBLANK(I1498), B1498+VLOOKUP(C1498, Lookups!$A$2:$D$10, 4, FALSE()), I1498)</f>
        <v>2026-11-16</v>
      </c>
      <c r="T1498">
        <f t="shared" si="141"/>
        <v>18</v>
      </c>
      <c r="U1498" t="str">
        <f t="shared" si="142"/>
        <v>On-Time</v>
      </c>
      <c r="V1498">
        <f t="shared" si="143"/>
        <v>0</v>
      </c>
    </row>
    <row r="1499" spans="1:22" x14ac:dyDescent="0.45">
      <c r="A1499" t="s">
        <v>2343</v>
      </c>
      <c r="B1499" t="s">
        <v>200</v>
      </c>
      <c r="C1499" t="s">
        <v>34</v>
      </c>
      <c r="D1499" t="s">
        <v>81</v>
      </c>
      <c r="E1499" t="s">
        <v>18</v>
      </c>
      <c r="F1499">
        <v>202</v>
      </c>
      <c r="G1499">
        <v>55328</v>
      </c>
      <c r="H1499">
        <v>11176256</v>
      </c>
      <c r="I1499" t="s">
        <v>890</v>
      </c>
      <c r="J1499" t="s">
        <v>890</v>
      </c>
      <c r="K1499">
        <v>202</v>
      </c>
      <c r="L1499">
        <v>0</v>
      </c>
      <c r="M1499" t="s">
        <v>115</v>
      </c>
      <c r="N1499" t="str">
        <f t="shared" si="138"/>
        <v>PO-101498</v>
      </c>
      <c r="O1499" t="str">
        <f t="shared" si="139"/>
        <v>Delivered</v>
      </c>
      <c r="P1499" t="str">
        <f t="shared" si="140"/>
        <v>WH-PUN</v>
      </c>
      <c r="Q1499" t="str">
        <f>VLOOKUP(C1499, Lookups!$A$2:$D$10, 2, FALSE())</f>
        <v>FastElectronics</v>
      </c>
      <c r="R1499" t="str">
        <f>_xlfn.XLOOKUP(D1499, Lookups!$A$12:$A$51, Lookups!$C$12:$C$51, "Unknown")</f>
        <v>Electronics</v>
      </c>
      <c r="S1499" t="str">
        <f>IF(ISBLANK(I1499), B1499+VLOOKUP(C1499, Lookups!$A$2:$D$10, 4, FALSE()), I1499)</f>
        <v>2025-11-09</v>
      </c>
      <c r="T1499">
        <f t="shared" si="141"/>
        <v>18</v>
      </c>
      <c r="U1499" t="str">
        <f t="shared" si="142"/>
        <v>On-Time</v>
      </c>
      <c r="V1499">
        <f t="shared" si="143"/>
        <v>0</v>
      </c>
    </row>
    <row r="1500" spans="1:22" x14ac:dyDescent="0.45">
      <c r="A1500" t="s">
        <v>2344</v>
      </c>
      <c r="B1500" t="s">
        <v>468</v>
      </c>
      <c r="C1500" t="s">
        <v>34</v>
      </c>
      <c r="D1500" t="s">
        <v>54</v>
      </c>
      <c r="E1500" t="s">
        <v>245</v>
      </c>
      <c r="F1500">
        <v>110</v>
      </c>
      <c r="G1500">
        <v>22314</v>
      </c>
      <c r="H1500">
        <v>2454540</v>
      </c>
      <c r="I1500" t="s">
        <v>1327</v>
      </c>
      <c r="J1500" t="s">
        <v>1461</v>
      </c>
      <c r="K1500">
        <v>110</v>
      </c>
      <c r="L1500">
        <v>0</v>
      </c>
      <c r="M1500" t="s">
        <v>115</v>
      </c>
      <c r="N1500" t="str">
        <f t="shared" si="138"/>
        <v>PO-101499</v>
      </c>
      <c r="O1500" t="str">
        <f t="shared" si="139"/>
        <v>Delivered</v>
      </c>
      <c r="P1500" t="str">
        <f t="shared" si="140"/>
        <v>WH-BOM</v>
      </c>
      <c r="Q1500" t="str">
        <f>VLOOKUP(C1500, Lookups!$A$2:$D$10, 2, FALSE())</f>
        <v>FastElectronics</v>
      </c>
      <c r="R1500" t="str">
        <f>_xlfn.XLOOKUP(D1500, Lookups!$A$12:$A$51, Lookups!$C$12:$C$51, "Unknown")</f>
        <v>Networking</v>
      </c>
      <c r="S1500" t="str">
        <f>IF(ISBLANK(I1500), B1500+VLOOKUP(C1500, Lookups!$A$2:$D$10, 4, FALSE()), I1500)</f>
        <v>2025-08-06</v>
      </c>
      <c r="T1500">
        <f t="shared" si="141"/>
        <v>19</v>
      </c>
      <c r="U1500" t="str">
        <f t="shared" si="142"/>
        <v>Late</v>
      </c>
      <c r="V1500">
        <f t="shared" si="143"/>
        <v>0</v>
      </c>
    </row>
    <row r="1501" spans="1:22" x14ac:dyDescent="0.45">
      <c r="A1501" t="s">
        <v>2345</v>
      </c>
      <c r="B1501" t="s">
        <v>280</v>
      </c>
      <c r="C1501" t="s">
        <v>31</v>
      </c>
      <c r="D1501" t="s">
        <v>77</v>
      </c>
      <c r="E1501" t="s">
        <v>15</v>
      </c>
      <c r="F1501">
        <v>130</v>
      </c>
      <c r="G1501">
        <v>23667</v>
      </c>
      <c r="H1501">
        <v>3076710</v>
      </c>
      <c r="I1501" t="s">
        <v>692</v>
      </c>
      <c r="J1501" t="s">
        <v>736</v>
      </c>
      <c r="K1501">
        <v>130</v>
      </c>
      <c r="L1501">
        <v>0</v>
      </c>
      <c r="M1501" t="s">
        <v>115</v>
      </c>
      <c r="N1501" t="str">
        <f t="shared" si="138"/>
        <v>PO-101500</v>
      </c>
      <c r="O1501" t="str">
        <f t="shared" si="139"/>
        <v>Delivered</v>
      </c>
      <c r="P1501" t="str">
        <f t="shared" si="140"/>
        <v>WH-BOM</v>
      </c>
      <c r="Q1501" t="str">
        <f>VLOOKUP(C1501, Lookups!$A$2:$D$10, 2, FALSE())</f>
        <v>Global Networks</v>
      </c>
      <c r="R1501" t="str">
        <f>_xlfn.XLOOKUP(D1501, Lookups!$A$12:$A$51, Lookups!$C$12:$C$51, "Unknown")</f>
        <v>Networking</v>
      </c>
      <c r="S1501" t="str">
        <f>IF(ISBLANK(I1501), B1501+VLOOKUP(C1501, Lookups!$A$2:$D$10, 4, FALSE()), I1501)</f>
        <v>2026-10-29</v>
      </c>
      <c r="T1501">
        <f t="shared" si="141"/>
        <v>22</v>
      </c>
      <c r="U1501" t="str">
        <f t="shared" si="142"/>
        <v>Late</v>
      </c>
      <c r="V1501">
        <f t="shared" si="143"/>
        <v>0</v>
      </c>
    </row>
    <row r="1502" spans="1:22" x14ac:dyDescent="0.45">
      <c r="A1502" t="s">
        <v>2346</v>
      </c>
      <c r="B1502" t="s">
        <v>965</v>
      </c>
      <c r="C1502" t="s">
        <v>35</v>
      </c>
      <c r="D1502" t="s">
        <v>60</v>
      </c>
      <c r="E1502" t="s">
        <v>18</v>
      </c>
      <c r="F1502">
        <v>43</v>
      </c>
      <c r="G1502">
        <v>3291</v>
      </c>
      <c r="H1502">
        <v>141513</v>
      </c>
      <c r="I1502" t="s">
        <v>1038</v>
      </c>
      <c r="J1502" t="s">
        <v>1202</v>
      </c>
      <c r="K1502">
        <v>43</v>
      </c>
      <c r="L1502">
        <v>0</v>
      </c>
      <c r="M1502" t="s">
        <v>115</v>
      </c>
      <c r="N1502" t="str">
        <f t="shared" si="138"/>
        <v>PO-101501</v>
      </c>
      <c r="O1502" t="str">
        <f t="shared" si="139"/>
        <v>Delivered</v>
      </c>
      <c r="P1502" t="str">
        <f t="shared" si="140"/>
        <v>WH-PUN</v>
      </c>
      <c r="Q1502" t="str">
        <f>VLOOKUP(C1502, Lookups!$A$2:$D$10, 2, FALSE())</f>
        <v>Peripheral Source</v>
      </c>
      <c r="R1502" t="str">
        <f>_xlfn.XLOOKUP(D1502, Lookups!$A$12:$A$51, Lookups!$C$12:$C$51, "Unknown")</f>
        <v>Peripherals</v>
      </c>
      <c r="S1502" t="str">
        <f>IF(ISBLANK(I1502), B1502+VLOOKUP(C1502, Lookups!$A$2:$D$10, 4, FALSE()), I1502)</f>
        <v>2025-01-25</v>
      </c>
      <c r="T1502">
        <f t="shared" si="141"/>
        <v>11</v>
      </c>
      <c r="U1502" t="str">
        <f t="shared" si="142"/>
        <v>Late</v>
      </c>
      <c r="V1502">
        <f t="shared" si="143"/>
        <v>0</v>
      </c>
    </row>
    <row r="1503" spans="1:22" x14ac:dyDescent="0.45">
      <c r="A1503" t="s">
        <v>2347</v>
      </c>
      <c r="B1503" t="s">
        <v>343</v>
      </c>
      <c r="C1503" t="s">
        <v>34</v>
      </c>
      <c r="D1503" t="s">
        <v>76</v>
      </c>
      <c r="E1503" t="s">
        <v>16</v>
      </c>
      <c r="F1503">
        <v>206</v>
      </c>
      <c r="G1503">
        <v>26270</v>
      </c>
      <c r="H1503">
        <v>5411620</v>
      </c>
      <c r="I1503" t="s">
        <v>502</v>
      </c>
      <c r="J1503" t="s">
        <v>330</v>
      </c>
      <c r="K1503">
        <v>206</v>
      </c>
      <c r="L1503">
        <v>0</v>
      </c>
      <c r="M1503" t="s">
        <v>115</v>
      </c>
      <c r="N1503" t="str">
        <f t="shared" si="138"/>
        <v>PO-101502</v>
      </c>
      <c r="O1503" t="str">
        <f t="shared" si="139"/>
        <v>Delivered</v>
      </c>
      <c r="P1503" t="str">
        <f t="shared" si="140"/>
        <v>WH-DEL</v>
      </c>
      <c r="Q1503" t="str">
        <f>VLOOKUP(C1503, Lookups!$A$2:$D$10, 2, FALSE())</f>
        <v>FastElectronics</v>
      </c>
      <c r="R1503" t="str">
        <f>_xlfn.XLOOKUP(D1503, Lookups!$A$12:$A$51, Lookups!$C$12:$C$51, "Unknown")</f>
        <v>Networking</v>
      </c>
      <c r="S1503" t="str">
        <f>IF(ISBLANK(I1503), B1503+VLOOKUP(C1503, Lookups!$A$2:$D$10, 4, FALSE()), I1503)</f>
        <v>2026-02-22</v>
      </c>
      <c r="T1503">
        <f t="shared" si="141"/>
        <v>19</v>
      </c>
      <c r="U1503" t="str">
        <f t="shared" si="142"/>
        <v>Late</v>
      </c>
      <c r="V1503">
        <f t="shared" si="143"/>
        <v>0</v>
      </c>
    </row>
    <row r="1504" spans="1:22" x14ac:dyDescent="0.45">
      <c r="A1504" t="s">
        <v>2348</v>
      </c>
      <c r="B1504" t="s">
        <v>651</v>
      </c>
      <c r="C1504" t="s">
        <v>36</v>
      </c>
      <c r="D1504" t="s">
        <v>90</v>
      </c>
      <c r="E1504" t="s">
        <v>16</v>
      </c>
      <c r="F1504">
        <v>79</v>
      </c>
      <c r="G1504">
        <v>81434</v>
      </c>
      <c r="H1504">
        <v>6433286</v>
      </c>
      <c r="I1504" t="s">
        <v>947</v>
      </c>
      <c r="J1504" t="s">
        <v>206</v>
      </c>
      <c r="K1504">
        <v>79</v>
      </c>
      <c r="L1504">
        <v>0</v>
      </c>
      <c r="M1504" t="s">
        <v>115</v>
      </c>
      <c r="N1504" t="str">
        <f t="shared" si="138"/>
        <v>PO-101503</v>
      </c>
      <c r="O1504" t="str">
        <f t="shared" si="139"/>
        <v>Delivered</v>
      </c>
      <c r="P1504" t="str">
        <f t="shared" si="140"/>
        <v>WH-DEL</v>
      </c>
      <c r="Q1504" t="str">
        <f>VLOOKUP(C1504, Lookups!$A$2:$D$10, 2, FALSE())</f>
        <v>NextGen Hardware</v>
      </c>
      <c r="R1504" t="str">
        <f>_xlfn.XLOOKUP(D1504, Lookups!$A$12:$A$51, Lookups!$C$12:$C$51, "Unknown")</f>
        <v>Electronics</v>
      </c>
      <c r="S1504" t="str">
        <f>IF(ISBLANK(I1504), B1504+VLOOKUP(C1504, Lookups!$A$2:$D$10, 4, FALSE()), I1504)</f>
        <v>2025-12-06</v>
      </c>
      <c r="T1504">
        <f t="shared" si="141"/>
        <v>25</v>
      </c>
      <c r="U1504" t="str">
        <f t="shared" si="142"/>
        <v>Late</v>
      </c>
      <c r="V1504">
        <f t="shared" si="143"/>
        <v>0</v>
      </c>
    </row>
    <row r="1505" spans="1:22" x14ac:dyDescent="0.45">
      <c r="A1505" t="s">
        <v>2349</v>
      </c>
      <c r="B1505" t="s">
        <v>180</v>
      </c>
      <c r="C1505" t="s">
        <v>37</v>
      </c>
      <c r="D1505" t="s">
        <v>78</v>
      </c>
      <c r="E1505" t="s">
        <v>18</v>
      </c>
      <c r="F1505">
        <v>176</v>
      </c>
      <c r="G1505">
        <v>9423</v>
      </c>
      <c r="H1505">
        <v>1658448</v>
      </c>
      <c r="I1505" t="s">
        <v>1370</v>
      </c>
      <c r="J1505" t="s">
        <v>692</v>
      </c>
      <c r="K1505">
        <v>176</v>
      </c>
      <c r="L1505">
        <v>0</v>
      </c>
      <c r="M1505" t="s">
        <v>115</v>
      </c>
      <c r="N1505" t="str">
        <f t="shared" si="138"/>
        <v>PO-101504</v>
      </c>
      <c r="O1505" t="str">
        <f t="shared" si="139"/>
        <v>Delivered</v>
      </c>
      <c r="P1505" t="str">
        <f t="shared" si="140"/>
        <v>WH-PUN</v>
      </c>
      <c r="Q1505" t="str">
        <f>VLOOKUP(C1505, Lookups!$A$2:$D$10, 2, FALSE())</f>
        <v>Premium Desks Ltd</v>
      </c>
      <c r="R1505" t="str">
        <f>_xlfn.XLOOKUP(D1505, Lookups!$A$12:$A$51, Lookups!$C$12:$C$51, "Unknown")</f>
        <v>Office Furniture</v>
      </c>
      <c r="S1505" t="str">
        <f>IF(ISBLANK(I1505), B1505+VLOOKUP(C1505, Lookups!$A$2:$D$10, 4, FALSE()), I1505)</f>
        <v>2026-10-21</v>
      </c>
      <c r="T1505">
        <f t="shared" si="141"/>
        <v>20</v>
      </c>
      <c r="U1505" t="str">
        <f t="shared" si="142"/>
        <v>Late</v>
      </c>
      <c r="V1505">
        <f t="shared" si="143"/>
        <v>0</v>
      </c>
    </row>
    <row r="1506" spans="1:22" x14ac:dyDescent="0.45">
      <c r="A1506" t="s">
        <v>2350</v>
      </c>
      <c r="B1506" t="s">
        <v>724</v>
      </c>
      <c r="C1506" t="s">
        <v>37</v>
      </c>
      <c r="D1506" t="s">
        <v>83</v>
      </c>
      <c r="E1506" t="s">
        <v>17</v>
      </c>
      <c r="F1506">
        <v>21</v>
      </c>
      <c r="G1506">
        <v>19850</v>
      </c>
      <c r="H1506">
        <v>416850</v>
      </c>
      <c r="I1506" t="s">
        <v>376</v>
      </c>
      <c r="J1506" t="s">
        <v>125</v>
      </c>
      <c r="K1506">
        <v>21</v>
      </c>
      <c r="L1506">
        <v>0</v>
      </c>
      <c r="M1506" t="s">
        <v>115</v>
      </c>
      <c r="N1506" t="str">
        <f t="shared" si="138"/>
        <v>PO-101505</v>
      </c>
      <c r="O1506" t="str">
        <f t="shared" si="139"/>
        <v>Delivered</v>
      </c>
      <c r="P1506" t="str">
        <f t="shared" si="140"/>
        <v>WH-BLR</v>
      </c>
      <c r="Q1506" t="str">
        <f>VLOOKUP(C1506, Lookups!$A$2:$D$10, 2, FALSE())</f>
        <v>Premium Desks Ltd</v>
      </c>
      <c r="R1506" t="str">
        <f>_xlfn.XLOOKUP(D1506, Lookups!$A$12:$A$51, Lookups!$C$12:$C$51, "Unknown")</f>
        <v>Office Furniture</v>
      </c>
      <c r="S1506" t="str">
        <f>IF(ISBLANK(I1506), B1506+VLOOKUP(C1506, Lookups!$A$2:$D$10, 4, FALSE()), I1506)</f>
        <v>2026-06-06</v>
      </c>
      <c r="T1506">
        <f t="shared" si="141"/>
        <v>19</v>
      </c>
      <c r="U1506" t="str">
        <f t="shared" si="142"/>
        <v>Late</v>
      </c>
      <c r="V1506">
        <f t="shared" si="143"/>
        <v>0</v>
      </c>
    </row>
    <row r="1507" spans="1:22" x14ac:dyDescent="0.45">
      <c r="A1507" t="s">
        <v>2351</v>
      </c>
      <c r="B1507" t="s">
        <v>1451</v>
      </c>
      <c r="C1507" t="s">
        <v>35</v>
      </c>
      <c r="D1507" t="s">
        <v>65</v>
      </c>
      <c r="E1507" t="s">
        <v>15</v>
      </c>
      <c r="F1507">
        <v>193</v>
      </c>
      <c r="G1507">
        <v>4936</v>
      </c>
      <c r="H1507">
        <v>952648</v>
      </c>
      <c r="I1507" t="s">
        <v>325</v>
      </c>
      <c r="J1507" t="s">
        <v>1593</v>
      </c>
      <c r="K1507">
        <v>193</v>
      </c>
      <c r="L1507">
        <v>0</v>
      </c>
      <c r="M1507" t="s">
        <v>115</v>
      </c>
      <c r="N1507" t="str">
        <f t="shared" si="138"/>
        <v>PO-101506</v>
      </c>
      <c r="O1507" t="str">
        <f t="shared" si="139"/>
        <v>Delivered</v>
      </c>
      <c r="P1507" t="str">
        <f t="shared" si="140"/>
        <v>WH-BOM</v>
      </c>
      <c r="Q1507" t="str">
        <f>VLOOKUP(C1507, Lookups!$A$2:$D$10, 2, FALSE())</f>
        <v>Peripheral Source</v>
      </c>
      <c r="R1507" t="str">
        <f>_xlfn.XLOOKUP(D1507, Lookups!$A$12:$A$51, Lookups!$C$12:$C$51, "Unknown")</f>
        <v>Peripherals</v>
      </c>
      <c r="S1507" t="str">
        <f>IF(ISBLANK(I1507), B1507+VLOOKUP(C1507, Lookups!$A$2:$D$10, 4, FALSE()), I1507)</f>
        <v>2025-05-26</v>
      </c>
      <c r="T1507">
        <f t="shared" si="141"/>
        <v>11</v>
      </c>
      <c r="U1507" t="str">
        <f t="shared" si="142"/>
        <v>Late</v>
      </c>
      <c r="V1507">
        <f t="shared" si="143"/>
        <v>0</v>
      </c>
    </row>
    <row r="1508" spans="1:22" x14ac:dyDescent="0.45">
      <c r="A1508" t="s">
        <v>2352</v>
      </c>
      <c r="B1508" t="s">
        <v>426</v>
      </c>
      <c r="C1508" t="s">
        <v>34</v>
      </c>
      <c r="D1508" t="s">
        <v>73</v>
      </c>
      <c r="E1508" t="s">
        <v>16</v>
      </c>
      <c r="F1508">
        <v>97</v>
      </c>
      <c r="G1508">
        <v>58396</v>
      </c>
      <c r="H1508">
        <v>5664412</v>
      </c>
      <c r="I1508" t="s">
        <v>1069</v>
      </c>
      <c r="J1508" t="s">
        <v>1070</v>
      </c>
      <c r="K1508">
        <v>97</v>
      </c>
      <c r="L1508">
        <v>6</v>
      </c>
      <c r="M1508" t="s">
        <v>115</v>
      </c>
      <c r="N1508" t="str">
        <f t="shared" si="138"/>
        <v>PO-101507</v>
      </c>
      <c r="O1508" t="str">
        <f t="shared" si="139"/>
        <v>Delivered</v>
      </c>
      <c r="P1508" t="str">
        <f t="shared" si="140"/>
        <v>WH-DEL</v>
      </c>
      <c r="Q1508" t="str">
        <f>VLOOKUP(C1508, Lookups!$A$2:$D$10, 2, FALSE())</f>
        <v>FastElectronics</v>
      </c>
      <c r="R1508" t="str">
        <f>_xlfn.XLOOKUP(D1508, Lookups!$A$12:$A$51, Lookups!$C$12:$C$51, "Unknown")</f>
        <v>Electronics</v>
      </c>
      <c r="S1508" t="str">
        <f>IF(ISBLANK(I1508), B1508+VLOOKUP(C1508, Lookups!$A$2:$D$10, 4, FALSE()), I1508)</f>
        <v>2025-08-14</v>
      </c>
      <c r="T1508">
        <f t="shared" si="141"/>
        <v>19</v>
      </c>
      <c r="U1508" t="str">
        <f t="shared" si="142"/>
        <v>Late</v>
      </c>
      <c r="V1508">
        <f t="shared" si="143"/>
        <v>6.1855670103092786E-2</v>
      </c>
    </row>
    <row r="1509" spans="1:22" x14ac:dyDescent="0.45">
      <c r="A1509" t="s">
        <v>2353</v>
      </c>
      <c r="B1509" t="s">
        <v>907</v>
      </c>
      <c r="C1509" t="s">
        <v>35</v>
      </c>
      <c r="D1509" t="s">
        <v>91</v>
      </c>
      <c r="E1509" t="s">
        <v>17</v>
      </c>
      <c r="F1509">
        <v>163</v>
      </c>
      <c r="G1509">
        <v>6707</v>
      </c>
      <c r="H1509">
        <v>1093241</v>
      </c>
      <c r="I1509" t="s">
        <v>194</v>
      </c>
      <c r="J1509" t="s">
        <v>194</v>
      </c>
      <c r="K1509">
        <v>163</v>
      </c>
      <c r="L1509">
        <v>0</v>
      </c>
      <c r="M1509" t="s">
        <v>115</v>
      </c>
      <c r="N1509" t="str">
        <f t="shared" si="138"/>
        <v>PO-101508</v>
      </c>
      <c r="O1509" t="str">
        <f t="shared" si="139"/>
        <v>Delivered</v>
      </c>
      <c r="P1509" t="str">
        <f t="shared" si="140"/>
        <v>WH-BLR</v>
      </c>
      <c r="Q1509" t="str">
        <f>VLOOKUP(C1509, Lookups!$A$2:$D$10, 2, FALSE())</f>
        <v>Peripheral Source</v>
      </c>
      <c r="R1509" t="str">
        <f>_xlfn.XLOOKUP(D1509, Lookups!$A$12:$A$51, Lookups!$C$12:$C$51, "Unknown")</f>
        <v>Peripherals</v>
      </c>
      <c r="S1509" t="str">
        <f>IF(ISBLANK(I1509), B1509+VLOOKUP(C1509, Lookups!$A$2:$D$10, 4, FALSE()), I1509)</f>
        <v>2026-06-30</v>
      </c>
      <c r="T1509">
        <f t="shared" si="141"/>
        <v>10</v>
      </c>
      <c r="U1509" t="str">
        <f t="shared" si="142"/>
        <v>On-Time</v>
      </c>
      <c r="V1509">
        <f t="shared" si="143"/>
        <v>0</v>
      </c>
    </row>
    <row r="1510" spans="1:22" x14ac:dyDescent="0.45">
      <c r="A1510" t="s">
        <v>2354</v>
      </c>
      <c r="B1510" t="s">
        <v>299</v>
      </c>
      <c r="C1510" t="s">
        <v>34</v>
      </c>
      <c r="D1510" t="s">
        <v>73</v>
      </c>
      <c r="E1510" t="s">
        <v>16</v>
      </c>
      <c r="F1510">
        <v>12</v>
      </c>
      <c r="G1510">
        <v>58396</v>
      </c>
      <c r="H1510">
        <v>700752</v>
      </c>
      <c r="I1510" t="s">
        <v>813</v>
      </c>
      <c r="J1510" t="s">
        <v>813</v>
      </c>
      <c r="K1510">
        <v>12</v>
      </c>
      <c r="L1510">
        <v>0</v>
      </c>
      <c r="M1510" t="s">
        <v>115</v>
      </c>
      <c r="N1510" t="str">
        <f t="shared" si="138"/>
        <v>PO-101509</v>
      </c>
      <c r="O1510" t="str">
        <f t="shared" si="139"/>
        <v>Delivered</v>
      </c>
      <c r="P1510" t="str">
        <f t="shared" si="140"/>
        <v>WH-DEL</v>
      </c>
      <c r="Q1510" t="str">
        <f>VLOOKUP(C1510, Lookups!$A$2:$D$10, 2, FALSE())</f>
        <v>FastElectronics</v>
      </c>
      <c r="R1510" t="str">
        <f>_xlfn.XLOOKUP(D1510, Lookups!$A$12:$A$51, Lookups!$C$12:$C$51, "Unknown")</f>
        <v>Electronics</v>
      </c>
      <c r="S1510" t="str">
        <f>IF(ISBLANK(I1510), B1510+VLOOKUP(C1510, Lookups!$A$2:$D$10, 4, FALSE()), I1510)</f>
        <v>2025-03-17</v>
      </c>
      <c r="T1510">
        <f t="shared" si="141"/>
        <v>18</v>
      </c>
      <c r="U1510" t="str">
        <f t="shared" si="142"/>
        <v>On-Time</v>
      </c>
      <c r="V1510">
        <f t="shared" si="143"/>
        <v>0</v>
      </c>
    </row>
    <row r="1511" spans="1:22" x14ac:dyDescent="0.45">
      <c r="A1511" t="s">
        <v>2355</v>
      </c>
      <c r="B1511" t="s">
        <v>1530</v>
      </c>
      <c r="C1511" t="s">
        <v>30</v>
      </c>
      <c r="D1511" t="s">
        <v>59</v>
      </c>
      <c r="E1511" t="s">
        <v>17</v>
      </c>
      <c r="F1511">
        <v>105</v>
      </c>
      <c r="G1511">
        <v>48905</v>
      </c>
      <c r="H1511">
        <v>5135025</v>
      </c>
      <c r="I1511" t="s">
        <v>271</v>
      </c>
      <c r="J1511" t="s">
        <v>271</v>
      </c>
      <c r="K1511">
        <v>105</v>
      </c>
      <c r="L1511">
        <v>0</v>
      </c>
      <c r="M1511" t="s">
        <v>115</v>
      </c>
      <c r="N1511" t="str">
        <f t="shared" si="138"/>
        <v>PO-101510</v>
      </c>
      <c r="O1511" t="str">
        <f t="shared" si="139"/>
        <v>Delivered</v>
      </c>
      <c r="P1511" t="str">
        <f t="shared" si="140"/>
        <v>WH-BLR</v>
      </c>
      <c r="Q1511" t="str">
        <f>VLOOKUP(C1511, Lookups!$A$2:$D$10, 2, FALSE())</f>
        <v>TechSupply Corp</v>
      </c>
      <c r="R1511" t="str">
        <f>_xlfn.XLOOKUP(D1511, Lookups!$A$12:$A$51, Lookups!$C$12:$C$51, "Unknown")</f>
        <v>Electronics</v>
      </c>
      <c r="S1511" t="str">
        <f>IF(ISBLANK(I1511), B1511+VLOOKUP(C1511, Lookups!$A$2:$D$10, 4, FALSE()), I1511)</f>
        <v>2025-07-26</v>
      </c>
      <c r="T1511">
        <f t="shared" si="141"/>
        <v>14</v>
      </c>
      <c r="U1511" t="str">
        <f t="shared" si="142"/>
        <v>On-Time</v>
      </c>
      <c r="V1511">
        <f t="shared" si="143"/>
        <v>0</v>
      </c>
    </row>
    <row r="1512" spans="1:22" x14ac:dyDescent="0.45">
      <c r="A1512" t="s">
        <v>2356</v>
      </c>
      <c r="B1512" t="s">
        <v>659</v>
      </c>
      <c r="C1512" t="s">
        <v>31</v>
      </c>
      <c r="D1512" t="s">
        <v>66</v>
      </c>
      <c r="E1512" t="s">
        <v>17</v>
      </c>
      <c r="F1512">
        <v>179</v>
      </c>
      <c r="G1512">
        <v>29719</v>
      </c>
      <c r="H1512">
        <v>5319701</v>
      </c>
      <c r="I1512" t="s">
        <v>157</v>
      </c>
      <c r="J1512" t="s">
        <v>281</v>
      </c>
      <c r="K1512">
        <v>179</v>
      </c>
      <c r="L1512">
        <v>0</v>
      </c>
      <c r="M1512" t="s">
        <v>115</v>
      </c>
      <c r="N1512" t="str">
        <f t="shared" si="138"/>
        <v>PO-101511</v>
      </c>
      <c r="O1512" t="str">
        <f t="shared" si="139"/>
        <v>Delivered</v>
      </c>
      <c r="P1512" t="str">
        <f t="shared" si="140"/>
        <v>WH-BLR</v>
      </c>
      <c r="Q1512" t="str">
        <f>VLOOKUP(C1512, Lookups!$A$2:$D$10, 2, FALSE())</f>
        <v>Global Networks</v>
      </c>
      <c r="R1512" t="str">
        <f>_xlfn.XLOOKUP(D1512, Lookups!$A$12:$A$51, Lookups!$C$12:$C$51, "Unknown")</f>
        <v>Networking</v>
      </c>
      <c r="S1512" t="str">
        <f>IF(ISBLANK(I1512), B1512+VLOOKUP(C1512, Lookups!$A$2:$D$10, 4, FALSE()), I1512)</f>
        <v>2026-10-22</v>
      </c>
      <c r="T1512">
        <f t="shared" si="141"/>
        <v>25</v>
      </c>
      <c r="U1512" t="str">
        <f t="shared" si="142"/>
        <v>Late</v>
      </c>
      <c r="V1512">
        <f t="shared" si="143"/>
        <v>0</v>
      </c>
    </row>
    <row r="1513" spans="1:22" x14ac:dyDescent="0.45">
      <c r="A1513" t="s">
        <v>2357</v>
      </c>
      <c r="B1513" t="s">
        <v>481</v>
      </c>
      <c r="C1513" t="s">
        <v>30</v>
      </c>
      <c r="D1513" t="s">
        <v>52</v>
      </c>
      <c r="E1513" t="s">
        <v>15</v>
      </c>
      <c r="F1513">
        <v>236</v>
      </c>
      <c r="G1513">
        <v>59592</v>
      </c>
      <c r="H1513">
        <v>14063712</v>
      </c>
      <c r="I1513" t="s">
        <v>831</v>
      </c>
      <c r="J1513" t="s">
        <v>409</v>
      </c>
      <c r="K1513">
        <v>236</v>
      </c>
      <c r="L1513">
        <v>0</v>
      </c>
      <c r="M1513" t="s">
        <v>115</v>
      </c>
      <c r="N1513" t="str">
        <f t="shared" si="138"/>
        <v>PO-101512</v>
      </c>
      <c r="O1513" t="str">
        <f t="shared" si="139"/>
        <v>Delivered</v>
      </c>
      <c r="P1513" t="str">
        <f t="shared" si="140"/>
        <v>WH-BOM</v>
      </c>
      <c r="Q1513" t="str">
        <f>VLOOKUP(C1513, Lookups!$A$2:$D$10, 2, FALSE())</f>
        <v>TechSupply Corp</v>
      </c>
      <c r="R1513" t="str">
        <f>_xlfn.XLOOKUP(D1513, Lookups!$A$12:$A$51, Lookups!$C$12:$C$51, "Unknown")</f>
        <v>Electronics</v>
      </c>
      <c r="S1513" t="str">
        <f>IF(ISBLANK(I1513), B1513+VLOOKUP(C1513, Lookups!$A$2:$D$10, 4, FALSE()), I1513)</f>
        <v>2025-05-21</v>
      </c>
      <c r="T1513">
        <f t="shared" si="141"/>
        <v>25</v>
      </c>
      <c r="U1513" t="str">
        <f t="shared" si="142"/>
        <v>Late</v>
      </c>
      <c r="V1513">
        <f t="shared" si="143"/>
        <v>0</v>
      </c>
    </row>
    <row r="1514" spans="1:22" x14ac:dyDescent="0.45">
      <c r="A1514" t="s">
        <v>2358</v>
      </c>
      <c r="B1514" t="s">
        <v>435</v>
      </c>
      <c r="C1514" t="s">
        <v>34</v>
      </c>
      <c r="D1514" t="s">
        <v>58</v>
      </c>
      <c r="E1514" t="s">
        <v>326</v>
      </c>
      <c r="F1514">
        <v>242</v>
      </c>
      <c r="G1514">
        <v>100302</v>
      </c>
      <c r="H1514">
        <v>24273084</v>
      </c>
      <c r="I1514" t="s">
        <v>1604</v>
      </c>
      <c r="J1514" t="s">
        <v>1604</v>
      </c>
      <c r="K1514">
        <v>242</v>
      </c>
      <c r="L1514">
        <v>35</v>
      </c>
      <c r="M1514" t="s">
        <v>115</v>
      </c>
      <c r="N1514" t="str">
        <f t="shared" si="138"/>
        <v>PO-101513</v>
      </c>
      <c r="O1514" t="str">
        <f t="shared" si="139"/>
        <v>Delivered</v>
      </c>
      <c r="P1514" t="str">
        <f t="shared" si="140"/>
        <v>WH-BLR</v>
      </c>
      <c r="Q1514" t="str">
        <f>VLOOKUP(C1514, Lookups!$A$2:$D$10, 2, FALSE())</f>
        <v>FastElectronics</v>
      </c>
      <c r="R1514" t="str">
        <f>_xlfn.XLOOKUP(D1514, Lookups!$A$12:$A$51, Lookups!$C$12:$C$51, "Unknown")</f>
        <v>Electronics</v>
      </c>
      <c r="S1514" t="str">
        <f>IF(ISBLANK(I1514), B1514+VLOOKUP(C1514, Lookups!$A$2:$D$10, 4, FALSE()), I1514)</f>
        <v>2025-09-07</v>
      </c>
      <c r="T1514">
        <f t="shared" si="141"/>
        <v>18</v>
      </c>
      <c r="U1514" t="str">
        <f t="shared" si="142"/>
        <v>On-Time</v>
      </c>
      <c r="V1514">
        <f t="shared" si="143"/>
        <v>0.14462809917355371</v>
      </c>
    </row>
    <row r="1515" spans="1:22" x14ac:dyDescent="0.45">
      <c r="A1515" t="s">
        <v>2359</v>
      </c>
      <c r="B1515" t="s">
        <v>1780</v>
      </c>
      <c r="C1515" t="s">
        <v>32</v>
      </c>
      <c r="D1515" t="s">
        <v>84</v>
      </c>
      <c r="E1515" t="s">
        <v>16</v>
      </c>
      <c r="F1515">
        <v>77</v>
      </c>
      <c r="G1515">
        <v>7271</v>
      </c>
      <c r="H1515">
        <v>559867</v>
      </c>
      <c r="I1515" t="s">
        <v>529</v>
      </c>
      <c r="J1515" t="s">
        <v>529</v>
      </c>
      <c r="K1515">
        <v>77</v>
      </c>
      <c r="L1515">
        <v>0</v>
      </c>
      <c r="M1515" t="s">
        <v>115</v>
      </c>
      <c r="N1515" t="str">
        <f t="shared" si="138"/>
        <v>PO-101514</v>
      </c>
      <c r="O1515" t="str">
        <f t="shared" si="139"/>
        <v>Delivered</v>
      </c>
      <c r="P1515" t="str">
        <f t="shared" si="140"/>
        <v>WH-DEL</v>
      </c>
      <c r="Q1515" t="str">
        <f>VLOOKUP(C1515, Lookups!$A$2:$D$10, 2, FALSE())</f>
        <v>OfficeDepot Pro</v>
      </c>
      <c r="R1515" t="str">
        <f>_xlfn.XLOOKUP(D1515, Lookups!$A$12:$A$51, Lookups!$C$12:$C$51, "Unknown")</f>
        <v>Peripherals</v>
      </c>
      <c r="S1515" t="str">
        <f>IF(ISBLANK(I1515), B1515+VLOOKUP(C1515, Lookups!$A$2:$D$10, 4, FALSE()), I1515)</f>
        <v>2026-05-20</v>
      </c>
      <c r="T1515">
        <f t="shared" si="141"/>
        <v>7</v>
      </c>
      <c r="U1515" t="str">
        <f t="shared" si="142"/>
        <v>On-Time</v>
      </c>
      <c r="V1515">
        <f t="shared" si="143"/>
        <v>0</v>
      </c>
    </row>
    <row r="1516" spans="1:22" x14ac:dyDescent="0.45">
      <c r="A1516" t="s">
        <v>2360</v>
      </c>
      <c r="B1516" t="s">
        <v>411</v>
      </c>
      <c r="C1516" t="s">
        <v>33</v>
      </c>
      <c r="D1516" t="s">
        <v>89</v>
      </c>
      <c r="E1516" t="s">
        <v>16</v>
      </c>
      <c r="F1516">
        <v>186</v>
      </c>
      <c r="G1516">
        <v>11309</v>
      </c>
      <c r="H1516">
        <v>2103474</v>
      </c>
      <c r="I1516" t="s">
        <v>703</v>
      </c>
      <c r="J1516" t="s">
        <v>703</v>
      </c>
      <c r="K1516">
        <v>186</v>
      </c>
      <c r="L1516">
        <v>0</v>
      </c>
      <c r="M1516" t="s">
        <v>115</v>
      </c>
      <c r="N1516" t="str">
        <f t="shared" si="138"/>
        <v>PO-101515</v>
      </c>
      <c r="O1516" t="str">
        <f t="shared" si="139"/>
        <v>Delivered</v>
      </c>
      <c r="P1516" t="str">
        <f t="shared" si="140"/>
        <v>WH-DEL</v>
      </c>
      <c r="Q1516" t="str">
        <f>VLOOKUP(C1516, Lookups!$A$2:$D$10, 2, FALSE())</f>
        <v>MegaFurnish</v>
      </c>
      <c r="R1516" t="str">
        <f>_xlfn.XLOOKUP(D1516, Lookups!$A$12:$A$51, Lookups!$C$12:$C$51, "Unknown")</f>
        <v>Office Furniture</v>
      </c>
      <c r="S1516" t="str">
        <f>IF(ISBLANK(I1516), B1516+VLOOKUP(C1516, Lookups!$A$2:$D$10, 4, FALSE()), I1516)</f>
        <v>2026-06-08</v>
      </c>
      <c r="T1516">
        <f t="shared" si="141"/>
        <v>30</v>
      </c>
      <c r="U1516" t="str">
        <f t="shared" si="142"/>
        <v>On-Time</v>
      </c>
      <c r="V1516">
        <f t="shared" si="143"/>
        <v>0</v>
      </c>
    </row>
    <row r="1517" spans="1:22" x14ac:dyDescent="0.45">
      <c r="A1517" t="s">
        <v>2361</v>
      </c>
      <c r="B1517" t="s">
        <v>844</v>
      </c>
      <c r="C1517" t="s">
        <v>37</v>
      </c>
      <c r="D1517" t="s">
        <v>79</v>
      </c>
      <c r="E1517" t="s">
        <v>16</v>
      </c>
      <c r="F1517">
        <v>68</v>
      </c>
      <c r="G1517">
        <v>23054</v>
      </c>
      <c r="H1517">
        <v>1567672</v>
      </c>
      <c r="I1517" t="s">
        <v>1106</v>
      </c>
      <c r="J1517" t="s">
        <v>806</v>
      </c>
      <c r="K1517">
        <v>68</v>
      </c>
      <c r="L1517">
        <v>0</v>
      </c>
      <c r="M1517" t="s">
        <v>115</v>
      </c>
      <c r="N1517" t="str">
        <f t="shared" si="138"/>
        <v>PO-101516</v>
      </c>
      <c r="O1517" t="str">
        <f t="shared" si="139"/>
        <v>Delivered</v>
      </c>
      <c r="P1517" t="str">
        <f t="shared" si="140"/>
        <v>WH-DEL</v>
      </c>
      <c r="Q1517" t="str">
        <f>VLOOKUP(C1517, Lookups!$A$2:$D$10, 2, FALSE())</f>
        <v>Premium Desks Ltd</v>
      </c>
      <c r="R1517" t="str">
        <f>_xlfn.XLOOKUP(D1517, Lookups!$A$12:$A$51, Lookups!$C$12:$C$51, "Unknown")</f>
        <v>Office Furniture</v>
      </c>
      <c r="S1517" t="str">
        <f>IF(ISBLANK(I1517), B1517+VLOOKUP(C1517, Lookups!$A$2:$D$10, 4, FALSE()), I1517)</f>
        <v>2025-05-10</v>
      </c>
      <c r="T1517">
        <f t="shared" si="141"/>
        <v>21</v>
      </c>
      <c r="U1517" t="str">
        <f t="shared" si="142"/>
        <v>Late</v>
      </c>
      <c r="V1517">
        <f t="shared" si="143"/>
        <v>0</v>
      </c>
    </row>
    <row r="1518" spans="1:22" x14ac:dyDescent="0.45">
      <c r="A1518" t="s">
        <v>2362</v>
      </c>
      <c r="B1518" t="s">
        <v>780</v>
      </c>
      <c r="C1518" t="s">
        <v>31</v>
      </c>
      <c r="D1518" t="s">
        <v>85</v>
      </c>
      <c r="E1518" t="s">
        <v>15</v>
      </c>
      <c r="F1518">
        <v>138</v>
      </c>
      <c r="G1518">
        <v>16501</v>
      </c>
      <c r="H1518">
        <v>2277138</v>
      </c>
      <c r="I1518" t="s">
        <v>1983</v>
      </c>
      <c r="J1518" t="s">
        <v>1848</v>
      </c>
      <c r="K1518">
        <v>138</v>
      </c>
      <c r="L1518">
        <v>0</v>
      </c>
      <c r="M1518" t="s">
        <v>115</v>
      </c>
      <c r="N1518" t="str">
        <f t="shared" si="138"/>
        <v>PO-101517</v>
      </c>
      <c r="O1518" t="str">
        <f t="shared" si="139"/>
        <v>Delivered</v>
      </c>
      <c r="P1518" t="str">
        <f t="shared" si="140"/>
        <v>WH-BOM</v>
      </c>
      <c r="Q1518" t="str">
        <f>VLOOKUP(C1518, Lookups!$A$2:$D$10, 2, FALSE())</f>
        <v>Global Networks</v>
      </c>
      <c r="R1518" t="str">
        <f>_xlfn.XLOOKUP(D1518, Lookups!$A$12:$A$51, Lookups!$C$12:$C$51, "Unknown")</f>
        <v>Networking</v>
      </c>
      <c r="S1518" t="str">
        <f>IF(ISBLANK(I1518), B1518+VLOOKUP(C1518, Lookups!$A$2:$D$10, 4, FALSE()), I1518)</f>
        <v>2026-12-20</v>
      </c>
      <c r="T1518">
        <f t="shared" si="141"/>
        <v>23</v>
      </c>
      <c r="U1518" t="str">
        <f t="shared" si="142"/>
        <v>Late</v>
      </c>
      <c r="V1518">
        <f t="shared" si="143"/>
        <v>0</v>
      </c>
    </row>
    <row r="1519" spans="1:22" x14ac:dyDescent="0.45">
      <c r="A1519" t="s">
        <v>2363</v>
      </c>
      <c r="B1519" t="s">
        <v>238</v>
      </c>
      <c r="C1519" t="s">
        <v>36</v>
      </c>
      <c r="D1519" t="s">
        <v>71</v>
      </c>
      <c r="E1519" t="s">
        <v>16</v>
      </c>
      <c r="F1519">
        <v>114</v>
      </c>
      <c r="G1519">
        <v>65379</v>
      </c>
      <c r="H1519">
        <v>7453206</v>
      </c>
      <c r="I1519" t="s">
        <v>215</v>
      </c>
      <c r="J1519" t="s">
        <v>880</v>
      </c>
      <c r="K1519">
        <v>114</v>
      </c>
      <c r="L1519">
        <v>0</v>
      </c>
      <c r="M1519" t="s">
        <v>115</v>
      </c>
      <c r="N1519" t="str">
        <f t="shared" si="138"/>
        <v>PO-101518</v>
      </c>
      <c r="O1519" t="str">
        <f t="shared" si="139"/>
        <v>Delivered</v>
      </c>
      <c r="P1519" t="str">
        <f t="shared" si="140"/>
        <v>WH-DEL</v>
      </c>
      <c r="Q1519" t="str">
        <f>VLOOKUP(C1519, Lookups!$A$2:$D$10, 2, FALSE())</f>
        <v>NextGen Hardware</v>
      </c>
      <c r="R1519" t="str">
        <f>_xlfn.XLOOKUP(D1519, Lookups!$A$12:$A$51, Lookups!$C$12:$C$51, "Unknown")</f>
        <v>Electronics</v>
      </c>
      <c r="S1519" t="str">
        <f>IF(ISBLANK(I1519), B1519+VLOOKUP(C1519, Lookups!$A$2:$D$10, 4, FALSE()), I1519)</f>
        <v>2025-06-28</v>
      </c>
      <c r="T1519">
        <f t="shared" si="141"/>
        <v>25</v>
      </c>
      <c r="U1519" t="str">
        <f t="shared" si="142"/>
        <v>Late</v>
      </c>
      <c r="V1519">
        <f t="shared" si="143"/>
        <v>0</v>
      </c>
    </row>
    <row r="1520" spans="1:22" x14ac:dyDescent="0.45">
      <c r="A1520" t="s">
        <v>2364</v>
      </c>
      <c r="B1520" t="s">
        <v>361</v>
      </c>
      <c r="C1520" t="s">
        <v>35</v>
      </c>
      <c r="D1520" t="s">
        <v>65</v>
      </c>
      <c r="E1520" t="s">
        <v>17</v>
      </c>
      <c r="F1520">
        <v>102</v>
      </c>
      <c r="G1520">
        <v>4936</v>
      </c>
      <c r="H1520">
        <v>503472</v>
      </c>
      <c r="I1520" t="s">
        <v>362</v>
      </c>
      <c r="J1520" t="s">
        <v>363</v>
      </c>
      <c r="K1520">
        <v>102</v>
      </c>
      <c r="L1520">
        <v>0</v>
      </c>
      <c r="M1520" t="s">
        <v>115</v>
      </c>
      <c r="N1520" t="str">
        <f t="shared" si="138"/>
        <v>PO-101519</v>
      </c>
      <c r="O1520" t="str">
        <f t="shared" si="139"/>
        <v>Delivered</v>
      </c>
      <c r="P1520" t="str">
        <f t="shared" si="140"/>
        <v>WH-BLR</v>
      </c>
      <c r="Q1520" t="str">
        <f>VLOOKUP(C1520, Lookups!$A$2:$D$10, 2, FALSE())</f>
        <v>Peripheral Source</v>
      </c>
      <c r="R1520" t="str">
        <f>_xlfn.XLOOKUP(D1520, Lookups!$A$12:$A$51, Lookups!$C$12:$C$51, "Unknown")</f>
        <v>Peripherals</v>
      </c>
      <c r="S1520" t="str">
        <f>IF(ISBLANK(I1520), B1520+VLOOKUP(C1520, Lookups!$A$2:$D$10, 4, FALSE()), I1520)</f>
        <v>2026-04-01</v>
      </c>
      <c r="T1520">
        <f t="shared" si="141"/>
        <v>11</v>
      </c>
      <c r="U1520" t="str">
        <f t="shared" si="142"/>
        <v>Late</v>
      </c>
      <c r="V1520">
        <f t="shared" si="143"/>
        <v>0</v>
      </c>
    </row>
    <row r="1521" spans="1:22" x14ac:dyDescent="0.45">
      <c r="A1521" t="s">
        <v>2365</v>
      </c>
      <c r="B1521" t="s">
        <v>752</v>
      </c>
      <c r="C1521" t="s">
        <v>35</v>
      </c>
      <c r="D1521" t="s">
        <v>60</v>
      </c>
      <c r="E1521" t="s">
        <v>18</v>
      </c>
      <c r="F1521">
        <v>64</v>
      </c>
      <c r="G1521">
        <v>3291</v>
      </c>
      <c r="H1521">
        <v>210624</v>
      </c>
      <c r="I1521" t="s">
        <v>772</v>
      </c>
      <c r="J1521" t="s">
        <v>773</v>
      </c>
      <c r="K1521">
        <v>64</v>
      </c>
      <c r="L1521">
        <v>0</v>
      </c>
      <c r="M1521" t="s">
        <v>115</v>
      </c>
      <c r="N1521" t="str">
        <f t="shared" si="138"/>
        <v>PO-101520</v>
      </c>
      <c r="O1521" t="str">
        <f t="shared" si="139"/>
        <v>Delivered</v>
      </c>
      <c r="P1521" t="str">
        <f t="shared" si="140"/>
        <v>WH-PUN</v>
      </c>
      <c r="Q1521" t="str">
        <f>VLOOKUP(C1521, Lookups!$A$2:$D$10, 2, FALSE())</f>
        <v>Peripheral Source</v>
      </c>
      <c r="R1521" t="str">
        <f>_xlfn.XLOOKUP(D1521, Lookups!$A$12:$A$51, Lookups!$C$12:$C$51, "Unknown")</f>
        <v>Peripherals</v>
      </c>
      <c r="S1521" t="str">
        <f>IF(ISBLANK(I1521), B1521+VLOOKUP(C1521, Lookups!$A$2:$D$10, 4, FALSE()), I1521)</f>
        <v>2026-01-01</v>
      </c>
      <c r="T1521">
        <f t="shared" si="141"/>
        <v>11</v>
      </c>
      <c r="U1521" t="str">
        <f t="shared" si="142"/>
        <v>Late</v>
      </c>
      <c r="V1521">
        <f t="shared" si="143"/>
        <v>0</v>
      </c>
    </row>
    <row r="1522" spans="1:22" x14ac:dyDescent="0.45">
      <c r="A1522" t="s">
        <v>2366</v>
      </c>
      <c r="B1522" t="s">
        <v>993</v>
      </c>
      <c r="C1522" t="s">
        <v>31</v>
      </c>
      <c r="D1522" t="s">
        <v>64</v>
      </c>
      <c r="E1522" t="s">
        <v>18</v>
      </c>
      <c r="F1522">
        <v>220</v>
      </c>
      <c r="G1522">
        <v>36295</v>
      </c>
      <c r="H1522">
        <v>7984900</v>
      </c>
      <c r="I1522" t="s">
        <v>732</v>
      </c>
      <c r="J1522" t="s">
        <v>1288</v>
      </c>
      <c r="K1522">
        <v>220</v>
      </c>
      <c r="L1522">
        <v>0</v>
      </c>
      <c r="M1522" t="s">
        <v>115</v>
      </c>
      <c r="N1522" t="str">
        <f t="shared" si="138"/>
        <v>PO-101521</v>
      </c>
      <c r="O1522" t="str">
        <f t="shared" si="139"/>
        <v>Delivered</v>
      </c>
      <c r="P1522" t="str">
        <f t="shared" si="140"/>
        <v>WH-PUN</v>
      </c>
      <c r="Q1522" t="str">
        <f>VLOOKUP(C1522, Lookups!$A$2:$D$10, 2, FALSE())</f>
        <v>Global Networks</v>
      </c>
      <c r="R1522" t="str">
        <f>_xlfn.XLOOKUP(D1522, Lookups!$A$12:$A$51, Lookups!$C$12:$C$51, "Unknown")</f>
        <v>Networking</v>
      </c>
      <c r="S1522" t="str">
        <f>IF(ISBLANK(I1522), B1522+VLOOKUP(C1522, Lookups!$A$2:$D$10, 4, FALSE()), I1522)</f>
        <v>2025-06-18</v>
      </c>
      <c r="T1522">
        <f t="shared" si="141"/>
        <v>22</v>
      </c>
      <c r="U1522" t="str">
        <f t="shared" si="142"/>
        <v>Late</v>
      </c>
      <c r="V1522">
        <f t="shared" si="143"/>
        <v>0</v>
      </c>
    </row>
    <row r="1523" spans="1:22" x14ac:dyDescent="0.45">
      <c r="A1523" t="s">
        <v>2367</v>
      </c>
      <c r="B1523" t="s">
        <v>277</v>
      </c>
      <c r="C1523" t="s">
        <v>35</v>
      </c>
      <c r="D1523" t="s">
        <v>72</v>
      </c>
      <c r="E1523" t="s">
        <v>16</v>
      </c>
      <c r="F1523">
        <v>93</v>
      </c>
      <c r="G1523">
        <v>7754</v>
      </c>
      <c r="H1523">
        <v>721122</v>
      </c>
      <c r="I1523" t="s">
        <v>160</v>
      </c>
      <c r="J1523" t="s">
        <v>1281</v>
      </c>
      <c r="K1523">
        <v>93</v>
      </c>
      <c r="L1523">
        <v>0</v>
      </c>
      <c r="M1523" t="s">
        <v>115</v>
      </c>
      <c r="N1523" t="str">
        <f t="shared" si="138"/>
        <v>PO-101522</v>
      </c>
      <c r="O1523" t="str">
        <f t="shared" si="139"/>
        <v>Delivered</v>
      </c>
      <c r="P1523" t="str">
        <f t="shared" si="140"/>
        <v>WH-DEL</v>
      </c>
      <c r="Q1523" t="str">
        <f>VLOOKUP(C1523, Lookups!$A$2:$D$10, 2, FALSE())</f>
        <v>Peripheral Source</v>
      </c>
      <c r="R1523" t="str">
        <f>_xlfn.XLOOKUP(D1523, Lookups!$A$12:$A$51, Lookups!$C$12:$C$51, "Unknown")</f>
        <v>Peripherals</v>
      </c>
      <c r="S1523" t="str">
        <f>IF(ISBLANK(I1523), B1523+VLOOKUP(C1523, Lookups!$A$2:$D$10, 4, FALSE()), I1523)</f>
        <v>2025-05-22</v>
      </c>
      <c r="T1523">
        <f t="shared" si="141"/>
        <v>19</v>
      </c>
      <c r="U1523" t="str">
        <f t="shared" si="142"/>
        <v>Late</v>
      </c>
      <c r="V1523">
        <f t="shared" si="143"/>
        <v>0</v>
      </c>
    </row>
    <row r="1524" spans="1:22" x14ac:dyDescent="0.45">
      <c r="A1524" t="s">
        <v>2368</v>
      </c>
      <c r="B1524" t="s">
        <v>1145</v>
      </c>
      <c r="C1524" t="s">
        <v>36</v>
      </c>
      <c r="D1524" t="s">
        <v>87</v>
      </c>
      <c r="E1524" t="s">
        <v>15</v>
      </c>
      <c r="F1524">
        <v>94</v>
      </c>
      <c r="G1524">
        <v>82930</v>
      </c>
      <c r="H1524">
        <v>7795420</v>
      </c>
      <c r="I1524" t="s">
        <v>192</v>
      </c>
      <c r="J1524" t="s">
        <v>1235</v>
      </c>
      <c r="K1524">
        <v>94</v>
      </c>
      <c r="L1524">
        <v>0</v>
      </c>
      <c r="M1524" t="s">
        <v>115</v>
      </c>
      <c r="N1524" t="str">
        <f t="shared" si="138"/>
        <v>PO-101523</v>
      </c>
      <c r="O1524" t="str">
        <f t="shared" si="139"/>
        <v>Delivered</v>
      </c>
      <c r="P1524" t="str">
        <f t="shared" si="140"/>
        <v>WH-BOM</v>
      </c>
      <c r="Q1524" t="str">
        <f>VLOOKUP(C1524, Lookups!$A$2:$D$10, 2, FALSE())</f>
        <v>NextGen Hardware</v>
      </c>
      <c r="R1524" t="str">
        <f>_xlfn.XLOOKUP(D1524, Lookups!$A$12:$A$51, Lookups!$C$12:$C$51, "Unknown")</f>
        <v>Electronics</v>
      </c>
      <c r="S1524" t="str">
        <f>IF(ISBLANK(I1524), B1524+VLOOKUP(C1524, Lookups!$A$2:$D$10, 4, FALSE()), I1524)</f>
        <v>2025-08-04</v>
      </c>
      <c r="T1524">
        <f t="shared" si="141"/>
        <v>29</v>
      </c>
      <c r="U1524" t="str">
        <f t="shared" si="142"/>
        <v>Late</v>
      </c>
      <c r="V1524">
        <f t="shared" si="143"/>
        <v>0</v>
      </c>
    </row>
    <row r="1525" spans="1:22" x14ac:dyDescent="0.45">
      <c r="A1525" t="s">
        <v>2369</v>
      </c>
      <c r="B1525" t="s">
        <v>420</v>
      </c>
      <c r="C1525" t="s">
        <v>31</v>
      </c>
      <c r="D1525" t="s">
        <v>85</v>
      </c>
      <c r="E1525" t="s">
        <v>16</v>
      </c>
      <c r="F1525">
        <v>140</v>
      </c>
      <c r="G1525">
        <v>16501</v>
      </c>
      <c r="H1525">
        <v>2310140</v>
      </c>
      <c r="I1525" t="s">
        <v>454</v>
      </c>
      <c r="J1525" t="s">
        <v>454</v>
      </c>
      <c r="K1525">
        <v>103</v>
      </c>
      <c r="L1525">
        <v>0</v>
      </c>
      <c r="M1525" t="s">
        <v>115</v>
      </c>
      <c r="N1525" t="str">
        <f t="shared" si="138"/>
        <v>PO-101524</v>
      </c>
      <c r="O1525" t="str">
        <f t="shared" si="139"/>
        <v>Delivered</v>
      </c>
      <c r="P1525" t="str">
        <f t="shared" si="140"/>
        <v>WH-DEL</v>
      </c>
      <c r="Q1525" t="str">
        <f>VLOOKUP(C1525, Lookups!$A$2:$D$10, 2, FALSE())</f>
        <v>Global Networks</v>
      </c>
      <c r="R1525" t="str">
        <f>_xlfn.XLOOKUP(D1525, Lookups!$A$12:$A$51, Lookups!$C$12:$C$51, "Unknown")</f>
        <v>Networking</v>
      </c>
      <c r="S1525" t="str">
        <f>IF(ISBLANK(I1525), B1525+VLOOKUP(C1525, Lookups!$A$2:$D$10, 4, FALSE()), I1525)</f>
        <v>2026-08-12</v>
      </c>
      <c r="T1525">
        <f t="shared" si="141"/>
        <v>21</v>
      </c>
      <c r="U1525" t="str">
        <f t="shared" si="142"/>
        <v>On-Time</v>
      </c>
      <c r="V1525">
        <f t="shared" si="143"/>
        <v>0</v>
      </c>
    </row>
    <row r="1526" spans="1:22" x14ac:dyDescent="0.45">
      <c r="A1526" t="s">
        <v>2370</v>
      </c>
      <c r="B1526" t="s">
        <v>573</v>
      </c>
      <c r="C1526" t="s">
        <v>37</v>
      </c>
      <c r="D1526" t="s">
        <v>79</v>
      </c>
      <c r="E1526" t="s">
        <v>18</v>
      </c>
      <c r="F1526">
        <v>244</v>
      </c>
      <c r="G1526">
        <v>23054</v>
      </c>
      <c r="H1526">
        <v>5625176</v>
      </c>
      <c r="I1526" t="s">
        <v>957</v>
      </c>
      <c r="J1526" t="s">
        <v>957</v>
      </c>
      <c r="K1526">
        <v>244</v>
      </c>
      <c r="L1526">
        <v>0</v>
      </c>
      <c r="M1526" t="s">
        <v>115</v>
      </c>
      <c r="N1526" t="str">
        <f t="shared" si="138"/>
        <v>PO-101525</v>
      </c>
      <c r="O1526" t="str">
        <f t="shared" si="139"/>
        <v>Delivered</v>
      </c>
      <c r="P1526" t="str">
        <f t="shared" si="140"/>
        <v>WH-PUN</v>
      </c>
      <c r="Q1526" t="str">
        <f>VLOOKUP(C1526, Lookups!$A$2:$D$10, 2, FALSE())</f>
        <v>Premium Desks Ltd</v>
      </c>
      <c r="R1526" t="str">
        <f>_xlfn.XLOOKUP(D1526, Lookups!$A$12:$A$51, Lookups!$C$12:$C$51, "Unknown")</f>
        <v>Office Furniture</v>
      </c>
      <c r="S1526" t="str">
        <f>IF(ISBLANK(I1526), B1526+VLOOKUP(C1526, Lookups!$A$2:$D$10, 4, FALSE()), I1526)</f>
        <v>2026-05-12</v>
      </c>
      <c r="T1526">
        <f t="shared" si="141"/>
        <v>12</v>
      </c>
      <c r="U1526" t="str">
        <f t="shared" si="142"/>
        <v>On-Time</v>
      </c>
      <c r="V1526">
        <f t="shared" si="143"/>
        <v>0</v>
      </c>
    </row>
    <row r="1527" spans="1:22" x14ac:dyDescent="0.45">
      <c r="A1527" t="s">
        <v>2371</v>
      </c>
      <c r="B1527" t="s">
        <v>1405</v>
      </c>
      <c r="C1527" t="s">
        <v>36</v>
      </c>
      <c r="D1527" t="s">
        <v>71</v>
      </c>
      <c r="E1527" t="s">
        <v>17</v>
      </c>
      <c r="F1527">
        <v>190</v>
      </c>
      <c r="G1527">
        <v>65379</v>
      </c>
      <c r="H1527">
        <v>12422010</v>
      </c>
      <c r="I1527" t="s">
        <v>112</v>
      </c>
      <c r="J1527" t="s">
        <v>2281</v>
      </c>
      <c r="K1527">
        <v>180</v>
      </c>
      <c r="L1527">
        <v>0</v>
      </c>
      <c r="M1527" t="s">
        <v>115</v>
      </c>
      <c r="N1527" t="str">
        <f t="shared" si="138"/>
        <v>PO-101526</v>
      </c>
      <c r="O1527" t="str">
        <f t="shared" si="139"/>
        <v>Delivered</v>
      </c>
      <c r="P1527" t="str">
        <f t="shared" si="140"/>
        <v>WH-BLR</v>
      </c>
      <c r="Q1527" t="str">
        <f>VLOOKUP(C1527, Lookups!$A$2:$D$10, 2, FALSE())</f>
        <v>NextGen Hardware</v>
      </c>
      <c r="R1527" t="str">
        <f>_xlfn.XLOOKUP(D1527, Lookups!$A$12:$A$51, Lookups!$C$12:$C$51, "Unknown")</f>
        <v>Electronics</v>
      </c>
      <c r="S1527" t="str">
        <f>IF(ISBLANK(I1527), B1527+VLOOKUP(C1527, Lookups!$A$2:$D$10, 4, FALSE()), I1527)</f>
        <v>2026-06-16</v>
      </c>
      <c r="T1527">
        <f t="shared" si="141"/>
        <v>25</v>
      </c>
      <c r="U1527" t="str">
        <f t="shared" si="142"/>
        <v>Late</v>
      </c>
      <c r="V1527">
        <f t="shared" si="143"/>
        <v>0</v>
      </c>
    </row>
    <row r="1528" spans="1:22" x14ac:dyDescent="0.45">
      <c r="A1528" t="s">
        <v>2372</v>
      </c>
      <c r="B1528" t="s">
        <v>118</v>
      </c>
      <c r="C1528" t="s">
        <v>30</v>
      </c>
      <c r="D1528" t="s">
        <v>82</v>
      </c>
      <c r="E1528" t="s">
        <v>17</v>
      </c>
      <c r="F1528">
        <v>63</v>
      </c>
      <c r="G1528">
        <v>83427</v>
      </c>
      <c r="H1528">
        <v>5255901</v>
      </c>
      <c r="I1528" t="s">
        <v>1041</v>
      </c>
      <c r="J1528" t="s">
        <v>847</v>
      </c>
      <c r="K1528">
        <v>63</v>
      </c>
      <c r="L1528">
        <v>0</v>
      </c>
      <c r="M1528" t="s">
        <v>115</v>
      </c>
      <c r="N1528" t="str">
        <f t="shared" si="138"/>
        <v>PO-101527</v>
      </c>
      <c r="O1528" t="str">
        <f t="shared" si="139"/>
        <v>Delivered</v>
      </c>
      <c r="P1528" t="str">
        <f t="shared" si="140"/>
        <v>WH-BLR</v>
      </c>
      <c r="Q1528" t="str">
        <f>VLOOKUP(C1528, Lookups!$A$2:$D$10, 2, FALSE())</f>
        <v>TechSupply Corp</v>
      </c>
      <c r="R1528" t="str">
        <f>_xlfn.XLOOKUP(D1528, Lookups!$A$12:$A$51, Lookups!$C$12:$C$51, "Unknown")</f>
        <v>Electronics</v>
      </c>
      <c r="S1528" t="str">
        <f>IF(ISBLANK(I1528), B1528+VLOOKUP(C1528, Lookups!$A$2:$D$10, 4, FALSE()), I1528)</f>
        <v>2026-10-17</v>
      </c>
      <c r="T1528">
        <f t="shared" si="141"/>
        <v>29</v>
      </c>
      <c r="U1528" t="str">
        <f t="shared" si="142"/>
        <v>Late</v>
      </c>
      <c r="V1528">
        <f t="shared" si="143"/>
        <v>0</v>
      </c>
    </row>
    <row r="1529" spans="1:22" x14ac:dyDescent="0.45">
      <c r="A1529" t="s">
        <v>2373</v>
      </c>
      <c r="B1529" t="s">
        <v>343</v>
      </c>
      <c r="C1529" t="s">
        <v>36</v>
      </c>
      <c r="D1529" t="s">
        <v>87</v>
      </c>
      <c r="E1529" t="s">
        <v>17</v>
      </c>
      <c r="F1529">
        <v>164</v>
      </c>
      <c r="G1529">
        <v>82930</v>
      </c>
      <c r="H1529">
        <v>13600520</v>
      </c>
      <c r="I1529" t="s">
        <v>221</v>
      </c>
      <c r="J1529" t="s">
        <v>705</v>
      </c>
      <c r="K1529">
        <v>164</v>
      </c>
      <c r="L1529">
        <v>0</v>
      </c>
      <c r="M1529" t="s">
        <v>115</v>
      </c>
      <c r="N1529" t="str">
        <f t="shared" si="138"/>
        <v>PO-101528</v>
      </c>
      <c r="O1529" t="str">
        <f t="shared" si="139"/>
        <v>Delivered</v>
      </c>
      <c r="P1529" t="str">
        <f t="shared" si="140"/>
        <v>WH-BLR</v>
      </c>
      <c r="Q1529" t="str">
        <f>VLOOKUP(C1529, Lookups!$A$2:$D$10, 2, FALSE())</f>
        <v>NextGen Hardware</v>
      </c>
      <c r="R1529" t="str">
        <f>_xlfn.XLOOKUP(D1529, Lookups!$A$12:$A$51, Lookups!$C$12:$C$51, "Unknown")</f>
        <v>Electronics</v>
      </c>
      <c r="S1529" t="str">
        <f>IF(ISBLANK(I1529), B1529+VLOOKUP(C1529, Lookups!$A$2:$D$10, 4, FALSE()), I1529)</f>
        <v>2026-02-28</v>
      </c>
      <c r="T1529">
        <f t="shared" si="141"/>
        <v>22</v>
      </c>
      <c r="U1529" t="str">
        <f t="shared" si="142"/>
        <v>On-Time</v>
      </c>
      <c r="V1529">
        <f t="shared" si="143"/>
        <v>0</v>
      </c>
    </row>
    <row r="1530" spans="1:22" x14ac:dyDescent="0.45">
      <c r="A1530" t="s">
        <v>2374</v>
      </c>
      <c r="B1530" t="s">
        <v>617</v>
      </c>
      <c r="C1530" t="s">
        <v>35</v>
      </c>
      <c r="D1530" t="s">
        <v>60</v>
      </c>
      <c r="E1530" t="s">
        <v>15</v>
      </c>
      <c r="F1530">
        <v>178</v>
      </c>
      <c r="G1530">
        <v>3291</v>
      </c>
      <c r="H1530">
        <v>585798</v>
      </c>
      <c r="I1530" t="s">
        <v>839</v>
      </c>
      <c r="J1530" t="s">
        <v>1285</v>
      </c>
      <c r="K1530">
        <v>178</v>
      </c>
      <c r="L1530">
        <v>0</v>
      </c>
      <c r="M1530" t="s">
        <v>115</v>
      </c>
      <c r="N1530" t="str">
        <f t="shared" si="138"/>
        <v>PO-101529</v>
      </c>
      <c r="O1530" t="str">
        <f t="shared" si="139"/>
        <v>Delivered</v>
      </c>
      <c r="P1530" t="str">
        <f t="shared" si="140"/>
        <v>WH-BOM</v>
      </c>
      <c r="Q1530" t="str">
        <f>VLOOKUP(C1530, Lookups!$A$2:$D$10, 2, FALSE())</f>
        <v>Peripheral Source</v>
      </c>
      <c r="R1530" t="str">
        <f>_xlfn.XLOOKUP(D1530, Lookups!$A$12:$A$51, Lookups!$C$12:$C$51, "Unknown")</f>
        <v>Peripherals</v>
      </c>
      <c r="S1530" t="str">
        <f>IF(ISBLANK(I1530), B1530+VLOOKUP(C1530, Lookups!$A$2:$D$10, 4, FALSE()), I1530)</f>
        <v>2026-02-20</v>
      </c>
      <c r="T1530">
        <f t="shared" si="141"/>
        <v>11</v>
      </c>
      <c r="U1530" t="str">
        <f t="shared" si="142"/>
        <v>Late</v>
      </c>
      <c r="V1530">
        <f t="shared" si="143"/>
        <v>0</v>
      </c>
    </row>
    <row r="1531" spans="1:22" x14ac:dyDescent="0.45">
      <c r="A1531" t="s">
        <v>2375</v>
      </c>
      <c r="B1531" t="s">
        <v>1168</v>
      </c>
      <c r="C1531" t="s">
        <v>34</v>
      </c>
      <c r="D1531" t="s">
        <v>68</v>
      </c>
      <c r="E1531" t="s">
        <v>17</v>
      </c>
      <c r="F1531">
        <v>66</v>
      </c>
      <c r="G1531">
        <v>41405</v>
      </c>
      <c r="H1531">
        <v>2732730</v>
      </c>
      <c r="I1531" t="s">
        <v>268</v>
      </c>
      <c r="J1531" t="s">
        <v>844</v>
      </c>
      <c r="K1531">
        <v>66</v>
      </c>
      <c r="L1531">
        <v>0</v>
      </c>
      <c r="M1531" t="s">
        <v>115</v>
      </c>
      <c r="N1531" t="str">
        <f t="shared" si="138"/>
        <v>PO-101530</v>
      </c>
      <c r="O1531" t="str">
        <f t="shared" si="139"/>
        <v>Delivered</v>
      </c>
      <c r="P1531" t="str">
        <f t="shared" si="140"/>
        <v>WH-BLR</v>
      </c>
      <c r="Q1531" t="str">
        <f>VLOOKUP(C1531, Lookups!$A$2:$D$10, 2, FALSE())</f>
        <v>FastElectronics</v>
      </c>
      <c r="R1531" t="str">
        <f>_xlfn.XLOOKUP(D1531, Lookups!$A$12:$A$51, Lookups!$C$12:$C$51, "Unknown")</f>
        <v>Networking</v>
      </c>
      <c r="S1531" t="str">
        <f>IF(ISBLANK(I1531), B1531+VLOOKUP(C1531, Lookups!$A$2:$D$10, 4, FALSE()), I1531)</f>
        <v>2025-04-13</v>
      </c>
      <c r="T1531">
        <f t="shared" si="141"/>
        <v>33</v>
      </c>
      <c r="U1531" t="str">
        <f t="shared" si="142"/>
        <v>Late</v>
      </c>
      <c r="V1531">
        <f t="shared" si="143"/>
        <v>0</v>
      </c>
    </row>
    <row r="1532" spans="1:22" x14ac:dyDescent="0.45">
      <c r="A1532" t="s">
        <v>2376</v>
      </c>
      <c r="B1532" t="s">
        <v>432</v>
      </c>
      <c r="C1532" t="s">
        <v>37</v>
      </c>
      <c r="D1532" t="s">
        <v>69</v>
      </c>
      <c r="E1532" t="s">
        <v>17</v>
      </c>
      <c r="F1532">
        <v>101</v>
      </c>
      <c r="G1532">
        <v>13231</v>
      </c>
      <c r="H1532">
        <v>1336331</v>
      </c>
      <c r="I1532" t="s">
        <v>397</v>
      </c>
      <c r="J1532" t="s">
        <v>269</v>
      </c>
      <c r="K1532">
        <v>101</v>
      </c>
      <c r="L1532">
        <v>0</v>
      </c>
      <c r="M1532" t="s">
        <v>115</v>
      </c>
      <c r="N1532" t="str">
        <f t="shared" si="138"/>
        <v>PO-101531</v>
      </c>
      <c r="O1532" t="str">
        <f t="shared" si="139"/>
        <v>Delivered</v>
      </c>
      <c r="P1532" t="str">
        <f t="shared" si="140"/>
        <v>WH-BLR</v>
      </c>
      <c r="Q1532" t="str">
        <f>VLOOKUP(C1532, Lookups!$A$2:$D$10, 2, FALSE())</f>
        <v>Premium Desks Ltd</v>
      </c>
      <c r="R1532" t="str">
        <f>_xlfn.XLOOKUP(D1532, Lookups!$A$12:$A$51, Lookups!$C$12:$C$51, "Unknown")</f>
        <v>Office Furniture</v>
      </c>
      <c r="S1532" t="str">
        <f>IF(ISBLANK(I1532), B1532+VLOOKUP(C1532, Lookups!$A$2:$D$10, 4, FALSE()), I1532)</f>
        <v>2025-04-06</v>
      </c>
      <c r="T1532">
        <f t="shared" si="141"/>
        <v>26</v>
      </c>
      <c r="U1532" t="str">
        <f t="shared" si="142"/>
        <v>Late</v>
      </c>
      <c r="V1532">
        <f t="shared" si="143"/>
        <v>0</v>
      </c>
    </row>
    <row r="1533" spans="1:22" x14ac:dyDescent="0.45">
      <c r="A1533" t="s">
        <v>2377</v>
      </c>
      <c r="B1533" t="s">
        <v>254</v>
      </c>
      <c r="C1533" t="s">
        <v>34</v>
      </c>
      <c r="D1533" t="s">
        <v>74</v>
      </c>
      <c r="E1533" t="s">
        <v>18</v>
      </c>
      <c r="F1533">
        <v>89</v>
      </c>
      <c r="G1533">
        <v>94797</v>
      </c>
      <c r="H1533">
        <v>8436933</v>
      </c>
      <c r="I1533" t="s">
        <v>929</v>
      </c>
      <c r="J1533" t="s">
        <v>929</v>
      </c>
      <c r="K1533">
        <v>89</v>
      </c>
      <c r="L1533">
        <v>0</v>
      </c>
      <c r="M1533" t="s">
        <v>115</v>
      </c>
      <c r="N1533" t="str">
        <f t="shared" si="138"/>
        <v>PO-101532</v>
      </c>
      <c r="O1533" t="str">
        <f t="shared" si="139"/>
        <v>Delivered</v>
      </c>
      <c r="P1533" t="str">
        <f t="shared" si="140"/>
        <v>WH-PUN</v>
      </c>
      <c r="Q1533" t="str">
        <f>VLOOKUP(C1533, Lookups!$A$2:$D$10, 2, FALSE())</f>
        <v>FastElectronics</v>
      </c>
      <c r="R1533" t="str">
        <f>_xlfn.XLOOKUP(D1533, Lookups!$A$12:$A$51, Lookups!$C$12:$C$51, "Unknown")</f>
        <v>Electronics</v>
      </c>
      <c r="S1533" t="str">
        <f>IF(ISBLANK(I1533), B1533+VLOOKUP(C1533, Lookups!$A$2:$D$10, 4, FALSE()), I1533)</f>
        <v>2025-11-28</v>
      </c>
      <c r="T1533">
        <f t="shared" si="141"/>
        <v>18</v>
      </c>
      <c r="U1533" t="str">
        <f t="shared" si="142"/>
        <v>On-Time</v>
      </c>
      <c r="V1533">
        <f t="shared" si="143"/>
        <v>0</v>
      </c>
    </row>
    <row r="1534" spans="1:22" x14ac:dyDescent="0.45">
      <c r="A1534" t="s">
        <v>2378</v>
      </c>
      <c r="B1534" t="s">
        <v>866</v>
      </c>
      <c r="C1534" t="s">
        <v>30</v>
      </c>
      <c r="D1534" t="s">
        <v>82</v>
      </c>
      <c r="E1534" t="s">
        <v>15</v>
      </c>
      <c r="F1534">
        <v>217</v>
      </c>
      <c r="G1534">
        <v>83427</v>
      </c>
      <c r="H1534">
        <v>18103659</v>
      </c>
      <c r="I1534" t="s">
        <v>451</v>
      </c>
      <c r="J1534" t="s">
        <v>181</v>
      </c>
      <c r="K1534">
        <v>217</v>
      </c>
      <c r="L1534">
        <v>0</v>
      </c>
      <c r="M1534" t="s">
        <v>115</v>
      </c>
      <c r="N1534" t="str">
        <f t="shared" si="138"/>
        <v>PO-101533</v>
      </c>
      <c r="O1534" t="str">
        <f t="shared" si="139"/>
        <v>Delivered</v>
      </c>
      <c r="P1534" t="str">
        <f t="shared" si="140"/>
        <v>WH-BOM</v>
      </c>
      <c r="Q1534" t="str">
        <f>VLOOKUP(C1534, Lookups!$A$2:$D$10, 2, FALSE())</f>
        <v>TechSupply Corp</v>
      </c>
      <c r="R1534" t="str">
        <f>_xlfn.XLOOKUP(D1534, Lookups!$A$12:$A$51, Lookups!$C$12:$C$51, "Unknown")</f>
        <v>Electronics</v>
      </c>
      <c r="S1534" t="str">
        <f>IF(ISBLANK(I1534), B1534+VLOOKUP(C1534, Lookups!$A$2:$D$10, 4, FALSE()), I1534)</f>
        <v>2026-10-04</v>
      </c>
      <c r="T1534">
        <f t="shared" si="141"/>
        <v>29</v>
      </c>
      <c r="U1534" t="str">
        <f t="shared" si="142"/>
        <v>Late</v>
      </c>
      <c r="V1534">
        <f t="shared" si="143"/>
        <v>0</v>
      </c>
    </row>
    <row r="1535" spans="1:22" x14ac:dyDescent="0.45">
      <c r="A1535" t="s">
        <v>2379</v>
      </c>
      <c r="B1535" t="s">
        <v>173</v>
      </c>
      <c r="C1535" t="s">
        <v>37</v>
      </c>
      <c r="D1535" t="s">
        <v>69</v>
      </c>
      <c r="E1535" t="s">
        <v>18</v>
      </c>
      <c r="F1535">
        <v>52</v>
      </c>
      <c r="G1535">
        <v>13231</v>
      </c>
      <c r="H1535">
        <v>688012</v>
      </c>
      <c r="I1535" t="s">
        <v>403</v>
      </c>
      <c r="J1535" t="s">
        <v>569</v>
      </c>
      <c r="K1535">
        <v>26</v>
      </c>
      <c r="L1535">
        <v>0</v>
      </c>
      <c r="M1535" t="s">
        <v>115</v>
      </c>
      <c r="N1535" t="str">
        <f t="shared" si="138"/>
        <v>PO-101534</v>
      </c>
      <c r="O1535" t="str">
        <f t="shared" si="139"/>
        <v>Delivered</v>
      </c>
      <c r="P1535" t="str">
        <f t="shared" si="140"/>
        <v>WH-PUN</v>
      </c>
      <c r="Q1535" t="str">
        <f>VLOOKUP(C1535, Lookups!$A$2:$D$10, 2, FALSE())</f>
        <v>Premium Desks Ltd</v>
      </c>
      <c r="R1535" t="str">
        <f>_xlfn.XLOOKUP(D1535, Lookups!$A$12:$A$51, Lookups!$C$12:$C$51, "Unknown")</f>
        <v>Office Furniture</v>
      </c>
      <c r="S1535" t="str">
        <f>IF(ISBLANK(I1535), B1535+VLOOKUP(C1535, Lookups!$A$2:$D$10, 4, FALSE()), I1535)</f>
        <v>2025-09-18</v>
      </c>
      <c r="T1535">
        <f t="shared" si="141"/>
        <v>13</v>
      </c>
      <c r="U1535" t="str">
        <f t="shared" si="142"/>
        <v>Late</v>
      </c>
      <c r="V1535">
        <f t="shared" si="143"/>
        <v>0</v>
      </c>
    </row>
    <row r="1536" spans="1:22" x14ac:dyDescent="0.45">
      <c r="A1536" t="s">
        <v>2380</v>
      </c>
      <c r="B1536" t="s">
        <v>2381</v>
      </c>
      <c r="C1536" t="s">
        <v>36</v>
      </c>
      <c r="D1536" t="s">
        <v>71</v>
      </c>
      <c r="E1536" t="s">
        <v>16</v>
      </c>
      <c r="F1536">
        <v>85</v>
      </c>
      <c r="G1536">
        <v>65379</v>
      </c>
      <c r="H1536">
        <v>5557215</v>
      </c>
      <c r="I1536" t="s">
        <v>1236</v>
      </c>
      <c r="J1536" t="s">
        <v>1104</v>
      </c>
      <c r="K1536">
        <v>85</v>
      </c>
      <c r="L1536">
        <v>0</v>
      </c>
      <c r="M1536" t="s">
        <v>115</v>
      </c>
      <c r="N1536" t="str">
        <f t="shared" si="138"/>
        <v>PO-101535</v>
      </c>
      <c r="O1536" t="str">
        <f t="shared" si="139"/>
        <v>Delivered</v>
      </c>
      <c r="P1536" t="str">
        <f t="shared" si="140"/>
        <v>WH-DEL</v>
      </c>
      <c r="Q1536" t="str">
        <f>VLOOKUP(C1536, Lookups!$A$2:$D$10, 2, FALSE())</f>
        <v>NextGen Hardware</v>
      </c>
      <c r="R1536" t="str">
        <f>_xlfn.XLOOKUP(D1536, Lookups!$A$12:$A$51, Lookups!$C$12:$C$51, "Unknown")</f>
        <v>Electronics</v>
      </c>
      <c r="S1536" t="str">
        <f>IF(ISBLANK(I1536), B1536+VLOOKUP(C1536, Lookups!$A$2:$D$10, 4, FALSE()), I1536)</f>
        <v>2025-08-23</v>
      </c>
      <c r="T1536">
        <f t="shared" si="141"/>
        <v>25</v>
      </c>
      <c r="U1536" t="str">
        <f t="shared" si="142"/>
        <v>Late</v>
      </c>
      <c r="V1536">
        <f t="shared" si="143"/>
        <v>0</v>
      </c>
    </row>
    <row r="1537" spans="1:22" x14ac:dyDescent="0.45">
      <c r="A1537" t="s">
        <v>2382</v>
      </c>
      <c r="B1537" t="s">
        <v>1263</v>
      </c>
      <c r="C1537" t="s">
        <v>36</v>
      </c>
      <c r="D1537" t="s">
        <v>87</v>
      </c>
      <c r="E1537" t="s">
        <v>18</v>
      </c>
      <c r="F1537">
        <v>170</v>
      </c>
      <c r="G1537">
        <v>82930</v>
      </c>
      <c r="H1537">
        <v>14098100</v>
      </c>
      <c r="I1537" t="s">
        <v>538</v>
      </c>
      <c r="J1537" t="s">
        <v>342</v>
      </c>
      <c r="K1537">
        <v>170</v>
      </c>
      <c r="L1537">
        <v>0</v>
      </c>
      <c r="M1537" t="s">
        <v>115</v>
      </c>
      <c r="N1537" t="str">
        <f t="shared" si="138"/>
        <v>PO-101536</v>
      </c>
      <c r="O1537" t="str">
        <f t="shared" si="139"/>
        <v>Delivered</v>
      </c>
      <c r="P1537" t="str">
        <f t="shared" si="140"/>
        <v>WH-PUN</v>
      </c>
      <c r="Q1537" t="str">
        <f>VLOOKUP(C1537, Lookups!$A$2:$D$10, 2, FALSE())</f>
        <v>NextGen Hardware</v>
      </c>
      <c r="R1537" t="str">
        <f>_xlfn.XLOOKUP(D1537, Lookups!$A$12:$A$51, Lookups!$C$12:$C$51, "Unknown")</f>
        <v>Electronics</v>
      </c>
      <c r="S1537" t="str">
        <f>IF(ISBLANK(I1537), B1537+VLOOKUP(C1537, Lookups!$A$2:$D$10, 4, FALSE()), I1537)</f>
        <v>2026-01-24</v>
      </c>
      <c r="T1537">
        <f t="shared" si="141"/>
        <v>34</v>
      </c>
      <c r="U1537" t="str">
        <f t="shared" si="142"/>
        <v>Late</v>
      </c>
      <c r="V1537">
        <f t="shared" si="143"/>
        <v>0</v>
      </c>
    </row>
    <row r="1538" spans="1:22" x14ac:dyDescent="0.45">
      <c r="A1538" t="s">
        <v>2383</v>
      </c>
      <c r="B1538" t="s">
        <v>1227</v>
      </c>
      <c r="C1538" t="s">
        <v>32</v>
      </c>
      <c r="D1538" t="s">
        <v>84</v>
      </c>
      <c r="E1538" t="s">
        <v>18</v>
      </c>
      <c r="F1538">
        <v>23</v>
      </c>
      <c r="G1538">
        <v>7271</v>
      </c>
      <c r="H1538">
        <v>167233</v>
      </c>
      <c r="I1538" t="s">
        <v>900</v>
      </c>
      <c r="J1538" t="s">
        <v>900</v>
      </c>
      <c r="K1538">
        <v>23</v>
      </c>
      <c r="L1538">
        <v>0</v>
      </c>
      <c r="M1538" t="s">
        <v>115</v>
      </c>
      <c r="N1538" t="str">
        <f t="shared" ref="N1538:N1601" si="144">TRIM(A1538)</f>
        <v>PO-101537</v>
      </c>
      <c r="O1538" t="str">
        <f t="shared" ref="O1538:O1601" si="145">PROPER(TRIM(M1538))</f>
        <v>Delivered</v>
      </c>
      <c r="P1538" t="str">
        <f t="shared" ref="P1538:P1601" si="146">TRIM(E1538)</f>
        <v>WH-PUN</v>
      </c>
      <c r="Q1538" t="str">
        <f>VLOOKUP(C1538, Lookups!$A$2:$D$10, 2, FALSE())</f>
        <v>OfficeDepot Pro</v>
      </c>
      <c r="R1538" t="str">
        <f>_xlfn.XLOOKUP(D1538, Lookups!$A$12:$A$51, Lookups!$C$12:$C$51, "Unknown")</f>
        <v>Peripherals</v>
      </c>
      <c r="S1538" t="str">
        <f>IF(ISBLANK(I1538), B1538+VLOOKUP(C1538, Lookups!$A$2:$D$10, 4, FALSE()), I1538)</f>
        <v>2026-05-10</v>
      </c>
      <c r="T1538">
        <f t="shared" ref="T1538:T1601" si="147">IF(ISBLANK(J1538), "", J1538-B1538)</f>
        <v>7</v>
      </c>
      <c r="U1538" t="str">
        <f t="shared" ref="U1538:U1601" si="148">IF(O1538="Open", "Open", IF(J1538&gt;S1538, "Late", "On-Time"))</f>
        <v>On-Time</v>
      </c>
      <c r="V1538">
        <f t="shared" ref="V1538:V1601" si="149">IF(K1538&gt;0, L1538/K1538, 0)</f>
        <v>0</v>
      </c>
    </row>
    <row r="1539" spans="1:22" x14ac:dyDescent="0.45">
      <c r="A1539" t="s">
        <v>2384</v>
      </c>
      <c r="B1539" t="s">
        <v>169</v>
      </c>
      <c r="C1539" t="s">
        <v>37</v>
      </c>
      <c r="D1539" t="s">
        <v>83</v>
      </c>
      <c r="E1539" t="s">
        <v>17</v>
      </c>
      <c r="F1539">
        <v>65</v>
      </c>
      <c r="G1539">
        <v>19850</v>
      </c>
      <c r="H1539">
        <v>1290250</v>
      </c>
      <c r="I1539" t="s">
        <v>1288</v>
      </c>
      <c r="J1539" t="s">
        <v>1288</v>
      </c>
      <c r="K1539">
        <v>65</v>
      </c>
      <c r="L1539">
        <v>0</v>
      </c>
      <c r="M1539" t="s">
        <v>178</v>
      </c>
      <c r="N1539" t="str">
        <f t="shared" si="144"/>
        <v>PO-101538</v>
      </c>
      <c r="O1539" t="str">
        <f t="shared" si="145"/>
        <v>Delivered</v>
      </c>
      <c r="P1539" t="str">
        <f t="shared" si="146"/>
        <v>WH-BLR</v>
      </c>
      <c r="Q1539" t="str">
        <f>VLOOKUP(C1539, Lookups!$A$2:$D$10, 2, FALSE())</f>
        <v>Premium Desks Ltd</v>
      </c>
      <c r="R1539" t="str">
        <f>_xlfn.XLOOKUP(D1539, Lookups!$A$12:$A$51, Lookups!$C$12:$C$51, "Unknown")</f>
        <v>Office Furniture</v>
      </c>
      <c r="S1539" t="str">
        <f>IF(ISBLANK(I1539), B1539+VLOOKUP(C1539, Lookups!$A$2:$D$10, 4, FALSE()), I1539)</f>
        <v>2025-06-19</v>
      </c>
      <c r="T1539">
        <f t="shared" si="147"/>
        <v>12</v>
      </c>
      <c r="U1539" t="str">
        <f t="shared" si="148"/>
        <v>On-Time</v>
      </c>
      <c r="V1539">
        <f t="shared" si="149"/>
        <v>0</v>
      </c>
    </row>
    <row r="1540" spans="1:22" x14ac:dyDescent="0.45">
      <c r="A1540" t="s">
        <v>2385</v>
      </c>
      <c r="B1540" t="s">
        <v>1046</v>
      </c>
      <c r="C1540" t="s">
        <v>33</v>
      </c>
      <c r="D1540" t="s">
        <v>89</v>
      </c>
      <c r="E1540" t="s">
        <v>15</v>
      </c>
      <c r="F1540">
        <v>245</v>
      </c>
      <c r="G1540">
        <v>11309</v>
      </c>
      <c r="H1540">
        <v>2770705</v>
      </c>
      <c r="I1540" t="s">
        <v>552</v>
      </c>
      <c r="J1540" t="s">
        <v>255</v>
      </c>
      <c r="K1540">
        <v>245</v>
      </c>
      <c r="L1540">
        <v>0</v>
      </c>
      <c r="M1540" t="s">
        <v>301</v>
      </c>
      <c r="N1540" t="str">
        <f t="shared" si="144"/>
        <v>PO-101539</v>
      </c>
      <c r="O1540" t="str">
        <f t="shared" si="145"/>
        <v>Delivered</v>
      </c>
      <c r="P1540" t="str">
        <f t="shared" si="146"/>
        <v>WH-BOM</v>
      </c>
      <c r="Q1540" t="str">
        <f>VLOOKUP(C1540, Lookups!$A$2:$D$10, 2, FALSE())</f>
        <v>MegaFurnish</v>
      </c>
      <c r="R1540" t="str">
        <f>_xlfn.XLOOKUP(D1540, Lookups!$A$12:$A$51, Lookups!$C$12:$C$51, "Unknown")</f>
        <v>Office Furniture</v>
      </c>
      <c r="S1540" t="str">
        <f>IF(ISBLANK(I1540), B1540+VLOOKUP(C1540, Lookups!$A$2:$D$10, 4, FALSE()), I1540)</f>
        <v>2025-11-22</v>
      </c>
      <c r="T1540">
        <f t="shared" si="147"/>
        <v>26</v>
      </c>
      <c r="U1540" t="str">
        <f t="shared" si="148"/>
        <v>On-Time</v>
      </c>
      <c r="V1540">
        <f t="shared" si="149"/>
        <v>0</v>
      </c>
    </row>
    <row r="1541" spans="1:22" x14ac:dyDescent="0.45">
      <c r="A1541" t="s">
        <v>2386</v>
      </c>
      <c r="B1541" t="s">
        <v>1028</v>
      </c>
      <c r="C1541" t="s">
        <v>35</v>
      </c>
      <c r="D1541" t="s">
        <v>72</v>
      </c>
      <c r="E1541" t="s">
        <v>17</v>
      </c>
      <c r="F1541">
        <v>152</v>
      </c>
      <c r="G1541">
        <v>7754</v>
      </c>
      <c r="H1541">
        <v>1178608</v>
      </c>
      <c r="I1541" t="s">
        <v>117</v>
      </c>
      <c r="J1541" t="s">
        <v>1428</v>
      </c>
      <c r="K1541">
        <v>133</v>
      </c>
      <c r="L1541">
        <v>0</v>
      </c>
      <c r="M1541" t="s">
        <v>927</v>
      </c>
      <c r="N1541" t="str">
        <f t="shared" si="144"/>
        <v>PO-101540</v>
      </c>
      <c r="O1541" t="str">
        <f t="shared" si="145"/>
        <v>Delivered</v>
      </c>
      <c r="P1541" t="str">
        <f t="shared" si="146"/>
        <v>WH-BLR</v>
      </c>
      <c r="Q1541" t="str">
        <f>VLOOKUP(C1541, Lookups!$A$2:$D$10, 2, FALSE())</f>
        <v>Peripheral Source</v>
      </c>
      <c r="R1541" t="str">
        <f>_xlfn.XLOOKUP(D1541, Lookups!$A$12:$A$51, Lookups!$C$12:$C$51, "Unknown")</f>
        <v>Peripherals</v>
      </c>
      <c r="S1541" t="str">
        <f>IF(ISBLANK(I1541), B1541+VLOOKUP(C1541, Lookups!$A$2:$D$10, 4, FALSE()), I1541)</f>
        <v>2026-09-19</v>
      </c>
      <c r="T1541">
        <f t="shared" si="147"/>
        <v>19</v>
      </c>
      <c r="U1541" t="str">
        <f t="shared" si="148"/>
        <v>Late</v>
      </c>
      <c r="V1541">
        <f t="shared" si="149"/>
        <v>0</v>
      </c>
    </row>
    <row r="1542" spans="1:22" x14ac:dyDescent="0.45">
      <c r="A1542" t="s">
        <v>2387</v>
      </c>
      <c r="B1542" t="s">
        <v>1241</v>
      </c>
      <c r="C1542" t="s">
        <v>36</v>
      </c>
      <c r="D1542" t="s">
        <v>71</v>
      </c>
      <c r="E1542" t="s">
        <v>16</v>
      </c>
      <c r="F1542">
        <v>214</v>
      </c>
      <c r="G1542">
        <v>65379</v>
      </c>
      <c r="H1542">
        <v>13991106</v>
      </c>
      <c r="I1542" t="s">
        <v>1329</v>
      </c>
      <c r="J1542" t="s">
        <v>325</v>
      </c>
      <c r="K1542">
        <v>214</v>
      </c>
      <c r="L1542">
        <v>0</v>
      </c>
      <c r="M1542" t="s">
        <v>115</v>
      </c>
      <c r="N1542" t="str">
        <f t="shared" si="144"/>
        <v>PO-101541</v>
      </c>
      <c r="O1542" t="str">
        <f t="shared" si="145"/>
        <v>Delivered</v>
      </c>
      <c r="P1542" t="str">
        <f t="shared" si="146"/>
        <v>WH-DEL</v>
      </c>
      <c r="Q1542" t="str">
        <f>VLOOKUP(C1542, Lookups!$A$2:$D$10, 2, FALSE())</f>
        <v>NextGen Hardware</v>
      </c>
      <c r="R1542" t="str">
        <f>_xlfn.XLOOKUP(D1542, Lookups!$A$12:$A$51, Lookups!$C$12:$C$51, "Unknown")</f>
        <v>Electronics</v>
      </c>
      <c r="S1542" t="str">
        <f>IF(ISBLANK(I1542), B1542+VLOOKUP(C1542, Lookups!$A$2:$D$10, 4, FALSE()), I1542)</f>
        <v>2025-05-25</v>
      </c>
      <c r="T1542">
        <f t="shared" si="147"/>
        <v>25</v>
      </c>
      <c r="U1542" t="str">
        <f t="shared" si="148"/>
        <v>Late</v>
      </c>
      <c r="V1542">
        <f t="shared" si="149"/>
        <v>0</v>
      </c>
    </row>
    <row r="1543" spans="1:22" x14ac:dyDescent="0.45">
      <c r="A1543" t="s">
        <v>2388</v>
      </c>
      <c r="B1543" t="s">
        <v>1508</v>
      </c>
      <c r="C1543" t="s">
        <v>34</v>
      </c>
      <c r="D1543" t="s">
        <v>68</v>
      </c>
      <c r="E1543" t="s">
        <v>15</v>
      </c>
      <c r="F1543">
        <v>127</v>
      </c>
      <c r="G1543">
        <v>41405</v>
      </c>
      <c r="H1543">
        <v>5258435</v>
      </c>
      <c r="I1543" t="s">
        <v>1177</v>
      </c>
      <c r="J1543" t="s">
        <v>1218</v>
      </c>
      <c r="K1543">
        <v>127</v>
      </c>
      <c r="L1543">
        <v>0</v>
      </c>
      <c r="M1543" t="s">
        <v>115</v>
      </c>
      <c r="N1543" t="str">
        <f t="shared" si="144"/>
        <v>PO-101542</v>
      </c>
      <c r="O1543" t="str">
        <f t="shared" si="145"/>
        <v>Delivered</v>
      </c>
      <c r="P1543" t="str">
        <f t="shared" si="146"/>
        <v>WH-BOM</v>
      </c>
      <c r="Q1543" t="str">
        <f>VLOOKUP(C1543, Lookups!$A$2:$D$10, 2, FALSE())</f>
        <v>FastElectronics</v>
      </c>
      <c r="R1543" t="str">
        <f>_xlfn.XLOOKUP(D1543, Lookups!$A$12:$A$51, Lookups!$C$12:$C$51, "Unknown")</f>
        <v>Networking</v>
      </c>
      <c r="S1543" t="str">
        <f>IF(ISBLANK(I1543), B1543+VLOOKUP(C1543, Lookups!$A$2:$D$10, 4, FALSE()), I1543)</f>
        <v>2026-06-11</v>
      </c>
      <c r="T1543">
        <f t="shared" si="147"/>
        <v>26</v>
      </c>
      <c r="U1543" t="str">
        <f t="shared" si="148"/>
        <v>Late</v>
      </c>
      <c r="V1543">
        <f t="shared" si="149"/>
        <v>0</v>
      </c>
    </row>
    <row r="1544" spans="1:22" x14ac:dyDescent="0.45">
      <c r="A1544" t="s">
        <v>2389</v>
      </c>
      <c r="B1544" t="s">
        <v>1430</v>
      </c>
      <c r="C1544" t="s">
        <v>31</v>
      </c>
      <c r="D1544" t="s">
        <v>77</v>
      </c>
      <c r="E1544" t="s">
        <v>15</v>
      </c>
      <c r="F1544">
        <v>10</v>
      </c>
      <c r="G1544">
        <v>23667</v>
      </c>
      <c r="H1544">
        <v>236670</v>
      </c>
      <c r="I1544" t="s">
        <v>1079</v>
      </c>
      <c r="J1544" t="s">
        <v>422</v>
      </c>
      <c r="K1544">
        <v>10</v>
      </c>
      <c r="L1544">
        <v>0</v>
      </c>
      <c r="M1544" t="s">
        <v>115</v>
      </c>
      <c r="N1544" t="str">
        <f t="shared" si="144"/>
        <v>PO-101543</v>
      </c>
      <c r="O1544" t="str">
        <f t="shared" si="145"/>
        <v>Delivered</v>
      </c>
      <c r="P1544" t="str">
        <f t="shared" si="146"/>
        <v>WH-BOM</v>
      </c>
      <c r="Q1544" t="str">
        <f>VLOOKUP(C1544, Lookups!$A$2:$D$10, 2, FALSE())</f>
        <v>Global Networks</v>
      </c>
      <c r="R1544" t="str">
        <f>_xlfn.XLOOKUP(D1544, Lookups!$A$12:$A$51, Lookups!$C$12:$C$51, "Unknown")</f>
        <v>Networking</v>
      </c>
      <c r="S1544" t="str">
        <f>IF(ISBLANK(I1544), B1544+VLOOKUP(C1544, Lookups!$A$2:$D$10, 4, FALSE()), I1544)</f>
        <v>2026-01-18</v>
      </c>
      <c r="T1544">
        <f t="shared" si="147"/>
        <v>22</v>
      </c>
      <c r="U1544" t="str">
        <f t="shared" si="148"/>
        <v>Late</v>
      </c>
      <c r="V1544">
        <f t="shared" si="149"/>
        <v>0</v>
      </c>
    </row>
    <row r="1545" spans="1:22" x14ac:dyDescent="0.45">
      <c r="A1545" t="s">
        <v>2390</v>
      </c>
      <c r="B1545" t="s">
        <v>240</v>
      </c>
      <c r="C1545" t="s">
        <v>36</v>
      </c>
      <c r="D1545" t="s">
        <v>87</v>
      </c>
      <c r="E1545" t="s">
        <v>16</v>
      </c>
      <c r="F1545">
        <v>40</v>
      </c>
      <c r="G1545">
        <v>82930</v>
      </c>
      <c r="H1545">
        <v>3317200</v>
      </c>
      <c r="I1545" t="s">
        <v>229</v>
      </c>
      <c r="J1545" t="s">
        <v>229</v>
      </c>
      <c r="K1545">
        <v>40</v>
      </c>
      <c r="L1545">
        <v>0</v>
      </c>
      <c r="M1545" t="s">
        <v>115</v>
      </c>
      <c r="N1545" t="str">
        <f t="shared" si="144"/>
        <v>PO-101544</v>
      </c>
      <c r="O1545" t="str">
        <f t="shared" si="145"/>
        <v>Delivered</v>
      </c>
      <c r="P1545" t="str">
        <f t="shared" si="146"/>
        <v>WH-DEL</v>
      </c>
      <c r="Q1545" t="str">
        <f>VLOOKUP(C1545, Lookups!$A$2:$D$10, 2, FALSE())</f>
        <v>NextGen Hardware</v>
      </c>
      <c r="R1545" t="str">
        <f>_xlfn.XLOOKUP(D1545, Lookups!$A$12:$A$51, Lookups!$C$12:$C$51, "Unknown")</f>
        <v>Electronics</v>
      </c>
      <c r="S1545" t="str">
        <f>IF(ISBLANK(I1545), B1545+VLOOKUP(C1545, Lookups!$A$2:$D$10, 4, FALSE()), I1545)</f>
        <v>2025-07-09</v>
      </c>
      <c r="T1545">
        <f t="shared" si="147"/>
        <v>24</v>
      </c>
      <c r="U1545" t="str">
        <f t="shared" si="148"/>
        <v>On-Time</v>
      </c>
      <c r="V1545">
        <f t="shared" si="149"/>
        <v>0</v>
      </c>
    </row>
    <row r="1546" spans="1:22" x14ac:dyDescent="0.45">
      <c r="A1546" t="s">
        <v>2391</v>
      </c>
      <c r="B1546" t="s">
        <v>506</v>
      </c>
      <c r="C1546" t="s">
        <v>30</v>
      </c>
      <c r="D1546" t="s">
        <v>59</v>
      </c>
      <c r="E1546" t="s">
        <v>913</v>
      </c>
      <c r="F1546">
        <v>229</v>
      </c>
      <c r="G1546">
        <v>48905</v>
      </c>
      <c r="H1546">
        <v>11199245</v>
      </c>
      <c r="I1546" t="s">
        <v>1329</v>
      </c>
      <c r="J1546" t="s">
        <v>325</v>
      </c>
      <c r="K1546">
        <v>229</v>
      </c>
      <c r="L1546">
        <v>0</v>
      </c>
      <c r="M1546" t="s">
        <v>115</v>
      </c>
      <c r="N1546" t="str">
        <f t="shared" si="144"/>
        <v>PO-101545</v>
      </c>
      <c r="O1546" t="str">
        <f t="shared" si="145"/>
        <v>Delivered</v>
      </c>
      <c r="P1546" t="str">
        <f t="shared" si="146"/>
        <v>WH-DEL</v>
      </c>
      <c r="Q1546" t="str">
        <f>VLOOKUP(C1546, Lookups!$A$2:$D$10, 2, FALSE())</f>
        <v>TechSupply Corp</v>
      </c>
      <c r="R1546" t="str">
        <f>_xlfn.XLOOKUP(D1546, Lookups!$A$12:$A$51, Lookups!$C$12:$C$51, "Unknown")</f>
        <v>Electronics</v>
      </c>
      <c r="S1546" t="str">
        <f>IF(ISBLANK(I1546), B1546+VLOOKUP(C1546, Lookups!$A$2:$D$10, 4, FALSE()), I1546)</f>
        <v>2025-05-25</v>
      </c>
      <c r="T1546">
        <f t="shared" si="147"/>
        <v>15</v>
      </c>
      <c r="U1546" t="str">
        <f t="shared" si="148"/>
        <v>Late</v>
      </c>
      <c r="V1546">
        <f t="shared" si="149"/>
        <v>0</v>
      </c>
    </row>
    <row r="1547" spans="1:22" x14ac:dyDescent="0.45">
      <c r="A1547" t="s">
        <v>2392</v>
      </c>
      <c r="B1547" t="s">
        <v>535</v>
      </c>
      <c r="C1547" t="s">
        <v>36</v>
      </c>
      <c r="D1547" t="s">
        <v>87</v>
      </c>
      <c r="E1547" t="s">
        <v>17</v>
      </c>
      <c r="F1547">
        <v>205</v>
      </c>
      <c r="G1547">
        <v>82930</v>
      </c>
      <c r="H1547">
        <v>17000650</v>
      </c>
      <c r="I1547" t="s">
        <v>483</v>
      </c>
      <c r="J1547" t="s">
        <v>417</v>
      </c>
      <c r="K1547">
        <v>205</v>
      </c>
      <c r="L1547">
        <v>0</v>
      </c>
      <c r="M1547" t="s">
        <v>166</v>
      </c>
      <c r="N1547" t="str">
        <f t="shared" si="144"/>
        <v>PO-101546</v>
      </c>
      <c r="O1547" t="str">
        <f t="shared" si="145"/>
        <v>Delivered</v>
      </c>
      <c r="P1547" t="str">
        <f t="shared" si="146"/>
        <v>WH-BLR</v>
      </c>
      <c r="Q1547" t="str">
        <f>VLOOKUP(C1547, Lookups!$A$2:$D$10, 2, FALSE())</f>
        <v>NextGen Hardware</v>
      </c>
      <c r="R1547" t="str">
        <f>_xlfn.XLOOKUP(D1547, Lookups!$A$12:$A$51, Lookups!$C$12:$C$51, "Unknown")</f>
        <v>Electronics</v>
      </c>
      <c r="S1547" t="str">
        <f>IF(ISBLANK(I1547), B1547+VLOOKUP(C1547, Lookups!$A$2:$D$10, 4, FALSE()), I1547)</f>
        <v>2026-06-01</v>
      </c>
      <c r="T1547">
        <f t="shared" si="147"/>
        <v>25</v>
      </c>
      <c r="U1547" t="str">
        <f t="shared" si="148"/>
        <v>Late</v>
      </c>
      <c r="V1547">
        <f t="shared" si="149"/>
        <v>0</v>
      </c>
    </row>
    <row r="1548" spans="1:22" x14ac:dyDescent="0.45">
      <c r="A1548" t="s">
        <v>2393</v>
      </c>
      <c r="B1548" t="s">
        <v>657</v>
      </c>
      <c r="C1548" t="s">
        <v>35</v>
      </c>
      <c r="D1548" t="s">
        <v>65</v>
      </c>
      <c r="E1548" t="s">
        <v>16</v>
      </c>
      <c r="F1548">
        <v>227</v>
      </c>
      <c r="G1548">
        <v>4936</v>
      </c>
      <c r="H1548">
        <v>1120472</v>
      </c>
      <c r="I1548" t="s">
        <v>521</v>
      </c>
      <c r="J1548" t="s">
        <v>1337</v>
      </c>
      <c r="K1548">
        <v>227</v>
      </c>
      <c r="L1548">
        <v>0</v>
      </c>
      <c r="M1548" t="s">
        <v>115</v>
      </c>
      <c r="N1548" t="str">
        <f t="shared" si="144"/>
        <v>PO-101547</v>
      </c>
      <c r="O1548" t="str">
        <f t="shared" si="145"/>
        <v>Delivered</v>
      </c>
      <c r="P1548" t="str">
        <f t="shared" si="146"/>
        <v>WH-DEL</v>
      </c>
      <c r="Q1548" t="str">
        <f>VLOOKUP(C1548, Lookups!$A$2:$D$10, 2, FALSE())</f>
        <v>Peripheral Source</v>
      </c>
      <c r="R1548" t="str">
        <f>_xlfn.XLOOKUP(D1548, Lookups!$A$12:$A$51, Lookups!$C$12:$C$51, "Unknown")</f>
        <v>Peripherals</v>
      </c>
      <c r="S1548" t="str">
        <f>IF(ISBLANK(I1548), B1548+VLOOKUP(C1548, Lookups!$A$2:$D$10, 4, FALSE()), I1548)</f>
        <v>2026-09-16</v>
      </c>
      <c r="T1548">
        <f t="shared" si="147"/>
        <v>16</v>
      </c>
      <c r="U1548" t="str">
        <f t="shared" si="148"/>
        <v>Late</v>
      </c>
      <c r="V1548">
        <f t="shared" si="149"/>
        <v>0</v>
      </c>
    </row>
    <row r="1549" spans="1:22" x14ac:dyDescent="0.45">
      <c r="A1549" t="s">
        <v>2394</v>
      </c>
      <c r="B1549" t="s">
        <v>1343</v>
      </c>
      <c r="C1549" t="s">
        <v>37</v>
      </c>
      <c r="D1549" t="s">
        <v>79</v>
      </c>
      <c r="E1549" t="s">
        <v>913</v>
      </c>
      <c r="F1549">
        <v>179</v>
      </c>
      <c r="G1549">
        <v>23054</v>
      </c>
      <c r="H1549">
        <v>4126666</v>
      </c>
      <c r="I1549" t="s">
        <v>350</v>
      </c>
      <c r="J1549" t="s">
        <v>657</v>
      </c>
      <c r="K1549">
        <v>179</v>
      </c>
      <c r="L1549">
        <v>0</v>
      </c>
      <c r="M1549" t="s">
        <v>115</v>
      </c>
      <c r="N1549" t="str">
        <f t="shared" si="144"/>
        <v>PO-101548</v>
      </c>
      <c r="O1549" t="str">
        <f t="shared" si="145"/>
        <v>Delivered</v>
      </c>
      <c r="P1549" t="str">
        <f t="shared" si="146"/>
        <v>WH-DEL</v>
      </c>
      <c r="Q1549" t="str">
        <f>VLOOKUP(C1549, Lookups!$A$2:$D$10, 2, FALSE())</f>
        <v>Premium Desks Ltd</v>
      </c>
      <c r="R1549" t="str">
        <f>_xlfn.XLOOKUP(D1549, Lookups!$A$12:$A$51, Lookups!$C$12:$C$51, "Unknown")</f>
        <v>Office Furniture</v>
      </c>
      <c r="S1549" t="str">
        <f>IF(ISBLANK(I1549), B1549+VLOOKUP(C1549, Lookups!$A$2:$D$10, 4, FALSE()), I1549)</f>
        <v>2026-09-05</v>
      </c>
      <c r="T1549">
        <f t="shared" si="147"/>
        <v>13</v>
      </c>
      <c r="U1549" t="str">
        <f t="shared" si="148"/>
        <v>Late</v>
      </c>
      <c r="V1549">
        <f t="shared" si="149"/>
        <v>0</v>
      </c>
    </row>
    <row r="1550" spans="1:22" x14ac:dyDescent="0.45">
      <c r="A1550" t="s">
        <v>2395</v>
      </c>
      <c r="B1550" t="s">
        <v>437</v>
      </c>
      <c r="C1550" t="s">
        <v>37</v>
      </c>
      <c r="D1550" t="s">
        <v>69</v>
      </c>
      <c r="E1550" t="s">
        <v>17</v>
      </c>
      <c r="F1550">
        <v>69</v>
      </c>
      <c r="G1550">
        <v>13231</v>
      </c>
      <c r="H1550">
        <v>912939</v>
      </c>
      <c r="I1550" t="s">
        <v>266</v>
      </c>
      <c r="J1550" t="s">
        <v>925</v>
      </c>
      <c r="K1550">
        <v>69</v>
      </c>
      <c r="L1550">
        <v>0</v>
      </c>
      <c r="M1550" t="s">
        <v>115</v>
      </c>
      <c r="N1550" t="str">
        <f t="shared" si="144"/>
        <v>PO-101549</v>
      </c>
      <c r="O1550" t="str">
        <f t="shared" si="145"/>
        <v>Delivered</v>
      </c>
      <c r="P1550" t="str">
        <f t="shared" si="146"/>
        <v>WH-BLR</v>
      </c>
      <c r="Q1550" t="str">
        <f>VLOOKUP(C1550, Lookups!$A$2:$D$10, 2, FALSE())</f>
        <v>Premium Desks Ltd</v>
      </c>
      <c r="R1550" t="str">
        <f>_xlfn.XLOOKUP(D1550, Lookups!$A$12:$A$51, Lookups!$C$12:$C$51, "Unknown")</f>
        <v>Office Furniture</v>
      </c>
      <c r="S1550" t="str">
        <f>IF(ISBLANK(I1550), B1550+VLOOKUP(C1550, Lookups!$A$2:$D$10, 4, FALSE()), I1550)</f>
        <v>2025-02-15</v>
      </c>
      <c r="T1550">
        <f t="shared" si="147"/>
        <v>17</v>
      </c>
      <c r="U1550" t="str">
        <f t="shared" si="148"/>
        <v>Late</v>
      </c>
      <c r="V1550">
        <f t="shared" si="149"/>
        <v>0</v>
      </c>
    </row>
    <row r="1551" spans="1:22" x14ac:dyDescent="0.45">
      <c r="A1551" t="s">
        <v>2396</v>
      </c>
      <c r="B1551" t="s">
        <v>2381</v>
      </c>
      <c r="C1551" t="s">
        <v>34</v>
      </c>
      <c r="D1551" t="s">
        <v>73</v>
      </c>
      <c r="E1551" t="s">
        <v>17</v>
      </c>
      <c r="F1551">
        <v>158</v>
      </c>
      <c r="G1551">
        <v>58396</v>
      </c>
      <c r="H1551">
        <v>9226568</v>
      </c>
      <c r="I1551" t="s">
        <v>292</v>
      </c>
      <c r="J1551" t="s">
        <v>292</v>
      </c>
      <c r="K1551">
        <v>158</v>
      </c>
      <c r="L1551">
        <v>0</v>
      </c>
      <c r="M1551" t="s">
        <v>115</v>
      </c>
      <c r="N1551" t="str">
        <f t="shared" si="144"/>
        <v>PO-101550</v>
      </c>
      <c r="O1551" t="str">
        <f t="shared" si="145"/>
        <v>Delivered</v>
      </c>
      <c r="P1551" t="str">
        <f t="shared" si="146"/>
        <v>WH-BLR</v>
      </c>
      <c r="Q1551" t="str">
        <f>VLOOKUP(C1551, Lookups!$A$2:$D$10, 2, FALSE())</f>
        <v>FastElectronics</v>
      </c>
      <c r="R1551" t="str">
        <f>_xlfn.XLOOKUP(D1551, Lookups!$A$12:$A$51, Lookups!$C$12:$C$51, "Unknown")</f>
        <v>Electronics</v>
      </c>
      <c r="S1551" t="str">
        <f>IF(ISBLANK(I1551), B1551+VLOOKUP(C1551, Lookups!$A$2:$D$10, 4, FALSE()), I1551)</f>
        <v>2025-08-17</v>
      </c>
      <c r="T1551">
        <f t="shared" si="147"/>
        <v>18</v>
      </c>
      <c r="U1551" t="str">
        <f t="shared" si="148"/>
        <v>On-Time</v>
      </c>
      <c r="V1551">
        <f t="shared" si="149"/>
        <v>0</v>
      </c>
    </row>
    <row r="1552" spans="1:22" x14ac:dyDescent="0.45">
      <c r="A1552" t="s">
        <v>2397</v>
      </c>
      <c r="B1552" t="s">
        <v>989</v>
      </c>
      <c r="C1552" t="s">
        <v>37</v>
      </c>
      <c r="D1552" t="s">
        <v>79</v>
      </c>
      <c r="E1552" t="s">
        <v>17</v>
      </c>
      <c r="F1552">
        <v>35</v>
      </c>
      <c r="G1552">
        <v>23054</v>
      </c>
      <c r="H1552">
        <v>806890</v>
      </c>
      <c r="I1552" t="s">
        <v>777</v>
      </c>
      <c r="J1552" t="s">
        <v>372</v>
      </c>
      <c r="K1552">
        <v>35</v>
      </c>
      <c r="L1552">
        <v>4</v>
      </c>
      <c r="M1552" t="s">
        <v>115</v>
      </c>
      <c r="N1552" t="str">
        <f t="shared" si="144"/>
        <v>PO-101551</v>
      </c>
      <c r="O1552" t="str">
        <f t="shared" si="145"/>
        <v>Delivered</v>
      </c>
      <c r="P1552" t="str">
        <f t="shared" si="146"/>
        <v>WH-BLR</v>
      </c>
      <c r="Q1552" t="str">
        <f>VLOOKUP(C1552, Lookups!$A$2:$D$10, 2, FALSE())</f>
        <v>Premium Desks Ltd</v>
      </c>
      <c r="R1552" t="str">
        <f>_xlfn.XLOOKUP(D1552, Lookups!$A$12:$A$51, Lookups!$C$12:$C$51, "Unknown")</f>
        <v>Office Furniture</v>
      </c>
      <c r="S1552" t="str">
        <f>IF(ISBLANK(I1552), B1552+VLOOKUP(C1552, Lookups!$A$2:$D$10, 4, FALSE()), I1552)</f>
        <v>2025-11-25</v>
      </c>
      <c r="T1552">
        <f t="shared" si="147"/>
        <v>18</v>
      </c>
      <c r="U1552" t="str">
        <f t="shared" si="148"/>
        <v>Late</v>
      </c>
      <c r="V1552">
        <f t="shared" si="149"/>
        <v>0.11428571428571428</v>
      </c>
    </row>
    <row r="1553" spans="1:22" x14ac:dyDescent="0.45">
      <c r="A1553" t="s">
        <v>2398</v>
      </c>
      <c r="B1553" t="s">
        <v>393</v>
      </c>
      <c r="C1553" t="s">
        <v>34</v>
      </c>
      <c r="D1553" t="s">
        <v>81</v>
      </c>
      <c r="E1553" t="s">
        <v>15</v>
      </c>
      <c r="F1553">
        <v>131</v>
      </c>
      <c r="G1553">
        <v>55328</v>
      </c>
      <c r="H1553">
        <v>7247968</v>
      </c>
      <c r="I1553" t="s">
        <v>394</v>
      </c>
      <c r="J1553" t="s">
        <v>394</v>
      </c>
      <c r="K1553">
        <v>131</v>
      </c>
      <c r="L1553">
        <v>0</v>
      </c>
      <c r="M1553" t="s">
        <v>301</v>
      </c>
      <c r="N1553" t="str">
        <f t="shared" si="144"/>
        <v>PO-101552</v>
      </c>
      <c r="O1553" t="str">
        <f t="shared" si="145"/>
        <v>Delivered</v>
      </c>
      <c r="P1553" t="str">
        <f t="shared" si="146"/>
        <v>WH-BOM</v>
      </c>
      <c r="Q1553" t="str">
        <f>VLOOKUP(C1553, Lookups!$A$2:$D$10, 2, FALSE())</f>
        <v>FastElectronics</v>
      </c>
      <c r="R1553" t="str">
        <f>_xlfn.XLOOKUP(D1553, Lookups!$A$12:$A$51, Lookups!$C$12:$C$51, "Unknown")</f>
        <v>Electronics</v>
      </c>
      <c r="S1553" t="str">
        <f>IF(ISBLANK(I1553), B1553+VLOOKUP(C1553, Lookups!$A$2:$D$10, 4, FALSE()), I1553)</f>
        <v>2025-09-16</v>
      </c>
      <c r="T1553">
        <f t="shared" si="147"/>
        <v>18</v>
      </c>
      <c r="U1553" t="str">
        <f t="shared" si="148"/>
        <v>On-Time</v>
      </c>
      <c r="V1553">
        <f t="shared" si="149"/>
        <v>0</v>
      </c>
    </row>
    <row r="1554" spans="1:22" x14ac:dyDescent="0.45">
      <c r="A1554" t="s">
        <v>2399</v>
      </c>
      <c r="B1554" t="s">
        <v>252</v>
      </c>
      <c r="C1554" t="s">
        <v>34</v>
      </c>
      <c r="D1554" t="s">
        <v>76</v>
      </c>
      <c r="E1554" t="s">
        <v>17</v>
      </c>
      <c r="F1554">
        <v>170</v>
      </c>
      <c r="G1554">
        <v>26270</v>
      </c>
      <c r="H1554">
        <v>4465900</v>
      </c>
      <c r="I1554" t="s">
        <v>173</v>
      </c>
      <c r="J1554" t="s">
        <v>173</v>
      </c>
      <c r="K1554">
        <v>137</v>
      </c>
      <c r="L1554">
        <v>0</v>
      </c>
      <c r="M1554" t="s">
        <v>115</v>
      </c>
      <c r="N1554" t="str">
        <f t="shared" si="144"/>
        <v>PO-101553</v>
      </c>
      <c r="O1554" t="str">
        <f t="shared" si="145"/>
        <v>Delivered</v>
      </c>
      <c r="P1554" t="str">
        <f t="shared" si="146"/>
        <v>WH-BLR</v>
      </c>
      <c r="Q1554" t="str">
        <f>VLOOKUP(C1554, Lookups!$A$2:$D$10, 2, FALSE())</f>
        <v>FastElectronics</v>
      </c>
      <c r="R1554" t="str">
        <f>_xlfn.XLOOKUP(D1554, Lookups!$A$12:$A$51, Lookups!$C$12:$C$51, "Unknown")</f>
        <v>Networking</v>
      </c>
      <c r="S1554" t="str">
        <f>IF(ISBLANK(I1554), B1554+VLOOKUP(C1554, Lookups!$A$2:$D$10, 4, FALSE()), I1554)</f>
        <v>2025-09-06</v>
      </c>
      <c r="T1554">
        <f t="shared" si="147"/>
        <v>18</v>
      </c>
      <c r="U1554" t="str">
        <f t="shared" si="148"/>
        <v>On-Time</v>
      </c>
      <c r="V1554">
        <f t="shared" si="149"/>
        <v>0</v>
      </c>
    </row>
    <row r="1555" spans="1:22" x14ac:dyDescent="0.45">
      <c r="A1555" t="s">
        <v>2400</v>
      </c>
      <c r="B1555" t="s">
        <v>683</v>
      </c>
      <c r="C1555" t="s">
        <v>34</v>
      </c>
      <c r="D1555" t="s">
        <v>74</v>
      </c>
      <c r="E1555" t="s">
        <v>17</v>
      </c>
      <c r="F1555">
        <v>198</v>
      </c>
      <c r="G1555">
        <v>94797</v>
      </c>
      <c r="H1555">
        <v>18769806</v>
      </c>
      <c r="I1555" t="s">
        <v>349</v>
      </c>
      <c r="J1555" t="s">
        <v>350</v>
      </c>
      <c r="K1555">
        <v>198</v>
      </c>
      <c r="L1555">
        <v>0</v>
      </c>
      <c r="M1555" t="s">
        <v>115</v>
      </c>
      <c r="N1555" t="str">
        <f t="shared" si="144"/>
        <v>PO-101554</v>
      </c>
      <c r="O1555" t="str">
        <f t="shared" si="145"/>
        <v>Delivered</v>
      </c>
      <c r="P1555" t="str">
        <f t="shared" si="146"/>
        <v>WH-BLR</v>
      </c>
      <c r="Q1555" t="str">
        <f>VLOOKUP(C1555, Lookups!$A$2:$D$10, 2, FALSE())</f>
        <v>FastElectronics</v>
      </c>
      <c r="R1555" t="str">
        <f>_xlfn.XLOOKUP(D1555, Lookups!$A$12:$A$51, Lookups!$C$12:$C$51, "Unknown")</f>
        <v>Electronics</v>
      </c>
      <c r="S1555" t="str">
        <f>IF(ISBLANK(I1555), B1555+VLOOKUP(C1555, Lookups!$A$2:$D$10, 4, FALSE()), I1555)</f>
        <v>2026-09-04</v>
      </c>
      <c r="T1555">
        <f t="shared" si="147"/>
        <v>19</v>
      </c>
      <c r="U1555" t="str">
        <f t="shared" si="148"/>
        <v>Late</v>
      </c>
      <c r="V1555">
        <f t="shared" si="149"/>
        <v>0</v>
      </c>
    </row>
    <row r="1556" spans="1:22" x14ac:dyDescent="0.45">
      <c r="A1556" t="s">
        <v>2401</v>
      </c>
      <c r="B1556" t="s">
        <v>813</v>
      </c>
      <c r="C1556" t="s">
        <v>35</v>
      </c>
      <c r="D1556" t="s">
        <v>91</v>
      </c>
      <c r="E1556" t="s">
        <v>16</v>
      </c>
      <c r="F1556">
        <v>137</v>
      </c>
      <c r="G1556">
        <v>6707</v>
      </c>
      <c r="H1556">
        <v>918859</v>
      </c>
      <c r="I1556" t="s">
        <v>396</v>
      </c>
      <c r="J1556" t="s">
        <v>396</v>
      </c>
      <c r="K1556">
        <v>137</v>
      </c>
      <c r="L1556">
        <v>0</v>
      </c>
      <c r="M1556" t="s">
        <v>115</v>
      </c>
      <c r="N1556" t="str">
        <f t="shared" si="144"/>
        <v>PO-101555</v>
      </c>
      <c r="O1556" t="str">
        <f t="shared" si="145"/>
        <v>Delivered</v>
      </c>
      <c r="P1556" t="str">
        <f t="shared" si="146"/>
        <v>WH-DEL</v>
      </c>
      <c r="Q1556" t="str">
        <f>VLOOKUP(C1556, Lookups!$A$2:$D$10, 2, FALSE())</f>
        <v>Peripheral Source</v>
      </c>
      <c r="R1556" t="str">
        <f>_xlfn.XLOOKUP(D1556, Lookups!$A$12:$A$51, Lookups!$C$12:$C$51, "Unknown")</f>
        <v>Peripherals</v>
      </c>
      <c r="S1556" t="str">
        <f>IF(ISBLANK(I1556), B1556+VLOOKUP(C1556, Lookups!$A$2:$D$10, 4, FALSE()), I1556)</f>
        <v>2025-03-27</v>
      </c>
      <c r="T1556">
        <f t="shared" si="147"/>
        <v>10</v>
      </c>
      <c r="U1556" t="str">
        <f t="shared" si="148"/>
        <v>On-Time</v>
      </c>
      <c r="V1556">
        <f t="shared" si="149"/>
        <v>0</v>
      </c>
    </row>
    <row r="1557" spans="1:22" x14ac:dyDescent="0.45">
      <c r="A1557" t="s">
        <v>2402</v>
      </c>
      <c r="B1557" t="s">
        <v>1216</v>
      </c>
      <c r="C1557" t="s">
        <v>31</v>
      </c>
      <c r="D1557" t="s">
        <v>64</v>
      </c>
      <c r="E1557" t="s">
        <v>18</v>
      </c>
      <c r="F1557">
        <v>96</v>
      </c>
      <c r="G1557">
        <v>36295</v>
      </c>
      <c r="H1557">
        <v>3484320</v>
      </c>
      <c r="I1557" t="s">
        <v>840</v>
      </c>
      <c r="J1557" t="s">
        <v>840</v>
      </c>
      <c r="K1557">
        <v>96</v>
      </c>
      <c r="L1557">
        <v>0</v>
      </c>
      <c r="M1557" t="s">
        <v>115</v>
      </c>
      <c r="N1557" t="str">
        <f t="shared" si="144"/>
        <v>PO-101556</v>
      </c>
      <c r="O1557" t="str">
        <f t="shared" si="145"/>
        <v>Delivered</v>
      </c>
      <c r="P1557" t="str">
        <f t="shared" si="146"/>
        <v>WH-PUN</v>
      </c>
      <c r="Q1557" t="str">
        <f>VLOOKUP(C1557, Lookups!$A$2:$D$10, 2, FALSE())</f>
        <v>Global Networks</v>
      </c>
      <c r="R1557" t="str">
        <f>_xlfn.XLOOKUP(D1557, Lookups!$A$12:$A$51, Lookups!$C$12:$C$51, "Unknown")</f>
        <v>Networking</v>
      </c>
      <c r="S1557" t="str">
        <f>IF(ISBLANK(I1557), B1557+VLOOKUP(C1557, Lookups!$A$2:$D$10, 4, FALSE()), I1557)</f>
        <v>2026-03-17</v>
      </c>
      <c r="T1557">
        <f t="shared" si="147"/>
        <v>21</v>
      </c>
      <c r="U1557" t="str">
        <f t="shared" si="148"/>
        <v>On-Time</v>
      </c>
      <c r="V1557">
        <f t="shared" si="149"/>
        <v>0</v>
      </c>
    </row>
    <row r="1558" spans="1:22" x14ac:dyDescent="0.45">
      <c r="A1558" t="s">
        <v>2403</v>
      </c>
      <c r="B1558" t="s">
        <v>2281</v>
      </c>
      <c r="C1558" t="s">
        <v>37</v>
      </c>
      <c r="D1558" t="s">
        <v>83</v>
      </c>
      <c r="E1558" t="s">
        <v>18</v>
      </c>
      <c r="F1558">
        <v>134</v>
      </c>
      <c r="G1558">
        <v>19850</v>
      </c>
      <c r="H1558">
        <v>2659900</v>
      </c>
      <c r="I1558" t="s">
        <v>1386</v>
      </c>
      <c r="J1558" t="s">
        <v>1386</v>
      </c>
      <c r="K1558">
        <v>134</v>
      </c>
      <c r="L1558">
        <v>0</v>
      </c>
      <c r="M1558" t="s">
        <v>115</v>
      </c>
      <c r="N1558" t="str">
        <f t="shared" si="144"/>
        <v>PO-101557</v>
      </c>
      <c r="O1558" t="str">
        <f t="shared" si="145"/>
        <v>Delivered</v>
      </c>
      <c r="P1558" t="str">
        <f t="shared" si="146"/>
        <v>WH-PUN</v>
      </c>
      <c r="Q1558" t="str">
        <f>VLOOKUP(C1558, Lookups!$A$2:$D$10, 2, FALSE())</f>
        <v>Premium Desks Ltd</v>
      </c>
      <c r="R1558" t="str">
        <f>_xlfn.XLOOKUP(D1558, Lookups!$A$12:$A$51, Lookups!$C$12:$C$51, "Unknown")</f>
        <v>Office Furniture</v>
      </c>
      <c r="S1558" t="str">
        <f>IF(ISBLANK(I1558), B1558+VLOOKUP(C1558, Lookups!$A$2:$D$10, 4, FALSE()), I1558)</f>
        <v>2026-06-29</v>
      </c>
      <c r="T1558">
        <f t="shared" si="147"/>
        <v>12</v>
      </c>
      <c r="U1558" t="str">
        <f t="shared" si="148"/>
        <v>On-Time</v>
      </c>
      <c r="V1558">
        <f t="shared" si="149"/>
        <v>0</v>
      </c>
    </row>
    <row r="1559" spans="1:22" x14ac:dyDescent="0.45">
      <c r="A1559" t="s">
        <v>2404</v>
      </c>
      <c r="B1559" t="s">
        <v>1090</v>
      </c>
      <c r="C1559" t="s">
        <v>35</v>
      </c>
      <c r="D1559" t="s">
        <v>65</v>
      </c>
      <c r="E1559" t="s">
        <v>17</v>
      </c>
      <c r="F1559">
        <v>32</v>
      </c>
      <c r="G1559">
        <v>4936</v>
      </c>
      <c r="H1559">
        <v>157952</v>
      </c>
      <c r="I1559" t="s">
        <v>432</v>
      </c>
      <c r="J1559" t="s">
        <v>432</v>
      </c>
      <c r="K1559">
        <v>32</v>
      </c>
      <c r="L1559">
        <v>0</v>
      </c>
      <c r="M1559" t="s">
        <v>115</v>
      </c>
      <c r="N1559" t="str">
        <f t="shared" si="144"/>
        <v>PO-101558</v>
      </c>
      <c r="O1559" t="str">
        <f t="shared" si="145"/>
        <v>Delivered</v>
      </c>
      <c r="P1559" t="str">
        <f t="shared" si="146"/>
        <v>WH-BLR</v>
      </c>
      <c r="Q1559" t="str">
        <f>VLOOKUP(C1559, Lookups!$A$2:$D$10, 2, FALSE())</f>
        <v>Peripheral Source</v>
      </c>
      <c r="R1559" t="str">
        <f>_xlfn.XLOOKUP(D1559, Lookups!$A$12:$A$51, Lookups!$C$12:$C$51, "Unknown")</f>
        <v>Peripherals</v>
      </c>
      <c r="S1559" t="str">
        <f>IF(ISBLANK(I1559), B1559+VLOOKUP(C1559, Lookups!$A$2:$D$10, 4, FALSE()), I1559)</f>
        <v>2025-03-25</v>
      </c>
      <c r="T1559">
        <f t="shared" si="147"/>
        <v>10</v>
      </c>
      <c r="U1559" t="str">
        <f t="shared" si="148"/>
        <v>On-Time</v>
      </c>
      <c r="V1559">
        <f t="shared" si="149"/>
        <v>0</v>
      </c>
    </row>
    <row r="1560" spans="1:22" x14ac:dyDescent="0.45">
      <c r="A1560" t="s">
        <v>2405</v>
      </c>
      <c r="B1560" t="s">
        <v>141</v>
      </c>
      <c r="C1560" t="s">
        <v>30</v>
      </c>
      <c r="D1560" t="s">
        <v>53</v>
      </c>
      <c r="E1560" t="s">
        <v>17</v>
      </c>
      <c r="F1560">
        <v>55</v>
      </c>
      <c r="G1560">
        <v>81048</v>
      </c>
      <c r="H1560">
        <v>4457640</v>
      </c>
      <c r="I1560" t="s">
        <v>2246</v>
      </c>
      <c r="J1560" t="s">
        <v>176</v>
      </c>
      <c r="K1560">
        <v>55</v>
      </c>
      <c r="L1560">
        <v>0</v>
      </c>
      <c r="M1560" t="s">
        <v>115</v>
      </c>
      <c r="N1560" t="str">
        <f t="shared" si="144"/>
        <v>PO-101559</v>
      </c>
      <c r="O1560" t="str">
        <f t="shared" si="145"/>
        <v>Delivered</v>
      </c>
      <c r="P1560" t="str">
        <f t="shared" si="146"/>
        <v>WH-BLR</v>
      </c>
      <c r="Q1560" t="str">
        <f>VLOOKUP(C1560, Lookups!$A$2:$D$10, 2, FALSE())</f>
        <v>TechSupply Corp</v>
      </c>
      <c r="R1560" t="str">
        <f>_xlfn.XLOOKUP(D1560, Lookups!$A$12:$A$51, Lookups!$C$12:$C$51, "Unknown")</f>
        <v>Electronics</v>
      </c>
      <c r="S1560" t="str">
        <f>IF(ISBLANK(I1560), B1560+VLOOKUP(C1560, Lookups!$A$2:$D$10, 4, FALSE()), I1560)</f>
        <v>2026-08-06</v>
      </c>
      <c r="T1560">
        <f t="shared" si="147"/>
        <v>15</v>
      </c>
      <c r="U1560" t="str">
        <f t="shared" si="148"/>
        <v>Late</v>
      </c>
      <c r="V1560">
        <f t="shared" si="149"/>
        <v>0</v>
      </c>
    </row>
    <row r="1561" spans="1:22" x14ac:dyDescent="0.45">
      <c r="A1561" t="s">
        <v>2406</v>
      </c>
      <c r="B1561" t="s">
        <v>556</v>
      </c>
      <c r="C1561" t="s">
        <v>36</v>
      </c>
      <c r="D1561" t="s">
        <v>90</v>
      </c>
      <c r="E1561" t="s">
        <v>15</v>
      </c>
      <c r="F1561">
        <v>183</v>
      </c>
      <c r="G1561">
        <v>81434</v>
      </c>
      <c r="H1561">
        <v>14902422</v>
      </c>
      <c r="I1561" t="s">
        <v>180</v>
      </c>
      <c r="J1561" t="s">
        <v>1254</v>
      </c>
      <c r="K1561">
        <v>183</v>
      </c>
      <c r="L1561">
        <v>0</v>
      </c>
      <c r="M1561" t="s">
        <v>115</v>
      </c>
      <c r="N1561" t="str">
        <f t="shared" si="144"/>
        <v>PO-101560</v>
      </c>
      <c r="O1561" t="str">
        <f t="shared" si="145"/>
        <v>Delivered</v>
      </c>
      <c r="P1561" t="str">
        <f t="shared" si="146"/>
        <v>WH-BOM</v>
      </c>
      <c r="Q1561" t="str">
        <f>VLOOKUP(C1561, Lookups!$A$2:$D$10, 2, FALSE())</f>
        <v>NextGen Hardware</v>
      </c>
      <c r="R1561" t="str">
        <f>_xlfn.XLOOKUP(D1561, Lookups!$A$12:$A$51, Lookups!$C$12:$C$51, "Unknown")</f>
        <v>Electronics</v>
      </c>
      <c r="S1561" t="str">
        <f>IF(ISBLANK(I1561), B1561+VLOOKUP(C1561, Lookups!$A$2:$D$10, 4, FALSE()), I1561)</f>
        <v>2026-10-09</v>
      </c>
      <c r="T1561">
        <f t="shared" si="147"/>
        <v>25</v>
      </c>
      <c r="U1561" t="str">
        <f t="shared" si="148"/>
        <v>Late</v>
      </c>
      <c r="V1561">
        <f t="shared" si="149"/>
        <v>0</v>
      </c>
    </row>
    <row r="1562" spans="1:22" x14ac:dyDescent="0.45">
      <c r="A1562" t="s">
        <v>2407</v>
      </c>
      <c r="B1562" t="s">
        <v>437</v>
      </c>
      <c r="C1562" t="s">
        <v>34</v>
      </c>
      <c r="D1562" t="s">
        <v>58</v>
      </c>
      <c r="E1562" t="s">
        <v>15</v>
      </c>
      <c r="F1562">
        <v>30</v>
      </c>
      <c r="G1562">
        <v>100302</v>
      </c>
      <c r="H1562">
        <v>3009060</v>
      </c>
      <c r="I1562" t="s">
        <v>1484</v>
      </c>
      <c r="J1562" t="s">
        <v>633</v>
      </c>
      <c r="K1562">
        <v>30</v>
      </c>
      <c r="L1562">
        <v>0</v>
      </c>
      <c r="M1562" t="s">
        <v>115</v>
      </c>
      <c r="N1562" t="str">
        <f t="shared" si="144"/>
        <v>PO-101561</v>
      </c>
      <c r="O1562" t="str">
        <f t="shared" si="145"/>
        <v>Delivered</v>
      </c>
      <c r="P1562" t="str">
        <f t="shared" si="146"/>
        <v>WH-BOM</v>
      </c>
      <c r="Q1562" t="str">
        <f>VLOOKUP(C1562, Lookups!$A$2:$D$10, 2, FALSE())</f>
        <v>FastElectronics</v>
      </c>
      <c r="R1562" t="str">
        <f>_xlfn.XLOOKUP(D1562, Lookups!$A$12:$A$51, Lookups!$C$12:$C$51, "Unknown")</f>
        <v>Electronics</v>
      </c>
      <c r="S1562" t="str">
        <f>IF(ISBLANK(I1562), B1562+VLOOKUP(C1562, Lookups!$A$2:$D$10, 4, FALSE()), I1562)</f>
        <v>2025-02-21</v>
      </c>
      <c r="T1562">
        <f t="shared" si="147"/>
        <v>14</v>
      </c>
      <c r="U1562" t="str">
        <f t="shared" si="148"/>
        <v>On-Time</v>
      </c>
      <c r="V1562">
        <f t="shared" si="149"/>
        <v>0</v>
      </c>
    </row>
    <row r="1563" spans="1:22" x14ac:dyDescent="0.45">
      <c r="A1563" t="s">
        <v>2408</v>
      </c>
      <c r="B1563" t="s">
        <v>1208</v>
      </c>
      <c r="C1563" t="s">
        <v>36</v>
      </c>
      <c r="D1563" t="s">
        <v>71</v>
      </c>
      <c r="E1563" t="s">
        <v>17</v>
      </c>
      <c r="F1563">
        <v>56</v>
      </c>
      <c r="G1563">
        <v>65379</v>
      </c>
      <c r="H1563">
        <v>3661224</v>
      </c>
      <c r="I1563" t="s">
        <v>1038</v>
      </c>
      <c r="J1563" t="s">
        <v>1202</v>
      </c>
      <c r="K1563">
        <v>56</v>
      </c>
      <c r="L1563">
        <v>0</v>
      </c>
      <c r="M1563" t="s">
        <v>115</v>
      </c>
      <c r="N1563" t="str">
        <f t="shared" si="144"/>
        <v>PO-101562</v>
      </c>
      <c r="O1563" t="str">
        <f t="shared" si="145"/>
        <v>Delivered</v>
      </c>
      <c r="P1563" t="str">
        <f t="shared" si="146"/>
        <v>WH-BLR</v>
      </c>
      <c r="Q1563" t="str">
        <f>VLOOKUP(C1563, Lookups!$A$2:$D$10, 2, FALSE())</f>
        <v>NextGen Hardware</v>
      </c>
      <c r="R1563" t="str">
        <f>_xlfn.XLOOKUP(D1563, Lookups!$A$12:$A$51, Lookups!$C$12:$C$51, "Unknown")</f>
        <v>Electronics</v>
      </c>
      <c r="S1563" t="str">
        <f>IF(ISBLANK(I1563), B1563+VLOOKUP(C1563, Lookups!$A$2:$D$10, 4, FALSE()), I1563)</f>
        <v>2025-01-25</v>
      </c>
      <c r="T1563">
        <f t="shared" si="147"/>
        <v>25</v>
      </c>
      <c r="U1563" t="str">
        <f t="shared" si="148"/>
        <v>Late</v>
      </c>
      <c r="V1563">
        <f t="shared" si="149"/>
        <v>0</v>
      </c>
    </row>
    <row r="1564" spans="1:22" x14ac:dyDescent="0.45">
      <c r="A1564" t="s">
        <v>2409</v>
      </c>
      <c r="B1564" t="s">
        <v>473</v>
      </c>
      <c r="C1564" t="s">
        <v>31</v>
      </c>
      <c r="D1564" t="s">
        <v>56</v>
      </c>
      <c r="E1564" t="s">
        <v>326</v>
      </c>
      <c r="F1564">
        <v>159</v>
      </c>
      <c r="G1564">
        <v>39270</v>
      </c>
      <c r="H1564">
        <v>6243930</v>
      </c>
      <c r="I1564" t="s">
        <v>1187</v>
      </c>
      <c r="J1564" t="s">
        <v>1187</v>
      </c>
      <c r="K1564">
        <v>146</v>
      </c>
      <c r="L1564">
        <v>0</v>
      </c>
      <c r="M1564" t="s">
        <v>115</v>
      </c>
      <c r="N1564" t="str">
        <f t="shared" si="144"/>
        <v>PO-101563</v>
      </c>
      <c r="O1564" t="str">
        <f t="shared" si="145"/>
        <v>Delivered</v>
      </c>
      <c r="P1564" t="str">
        <f t="shared" si="146"/>
        <v>WH-BLR</v>
      </c>
      <c r="Q1564" t="str">
        <f>VLOOKUP(C1564, Lookups!$A$2:$D$10, 2, FALSE())</f>
        <v>Global Networks</v>
      </c>
      <c r="R1564" t="str">
        <f>_xlfn.XLOOKUP(D1564, Lookups!$A$12:$A$51, Lookups!$C$12:$C$51, "Unknown")</f>
        <v>Networking</v>
      </c>
      <c r="S1564" t="str">
        <f>IF(ISBLANK(I1564), B1564+VLOOKUP(C1564, Lookups!$A$2:$D$10, 4, FALSE()), I1564)</f>
        <v>2025-07-01</v>
      </c>
      <c r="T1564">
        <f t="shared" si="147"/>
        <v>21</v>
      </c>
      <c r="U1564" t="str">
        <f t="shared" si="148"/>
        <v>On-Time</v>
      </c>
      <c r="V1564">
        <f t="shared" si="149"/>
        <v>0</v>
      </c>
    </row>
    <row r="1565" spans="1:22" x14ac:dyDescent="0.45">
      <c r="A1565" t="s">
        <v>2410</v>
      </c>
      <c r="B1565" t="s">
        <v>1165</v>
      </c>
      <c r="C1565" t="s">
        <v>34</v>
      </c>
      <c r="D1565" t="s">
        <v>76</v>
      </c>
      <c r="E1565" t="s">
        <v>17</v>
      </c>
      <c r="F1565">
        <v>221</v>
      </c>
      <c r="G1565">
        <v>26270</v>
      </c>
      <c r="H1565">
        <v>5805670</v>
      </c>
      <c r="I1565" t="s">
        <v>844</v>
      </c>
      <c r="J1565" t="s">
        <v>844</v>
      </c>
      <c r="K1565">
        <v>221</v>
      </c>
      <c r="L1565">
        <v>0</v>
      </c>
      <c r="M1565" t="s">
        <v>115</v>
      </c>
      <c r="N1565" t="str">
        <f t="shared" si="144"/>
        <v>PO-101564</v>
      </c>
      <c r="O1565" t="str">
        <f t="shared" si="145"/>
        <v>Delivered</v>
      </c>
      <c r="P1565" t="str">
        <f t="shared" si="146"/>
        <v>WH-BLR</v>
      </c>
      <c r="Q1565" t="str">
        <f>VLOOKUP(C1565, Lookups!$A$2:$D$10, 2, FALSE())</f>
        <v>FastElectronics</v>
      </c>
      <c r="R1565" t="str">
        <f>_xlfn.XLOOKUP(D1565, Lookups!$A$12:$A$51, Lookups!$C$12:$C$51, "Unknown")</f>
        <v>Networking</v>
      </c>
      <c r="S1565" t="str">
        <f>IF(ISBLANK(I1565), B1565+VLOOKUP(C1565, Lookups!$A$2:$D$10, 4, FALSE()), I1565)</f>
        <v>2025-04-28</v>
      </c>
      <c r="T1565">
        <f t="shared" si="147"/>
        <v>18</v>
      </c>
      <c r="U1565" t="str">
        <f t="shared" si="148"/>
        <v>On-Time</v>
      </c>
      <c r="V1565">
        <f t="shared" si="149"/>
        <v>0</v>
      </c>
    </row>
    <row r="1566" spans="1:22" x14ac:dyDescent="0.45">
      <c r="A1566" t="s">
        <v>2411</v>
      </c>
      <c r="B1566" t="s">
        <v>734</v>
      </c>
      <c r="C1566" t="s">
        <v>36</v>
      </c>
      <c r="D1566" t="s">
        <v>90</v>
      </c>
      <c r="E1566" t="s">
        <v>15</v>
      </c>
      <c r="F1566">
        <v>97</v>
      </c>
      <c r="G1566">
        <v>81434</v>
      </c>
      <c r="H1566">
        <v>7899098</v>
      </c>
      <c r="I1566" t="s">
        <v>1140</v>
      </c>
      <c r="J1566" t="s">
        <v>382</v>
      </c>
      <c r="K1566">
        <v>97</v>
      </c>
      <c r="L1566">
        <v>0</v>
      </c>
      <c r="M1566" t="s">
        <v>115</v>
      </c>
      <c r="N1566" t="str">
        <f t="shared" si="144"/>
        <v>PO-101565</v>
      </c>
      <c r="O1566" t="str">
        <f t="shared" si="145"/>
        <v>Delivered</v>
      </c>
      <c r="P1566" t="str">
        <f t="shared" si="146"/>
        <v>WH-BOM</v>
      </c>
      <c r="Q1566" t="str">
        <f>VLOOKUP(C1566, Lookups!$A$2:$D$10, 2, FALSE())</f>
        <v>NextGen Hardware</v>
      </c>
      <c r="R1566" t="str">
        <f>_xlfn.XLOOKUP(D1566, Lookups!$A$12:$A$51, Lookups!$C$12:$C$51, "Unknown")</f>
        <v>Electronics</v>
      </c>
      <c r="S1566" t="str">
        <f>IF(ISBLANK(I1566), B1566+VLOOKUP(C1566, Lookups!$A$2:$D$10, 4, FALSE()), I1566)</f>
        <v>2026-11-30</v>
      </c>
      <c r="T1566">
        <f t="shared" si="147"/>
        <v>25</v>
      </c>
      <c r="U1566" t="str">
        <f t="shared" si="148"/>
        <v>Late</v>
      </c>
      <c r="V1566">
        <f t="shared" si="149"/>
        <v>0</v>
      </c>
    </row>
    <row r="1567" spans="1:22" x14ac:dyDescent="0.45">
      <c r="A1567" t="s">
        <v>2412</v>
      </c>
      <c r="B1567" t="s">
        <v>489</v>
      </c>
      <c r="C1567" t="s">
        <v>34</v>
      </c>
      <c r="D1567" t="s">
        <v>76</v>
      </c>
      <c r="E1567" t="s">
        <v>18</v>
      </c>
      <c r="F1567">
        <v>166</v>
      </c>
      <c r="G1567">
        <v>26270</v>
      </c>
      <c r="H1567">
        <v>4360820</v>
      </c>
      <c r="I1567" t="s">
        <v>266</v>
      </c>
      <c r="J1567" t="s">
        <v>379</v>
      </c>
      <c r="K1567">
        <v>166</v>
      </c>
      <c r="L1567">
        <v>0</v>
      </c>
      <c r="M1567" t="s">
        <v>115</v>
      </c>
      <c r="N1567" t="str">
        <f t="shared" si="144"/>
        <v>PO-101566</v>
      </c>
      <c r="O1567" t="str">
        <f t="shared" si="145"/>
        <v>Delivered</v>
      </c>
      <c r="P1567" t="str">
        <f t="shared" si="146"/>
        <v>WH-PUN</v>
      </c>
      <c r="Q1567" t="str">
        <f>VLOOKUP(C1567, Lookups!$A$2:$D$10, 2, FALSE())</f>
        <v>FastElectronics</v>
      </c>
      <c r="R1567" t="str">
        <f>_xlfn.XLOOKUP(D1567, Lookups!$A$12:$A$51, Lookups!$C$12:$C$51, "Unknown")</f>
        <v>Networking</v>
      </c>
      <c r="S1567" t="str">
        <f>IF(ISBLANK(I1567), B1567+VLOOKUP(C1567, Lookups!$A$2:$D$10, 4, FALSE()), I1567)</f>
        <v>2025-02-15</v>
      </c>
      <c r="T1567">
        <f t="shared" si="147"/>
        <v>19</v>
      </c>
      <c r="U1567" t="str">
        <f t="shared" si="148"/>
        <v>Late</v>
      </c>
      <c r="V1567">
        <f t="shared" si="149"/>
        <v>0</v>
      </c>
    </row>
    <row r="1568" spans="1:22" x14ac:dyDescent="0.45">
      <c r="A1568" t="s">
        <v>2413</v>
      </c>
      <c r="B1568" t="s">
        <v>203</v>
      </c>
      <c r="C1568" t="s">
        <v>36</v>
      </c>
      <c r="D1568" t="s">
        <v>63</v>
      </c>
      <c r="E1568" t="s">
        <v>15</v>
      </c>
      <c r="F1568">
        <v>159</v>
      </c>
      <c r="G1568">
        <v>71062</v>
      </c>
      <c r="H1568">
        <v>11298858</v>
      </c>
      <c r="I1568" t="s">
        <v>856</v>
      </c>
      <c r="J1568" t="s">
        <v>856</v>
      </c>
      <c r="K1568">
        <v>102</v>
      </c>
      <c r="L1568">
        <v>0</v>
      </c>
      <c r="M1568" t="s">
        <v>115</v>
      </c>
      <c r="N1568" t="str">
        <f t="shared" si="144"/>
        <v>PO-101567</v>
      </c>
      <c r="O1568" t="str">
        <f t="shared" si="145"/>
        <v>Delivered</v>
      </c>
      <c r="P1568" t="str">
        <f t="shared" si="146"/>
        <v>WH-BOM</v>
      </c>
      <c r="Q1568" t="str">
        <f>VLOOKUP(C1568, Lookups!$A$2:$D$10, 2, FALSE())</f>
        <v>NextGen Hardware</v>
      </c>
      <c r="R1568" t="str">
        <f>_xlfn.XLOOKUP(D1568, Lookups!$A$12:$A$51, Lookups!$C$12:$C$51, "Unknown")</f>
        <v>Electronics</v>
      </c>
      <c r="S1568" t="str">
        <f>IF(ISBLANK(I1568), B1568+VLOOKUP(C1568, Lookups!$A$2:$D$10, 4, FALSE()), I1568)</f>
        <v>2026-05-02</v>
      </c>
      <c r="T1568">
        <f t="shared" si="147"/>
        <v>24</v>
      </c>
      <c r="U1568" t="str">
        <f t="shared" si="148"/>
        <v>On-Time</v>
      </c>
      <c r="V1568">
        <f t="shared" si="149"/>
        <v>0</v>
      </c>
    </row>
    <row r="1569" spans="1:22" x14ac:dyDescent="0.45">
      <c r="A1569" t="s">
        <v>2414</v>
      </c>
      <c r="B1569" t="s">
        <v>367</v>
      </c>
      <c r="C1569" t="s">
        <v>36</v>
      </c>
      <c r="D1569" t="s">
        <v>63</v>
      </c>
      <c r="E1569" t="s">
        <v>18</v>
      </c>
      <c r="F1569">
        <v>88</v>
      </c>
      <c r="G1569">
        <v>71062</v>
      </c>
      <c r="H1569">
        <v>6253456</v>
      </c>
      <c r="I1569" t="s">
        <v>411</v>
      </c>
      <c r="J1569" t="s">
        <v>1433</v>
      </c>
      <c r="K1569">
        <v>76</v>
      </c>
      <c r="L1569">
        <v>0</v>
      </c>
      <c r="M1569" t="s">
        <v>115</v>
      </c>
      <c r="N1569" t="str">
        <f t="shared" si="144"/>
        <v>PO-101568</v>
      </c>
      <c r="O1569" t="str">
        <f t="shared" si="145"/>
        <v>Delivered</v>
      </c>
      <c r="P1569" t="str">
        <f t="shared" si="146"/>
        <v>WH-PUN</v>
      </c>
      <c r="Q1569" t="str">
        <f>VLOOKUP(C1569, Lookups!$A$2:$D$10, 2, FALSE())</f>
        <v>NextGen Hardware</v>
      </c>
      <c r="R1569" t="str">
        <f>_xlfn.XLOOKUP(D1569, Lookups!$A$12:$A$51, Lookups!$C$12:$C$51, "Unknown")</f>
        <v>Electronics</v>
      </c>
      <c r="S1569" t="str">
        <f>IF(ISBLANK(I1569), B1569+VLOOKUP(C1569, Lookups!$A$2:$D$10, 4, FALSE()), I1569)</f>
        <v>2026-05-09</v>
      </c>
      <c r="T1569">
        <f t="shared" si="147"/>
        <v>21</v>
      </c>
      <c r="U1569" t="str">
        <f t="shared" si="148"/>
        <v>On-Time</v>
      </c>
      <c r="V1569">
        <f t="shared" si="149"/>
        <v>0</v>
      </c>
    </row>
    <row r="1570" spans="1:22" x14ac:dyDescent="0.45">
      <c r="A1570" t="s">
        <v>2415</v>
      </c>
      <c r="B1570" t="s">
        <v>1740</v>
      </c>
      <c r="C1570" t="s">
        <v>30</v>
      </c>
      <c r="D1570" t="s">
        <v>88</v>
      </c>
      <c r="E1570" t="s">
        <v>18</v>
      </c>
      <c r="F1570">
        <v>50</v>
      </c>
      <c r="G1570">
        <v>75512</v>
      </c>
      <c r="H1570">
        <v>3775600</v>
      </c>
      <c r="I1570" t="s">
        <v>713</v>
      </c>
      <c r="J1570" t="s">
        <v>1348</v>
      </c>
      <c r="K1570">
        <v>50</v>
      </c>
      <c r="L1570">
        <v>0</v>
      </c>
      <c r="M1570" t="s">
        <v>115</v>
      </c>
      <c r="N1570" t="str">
        <f t="shared" si="144"/>
        <v>PO-101569</v>
      </c>
      <c r="O1570" t="str">
        <f t="shared" si="145"/>
        <v>Delivered</v>
      </c>
      <c r="P1570" t="str">
        <f t="shared" si="146"/>
        <v>WH-PUN</v>
      </c>
      <c r="Q1570" t="str">
        <f>VLOOKUP(C1570, Lookups!$A$2:$D$10, 2, FALSE())</f>
        <v>TechSupply Corp</v>
      </c>
      <c r="R1570" t="str">
        <f>_xlfn.XLOOKUP(D1570, Lookups!$A$12:$A$51, Lookups!$C$12:$C$51, "Unknown")</f>
        <v>Electronics</v>
      </c>
      <c r="S1570" t="str">
        <f>IF(ISBLANK(I1570), B1570+VLOOKUP(C1570, Lookups!$A$2:$D$10, 4, FALSE()), I1570)</f>
        <v>2026-08-19</v>
      </c>
      <c r="T1570">
        <f t="shared" si="147"/>
        <v>15</v>
      </c>
      <c r="U1570" t="str">
        <f t="shared" si="148"/>
        <v>Late</v>
      </c>
      <c r="V1570">
        <f t="shared" si="149"/>
        <v>0</v>
      </c>
    </row>
    <row r="1571" spans="1:22" x14ac:dyDescent="0.45">
      <c r="A1571" t="s">
        <v>2416</v>
      </c>
      <c r="B1571" t="s">
        <v>1368</v>
      </c>
      <c r="C1571" t="s">
        <v>35</v>
      </c>
      <c r="D1571" t="s">
        <v>75</v>
      </c>
      <c r="E1571" t="s">
        <v>17</v>
      </c>
      <c r="F1571">
        <v>244</v>
      </c>
      <c r="G1571">
        <v>4440</v>
      </c>
      <c r="H1571">
        <v>1083360</v>
      </c>
      <c r="I1571" t="s">
        <v>693</v>
      </c>
      <c r="J1571" t="s">
        <v>693</v>
      </c>
      <c r="K1571">
        <v>244</v>
      </c>
      <c r="L1571">
        <v>0</v>
      </c>
      <c r="M1571" t="s">
        <v>115</v>
      </c>
      <c r="N1571" t="str">
        <f t="shared" si="144"/>
        <v>PO-101570</v>
      </c>
      <c r="O1571" t="str">
        <f t="shared" si="145"/>
        <v>Delivered</v>
      </c>
      <c r="P1571" t="str">
        <f t="shared" si="146"/>
        <v>WH-BLR</v>
      </c>
      <c r="Q1571" t="str">
        <f>VLOOKUP(C1571, Lookups!$A$2:$D$10, 2, FALSE())</f>
        <v>Peripheral Source</v>
      </c>
      <c r="R1571" t="str">
        <f>_xlfn.XLOOKUP(D1571, Lookups!$A$12:$A$51, Lookups!$C$12:$C$51, "Unknown")</f>
        <v>Peripherals</v>
      </c>
      <c r="S1571" t="str">
        <f>IF(ISBLANK(I1571), B1571+VLOOKUP(C1571, Lookups!$A$2:$D$10, 4, FALSE()), I1571)</f>
        <v>2026-11-22</v>
      </c>
      <c r="T1571">
        <f t="shared" si="147"/>
        <v>10</v>
      </c>
      <c r="U1571" t="str">
        <f t="shared" si="148"/>
        <v>On-Time</v>
      </c>
      <c r="V1571">
        <f t="shared" si="149"/>
        <v>0</v>
      </c>
    </row>
    <row r="1572" spans="1:22" x14ac:dyDescent="0.45">
      <c r="A1572" t="s">
        <v>2417</v>
      </c>
      <c r="B1572" t="s">
        <v>218</v>
      </c>
      <c r="C1572" t="s">
        <v>30</v>
      </c>
      <c r="D1572" t="s">
        <v>52</v>
      </c>
      <c r="E1572" t="s">
        <v>15</v>
      </c>
      <c r="F1572">
        <v>39</v>
      </c>
      <c r="G1572">
        <v>59592</v>
      </c>
      <c r="H1572">
        <v>2324088</v>
      </c>
      <c r="I1572" t="s">
        <v>535</v>
      </c>
      <c r="J1572" t="s">
        <v>411</v>
      </c>
      <c r="K1572">
        <v>39</v>
      </c>
      <c r="L1572">
        <v>0</v>
      </c>
      <c r="M1572" t="s">
        <v>115</v>
      </c>
      <c r="N1572" t="str">
        <f t="shared" si="144"/>
        <v>PO-101571</v>
      </c>
      <c r="O1572" t="str">
        <f t="shared" si="145"/>
        <v>Delivered</v>
      </c>
      <c r="P1572" t="str">
        <f t="shared" si="146"/>
        <v>WH-BOM</v>
      </c>
      <c r="Q1572" t="str">
        <f>VLOOKUP(C1572, Lookups!$A$2:$D$10, 2, FALSE())</f>
        <v>TechSupply Corp</v>
      </c>
      <c r="R1572" t="str">
        <f>_xlfn.XLOOKUP(D1572, Lookups!$A$12:$A$51, Lookups!$C$12:$C$51, "Unknown")</f>
        <v>Electronics</v>
      </c>
      <c r="S1572" t="str">
        <f>IF(ISBLANK(I1572), B1572+VLOOKUP(C1572, Lookups!$A$2:$D$10, 4, FALSE()), I1572)</f>
        <v>2026-05-08</v>
      </c>
      <c r="T1572">
        <f t="shared" si="147"/>
        <v>15</v>
      </c>
      <c r="U1572" t="str">
        <f t="shared" si="148"/>
        <v>Late</v>
      </c>
      <c r="V1572">
        <f t="shared" si="149"/>
        <v>0</v>
      </c>
    </row>
    <row r="1573" spans="1:22" x14ac:dyDescent="0.45">
      <c r="A1573" t="s">
        <v>2418</v>
      </c>
      <c r="B1573" t="s">
        <v>217</v>
      </c>
      <c r="C1573" t="s">
        <v>37</v>
      </c>
      <c r="D1573" t="s">
        <v>83</v>
      </c>
      <c r="E1573" t="s">
        <v>16</v>
      </c>
      <c r="F1573">
        <v>170</v>
      </c>
      <c r="G1573">
        <v>19850</v>
      </c>
      <c r="H1573">
        <v>3374500</v>
      </c>
      <c r="I1573" t="s">
        <v>1432</v>
      </c>
      <c r="J1573" t="s">
        <v>1433</v>
      </c>
      <c r="K1573">
        <v>160</v>
      </c>
      <c r="L1573">
        <v>0</v>
      </c>
      <c r="M1573" t="s">
        <v>115</v>
      </c>
      <c r="N1573" t="str">
        <f t="shared" si="144"/>
        <v>PO-101572</v>
      </c>
      <c r="O1573" t="str">
        <f t="shared" si="145"/>
        <v>Delivered</v>
      </c>
      <c r="P1573" t="str">
        <f t="shared" si="146"/>
        <v>WH-DEL</v>
      </c>
      <c r="Q1573" t="str">
        <f>VLOOKUP(C1573, Lookups!$A$2:$D$10, 2, FALSE())</f>
        <v>Premium Desks Ltd</v>
      </c>
      <c r="R1573" t="str">
        <f>_xlfn.XLOOKUP(D1573, Lookups!$A$12:$A$51, Lookups!$C$12:$C$51, "Unknown")</f>
        <v>Office Furniture</v>
      </c>
      <c r="S1573" t="str">
        <f>IF(ISBLANK(I1573), B1573+VLOOKUP(C1573, Lookups!$A$2:$D$10, 4, FALSE()), I1573)</f>
        <v>2026-05-05</v>
      </c>
      <c r="T1573">
        <f t="shared" si="147"/>
        <v>13</v>
      </c>
      <c r="U1573" t="str">
        <f t="shared" si="148"/>
        <v>Late</v>
      </c>
      <c r="V1573">
        <f t="shared" si="149"/>
        <v>0</v>
      </c>
    </row>
    <row r="1574" spans="1:22" x14ac:dyDescent="0.45">
      <c r="A1574" t="s">
        <v>2419</v>
      </c>
      <c r="B1574" t="s">
        <v>885</v>
      </c>
      <c r="C1574" t="s">
        <v>37</v>
      </c>
      <c r="D1574" t="s">
        <v>78</v>
      </c>
      <c r="E1574" t="s">
        <v>18</v>
      </c>
      <c r="F1574">
        <v>203</v>
      </c>
      <c r="G1574">
        <v>9423</v>
      </c>
      <c r="H1574">
        <v>1912869</v>
      </c>
      <c r="I1574" t="s">
        <v>1302</v>
      </c>
      <c r="J1574" t="s">
        <v>836</v>
      </c>
      <c r="K1574">
        <v>203</v>
      </c>
      <c r="L1574">
        <v>0</v>
      </c>
      <c r="M1574" t="s">
        <v>115</v>
      </c>
      <c r="N1574" t="str">
        <f t="shared" si="144"/>
        <v>PO-101573</v>
      </c>
      <c r="O1574" t="str">
        <f t="shared" si="145"/>
        <v>Delivered</v>
      </c>
      <c r="P1574" t="str">
        <f t="shared" si="146"/>
        <v>WH-PUN</v>
      </c>
      <c r="Q1574" t="str">
        <f>VLOOKUP(C1574, Lookups!$A$2:$D$10, 2, FALSE())</f>
        <v>Premium Desks Ltd</v>
      </c>
      <c r="R1574" t="str">
        <f>_xlfn.XLOOKUP(D1574, Lookups!$A$12:$A$51, Lookups!$C$12:$C$51, "Unknown")</f>
        <v>Office Furniture</v>
      </c>
      <c r="S1574" t="str">
        <f>IF(ISBLANK(I1574), B1574+VLOOKUP(C1574, Lookups!$A$2:$D$10, 4, FALSE()), I1574)</f>
        <v>2025-12-27</v>
      </c>
      <c r="T1574">
        <f t="shared" si="147"/>
        <v>26</v>
      </c>
      <c r="U1574" t="str">
        <f t="shared" si="148"/>
        <v>Late</v>
      </c>
      <c r="V1574">
        <f t="shared" si="149"/>
        <v>0</v>
      </c>
    </row>
    <row r="1575" spans="1:22" x14ac:dyDescent="0.45">
      <c r="A1575" t="s">
        <v>2420</v>
      </c>
      <c r="B1575" t="s">
        <v>574</v>
      </c>
      <c r="C1575" t="s">
        <v>31</v>
      </c>
      <c r="D1575" t="s">
        <v>64</v>
      </c>
      <c r="E1575" t="s">
        <v>17</v>
      </c>
      <c r="F1575">
        <v>138</v>
      </c>
      <c r="G1575">
        <v>36295</v>
      </c>
      <c r="H1575">
        <v>5008710</v>
      </c>
      <c r="I1575" t="s">
        <v>123</v>
      </c>
      <c r="J1575" t="s">
        <v>1405</v>
      </c>
      <c r="K1575">
        <v>138</v>
      </c>
      <c r="L1575">
        <v>0</v>
      </c>
      <c r="M1575" t="s">
        <v>115</v>
      </c>
      <c r="N1575" t="str">
        <f t="shared" si="144"/>
        <v>PO-101574</v>
      </c>
      <c r="O1575" t="str">
        <f t="shared" si="145"/>
        <v>Delivered</v>
      </c>
      <c r="P1575" t="str">
        <f t="shared" si="146"/>
        <v>WH-BLR</v>
      </c>
      <c r="Q1575" t="str">
        <f>VLOOKUP(C1575, Lookups!$A$2:$D$10, 2, FALSE())</f>
        <v>Global Networks</v>
      </c>
      <c r="R1575" t="str">
        <f>_xlfn.XLOOKUP(D1575, Lookups!$A$12:$A$51, Lookups!$C$12:$C$51, "Unknown")</f>
        <v>Networking</v>
      </c>
      <c r="S1575" t="str">
        <f>IF(ISBLANK(I1575), B1575+VLOOKUP(C1575, Lookups!$A$2:$D$10, 4, FALSE()), I1575)</f>
        <v>2026-05-22</v>
      </c>
      <c r="T1575">
        <f t="shared" si="147"/>
        <v>22</v>
      </c>
      <c r="U1575" t="str">
        <f t="shared" si="148"/>
        <v>Late</v>
      </c>
      <c r="V1575">
        <f t="shared" si="149"/>
        <v>0</v>
      </c>
    </row>
    <row r="1576" spans="1:22" x14ac:dyDescent="0.45">
      <c r="A1576" t="s">
        <v>2421</v>
      </c>
      <c r="B1576" t="s">
        <v>520</v>
      </c>
      <c r="C1576" t="s">
        <v>35</v>
      </c>
      <c r="D1576" t="s">
        <v>70</v>
      </c>
      <c r="E1576" t="s">
        <v>16</v>
      </c>
      <c r="F1576">
        <v>188</v>
      </c>
      <c r="G1576">
        <v>4287</v>
      </c>
      <c r="H1576">
        <v>805956</v>
      </c>
      <c r="I1576" t="s">
        <v>493</v>
      </c>
      <c r="J1576" t="s">
        <v>1028</v>
      </c>
      <c r="K1576">
        <v>188</v>
      </c>
      <c r="L1576">
        <v>0</v>
      </c>
      <c r="M1576" t="s">
        <v>115</v>
      </c>
      <c r="N1576" t="str">
        <f t="shared" si="144"/>
        <v>PO-101575</v>
      </c>
      <c r="O1576" t="str">
        <f t="shared" si="145"/>
        <v>Delivered</v>
      </c>
      <c r="P1576" t="str">
        <f t="shared" si="146"/>
        <v>WH-DEL</v>
      </c>
      <c r="Q1576" t="str">
        <f>VLOOKUP(C1576, Lookups!$A$2:$D$10, 2, FALSE())</f>
        <v>Peripheral Source</v>
      </c>
      <c r="R1576" t="str">
        <f>_xlfn.XLOOKUP(D1576, Lookups!$A$12:$A$51, Lookups!$C$12:$C$51, "Unknown")</f>
        <v>Peripherals</v>
      </c>
      <c r="S1576" t="str">
        <f>IF(ISBLANK(I1576), B1576+VLOOKUP(C1576, Lookups!$A$2:$D$10, 4, FALSE()), I1576)</f>
        <v>2026-09-08</v>
      </c>
      <c r="T1576">
        <f t="shared" si="147"/>
        <v>11</v>
      </c>
      <c r="U1576" t="str">
        <f t="shared" si="148"/>
        <v>Late</v>
      </c>
      <c r="V1576">
        <f t="shared" si="149"/>
        <v>0</v>
      </c>
    </row>
    <row r="1577" spans="1:22" x14ac:dyDescent="0.45">
      <c r="A1577" t="s">
        <v>2422</v>
      </c>
      <c r="B1577" t="s">
        <v>284</v>
      </c>
      <c r="C1577" t="s">
        <v>36</v>
      </c>
      <c r="D1577" t="s">
        <v>62</v>
      </c>
      <c r="E1577" t="s">
        <v>18</v>
      </c>
      <c r="F1577">
        <v>61</v>
      </c>
      <c r="G1577">
        <v>48478</v>
      </c>
      <c r="H1577">
        <v>2957158</v>
      </c>
      <c r="I1577" t="s">
        <v>1736</v>
      </c>
      <c r="J1577" t="s">
        <v>1168</v>
      </c>
      <c r="K1577">
        <v>61</v>
      </c>
      <c r="L1577">
        <v>0</v>
      </c>
      <c r="M1577" t="s">
        <v>115</v>
      </c>
      <c r="N1577" t="str">
        <f t="shared" si="144"/>
        <v>PO-101576</v>
      </c>
      <c r="O1577" t="str">
        <f t="shared" si="145"/>
        <v>Delivered</v>
      </c>
      <c r="P1577" t="str">
        <f t="shared" si="146"/>
        <v>WH-PUN</v>
      </c>
      <c r="Q1577" t="str">
        <f>VLOOKUP(C1577, Lookups!$A$2:$D$10, 2, FALSE())</f>
        <v>NextGen Hardware</v>
      </c>
      <c r="R1577" t="str">
        <f>_xlfn.XLOOKUP(D1577, Lookups!$A$12:$A$51, Lookups!$C$12:$C$51, "Unknown")</f>
        <v>Electronics</v>
      </c>
      <c r="S1577" t="str">
        <f>IF(ISBLANK(I1577), B1577+VLOOKUP(C1577, Lookups!$A$2:$D$10, 4, FALSE()), I1577)</f>
        <v>2025-03-18</v>
      </c>
      <c r="T1577">
        <f t="shared" si="147"/>
        <v>32</v>
      </c>
      <c r="U1577" t="str">
        <f t="shared" si="148"/>
        <v>Late</v>
      </c>
      <c r="V1577">
        <f t="shared" si="149"/>
        <v>0</v>
      </c>
    </row>
    <row r="1578" spans="1:22" x14ac:dyDescent="0.45">
      <c r="A1578" t="s">
        <v>2423</v>
      </c>
      <c r="B1578" t="s">
        <v>640</v>
      </c>
      <c r="C1578" t="s">
        <v>36</v>
      </c>
      <c r="D1578" t="s">
        <v>90</v>
      </c>
      <c r="E1578" t="s">
        <v>18</v>
      </c>
      <c r="F1578">
        <v>216</v>
      </c>
      <c r="G1578">
        <v>81434</v>
      </c>
      <c r="H1578">
        <v>17589744</v>
      </c>
      <c r="I1578" t="s">
        <v>422</v>
      </c>
      <c r="J1578" t="s">
        <v>591</v>
      </c>
      <c r="K1578">
        <v>216</v>
      </c>
      <c r="L1578">
        <v>0</v>
      </c>
      <c r="M1578" t="s">
        <v>115</v>
      </c>
      <c r="N1578" t="str">
        <f t="shared" si="144"/>
        <v>PO-101577</v>
      </c>
      <c r="O1578" t="str">
        <f t="shared" si="145"/>
        <v>Delivered</v>
      </c>
      <c r="P1578" t="str">
        <f t="shared" si="146"/>
        <v>WH-PUN</v>
      </c>
      <c r="Q1578" t="str">
        <f>VLOOKUP(C1578, Lookups!$A$2:$D$10, 2, FALSE())</f>
        <v>NextGen Hardware</v>
      </c>
      <c r="R1578" t="str">
        <f>_xlfn.XLOOKUP(D1578, Lookups!$A$12:$A$51, Lookups!$C$12:$C$51, "Unknown")</f>
        <v>Electronics</v>
      </c>
      <c r="S1578" t="str">
        <f>IF(ISBLANK(I1578), B1578+VLOOKUP(C1578, Lookups!$A$2:$D$10, 4, FALSE()), I1578)</f>
        <v>2026-01-19</v>
      </c>
      <c r="T1578">
        <f t="shared" si="147"/>
        <v>25</v>
      </c>
      <c r="U1578" t="str">
        <f t="shared" si="148"/>
        <v>Late</v>
      </c>
      <c r="V1578">
        <f t="shared" si="149"/>
        <v>0</v>
      </c>
    </row>
    <row r="1579" spans="1:22" x14ac:dyDescent="0.45">
      <c r="A1579" t="s">
        <v>2424</v>
      </c>
      <c r="B1579" t="s">
        <v>1822</v>
      </c>
      <c r="C1579" t="s">
        <v>34</v>
      </c>
      <c r="D1579" t="s">
        <v>76</v>
      </c>
      <c r="E1579" t="s">
        <v>18</v>
      </c>
      <c r="F1579">
        <v>168</v>
      </c>
      <c r="G1579">
        <v>26270</v>
      </c>
      <c r="H1579">
        <v>4413360</v>
      </c>
      <c r="I1579" t="s">
        <v>1101</v>
      </c>
      <c r="J1579" t="s">
        <v>693</v>
      </c>
      <c r="K1579">
        <v>168</v>
      </c>
      <c r="L1579">
        <v>0</v>
      </c>
      <c r="M1579" t="s">
        <v>115</v>
      </c>
      <c r="N1579" t="str">
        <f t="shared" si="144"/>
        <v>PO-101578</v>
      </c>
      <c r="O1579" t="str">
        <f t="shared" si="145"/>
        <v>Delivered</v>
      </c>
      <c r="P1579" t="str">
        <f t="shared" si="146"/>
        <v>WH-PUN</v>
      </c>
      <c r="Q1579" t="str">
        <f>VLOOKUP(C1579, Lookups!$A$2:$D$10, 2, FALSE())</f>
        <v>FastElectronics</v>
      </c>
      <c r="R1579" t="str">
        <f>_xlfn.XLOOKUP(D1579, Lookups!$A$12:$A$51, Lookups!$C$12:$C$51, "Unknown")</f>
        <v>Networking</v>
      </c>
      <c r="S1579" t="str">
        <f>IF(ISBLANK(I1579), B1579+VLOOKUP(C1579, Lookups!$A$2:$D$10, 4, FALSE()), I1579)</f>
        <v>2026-11-21</v>
      </c>
      <c r="T1579">
        <f t="shared" si="147"/>
        <v>19</v>
      </c>
      <c r="U1579" t="str">
        <f t="shared" si="148"/>
        <v>Late</v>
      </c>
      <c r="V1579">
        <f t="shared" si="149"/>
        <v>0</v>
      </c>
    </row>
    <row r="1580" spans="1:22" x14ac:dyDescent="0.45">
      <c r="A1580" t="s">
        <v>2425</v>
      </c>
      <c r="B1580" t="s">
        <v>829</v>
      </c>
      <c r="C1580" t="s">
        <v>34</v>
      </c>
      <c r="D1580" t="s">
        <v>74</v>
      </c>
      <c r="E1580" t="s">
        <v>16</v>
      </c>
      <c r="F1580">
        <v>80</v>
      </c>
      <c r="G1580">
        <v>94797</v>
      </c>
      <c r="H1580">
        <v>7583760</v>
      </c>
      <c r="I1580" t="s">
        <v>837</v>
      </c>
      <c r="J1580" t="s">
        <v>580</v>
      </c>
      <c r="K1580">
        <v>80</v>
      </c>
      <c r="L1580">
        <v>0</v>
      </c>
      <c r="M1580" t="s">
        <v>115</v>
      </c>
      <c r="N1580" t="str">
        <f t="shared" si="144"/>
        <v>PO-101579</v>
      </c>
      <c r="O1580" t="str">
        <f t="shared" si="145"/>
        <v>Delivered</v>
      </c>
      <c r="P1580" t="str">
        <f t="shared" si="146"/>
        <v>WH-DEL</v>
      </c>
      <c r="Q1580" t="str">
        <f>VLOOKUP(C1580, Lookups!$A$2:$D$10, 2, FALSE())</f>
        <v>FastElectronics</v>
      </c>
      <c r="R1580" t="str">
        <f>_xlfn.XLOOKUP(D1580, Lookups!$A$12:$A$51, Lookups!$C$12:$C$51, "Unknown")</f>
        <v>Electronics</v>
      </c>
      <c r="S1580" t="str">
        <f>IF(ISBLANK(I1580), B1580+VLOOKUP(C1580, Lookups!$A$2:$D$10, 4, FALSE()), I1580)</f>
        <v>2026-01-11</v>
      </c>
      <c r="T1580">
        <f t="shared" si="147"/>
        <v>19</v>
      </c>
      <c r="U1580" t="str">
        <f t="shared" si="148"/>
        <v>Late</v>
      </c>
      <c r="V1580">
        <f t="shared" si="149"/>
        <v>0</v>
      </c>
    </row>
    <row r="1581" spans="1:22" x14ac:dyDescent="0.45">
      <c r="A1581" t="s">
        <v>2426</v>
      </c>
      <c r="B1581" t="s">
        <v>1198</v>
      </c>
      <c r="C1581" t="s">
        <v>35</v>
      </c>
      <c r="D1581" t="s">
        <v>60</v>
      </c>
      <c r="E1581" t="s">
        <v>17</v>
      </c>
      <c r="F1581">
        <v>16</v>
      </c>
      <c r="G1581">
        <v>3291</v>
      </c>
      <c r="H1581">
        <v>52656</v>
      </c>
      <c r="I1581" t="s">
        <v>281</v>
      </c>
      <c r="J1581" t="s">
        <v>281</v>
      </c>
      <c r="K1581">
        <v>16</v>
      </c>
      <c r="L1581">
        <v>0</v>
      </c>
      <c r="M1581" t="s">
        <v>115</v>
      </c>
      <c r="N1581" t="str">
        <f t="shared" si="144"/>
        <v>PO-101580</v>
      </c>
      <c r="O1581" t="str">
        <f t="shared" si="145"/>
        <v>Delivered</v>
      </c>
      <c r="P1581" t="str">
        <f t="shared" si="146"/>
        <v>WH-BLR</v>
      </c>
      <c r="Q1581" t="str">
        <f>VLOOKUP(C1581, Lookups!$A$2:$D$10, 2, FALSE())</f>
        <v>Peripheral Source</v>
      </c>
      <c r="R1581" t="str">
        <f>_xlfn.XLOOKUP(D1581, Lookups!$A$12:$A$51, Lookups!$C$12:$C$51, "Unknown")</f>
        <v>Peripherals</v>
      </c>
      <c r="S1581" t="str">
        <f>IF(ISBLANK(I1581), B1581+VLOOKUP(C1581, Lookups!$A$2:$D$10, 4, FALSE()), I1581)</f>
        <v>2026-10-26</v>
      </c>
      <c r="T1581">
        <f t="shared" si="147"/>
        <v>10</v>
      </c>
      <c r="U1581" t="str">
        <f t="shared" si="148"/>
        <v>On-Time</v>
      </c>
      <c r="V1581">
        <f t="shared" si="149"/>
        <v>0</v>
      </c>
    </row>
    <row r="1582" spans="1:22" x14ac:dyDescent="0.45">
      <c r="A1582" t="s">
        <v>2427</v>
      </c>
      <c r="B1582" t="s">
        <v>1318</v>
      </c>
      <c r="C1582" t="s">
        <v>30</v>
      </c>
      <c r="D1582" t="s">
        <v>52</v>
      </c>
      <c r="E1582" t="s">
        <v>17</v>
      </c>
      <c r="F1582">
        <v>183</v>
      </c>
      <c r="G1582">
        <v>59592</v>
      </c>
      <c r="H1582">
        <v>10905336</v>
      </c>
      <c r="I1582" t="s">
        <v>921</v>
      </c>
      <c r="J1582" t="s">
        <v>922</v>
      </c>
      <c r="K1582">
        <v>183</v>
      </c>
      <c r="L1582">
        <v>0</v>
      </c>
      <c r="M1582" t="s">
        <v>115</v>
      </c>
      <c r="N1582" t="str">
        <f t="shared" si="144"/>
        <v>PO-101581</v>
      </c>
      <c r="O1582" t="str">
        <f t="shared" si="145"/>
        <v>Delivered</v>
      </c>
      <c r="P1582" t="str">
        <f t="shared" si="146"/>
        <v>WH-BLR</v>
      </c>
      <c r="Q1582" t="str">
        <f>VLOOKUP(C1582, Lookups!$A$2:$D$10, 2, FALSE())</f>
        <v>TechSupply Corp</v>
      </c>
      <c r="R1582" t="str">
        <f>_xlfn.XLOOKUP(D1582, Lookups!$A$12:$A$51, Lookups!$C$12:$C$51, "Unknown")</f>
        <v>Electronics</v>
      </c>
      <c r="S1582" t="str">
        <f>IF(ISBLANK(I1582), B1582+VLOOKUP(C1582, Lookups!$A$2:$D$10, 4, FALSE()), I1582)</f>
        <v>2026-11-08</v>
      </c>
      <c r="T1582">
        <f t="shared" si="147"/>
        <v>15</v>
      </c>
      <c r="U1582" t="str">
        <f t="shared" si="148"/>
        <v>Late</v>
      </c>
      <c r="V1582">
        <f t="shared" si="149"/>
        <v>0</v>
      </c>
    </row>
    <row r="1583" spans="1:22" x14ac:dyDescent="0.45">
      <c r="A1583" t="s">
        <v>2428</v>
      </c>
      <c r="B1583" t="s">
        <v>659</v>
      </c>
      <c r="C1583" t="s">
        <v>34</v>
      </c>
      <c r="D1583" t="s">
        <v>68</v>
      </c>
      <c r="E1583" t="s">
        <v>17</v>
      </c>
      <c r="F1583">
        <v>234</v>
      </c>
      <c r="G1583">
        <v>41405</v>
      </c>
      <c r="H1583">
        <v>9688770</v>
      </c>
      <c r="I1583" t="s">
        <v>181</v>
      </c>
      <c r="J1583" t="s">
        <v>1112</v>
      </c>
      <c r="K1583">
        <v>234</v>
      </c>
      <c r="L1583">
        <v>0</v>
      </c>
      <c r="M1583" t="s">
        <v>115</v>
      </c>
      <c r="N1583" t="str">
        <f t="shared" si="144"/>
        <v>PO-101582</v>
      </c>
      <c r="O1583" t="str">
        <f t="shared" si="145"/>
        <v>Delivered</v>
      </c>
      <c r="P1583" t="str">
        <f t="shared" si="146"/>
        <v>WH-BLR</v>
      </c>
      <c r="Q1583" t="str">
        <f>VLOOKUP(C1583, Lookups!$A$2:$D$10, 2, FALSE())</f>
        <v>FastElectronics</v>
      </c>
      <c r="R1583" t="str">
        <f>_xlfn.XLOOKUP(D1583, Lookups!$A$12:$A$51, Lookups!$C$12:$C$51, "Unknown")</f>
        <v>Networking</v>
      </c>
      <c r="S1583" t="str">
        <f>IF(ISBLANK(I1583), B1583+VLOOKUP(C1583, Lookups!$A$2:$D$10, 4, FALSE()), I1583)</f>
        <v>2026-10-19</v>
      </c>
      <c r="T1583">
        <f t="shared" si="147"/>
        <v>27</v>
      </c>
      <c r="U1583" t="str">
        <f t="shared" si="148"/>
        <v>Late</v>
      </c>
      <c r="V1583">
        <f t="shared" si="149"/>
        <v>0</v>
      </c>
    </row>
    <row r="1584" spans="1:22" x14ac:dyDescent="0.45">
      <c r="A1584" t="s">
        <v>2429</v>
      </c>
      <c r="B1584" t="s">
        <v>420</v>
      </c>
      <c r="C1584" t="s">
        <v>34</v>
      </c>
      <c r="D1584" t="s">
        <v>54</v>
      </c>
      <c r="E1584" t="s">
        <v>18</v>
      </c>
      <c r="F1584">
        <v>144</v>
      </c>
      <c r="G1584">
        <v>22314</v>
      </c>
      <c r="H1584">
        <v>3213216</v>
      </c>
      <c r="I1584" t="s">
        <v>1347</v>
      </c>
      <c r="J1584" t="s">
        <v>1122</v>
      </c>
      <c r="K1584">
        <v>144</v>
      </c>
      <c r="L1584">
        <v>0</v>
      </c>
      <c r="M1584" t="s">
        <v>115</v>
      </c>
      <c r="N1584" t="str">
        <f t="shared" si="144"/>
        <v>PO-101583</v>
      </c>
      <c r="O1584" t="str">
        <f t="shared" si="145"/>
        <v>Delivered</v>
      </c>
      <c r="P1584" t="str">
        <f t="shared" si="146"/>
        <v>WH-PUN</v>
      </c>
      <c r="Q1584" t="str">
        <f>VLOOKUP(C1584, Lookups!$A$2:$D$10, 2, FALSE())</f>
        <v>FastElectronics</v>
      </c>
      <c r="R1584" t="str">
        <f>_xlfn.XLOOKUP(D1584, Lookups!$A$12:$A$51, Lookups!$C$12:$C$51, "Unknown")</f>
        <v>Networking</v>
      </c>
      <c r="S1584" t="str">
        <f>IF(ISBLANK(I1584), B1584+VLOOKUP(C1584, Lookups!$A$2:$D$10, 4, FALSE()), I1584)</f>
        <v>2026-08-09</v>
      </c>
      <c r="T1584">
        <f t="shared" si="147"/>
        <v>23</v>
      </c>
      <c r="U1584" t="str">
        <f t="shared" si="148"/>
        <v>Late</v>
      </c>
      <c r="V1584">
        <f t="shared" si="149"/>
        <v>0</v>
      </c>
    </row>
    <row r="1585" spans="1:22" x14ac:dyDescent="0.45">
      <c r="A1585" t="s">
        <v>2430</v>
      </c>
      <c r="B1585" t="s">
        <v>908</v>
      </c>
      <c r="C1585" t="s">
        <v>35</v>
      </c>
      <c r="D1585" t="s">
        <v>75</v>
      </c>
      <c r="E1585" t="s">
        <v>18</v>
      </c>
      <c r="F1585">
        <v>158</v>
      </c>
      <c r="G1585">
        <v>4440</v>
      </c>
      <c r="H1585">
        <v>701520</v>
      </c>
      <c r="I1585" t="s">
        <v>196</v>
      </c>
      <c r="J1585" t="s">
        <v>527</v>
      </c>
      <c r="K1585">
        <v>158</v>
      </c>
      <c r="L1585">
        <v>0</v>
      </c>
      <c r="M1585" t="s">
        <v>927</v>
      </c>
      <c r="N1585" t="str">
        <f t="shared" si="144"/>
        <v>PO-101584</v>
      </c>
      <c r="O1585" t="str">
        <f t="shared" si="145"/>
        <v>Delivered</v>
      </c>
      <c r="P1585" t="str">
        <f t="shared" si="146"/>
        <v>WH-PUN</v>
      </c>
      <c r="Q1585" t="str">
        <f>VLOOKUP(C1585, Lookups!$A$2:$D$10, 2, FALSE())</f>
        <v>Peripheral Source</v>
      </c>
      <c r="R1585" t="str">
        <f>_xlfn.XLOOKUP(D1585, Lookups!$A$12:$A$51, Lookups!$C$12:$C$51, "Unknown")</f>
        <v>Peripherals</v>
      </c>
      <c r="S1585" t="str">
        <f>IF(ISBLANK(I1585), B1585+VLOOKUP(C1585, Lookups!$A$2:$D$10, 4, FALSE()), I1585)</f>
        <v>2026-07-11</v>
      </c>
      <c r="T1585">
        <f t="shared" si="147"/>
        <v>6</v>
      </c>
      <c r="U1585" t="str">
        <f t="shared" si="148"/>
        <v>On-Time</v>
      </c>
      <c r="V1585">
        <f t="shared" si="149"/>
        <v>0</v>
      </c>
    </row>
    <row r="1586" spans="1:22" x14ac:dyDescent="0.45">
      <c r="A1586" t="s">
        <v>2431</v>
      </c>
      <c r="B1586" t="s">
        <v>231</v>
      </c>
      <c r="C1586" t="s">
        <v>31</v>
      </c>
      <c r="D1586" t="s">
        <v>85</v>
      </c>
      <c r="E1586" t="s">
        <v>15</v>
      </c>
      <c r="F1586">
        <v>188</v>
      </c>
      <c r="G1586">
        <v>16501</v>
      </c>
      <c r="H1586">
        <v>3102188</v>
      </c>
      <c r="I1586" t="s">
        <v>929</v>
      </c>
      <c r="J1586" t="s">
        <v>929</v>
      </c>
      <c r="K1586">
        <v>188</v>
      </c>
      <c r="L1586">
        <v>0</v>
      </c>
      <c r="M1586" t="s">
        <v>115</v>
      </c>
      <c r="N1586" t="str">
        <f t="shared" si="144"/>
        <v>PO-101585</v>
      </c>
      <c r="O1586" t="str">
        <f t="shared" si="145"/>
        <v>Delivered</v>
      </c>
      <c r="P1586" t="str">
        <f t="shared" si="146"/>
        <v>WH-BOM</v>
      </c>
      <c r="Q1586" t="str">
        <f>VLOOKUP(C1586, Lookups!$A$2:$D$10, 2, FALSE())</f>
        <v>Global Networks</v>
      </c>
      <c r="R1586" t="str">
        <f>_xlfn.XLOOKUP(D1586, Lookups!$A$12:$A$51, Lookups!$C$12:$C$51, "Unknown")</f>
        <v>Networking</v>
      </c>
      <c r="S1586" t="str">
        <f>IF(ISBLANK(I1586), B1586+VLOOKUP(C1586, Lookups!$A$2:$D$10, 4, FALSE()), I1586)</f>
        <v>2025-11-28</v>
      </c>
      <c r="T1586">
        <f t="shared" si="147"/>
        <v>21</v>
      </c>
      <c r="U1586" t="str">
        <f t="shared" si="148"/>
        <v>On-Time</v>
      </c>
      <c r="V1586">
        <f t="shared" si="149"/>
        <v>0</v>
      </c>
    </row>
    <row r="1587" spans="1:22" x14ac:dyDescent="0.45">
      <c r="A1587" t="s">
        <v>2432</v>
      </c>
      <c r="B1587" t="s">
        <v>185</v>
      </c>
      <c r="C1587" t="s">
        <v>37</v>
      </c>
      <c r="D1587" t="s">
        <v>69</v>
      </c>
      <c r="E1587" t="s">
        <v>15</v>
      </c>
      <c r="F1587">
        <v>100</v>
      </c>
      <c r="G1587">
        <v>13231</v>
      </c>
      <c r="H1587">
        <v>1323100</v>
      </c>
      <c r="I1587" t="s">
        <v>476</v>
      </c>
      <c r="J1587" t="s">
        <v>1736</v>
      </c>
      <c r="K1587">
        <v>100</v>
      </c>
      <c r="L1587">
        <v>0</v>
      </c>
      <c r="M1587" t="s">
        <v>115</v>
      </c>
      <c r="N1587" t="str">
        <f t="shared" si="144"/>
        <v>PO-101586</v>
      </c>
      <c r="O1587" t="str">
        <f t="shared" si="145"/>
        <v>Delivered</v>
      </c>
      <c r="P1587" t="str">
        <f t="shared" si="146"/>
        <v>WH-BOM</v>
      </c>
      <c r="Q1587" t="str">
        <f>VLOOKUP(C1587, Lookups!$A$2:$D$10, 2, FALSE())</f>
        <v>Premium Desks Ltd</v>
      </c>
      <c r="R1587" t="str">
        <f>_xlfn.XLOOKUP(D1587, Lookups!$A$12:$A$51, Lookups!$C$12:$C$51, "Unknown")</f>
        <v>Office Furniture</v>
      </c>
      <c r="S1587" t="str">
        <f>IF(ISBLANK(I1587), B1587+VLOOKUP(C1587, Lookups!$A$2:$D$10, 4, FALSE()), I1587)</f>
        <v>2025-03-10</v>
      </c>
      <c r="T1587">
        <f t="shared" si="147"/>
        <v>20</v>
      </c>
      <c r="U1587" t="str">
        <f t="shared" si="148"/>
        <v>Late</v>
      </c>
      <c r="V1587">
        <f t="shared" si="149"/>
        <v>0</v>
      </c>
    </row>
    <row r="1588" spans="1:22" x14ac:dyDescent="0.45">
      <c r="A1588" t="s">
        <v>2433</v>
      </c>
      <c r="B1588" t="s">
        <v>1584</v>
      </c>
      <c r="C1588" t="s">
        <v>30</v>
      </c>
      <c r="D1588" t="s">
        <v>53</v>
      </c>
      <c r="E1588" t="s">
        <v>17</v>
      </c>
      <c r="F1588">
        <v>36</v>
      </c>
      <c r="G1588">
        <v>81048</v>
      </c>
      <c r="H1588">
        <v>2917728</v>
      </c>
      <c r="I1588" t="s">
        <v>147</v>
      </c>
      <c r="J1588" t="s">
        <v>969</v>
      </c>
      <c r="K1588">
        <v>36</v>
      </c>
      <c r="L1588">
        <v>0</v>
      </c>
      <c r="M1588" t="s">
        <v>115</v>
      </c>
      <c r="N1588" t="str">
        <f t="shared" si="144"/>
        <v>PO-101587</v>
      </c>
      <c r="O1588" t="str">
        <f t="shared" si="145"/>
        <v>Delivered</v>
      </c>
      <c r="P1588" t="str">
        <f t="shared" si="146"/>
        <v>WH-BLR</v>
      </c>
      <c r="Q1588" t="str">
        <f>VLOOKUP(C1588, Lookups!$A$2:$D$10, 2, FALSE())</f>
        <v>TechSupply Corp</v>
      </c>
      <c r="R1588" t="str">
        <f>_xlfn.XLOOKUP(D1588, Lookups!$A$12:$A$51, Lookups!$C$12:$C$51, "Unknown")</f>
        <v>Electronics</v>
      </c>
      <c r="S1588" t="str">
        <f>IF(ISBLANK(I1588), B1588+VLOOKUP(C1588, Lookups!$A$2:$D$10, 4, FALSE()), I1588)</f>
        <v>2025-10-05</v>
      </c>
      <c r="T1588">
        <f t="shared" si="147"/>
        <v>27</v>
      </c>
      <c r="U1588" t="str">
        <f t="shared" si="148"/>
        <v>Late</v>
      </c>
      <c r="V1588">
        <f t="shared" si="149"/>
        <v>0</v>
      </c>
    </row>
    <row r="1589" spans="1:22" x14ac:dyDescent="0.45">
      <c r="A1589" t="s">
        <v>2434</v>
      </c>
      <c r="B1589" t="s">
        <v>125</v>
      </c>
      <c r="C1589" t="s">
        <v>31</v>
      </c>
      <c r="D1589" t="s">
        <v>66</v>
      </c>
      <c r="E1589" t="s">
        <v>18</v>
      </c>
      <c r="F1589">
        <v>171</v>
      </c>
      <c r="G1589">
        <v>29719</v>
      </c>
      <c r="H1589">
        <v>5081949</v>
      </c>
      <c r="I1589" t="s">
        <v>113</v>
      </c>
      <c r="J1589" t="s">
        <v>113</v>
      </c>
      <c r="K1589">
        <v>171</v>
      </c>
      <c r="L1589">
        <v>0</v>
      </c>
      <c r="M1589" t="s">
        <v>115</v>
      </c>
      <c r="N1589" t="str">
        <f t="shared" si="144"/>
        <v>PO-101588</v>
      </c>
      <c r="O1589" t="str">
        <f t="shared" si="145"/>
        <v>Delivered</v>
      </c>
      <c r="P1589" t="str">
        <f t="shared" si="146"/>
        <v>WH-PUN</v>
      </c>
      <c r="Q1589" t="str">
        <f>VLOOKUP(C1589, Lookups!$A$2:$D$10, 2, FALSE())</f>
        <v>Global Networks</v>
      </c>
      <c r="R1589" t="str">
        <f>_xlfn.XLOOKUP(D1589, Lookups!$A$12:$A$51, Lookups!$C$12:$C$51, "Unknown")</f>
        <v>Networking</v>
      </c>
      <c r="S1589" t="str">
        <f>IF(ISBLANK(I1589), B1589+VLOOKUP(C1589, Lookups!$A$2:$D$10, 4, FALSE()), I1589)</f>
        <v>2026-07-04</v>
      </c>
      <c r="T1589">
        <f t="shared" si="147"/>
        <v>21</v>
      </c>
      <c r="U1589" t="str">
        <f t="shared" si="148"/>
        <v>On-Time</v>
      </c>
      <c r="V1589">
        <f t="shared" si="149"/>
        <v>0</v>
      </c>
    </row>
    <row r="1590" spans="1:22" x14ac:dyDescent="0.45">
      <c r="A1590" t="s">
        <v>2435</v>
      </c>
      <c r="B1590" t="s">
        <v>873</v>
      </c>
      <c r="C1590" t="s">
        <v>34</v>
      </c>
      <c r="D1590" t="s">
        <v>81</v>
      </c>
      <c r="E1590" t="s">
        <v>17</v>
      </c>
      <c r="F1590">
        <v>175</v>
      </c>
      <c r="G1590">
        <v>55328</v>
      </c>
      <c r="H1590">
        <v>9682400</v>
      </c>
      <c r="I1590" t="s">
        <v>503</v>
      </c>
      <c r="J1590" t="s">
        <v>221</v>
      </c>
      <c r="K1590">
        <v>175</v>
      </c>
      <c r="L1590">
        <v>0</v>
      </c>
      <c r="M1590" t="s">
        <v>115</v>
      </c>
      <c r="N1590" t="str">
        <f t="shared" si="144"/>
        <v>PO-101589</v>
      </c>
      <c r="O1590" t="str">
        <f t="shared" si="145"/>
        <v>Delivered</v>
      </c>
      <c r="P1590" t="str">
        <f t="shared" si="146"/>
        <v>WH-BLR</v>
      </c>
      <c r="Q1590" t="str">
        <f>VLOOKUP(C1590, Lookups!$A$2:$D$10, 2, FALSE())</f>
        <v>FastElectronics</v>
      </c>
      <c r="R1590" t="str">
        <f>_xlfn.XLOOKUP(D1590, Lookups!$A$12:$A$51, Lookups!$C$12:$C$51, "Unknown")</f>
        <v>Electronics</v>
      </c>
      <c r="S1590" t="str">
        <f>IF(ISBLANK(I1590), B1590+VLOOKUP(C1590, Lookups!$A$2:$D$10, 4, FALSE()), I1590)</f>
        <v>2026-02-27</v>
      </c>
      <c r="T1590">
        <f t="shared" si="147"/>
        <v>19</v>
      </c>
      <c r="U1590" t="str">
        <f t="shared" si="148"/>
        <v>Late</v>
      </c>
      <c r="V1590">
        <f t="shared" si="149"/>
        <v>0</v>
      </c>
    </row>
    <row r="1591" spans="1:22" x14ac:dyDescent="0.45">
      <c r="A1591" t="s">
        <v>2436</v>
      </c>
      <c r="B1591" t="s">
        <v>875</v>
      </c>
      <c r="C1591" t="s">
        <v>35</v>
      </c>
      <c r="D1591" t="s">
        <v>65</v>
      </c>
      <c r="E1591" t="s">
        <v>16</v>
      </c>
      <c r="F1591">
        <v>241</v>
      </c>
      <c r="G1591">
        <v>4936</v>
      </c>
      <c r="H1591">
        <v>1189576</v>
      </c>
      <c r="I1591" t="s">
        <v>1584</v>
      </c>
      <c r="J1591" t="s">
        <v>198</v>
      </c>
      <c r="K1591">
        <v>241</v>
      </c>
      <c r="L1591">
        <v>0</v>
      </c>
      <c r="M1591" t="s">
        <v>115</v>
      </c>
      <c r="N1591" t="str">
        <f t="shared" si="144"/>
        <v>PO-101590</v>
      </c>
      <c r="O1591" t="str">
        <f t="shared" si="145"/>
        <v>Delivered</v>
      </c>
      <c r="P1591" t="str">
        <f t="shared" si="146"/>
        <v>WH-DEL</v>
      </c>
      <c r="Q1591" t="str">
        <f>VLOOKUP(C1591, Lookups!$A$2:$D$10, 2, FALSE())</f>
        <v>Peripheral Source</v>
      </c>
      <c r="R1591" t="str">
        <f>_xlfn.XLOOKUP(D1591, Lookups!$A$12:$A$51, Lookups!$C$12:$C$51, "Unknown")</f>
        <v>Peripherals</v>
      </c>
      <c r="S1591" t="str">
        <f>IF(ISBLANK(I1591), B1591+VLOOKUP(C1591, Lookups!$A$2:$D$10, 4, FALSE()), I1591)</f>
        <v>2025-09-21</v>
      </c>
      <c r="T1591">
        <f t="shared" si="147"/>
        <v>11</v>
      </c>
      <c r="U1591" t="str">
        <f t="shared" si="148"/>
        <v>Late</v>
      </c>
      <c r="V1591">
        <f t="shared" si="149"/>
        <v>0</v>
      </c>
    </row>
    <row r="1592" spans="1:22" x14ac:dyDescent="0.45">
      <c r="A1592" t="s">
        <v>2437</v>
      </c>
      <c r="B1592" t="s">
        <v>1281</v>
      </c>
      <c r="C1592" t="s">
        <v>36</v>
      </c>
      <c r="D1592" t="s">
        <v>55</v>
      </c>
      <c r="E1592" t="s">
        <v>17</v>
      </c>
      <c r="F1592">
        <v>219</v>
      </c>
      <c r="G1592">
        <v>58434</v>
      </c>
      <c r="H1592">
        <v>12797046</v>
      </c>
      <c r="I1592" t="s">
        <v>474</v>
      </c>
      <c r="J1592" t="s">
        <v>474</v>
      </c>
      <c r="K1592">
        <v>219</v>
      </c>
      <c r="L1592">
        <v>32</v>
      </c>
      <c r="M1592" t="s">
        <v>115</v>
      </c>
      <c r="N1592" t="str">
        <f t="shared" si="144"/>
        <v>PO-101591</v>
      </c>
      <c r="O1592" t="str">
        <f t="shared" si="145"/>
        <v>Delivered</v>
      </c>
      <c r="P1592" t="str">
        <f t="shared" si="146"/>
        <v>WH-BLR</v>
      </c>
      <c r="Q1592" t="str">
        <f>VLOOKUP(C1592, Lookups!$A$2:$D$10, 2, FALSE())</f>
        <v>NextGen Hardware</v>
      </c>
      <c r="R1592" t="str">
        <f>_xlfn.XLOOKUP(D1592, Lookups!$A$12:$A$51, Lookups!$C$12:$C$51, "Unknown")</f>
        <v>Electronics</v>
      </c>
      <c r="S1592" t="str">
        <f>IF(ISBLANK(I1592), B1592+VLOOKUP(C1592, Lookups!$A$2:$D$10, 4, FALSE()), I1592)</f>
        <v>2025-06-24</v>
      </c>
      <c r="T1592">
        <f t="shared" si="147"/>
        <v>24</v>
      </c>
      <c r="U1592" t="str">
        <f t="shared" si="148"/>
        <v>On-Time</v>
      </c>
      <c r="V1592">
        <f t="shared" si="149"/>
        <v>0.14611872146118721</v>
      </c>
    </row>
    <row r="1593" spans="1:22" x14ac:dyDescent="0.45">
      <c r="A1593" t="s">
        <v>2438</v>
      </c>
      <c r="B1593" t="s">
        <v>887</v>
      </c>
      <c r="C1593" t="s">
        <v>34</v>
      </c>
      <c r="D1593" t="s">
        <v>54</v>
      </c>
      <c r="E1593" t="s">
        <v>18</v>
      </c>
      <c r="F1593">
        <v>215</v>
      </c>
      <c r="G1593">
        <v>22314</v>
      </c>
      <c r="H1593">
        <v>4797510</v>
      </c>
      <c r="I1593" t="s">
        <v>686</v>
      </c>
      <c r="J1593" t="s">
        <v>587</v>
      </c>
      <c r="K1593">
        <v>215</v>
      </c>
      <c r="L1593">
        <v>0</v>
      </c>
      <c r="M1593" t="s">
        <v>115</v>
      </c>
      <c r="N1593" t="str">
        <f t="shared" si="144"/>
        <v>PO-101592</v>
      </c>
      <c r="O1593" t="str">
        <f t="shared" si="145"/>
        <v>Delivered</v>
      </c>
      <c r="P1593" t="str">
        <f t="shared" si="146"/>
        <v>WH-PUN</v>
      </c>
      <c r="Q1593" t="str">
        <f>VLOOKUP(C1593, Lookups!$A$2:$D$10, 2, FALSE())</f>
        <v>FastElectronics</v>
      </c>
      <c r="R1593" t="str">
        <f>_xlfn.XLOOKUP(D1593, Lookups!$A$12:$A$51, Lookups!$C$12:$C$51, "Unknown")</f>
        <v>Networking</v>
      </c>
      <c r="S1593" t="str">
        <f>IF(ISBLANK(I1593), B1593+VLOOKUP(C1593, Lookups!$A$2:$D$10, 4, FALSE()), I1593)</f>
        <v>2026-04-10</v>
      </c>
      <c r="T1593">
        <f t="shared" si="147"/>
        <v>19</v>
      </c>
      <c r="U1593" t="str">
        <f t="shared" si="148"/>
        <v>Late</v>
      </c>
      <c r="V1593">
        <f t="shared" si="149"/>
        <v>0</v>
      </c>
    </row>
    <row r="1594" spans="1:22" x14ac:dyDescent="0.45">
      <c r="A1594" t="s">
        <v>2439</v>
      </c>
      <c r="B1594" t="s">
        <v>842</v>
      </c>
      <c r="C1594" t="s">
        <v>34</v>
      </c>
      <c r="D1594" t="s">
        <v>68</v>
      </c>
      <c r="E1594" t="s">
        <v>18</v>
      </c>
      <c r="F1594">
        <v>131</v>
      </c>
      <c r="G1594">
        <v>41405</v>
      </c>
      <c r="H1594">
        <v>5424055</v>
      </c>
      <c r="I1594" t="s">
        <v>1026</v>
      </c>
      <c r="J1594" t="s">
        <v>113</v>
      </c>
      <c r="K1594">
        <v>131</v>
      </c>
      <c r="L1594">
        <v>0</v>
      </c>
      <c r="M1594" t="s">
        <v>115</v>
      </c>
      <c r="N1594" t="str">
        <f t="shared" si="144"/>
        <v>PO-101593</v>
      </c>
      <c r="O1594" t="str">
        <f t="shared" si="145"/>
        <v>Delivered</v>
      </c>
      <c r="P1594" t="str">
        <f t="shared" si="146"/>
        <v>WH-PUN</v>
      </c>
      <c r="Q1594" t="str">
        <f>VLOOKUP(C1594, Lookups!$A$2:$D$10, 2, FALSE())</f>
        <v>FastElectronics</v>
      </c>
      <c r="R1594" t="str">
        <f>_xlfn.XLOOKUP(D1594, Lookups!$A$12:$A$51, Lookups!$C$12:$C$51, "Unknown")</f>
        <v>Networking</v>
      </c>
      <c r="S1594" t="str">
        <f>IF(ISBLANK(I1594), B1594+VLOOKUP(C1594, Lookups!$A$2:$D$10, 4, FALSE()), I1594)</f>
        <v>2026-07-03</v>
      </c>
      <c r="T1594">
        <f t="shared" si="147"/>
        <v>19</v>
      </c>
      <c r="U1594" t="str">
        <f t="shared" si="148"/>
        <v>Late</v>
      </c>
      <c r="V1594">
        <f t="shared" si="149"/>
        <v>0</v>
      </c>
    </row>
    <row r="1595" spans="1:22" x14ac:dyDescent="0.45">
      <c r="A1595" t="s">
        <v>2440</v>
      </c>
      <c r="B1595" t="s">
        <v>274</v>
      </c>
      <c r="C1595" t="s">
        <v>30</v>
      </c>
      <c r="D1595" t="s">
        <v>53</v>
      </c>
      <c r="E1595" t="s">
        <v>18</v>
      </c>
      <c r="F1595">
        <v>32</v>
      </c>
      <c r="G1595">
        <v>81048</v>
      </c>
      <c r="H1595">
        <v>2593536</v>
      </c>
      <c r="I1595" t="s">
        <v>294</v>
      </c>
      <c r="J1595" t="s">
        <v>294</v>
      </c>
      <c r="K1595">
        <v>32</v>
      </c>
      <c r="L1595">
        <v>0</v>
      </c>
      <c r="M1595" t="s">
        <v>115</v>
      </c>
      <c r="N1595" t="str">
        <f t="shared" si="144"/>
        <v>PO-101594</v>
      </c>
      <c r="O1595" t="str">
        <f t="shared" si="145"/>
        <v>Delivered</v>
      </c>
      <c r="P1595" t="str">
        <f t="shared" si="146"/>
        <v>WH-PUN</v>
      </c>
      <c r="Q1595" t="str">
        <f>VLOOKUP(C1595, Lookups!$A$2:$D$10, 2, FALSE())</f>
        <v>TechSupply Corp</v>
      </c>
      <c r="R1595" t="str">
        <f>_xlfn.XLOOKUP(D1595, Lookups!$A$12:$A$51, Lookups!$C$12:$C$51, "Unknown")</f>
        <v>Electronics</v>
      </c>
      <c r="S1595" t="str">
        <f>IF(ISBLANK(I1595), B1595+VLOOKUP(C1595, Lookups!$A$2:$D$10, 4, FALSE()), I1595)</f>
        <v>2025-09-13</v>
      </c>
      <c r="T1595">
        <f t="shared" si="147"/>
        <v>14</v>
      </c>
      <c r="U1595" t="str">
        <f t="shared" si="148"/>
        <v>On-Time</v>
      </c>
      <c r="V1595">
        <f t="shared" si="149"/>
        <v>0</v>
      </c>
    </row>
    <row r="1596" spans="1:22" x14ac:dyDescent="0.45">
      <c r="A1596" t="s">
        <v>2441</v>
      </c>
      <c r="B1596" t="s">
        <v>1822</v>
      </c>
      <c r="C1596" t="s">
        <v>35</v>
      </c>
      <c r="D1596" t="s">
        <v>75</v>
      </c>
      <c r="E1596" t="s">
        <v>17</v>
      </c>
      <c r="F1596">
        <v>190</v>
      </c>
      <c r="G1596">
        <v>4440</v>
      </c>
      <c r="H1596">
        <v>843600</v>
      </c>
      <c r="I1596" t="s">
        <v>671</v>
      </c>
      <c r="J1596" t="s">
        <v>671</v>
      </c>
      <c r="K1596">
        <v>190</v>
      </c>
      <c r="L1596">
        <v>26</v>
      </c>
      <c r="M1596" t="s">
        <v>115</v>
      </c>
      <c r="N1596" t="str">
        <f t="shared" si="144"/>
        <v>PO-101595</v>
      </c>
      <c r="O1596" t="str">
        <f t="shared" si="145"/>
        <v>Delivered</v>
      </c>
      <c r="P1596" t="str">
        <f t="shared" si="146"/>
        <v>WH-BLR</v>
      </c>
      <c r="Q1596" t="str">
        <f>VLOOKUP(C1596, Lookups!$A$2:$D$10, 2, FALSE())</f>
        <v>Peripheral Source</v>
      </c>
      <c r="R1596" t="str">
        <f>_xlfn.XLOOKUP(D1596, Lookups!$A$12:$A$51, Lookups!$C$12:$C$51, "Unknown")</f>
        <v>Peripherals</v>
      </c>
      <c r="S1596" t="str">
        <f>IF(ISBLANK(I1596), B1596+VLOOKUP(C1596, Lookups!$A$2:$D$10, 4, FALSE()), I1596)</f>
        <v>2026-11-13</v>
      </c>
      <c r="T1596">
        <f t="shared" si="147"/>
        <v>10</v>
      </c>
      <c r="U1596" t="str">
        <f t="shared" si="148"/>
        <v>On-Time</v>
      </c>
      <c r="V1596">
        <f t="shared" si="149"/>
        <v>0.1368421052631579</v>
      </c>
    </row>
    <row r="1597" spans="1:22" x14ac:dyDescent="0.45">
      <c r="A1597" t="s">
        <v>2442</v>
      </c>
      <c r="B1597" t="s">
        <v>1260</v>
      </c>
      <c r="C1597" t="s">
        <v>36</v>
      </c>
      <c r="D1597" t="s">
        <v>63</v>
      </c>
      <c r="E1597" t="s">
        <v>18</v>
      </c>
      <c r="F1597">
        <v>18</v>
      </c>
      <c r="G1597">
        <v>71062</v>
      </c>
      <c r="H1597">
        <v>1279116</v>
      </c>
      <c r="I1597" t="s">
        <v>580</v>
      </c>
      <c r="J1597" t="s">
        <v>837</v>
      </c>
      <c r="K1597">
        <v>15</v>
      </c>
      <c r="L1597">
        <v>0</v>
      </c>
      <c r="M1597" t="s">
        <v>115</v>
      </c>
      <c r="N1597" t="str">
        <f t="shared" si="144"/>
        <v>PO-101596</v>
      </c>
      <c r="O1597" t="str">
        <f t="shared" si="145"/>
        <v>Delivered</v>
      </c>
      <c r="P1597" t="str">
        <f t="shared" si="146"/>
        <v>WH-PUN</v>
      </c>
      <c r="Q1597" t="str">
        <f>VLOOKUP(C1597, Lookups!$A$2:$D$10, 2, FALSE())</f>
        <v>NextGen Hardware</v>
      </c>
      <c r="R1597" t="str">
        <f>_xlfn.XLOOKUP(D1597, Lookups!$A$12:$A$51, Lookups!$C$12:$C$51, "Unknown")</f>
        <v>Electronics</v>
      </c>
      <c r="S1597" t="str">
        <f>IF(ISBLANK(I1597), B1597+VLOOKUP(C1597, Lookups!$A$2:$D$10, 4, FALSE()), I1597)</f>
        <v>2026-01-12</v>
      </c>
      <c r="T1597">
        <f t="shared" si="147"/>
        <v>23</v>
      </c>
      <c r="U1597" t="str">
        <f t="shared" si="148"/>
        <v>On-Time</v>
      </c>
      <c r="V1597">
        <f t="shared" si="149"/>
        <v>0</v>
      </c>
    </row>
    <row r="1598" spans="1:22" x14ac:dyDescent="0.45">
      <c r="A1598" t="s">
        <v>2443</v>
      </c>
      <c r="B1598" t="s">
        <v>1003</v>
      </c>
      <c r="C1598" t="s">
        <v>34</v>
      </c>
      <c r="D1598" t="s">
        <v>73</v>
      </c>
      <c r="E1598" t="s">
        <v>18</v>
      </c>
      <c r="F1598">
        <v>203</v>
      </c>
      <c r="G1598">
        <v>58396</v>
      </c>
      <c r="H1598">
        <v>11854388</v>
      </c>
      <c r="I1598" t="s">
        <v>798</v>
      </c>
      <c r="J1598" t="s">
        <v>1463</v>
      </c>
      <c r="K1598">
        <v>190</v>
      </c>
      <c r="L1598">
        <v>0</v>
      </c>
      <c r="M1598" t="s">
        <v>115</v>
      </c>
      <c r="N1598" t="str">
        <f t="shared" si="144"/>
        <v>PO-101597</v>
      </c>
      <c r="O1598" t="str">
        <f t="shared" si="145"/>
        <v>Delivered</v>
      </c>
      <c r="P1598" t="str">
        <f t="shared" si="146"/>
        <v>WH-PUN</v>
      </c>
      <c r="Q1598" t="str">
        <f>VLOOKUP(C1598, Lookups!$A$2:$D$10, 2, FALSE())</f>
        <v>FastElectronics</v>
      </c>
      <c r="R1598" t="str">
        <f>_xlfn.XLOOKUP(D1598, Lookups!$A$12:$A$51, Lookups!$C$12:$C$51, "Unknown")</f>
        <v>Electronics</v>
      </c>
      <c r="S1598" t="str">
        <f>IF(ISBLANK(I1598), B1598+VLOOKUP(C1598, Lookups!$A$2:$D$10, 4, FALSE()), I1598)</f>
        <v>2026-05-15</v>
      </c>
      <c r="T1598">
        <f t="shared" si="147"/>
        <v>19</v>
      </c>
      <c r="U1598" t="str">
        <f t="shared" si="148"/>
        <v>Late</v>
      </c>
      <c r="V1598">
        <f t="shared" si="149"/>
        <v>0</v>
      </c>
    </row>
    <row r="1599" spans="1:22" x14ac:dyDescent="0.45">
      <c r="A1599" t="s">
        <v>2444</v>
      </c>
      <c r="B1599" t="s">
        <v>961</v>
      </c>
      <c r="C1599" t="s">
        <v>36</v>
      </c>
      <c r="D1599" t="s">
        <v>62</v>
      </c>
      <c r="E1599" t="s">
        <v>16</v>
      </c>
      <c r="F1599">
        <v>71</v>
      </c>
      <c r="G1599">
        <v>48478</v>
      </c>
      <c r="H1599">
        <v>3441938</v>
      </c>
      <c r="I1599" t="s">
        <v>1593</v>
      </c>
      <c r="J1599" t="s">
        <v>993</v>
      </c>
      <c r="K1599">
        <v>71</v>
      </c>
      <c r="L1599">
        <v>0</v>
      </c>
      <c r="M1599" t="s">
        <v>115</v>
      </c>
      <c r="N1599" t="str">
        <f t="shared" si="144"/>
        <v>PO-101598</v>
      </c>
      <c r="O1599" t="str">
        <f t="shared" si="145"/>
        <v>Delivered</v>
      </c>
      <c r="P1599" t="str">
        <f t="shared" si="146"/>
        <v>WH-DEL</v>
      </c>
      <c r="Q1599" t="str">
        <f>VLOOKUP(C1599, Lookups!$A$2:$D$10, 2, FALSE())</f>
        <v>NextGen Hardware</v>
      </c>
      <c r="R1599" t="str">
        <f>_xlfn.XLOOKUP(D1599, Lookups!$A$12:$A$51, Lookups!$C$12:$C$51, "Unknown")</f>
        <v>Electronics</v>
      </c>
      <c r="S1599" t="str">
        <f>IF(ISBLANK(I1599), B1599+VLOOKUP(C1599, Lookups!$A$2:$D$10, 4, FALSE()), I1599)</f>
        <v>2025-05-27</v>
      </c>
      <c r="T1599">
        <f t="shared" si="147"/>
        <v>25</v>
      </c>
      <c r="U1599" t="str">
        <f t="shared" si="148"/>
        <v>Late</v>
      </c>
      <c r="V1599">
        <f t="shared" si="149"/>
        <v>0</v>
      </c>
    </row>
    <row r="1600" spans="1:22" x14ac:dyDescent="0.45">
      <c r="A1600" t="s">
        <v>2445</v>
      </c>
      <c r="B1600" t="s">
        <v>176</v>
      </c>
      <c r="C1600" t="s">
        <v>30</v>
      </c>
      <c r="D1600" t="s">
        <v>59</v>
      </c>
      <c r="E1600" t="s">
        <v>16</v>
      </c>
      <c r="F1600">
        <v>58</v>
      </c>
      <c r="G1600">
        <v>48905</v>
      </c>
      <c r="H1600">
        <v>2836490</v>
      </c>
      <c r="I1600" t="s">
        <v>1615</v>
      </c>
      <c r="J1600" t="s">
        <v>1610</v>
      </c>
      <c r="K1600">
        <v>58</v>
      </c>
      <c r="L1600">
        <v>0</v>
      </c>
      <c r="M1600" t="s">
        <v>115</v>
      </c>
      <c r="N1600" t="str">
        <f t="shared" si="144"/>
        <v>PO-101599</v>
      </c>
      <c r="O1600" t="str">
        <f t="shared" si="145"/>
        <v>Delivered</v>
      </c>
      <c r="P1600" t="str">
        <f t="shared" si="146"/>
        <v>WH-DEL</v>
      </c>
      <c r="Q1600" t="str">
        <f>VLOOKUP(C1600, Lookups!$A$2:$D$10, 2, FALSE())</f>
        <v>TechSupply Corp</v>
      </c>
      <c r="R1600" t="str">
        <f>_xlfn.XLOOKUP(D1600, Lookups!$A$12:$A$51, Lookups!$C$12:$C$51, "Unknown")</f>
        <v>Electronics</v>
      </c>
      <c r="S1600" t="str">
        <f>IF(ISBLANK(I1600), B1600+VLOOKUP(C1600, Lookups!$A$2:$D$10, 4, FALSE()), I1600)</f>
        <v>2026-08-21</v>
      </c>
      <c r="T1600">
        <f t="shared" si="147"/>
        <v>15</v>
      </c>
      <c r="U1600" t="str">
        <f t="shared" si="148"/>
        <v>Late</v>
      </c>
      <c r="V1600">
        <f t="shared" si="149"/>
        <v>0</v>
      </c>
    </row>
    <row r="1601" spans="1:22" x14ac:dyDescent="0.45">
      <c r="A1601" t="s">
        <v>2446</v>
      </c>
      <c r="B1601" t="s">
        <v>2018</v>
      </c>
      <c r="C1601" t="s">
        <v>36</v>
      </c>
      <c r="D1601" t="s">
        <v>71</v>
      </c>
      <c r="E1601" t="s">
        <v>15</v>
      </c>
      <c r="F1601">
        <v>189</v>
      </c>
      <c r="G1601">
        <v>65379</v>
      </c>
      <c r="H1601">
        <v>12356631</v>
      </c>
      <c r="I1601" t="s">
        <v>290</v>
      </c>
      <c r="J1601" t="s">
        <v>290</v>
      </c>
      <c r="K1601">
        <v>189</v>
      </c>
      <c r="L1601">
        <v>0</v>
      </c>
      <c r="M1601" t="s">
        <v>115</v>
      </c>
      <c r="N1601" t="str">
        <f t="shared" si="144"/>
        <v>PO-101600</v>
      </c>
      <c r="O1601" t="str">
        <f t="shared" si="145"/>
        <v>Delivered</v>
      </c>
      <c r="P1601" t="str">
        <f t="shared" si="146"/>
        <v>WH-BOM</v>
      </c>
      <c r="Q1601" t="str">
        <f>VLOOKUP(C1601, Lookups!$A$2:$D$10, 2, FALSE())</f>
        <v>NextGen Hardware</v>
      </c>
      <c r="R1601" t="str">
        <f>_xlfn.XLOOKUP(D1601, Lookups!$A$12:$A$51, Lookups!$C$12:$C$51, "Unknown")</f>
        <v>Electronics</v>
      </c>
      <c r="S1601" t="str">
        <f>IF(ISBLANK(I1601), B1601+VLOOKUP(C1601, Lookups!$A$2:$D$10, 4, FALSE()), I1601)</f>
        <v>2026-07-12</v>
      </c>
      <c r="T1601">
        <f t="shared" si="147"/>
        <v>24</v>
      </c>
      <c r="U1601" t="str">
        <f t="shared" si="148"/>
        <v>On-Time</v>
      </c>
      <c r="V1601">
        <f t="shared" si="149"/>
        <v>0</v>
      </c>
    </row>
    <row r="1602" spans="1:22" x14ac:dyDescent="0.45">
      <c r="A1602" t="s">
        <v>2447</v>
      </c>
      <c r="B1602" t="s">
        <v>705</v>
      </c>
      <c r="C1602" t="s">
        <v>32</v>
      </c>
      <c r="D1602" t="s">
        <v>84</v>
      </c>
      <c r="E1602" t="s">
        <v>18</v>
      </c>
      <c r="F1602">
        <v>12</v>
      </c>
      <c r="G1602">
        <v>7271</v>
      </c>
      <c r="H1602">
        <v>87252</v>
      </c>
      <c r="I1602" t="s">
        <v>576</v>
      </c>
      <c r="J1602" t="s">
        <v>576</v>
      </c>
      <c r="K1602">
        <v>12</v>
      </c>
      <c r="L1602">
        <v>0</v>
      </c>
      <c r="M1602" t="s">
        <v>115</v>
      </c>
      <c r="N1602" t="str">
        <f t="shared" ref="N1602:N1665" si="150">TRIM(A1602)</f>
        <v>PO-101601</v>
      </c>
      <c r="O1602" t="str">
        <f t="shared" ref="O1602:O1665" si="151">PROPER(TRIM(M1602))</f>
        <v>Delivered</v>
      </c>
      <c r="P1602" t="str">
        <f t="shared" ref="P1602:P1665" si="152">TRIM(E1602)</f>
        <v>WH-PUN</v>
      </c>
      <c r="Q1602" t="str">
        <f>VLOOKUP(C1602, Lookups!$A$2:$D$10, 2, FALSE())</f>
        <v>OfficeDepot Pro</v>
      </c>
      <c r="R1602" t="str">
        <f>_xlfn.XLOOKUP(D1602, Lookups!$A$12:$A$51, Lookups!$C$12:$C$51, "Unknown")</f>
        <v>Peripherals</v>
      </c>
      <c r="S1602" t="str">
        <f>IF(ISBLANK(I1602), B1602+VLOOKUP(C1602, Lookups!$A$2:$D$10, 4, FALSE()), I1602)</f>
        <v>2026-03-05</v>
      </c>
      <c r="T1602">
        <f t="shared" ref="T1602:T1665" si="153">IF(ISBLANK(J1602), "", J1602-B1602)</f>
        <v>7</v>
      </c>
      <c r="U1602" t="str">
        <f t="shared" ref="U1602:U1665" si="154">IF(O1602="Open", "Open", IF(J1602&gt;S1602, "Late", "On-Time"))</f>
        <v>On-Time</v>
      </c>
      <c r="V1602">
        <f t="shared" ref="V1602:V1665" si="155">IF(K1602&gt;0, L1602/K1602, 0)</f>
        <v>0</v>
      </c>
    </row>
    <row r="1603" spans="1:22" x14ac:dyDescent="0.45">
      <c r="A1603" t="s">
        <v>2448</v>
      </c>
      <c r="B1603" t="s">
        <v>266</v>
      </c>
      <c r="C1603" t="s">
        <v>31</v>
      </c>
      <c r="D1603" t="s">
        <v>77</v>
      </c>
      <c r="E1603" t="s">
        <v>17</v>
      </c>
      <c r="F1603">
        <v>40</v>
      </c>
      <c r="G1603">
        <v>23667</v>
      </c>
      <c r="H1603">
        <v>946680</v>
      </c>
      <c r="I1603" t="s">
        <v>926</v>
      </c>
      <c r="J1603" t="s">
        <v>566</v>
      </c>
      <c r="K1603">
        <v>40</v>
      </c>
      <c r="L1603">
        <v>0</v>
      </c>
      <c r="M1603" t="s">
        <v>115</v>
      </c>
      <c r="N1603" t="str">
        <f t="shared" si="150"/>
        <v>PO-101602</v>
      </c>
      <c r="O1603" t="str">
        <f t="shared" si="151"/>
        <v>Delivered</v>
      </c>
      <c r="P1603" t="str">
        <f t="shared" si="152"/>
        <v>WH-BLR</v>
      </c>
      <c r="Q1603" t="str">
        <f>VLOOKUP(C1603, Lookups!$A$2:$D$10, 2, FALSE())</f>
        <v>Global Networks</v>
      </c>
      <c r="R1603" t="str">
        <f>_xlfn.XLOOKUP(D1603, Lookups!$A$12:$A$51, Lookups!$C$12:$C$51, "Unknown")</f>
        <v>Networking</v>
      </c>
      <c r="S1603" t="str">
        <f>IF(ISBLANK(I1603), B1603+VLOOKUP(C1603, Lookups!$A$2:$D$10, 4, FALSE()), I1603)</f>
        <v>2025-03-08</v>
      </c>
      <c r="T1603">
        <f t="shared" si="153"/>
        <v>22</v>
      </c>
      <c r="U1603" t="str">
        <f t="shared" si="154"/>
        <v>Late</v>
      </c>
      <c r="V1603">
        <f t="shared" si="155"/>
        <v>0</v>
      </c>
    </row>
    <row r="1604" spans="1:22" x14ac:dyDescent="0.45">
      <c r="A1604" t="s">
        <v>2449</v>
      </c>
      <c r="B1604" t="s">
        <v>587</v>
      </c>
      <c r="C1604" t="s">
        <v>31</v>
      </c>
      <c r="D1604" t="s">
        <v>85</v>
      </c>
      <c r="E1604" t="s">
        <v>16</v>
      </c>
      <c r="F1604">
        <v>204</v>
      </c>
      <c r="G1604">
        <v>16501</v>
      </c>
      <c r="H1604">
        <v>3366204</v>
      </c>
      <c r="I1604" t="s">
        <v>856</v>
      </c>
      <c r="J1604" t="s">
        <v>1227</v>
      </c>
      <c r="K1604">
        <v>204</v>
      </c>
      <c r="L1604">
        <v>0</v>
      </c>
      <c r="M1604" t="s">
        <v>115</v>
      </c>
      <c r="N1604" t="str">
        <f t="shared" si="150"/>
        <v>PO-101603</v>
      </c>
      <c r="O1604" t="str">
        <f t="shared" si="151"/>
        <v>Delivered</v>
      </c>
      <c r="P1604" t="str">
        <f t="shared" si="152"/>
        <v>WH-DEL</v>
      </c>
      <c r="Q1604" t="str">
        <f>VLOOKUP(C1604, Lookups!$A$2:$D$10, 2, FALSE())</f>
        <v>Global Networks</v>
      </c>
      <c r="R1604" t="str">
        <f>_xlfn.XLOOKUP(D1604, Lookups!$A$12:$A$51, Lookups!$C$12:$C$51, "Unknown")</f>
        <v>Networking</v>
      </c>
      <c r="S1604" t="str">
        <f>IF(ISBLANK(I1604), B1604+VLOOKUP(C1604, Lookups!$A$2:$D$10, 4, FALSE()), I1604)</f>
        <v>2026-05-02</v>
      </c>
      <c r="T1604">
        <f t="shared" si="153"/>
        <v>22</v>
      </c>
      <c r="U1604" t="str">
        <f t="shared" si="154"/>
        <v>Late</v>
      </c>
      <c r="V1604">
        <f t="shared" si="155"/>
        <v>0</v>
      </c>
    </row>
    <row r="1605" spans="1:22" x14ac:dyDescent="0.45">
      <c r="A1605" t="s">
        <v>2450</v>
      </c>
      <c r="B1605" t="s">
        <v>303</v>
      </c>
      <c r="C1605" t="s">
        <v>31</v>
      </c>
      <c r="D1605" t="s">
        <v>64</v>
      </c>
      <c r="E1605" t="s">
        <v>15</v>
      </c>
      <c r="F1605">
        <v>68</v>
      </c>
      <c r="G1605">
        <v>36295</v>
      </c>
      <c r="H1605">
        <v>2468060</v>
      </c>
      <c r="I1605" t="s">
        <v>194</v>
      </c>
      <c r="J1605" t="s">
        <v>908</v>
      </c>
      <c r="K1605">
        <v>68</v>
      </c>
      <c r="L1605">
        <v>0</v>
      </c>
      <c r="M1605" t="s">
        <v>115</v>
      </c>
      <c r="N1605" t="str">
        <f t="shared" si="150"/>
        <v>PO-101604</v>
      </c>
      <c r="O1605" t="str">
        <f t="shared" si="151"/>
        <v>Delivered</v>
      </c>
      <c r="P1605" t="str">
        <f t="shared" si="152"/>
        <v>WH-BOM</v>
      </c>
      <c r="Q1605" t="str">
        <f>VLOOKUP(C1605, Lookups!$A$2:$D$10, 2, FALSE())</f>
        <v>Global Networks</v>
      </c>
      <c r="R1605" t="str">
        <f>_xlfn.XLOOKUP(D1605, Lookups!$A$12:$A$51, Lookups!$C$12:$C$51, "Unknown")</f>
        <v>Networking</v>
      </c>
      <c r="S1605" t="str">
        <f>IF(ISBLANK(I1605), B1605+VLOOKUP(C1605, Lookups!$A$2:$D$10, 4, FALSE()), I1605)</f>
        <v>2026-06-30</v>
      </c>
      <c r="T1605">
        <f t="shared" si="153"/>
        <v>22</v>
      </c>
      <c r="U1605" t="str">
        <f t="shared" si="154"/>
        <v>Late</v>
      </c>
      <c r="V1605">
        <f t="shared" si="155"/>
        <v>0</v>
      </c>
    </row>
    <row r="1606" spans="1:22" x14ac:dyDescent="0.45">
      <c r="A1606" t="s">
        <v>2451</v>
      </c>
      <c r="B1606" t="s">
        <v>545</v>
      </c>
      <c r="C1606" t="s">
        <v>35</v>
      </c>
      <c r="D1606" t="s">
        <v>70</v>
      </c>
      <c r="E1606" t="s">
        <v>15</v>
      </c>
      <c r="F1606">
        <v>232</v>
      </c>
      <c r="G1606">
        <v>4287</v>
      </c>
      <c r="H1606">
        <v>994584</v>
      </c>
      <c r="I1606" t="s">
        <v>778</v>
      </c>
      <c r="J1606" t="s">
        <v>207</v>
      </c>
      <c r="K1606">
        <v>232</v>
      </c>
      <c r="L1606">
        <v>0</v>
      </c>
      <c r="M1606" t="s">
        <v>115</v>
      </c>
      <c r="N1606" t="str">
        <f t="shared" si="150"/>
        <v>PO-101605</v>
      </c>
      <c r="O1606" t="str">
        <f t="shared" si="151"/>
        <v>Delivered</v>
      </c>
      <c r="P1606" t="str">
        <f t="shared" si="152"/>
        <v>WH-BOM</v>
      </c>
      <c r="Q1606" t="str">
        <f>VLOOKUP(C1606, Lookups!$A$2:$D$10, 2, FALSE())</f>
        <v>Peripheral Source</v>
      </c>
      <c r="R1606" t="str">
        <f>_xlfn.XLOOKUP(D1606, Lookups!$A$12:$A$51, Lookups!$C$12:$C$51, "Unknown")</f>
        <v>Peripherals</v>
      </c>
      <c r="S1606" t="str">
        <f>IF(ISBLANK(I1606), B1606+VLOOKUP(C1606, Lookups!$A$2:$D$10, 4, FALSE()), I1606)</f>
        <v>2025-12-13</v>
      </c>
      <c r="T1606">
        <f t="shared" si="153"/>
        <v>11</v>
      </c>
      <c r="U1606" t="str">
        <f t="shared" si="154"/>
        <v>Late</v>
      </c>
      <c r="V1606">
        <f t="shared" si="155"/>
        <v>0</v>
      </c>
    </row>
    <row r="1607" spans="1:22" x14ac:dyDescent="0.45">
      <c r="A1607" t="s">
        <v>2452</v>
      </c>
      <c r="B1607" t="s">
        <v>1177</v>
      </c>
      <c r="C1607" t="s">
        <v>36</v>
      </c>
      <c r="D1607" t="s">
        <v>55</v>
      </c>
      <c r="E1607" t="s">
        <v>15</v>
      </c>
      <c r="F1607">
        <v>58</v>
      </c>
      <c r="G1607">
        <v>58434</v>
      </c>
      <c r="H1607">
        <v>3389172</v>
      </c>
      <c r="I1607" t="s">
        <v>114</v>
      </c>
      <c r="J1607" t="s">
        <v>514</v>
      </c>
      <c r="K1607">
        <v>58</v>
      </c>
      <c r="L1607">
        <v>0</v>
      </c>
      <c r="M1607" t="s">
        <v>115</v>
      </c>
      <c r="N1607" t="str">
        <f t="shared" si="150"/>
        <v>PO-101606</v>
      </c>
      <c r="O1607" t="str">
        <f t="shared" si="151"/>
        <v>Delivered</v>
      </c>
      <c r="P1607" t="str">
        <f t="shared" si="152"/>
        <v>WH-BOM</v>
      </c>
      <c r="Q1607" t="str">
        <f>VLOOKUP(C1607, Lookups!$A$2:$D$10, 2, FALSE())</f>
        <v>NextGen Hardware</v>
      </c>
      <c r="R1607" t="str">
        <f>_xlfn.XLOOKUP(D1607, Lookups!$A$12:$A$51, Lookups!$C$12:$C$51, "Unknown")</f>
        <v>Electronics</v>
      </c>
      <c r="S1607" t="str">
        <f>IF(ISBLANK(I1607), B1607+VLOOKUP(C1607, Lookups!$A$2:$D$10, 4, FALSE()), I1607)</f>
        <v>2026-07-05</v>
      </c>
      <c r="T1607">
        <f t="shared" si="153"/>
        <v>33</v>
      </c>
      <c r="U1607" t="str">
        <f t="shared" si="154"/>
        <v>Late</v>
      </c>
      <c r="V1607">
        <f t="shared" si="155"/>
        <v>0</v>
      </c>
    </row>
    <row r="1608" spans="1:22" x14ac:dyDescent="0.45">
      <c r="A1608" t="s">
        <v>2453</v>
      </c>
      <c r="B1608" t="s">
        <v>137</v>
      </c>
      <c r="C1608" t="s">
        <v>34</v>
      </c>
      <c r="D1608" t="s">
        <v>76</v>
      </c>
      <c r="E1608" t="s">
        <v>17</v>
      </c>
      <c r="F1608">
        <v>72</v>
      </c>
      <c r="G1608">
        <v>26270</v>
      </c>
      <c r="H1608">
        <v>1891440</v>
      </c>
      <c r="I1608" t="s">
        <v>138</v>
      </c>
      <c r="J1608" t="s">
        <v>138</v>
      </c>
      <c r="K1608">
        <v>72</v>
      </c>
      <c r="L1608">
        <v>0</v>
      </c>
      <c r="M1608" t="s">
        <v>115</v>
      </c>
      <c r="N1608" t="str">
        <f t="shared" si="150"/>
        <v>PO-101607</v>
      </c>
      <c r="O1608" t="str">
        <f t="shared" si="151"/>
        <v>Delivered</v>
      </c>
      <c r="P1608" t="str">
        <f t="shared" si="152"/>
        <v>WH-BLR</v>
      </c>
      <c r="Q1608" t="str">
        <f>VLOOKUP(C1608, Lookups!$A$2:$D$10, 2, FALSE())</f>
        <v>FastElectronics</v>
      </c>
      <c r="R1608" t="str">
        <f>_xlfn.XLOOKUP(D1608, Lookups!$A$12:$A$51, Lookups!$C$12:$C$51, "Unknown")</f>
        <v>Networking</v>
      </c>
      <c r="S1608" t="str">
        <f>IF(ISBLANK(I1608), B1608+VLOOKUP(C1608, Lookups!$A$2:$D$10, 4, FALSE()), I1608)</f>
        <v>2025-09-26</v>
      </c>
      <c r="T1608">
        <f t="shared" si="153"/>
        <v>18</v>
      </c>
      <c r="U1608" t="str">
        <f t="shared" si="154"/>
        <v>On-Time</v>
      </c>
      <c r="V1608">
        <f t="shared" si="155"/>
        <v>0</v>
      </c>
    </row>
    <row r="1609" spans="1:22" x14ac:dyDescent="0.45">
      <c r="A1609" t="s">
        <v>2454</v>
      </c>
      <c r="B1609" t="s">
        <v>1574</v>
      </c>
      <c r="C1609" t="s">
        <v>35</v>
      </c>
      <c r="D1609" t="s">
        <v>91</v>
      </c>
      <c r="E1609" t="s">
        <v>17</v>
      </c>
      <c r="F1609">
        <v>76</v>
      </c>
      <c r="G1609">
        <v>6707</v>
      </c>
      <c r="H1609">
        <v>509732</v>
      </c>
      <c r="I1609" t="s">
        <v>930</v>
      </c>
      <c r="J1609" t="s">
        <v>930</v>
      </c>
      <c r="K1609">
        <v>76</v>
      </c>
      <c r="L1609">
        <v>0</v>
      </c>
      <c r="M1609" t="s">
        <v>115</v>
      </c>
      <c r="N1609" t="str">
        <f t="shared" si="150"/>
        <v>PO-101608</v>
      </c>
      <c r="O1609" t="str">
        <f t="shared" si="151"/>
        <v>Delivered</v>
      </c>
      <c r="P1609" t="str">
        <f t="shared" si="152"/>
        <v>WH-BLR</v>
      </c>
      <c r="Q1609" t="str">
        <f>VLOOKUP(C1609, Lookups!$A$2:$D$10, 2, FALSE())</f>
        <v>Peripheral Source</v>
      </c>
      <c r="R1609" t="str">
        <f>_xlfn.XLOOKUP(D1609, Lookups!$A$12:$A$51, Lookups!$C$12:$C$51, "Unknown")</f>
        <v>Peripherals</v>
      </c>
      <c r="S1609" t="str">
        <f>IF(ISBLANK(I1609), B1609+VLOOKUP(C1609, Lookups!$A$2:$D$10, 4, FALSE()), I1609)</f>
        <v>2025-12-10</v>
      </c>
      <c r="T1609">
        <f t="shared" si="153"/>
        <v>10</v>
      </c>
      <c r="U1609" t="str">
        <f t="shared" si="154"/>
        <v>On-Time</v>
      </c>
      <c r="V1609">
        <f t="shared" si="155"/>
        <v>0</v>
      </c>
    </row>
    <row r="1610" spans="1:22" x14ac:dyDescent="0.45">
      <c r="A1610" t="s">
        <v>2455</v>
      </c>
      <c r="B1610" t="s">
        <v>464</v>
      </c>
      <c r="C1610" t="s">
        <v>33</v>
      </c>
      <c r="D1610" t="s">
        <v>89</v>
      </c>
      <c r="E1610" t="s">
        <v>16</v>
      </c>
      <c r="F1610">
        <v>16</v>
      </c>
      <c r="G1610">
        <v>11309</v>
      </c>
      <c r="H1610">
        <v>180944</v>
      </c>
      <c r="I1610" t="s">
        <v>1776</v>
      </c>
      <c r="J1610" t="s">
        <v>447</v>
      </c>
      <c r="K1610">
        <v>16</v>
      </c>
      <c r="L1610">
        <v>2</v>
      </c>
      <c r="M1610" t="s">
        <v>115</v>
      </c>
      <c r="N1610" t="str">
        <f t="shared" si="150"/>
        <v>PO-101609</v>
      </c>
      <c r="O1610" t="str">
        <f t="shared" si="151"/>
        <v>Delivered</v>
      </c>
      <c r="P1610" t="str">
        <f t="shared" si="152"/>
        <v>WH-DEL</v>
      </c>
      <c r="Q1610" t="str">
        <f>VLOOKUP(C1610, Lookups!$A$2:$D$10, 2, FALSE())</f>
        <v>MegaFurnish</v>
      </c>
      <c r="R1610" t="str">
        <f>_xlfn.XLOOKUP(D1610, Lookups!$A$12:$A$51, Lookups!$C$12:$C$51, "Unknown")</f>
        <v>Office Furniture</v>
      </c>
      <c r="S1610" t="str">
        <f>IF(ISBLANK(I1610), B1610+VLOOKUP(C1610, Lookups!$A$2:$D$10, 4, FALSE()), I1610)</f>
        <v>2025-12-20</v>
      </c>
      <c r="T1610">
        <f t="shared" si="153"/>
        <v>27</v>
      </c>
      <c r="U1610" t="str">
        <f t="shared" si="154"/>
        <v>On-Time</v>
      </c>
      <c r="V1610">
        <f t="shared" si="155"/>
        <v>0.125</v>
      </c>
    </row>
    <row r="1611" spans="1:22" x14ac:dyDescent="0.45">
      <c r="A1611" t="s">
        <v>2456</v>
      </c>
      <c r="B1611" t="s">
        <v>887</v>
      </c>
      <c r="C1611" t="s">
        <v>30</v>
      </c>
      <c r="D1611" t="s">
        <v>52</v>
      </c>
      <c r="E1611" t="s">
        <v>17</v>
      </c>
      <c r="F1611">
        <v>49</v>
      </c>
      <c r="G1611">
        <v>59592</v>
      </c>
      <c r="H1611">
        <v>2920008</v>
      </c>
      <c r="I1611" t="s">
        <v>389</v>
      </c>
      <c r="J1611" t="s">
        <v>389</v>
      </c>
      <c r="K1611">
        <v>49</v>
      </c>
      <c r="L1611">
        <v>0</v>
      </c>
      <c r="M1611" t="s">
        <v>115</v>
      </c>
      <c r="N1611" t="str">
        <f t="shared" si="150"/>
        <v>PO-101610</v>
      </c>
      <c r="O1611" t="str">
        <f t="shared" si="151"/>
        <v>Delivered</v>
      </c>
      <c r="P1611" t="str">
        <f t="shared" si="152"/>
        <v>WH-BLR</v>
      </c>
      <c r="Q1611" t="str">
        <f>VLOOKUP(C1611, Lookups!$A$2:$D$10, 2, FALSE())</f>
        <v>TechSupply Corp</v>
      </c>
      <c r="R1611" t="str">
        <f>_xlfn.XLOOKUP(D1611, Lookups!$A$12:$A$51, Lookups!$C$12:$C$51, "Unknown")</f>
        <v>Electronics</v>
      </c>
      <c r="S1611" t="str">
        <f>IF(ISBLANK(I1611), B1611+VLOOKUP(C1611, Lookups!$A$2:$D$10, 4, FALSE()), I1611)</f>
        <v>2026-04-06</v>
      </c>
      <c r="T1611">
        <f t="shared" si="153"/>
        <v>14</v>
      </c>
      <c r="U1611" t="str">
        <f t="shared" si="154"/>
        <v>On-Time</v>
      </c>
      <c r="V1611">
        <f t="shared" si="155"/>
        <v>0</v>
      </c>
    </row>
    <row r="1612" spans="1:22" x14ac:dyDescent="0.45">
      <c r="A1612" t="s">
        <v>2457</v>
      </c>
      <c r="B1612" t="s">
        <v>2204</v>
      </c>
      <c r="C1612" t="s">
        <v>34</v>
      </c>
      <c r="D1612" t="s">
        <v>54</v>
      </c>
      <c r="E1612" t="s">
        <v>16</v>
      </c>
      <c r="F1612">
        <v>165</v>
      </c>
      <c r="G1612">
        <v>22314</v>
      </c>
      <c r="H1612">
        <v>3681810</v>
      </c>
      <c r="I1612" t="s">
        <v>649</v>
      </c>
      <c r="J1612" t="s">
        <v>252</v>
      </c>
      <c r="K1612">
        <v>165</v>
      </c>
      <c r="L1612">
        <v>0</v>
      </c>
      <c r="M1612" t="s">
        <v>115</v>
      </c>
      <c r="N1612" t="str">
        <f t="shared" si="150"/>
        <v>PO-101611</v>
      </c>
      <c r="O1612" t="str">
        <f t="shared" si="151"/>
        <v>Delivered</v>
      </c>
      <c r="P1612" t="str">
        <f t="shared" si="152"/>
        <v>WH-DEL</v>
      </c>
      <c r="Q1612" t="str">
        <f>VLOOKUP(C1612, Lookups!$A$2:$D$10, 2, FALSE())</f>
        <v>FastElectronics</v>
      </c>
      <c r="R1612" t="str">
        <f>_xlfn.XLOOKUP(D1612, Lookups!$A$12:$A$51, Lookups!$C$12:$C$51, "Unknown")</f>
        <v>Networking</v>
      </c>
      <c r="S1612" t="str">
        <f>IF(ISBLANK(I1612), B1612+VLOOKUP(C1612, Lookups!$A$2:$D$10, 4, FALSE()), I1612)</f>
        <v>2025-08-18</v>
      </c>
      <c r="T1612">
        <f t="shared" si="153"/>
        <v>19</v>
      </c>
      <c r="U1612" t="str">
        <f t="shared" si="154"/>
        <v>Late</v>
      </c>
      <c r="V1612">
        <f t="shared" si="155"/>
        <v>0</v>
      </c>
    </row>
    <row r="1613" spans="1:22" x14ac:dyDescent="0.45">
      <c r="A1613" t="s">
        <v>2458</v>
      </c>
      <c r="B1613" t="s">
        <v>794</v>
      </c>
      <c r="C1613" t="s">
        <v>36</v>
      </c>
      <c r="D1613" t="s">
        <v>62</v>
      </c>
      <c r="E1613" t="s">
        <v>16</v>
      </c>
      <c r="F1613">
        <v>101</v>
      </c>
      <c r="G1613">
        <v>48478</v>
      </c>
      <c r="H1613">
        <v>4896278</v>
      </c>
      <c r="I1613" t="s">
        <v>659</v>
      </c>
      <c r="J1613" t="s">
        <v>1338</v>
      </c>
      <c r="K1613">
        <v>101</v>
      </c>
      <c r="L1613">
        <v>0</v>
      </c>
      <c r="M1613" t="s">
        <v>115</v>
      </c>
      <c r="N1613" t="str">
        <f t="shared" si="150"/>
        <v>PO-101612</v>
      </c>
      <c r="O1613" t="str">
        <f t="shared" si="151"/>
        <v>Delivered</v>
      </c>
      <c r="P1613" t="str">
        <f t="shared" si="152"/>
        <v>WH-DEL</v>
      </c>
      <c r="Q1613" t="str">
        <f>VLOOKUP(C1613, Lookups!$A$2:$D$10, 2, FALSE())</f>
        <v>NextGen Hardware</v>
      </c>
      <c r="R1613" t="str">
        <f>_xlfn.XLOOKUP(D1613, Lookups!$A$12:$A$51, Lookups!$C$12:$C$51, "Unknown")</f>
        <v>Electronics</v>
      </c>
      <c r="S1613" t="str">
        <f>IF(ISBLANK(I1613), B1613+VLOOKUP(C1613, Lookups!$A$2:$D$10, 4, FALSE()), I1613)</f>
        <v>2026-10-01</v>
      </c>
      <c r="T1613">
        <f t="shared" si="153"/>
        <v>25</v>
      </c>
      <c r="U1613" t="str">
        <f t="shared" si="154"/>
        <v>Late</v>
      </c>
      <c r="V1613">
        <f t="shared" si="155"/>
        <v>0</v>
      </c>
    </row>
    <row r="1614" spans="1:22" x14ac:dyDescent="0.45">
      <c r="A1614" t="s">
        <v>2459</v>
      </c>
      <c r="B1614" t="s">
        <v>137</v>
      </c>
      <c r="C1614" t="s">
        <v>30</v>
      </c>
      <c r="D1614" t="s">
        <v>53</v>
      </c>
      <c r="E1614" t="s">
        <v>18</v>
      </c>
      <c r="F1614">
        <v>162</v>
      </c>
      <c r="G1614">
        <v>81048</v>
      </c>
      <c r="H1614">
        <v>13129776</v>
      </c>
      <c r="I1614" t="s">
        <v>198</v>
      </c>
      <c r="J1614" t="s">
        <v>198</v>
      </c>
      <c r="K1614">
        <v>162</v>
      </c>
      <c r="L1614">
        <v>0</v>
      </c>
      <c r="M1614" t="s">
        <v>115</v>
      </c>
      <c r="N1614" t="str">
        <f t="shared" si="150"/>
        <v>PO-101613</v>
      </c>
      <c r="O1614" t="str">
        <f t="shared" si="151"/>
        <v>Delivered</v>
      </c>
      <c r="P1614" t="str">
        <f t="shared" si="152"/>
        <v>WH-PUN</v>
      </c>
      <c r="Q1614" t="str">
        <f>VLOOKUP(C1614, Lookups!$A$2:$D$10, 2, FALSE())</f>
        <v>TechSupply Corp</v>
      </c>
      <c r="R1614" t="str">
        <f>_xlfn.XLOOKUP(D1614, Lookups!$A$12:$A$51, Lookups!$C$12:$C$51, "Unknown")</f>
        <v>Electronics</v>
      </c>
      <c r="S1614" t="str">
        <f>IF(ISBLANK(I1614), B1614+VLOOKUP(C1614, Lookups!$A$2:$D$10, 4, FALSE()), I1614)</f>
        <v>2025-09-22</v>
      </c>
      <c r="T1614">
        <f t="shared" si="153"/>
        <v>14</v>
      </c>
      <c r="U1614" t="str">
        <f t="shared" si="154"/>
        <v>On-Time</v>
      </c>
      <c r="V1614">
        <f t="shared" si="155"/>
        <v>0</v>
      </c>
    </row>
    <row r="1615" spans="1:22" x14ac:dyDescent="0.45">
      <c r="A1615" t="s">
        <v>2460</v>
      </c>
      <c r="B1615" t="s">
        <v>2461</v>
      </c>
      <c r="C1615" t="s">
        <v>36</v>
      </c>
      <c r="D1615" t="s">
        <v>63</v>
      </c>
      <c r="E1615" t="s">
        <v>18</v>
      </c>
      <c r="F1615">
        <v>63</v>
      </c>
      <c r="G1615">
        <v>71062</v>
      </c>
      <c r="H1615">
        <v>4476906</v>
      </c>
      <c r="I1615" t="s">
        <v>396</v>
      </c>
      <c r="J1615" t="s">
        <v>396</v>
      </c>
      <c r="K1615">
        <v>63</v>
      </c>
      <c r="L1615">
        <v>0</v>
      </c>
      <c r="M1615" t="s">
        <v>115</v>
      </c>
      <c r="N1615" t="str">
        <f t="shared" si="150"/>
        <v>PO-101614</v>
      </c>
      <c r="O1615" t="str">
        <f t="shared" si="151"/>
        <v>Delivered</v>
      </c>
      <c r="P1615" t="str">
        <f t="shared" si="152"/>
        <v>WH-PUN</v>
      </c>
      <c r="Q1615" t="str">
        <f>VLOOKUP(C1615, Lookups!$A$2:$D$10, 2, FALSE())</f>
        <v>NextGen Hardware</v>
      </c>
      <c r="R1615" t="str">
        <f>_xlfn.XLOOKUP(D1615, Lookups!$A$12:$A$51, Lookups!$C$12:$C$51, "Unknown")</f>
        <v>Electronics</v>
      </c>
      <c r="S1615" t="str">
        <f>IF(ISBLANK(I1615), B1615+VLOOKUP(C1615, Lookups!$A$2:$D$10, 4, FALSE()), I1615)</f>
        <v>2025-03-27</v>
      </c>
      <c r="T1615">
        <f t="shared" si="153"/>
        <v>24</v>
      </c>
      <c r="U1615" t="str">
        <f t="shared" si="154"/>
        <v>On-Time</v>
      </c>
      <c r="V1615">
        <f t="shared" si="155"/>
        <v>0</v>
      </c>
    </row>
    <row r="1616" spans="1:22" x14ac:dyDescent="0.45">
      <c r="A1616" t="s">
        <v>2462</v>
      </c>
      <c r="B1616" t="s">
        <v>663</v>
      </c>
      <c r="C1616" t="s">
        <v>36</v>
      </c>
      <c r="D1616" t="s">
        <v>90</v>
      </c>
      <c r="E1616" t="s">
        <v>17</v>
      </c>
      <c r="F1616">
        <v>65</v>
      </c>
      <c r="G1616">
        <v>81434</v>
      </c>
      <c r="H1616">
        <v>5293210</v>
      </c>
      <c r="I1616" t="s">
        <v>736</v>
      </c>
      <c r="J1616" t="s">
        <v>734</v>
      </c>
      <c r="K1616">
        <v>50</v>
      </c>
      <c r="L1616">
        <v>0</v>
      </c>
      <c r="M1616" t="s">
        <v>115</v>
      </c>
      <c r="N1616" t="str">
        <f t="shared" si="150"/>
        <v>PO-101615</v>
      </c>
      <c r="O1616" t="str">
        <f t="shared" si="151"/>
        <v>Delivered</v>
      </c>
      <c r="P1616" t="str">
        <f t="shared" si="152"/>
        <v>WH-BLR</v>
      </c>
      <c r="Q1616" t="str">
        <f>VLOOKUP(C1616, Lookups!$A$2:$D$10, 2, FALSE())</f>
        <v>NextGen Hardware</v>
      </c>
      <c r="R1616" t="str">
        <f>_xlfn.XLOOKUP(D1616, Lookups!$A$12:$A$51, Lookups!$C$12:$C$51, "Unknown")</f>
        <v>Electronics</v>
      </c>
      <c r="S1616" t="str">
        <f>IF(ISBLANK(I1616), B1616+VLOOKUP(C1616, Lookups!$A$2:$D$10, 4, FALSE()), I1616)</f>
        <v>2026-10-30</v>
      </c>
      <c r="T1616">
        <f t="shared" si="153"/>
        <v>31</v>
      </c>
      <c r="U1616" t="str">
        <f t="shared" si="154"/>
        <v>Late</v>
      </c>
      <c r="V1616">
        <f t="shared" si="155"/>
        <v>0</v>
      </c>
    </row>
    <row r="1617" spans="1:22" x14ac:dyDescent="0.45">
      <c r="A1617" t="s">
        <v>2463</v>
      </c>
      <c r="B1617" t="s">
        <v>1092</v>
      </c>
      <c r="C1617" t="s">
        <v>30</v>
      </c>
      <c r="D1617" t="s">
        <v>86</v>
      </c>
      <c r="E1617" t="s">
        <v>16</v>
      </c>
      <c r="F1617">
        <v>189</v>
      </c>
      <c r="G1617">
        <v>74871</v>
      </c>
      <c r="H1617">
        <v>14150619</v>
      </c>
      <c r="I1617" t="s">
        <v>1921</v>
      </c>
      <c r="J1617" t="s">
        <v>1537</v>
      </c>
      <c r="K1617">
        <v>189</v>
      </c>
      <c r="L1617">
        <v>0</v>
      </c>
      <c r="M1617" t="s">
        <v>115</v>
      </c>
      <c r="N1617" t="str">
        <f t="shared" si="150"/>
        <v>PO-101616</v>
      </c>
      <c r="O1617" t="str">
        <f t="shared" si="151"/>
        <v>Delivered</v>
      </c>
      <c r="P1617" t="str">
        <f t="shared" si="152"/>
        <v>WH-DEL</v>
      </c>
      <c r="Q1617" t="str">
        <f>VLOOKUP(C1617, Lookups!$A$2:$D$10, 2, FALSE())</f>
        <v>TechSupply Corp</v>
      </c>
      <c r="R1617" t="str">
        <f>_xlfn.XLOOKUP(D1617, Lookups!$A$12:$A$51, Lookups!$C$12:$C$51, "Unknown")</f>
        <v>Electronics</v>
      </c>
      <c r="S1617" t="str">
        <f>IF(ISBLANK(I1617), B1617+VLOOKUP(C1617, Lookups!$A$2:$D$10, 4, FALSE()), I1617)</f>
        <v>2025-04-05</v>
      </c>
      <c r="T1617">
        <f t="shared" si="153"/>
        <v>27</v>
      </c>
      <c r="U1617" t="str">
        <f t="shared" si="154"/>
        <v>Late</v>
      </c>
      <c r="V1617">
        <f t="shared" si="155"/>
        <v>0</v>
      </c>
    </row>
    <row r="1618" spans="1:22" x14ac:dyDescent="0.45">
      <c r="A1618" t="s">
        <v>2464</v>
      </c>
      <c r="B1618" t="s">
        <v>1106</v>
      </c>
      <c r="C1618" t="s">
        <v>36</v>
      </c>
      <c r="D1618" t="s">
        <v>55</v>
      </c>
      <c r="E1618" t="s">
        <v>17</v>
      </c>
      <c r="F1618">
        <v>145</v>
      </c>
      <c r="G1618">
        <v>58434</v>
      </c>
      <c r="H1618">
        <v>8472930</v>
      </c>
      <c r="I1618" t="s">
        <v>1440</v>
      </c>
      <c r="J1618" t="s">
        <v>1440</v>
      </c>
      <c r="K1618">
        <v>145</v>
      </c>
      <c r="L1618">
        <v>0</v>
      </c>
      <c r="M1618" t="s">
        <v>115</v>
      </c>
      <c r="N1618" t="str">
        <f t="shared" si="150"/>
        <v>PO-101617</v>
      </c>
      <c r="O1618" t="str">
        <f t="shared" si="151"/>
        <v>Delivered</v>
      </c>
      <c r="P1618" t="str">
        <f t="shared" si="152"/>
        <v>WH-BLR</v>
      </c>
      <c r="Q1618" t="str">
        <f>VLOOKUP(C1618, Lookups!$A$2:$D$10, 2, FALSE())</f>
        <v>NextGen Hardware</v>
      </c>
      <c r="R1618" t="str">
        <f>_xlfn.XLOOKUP(D1618, Lookups!$A$12:$A$51, Lookups!$C$12:$C$51, "Unknown")</f>
        <v>Electronics</v>
      </c>
      <c r="S1618" t="str">
        <f>IF(ISBLANK(I1618), B1618+VLOOKUP(C1618, Lookups!$A$2:$D$10, 4, FALSE()), I1618)</f>
        <v>2025-06-03</v>
      </c>
      <c r="T1618">
        <f t="shared" si="153"/>
        <v>24</v>
      </c>
      <c r="U1618" t="str">
        <f t="shared" si="154"/>
        <v>On-Time</v>
      </c>
      <c r="V1618">
        <f t="shared" si="155"/>
        <v>0</v>
      </c>
    </row>
    <row r="1619" spans="1:22" x14ac:dyDescent="0.45">
      <c r="A1619" t="s">
        <v>2465</v>
      </c>
      <c r="B1619" t="s">
        <v>299</v>
      </c>
      <c r="C1619" t="s">
        <v>34</v>
      </c>
      <c r="D1619" t="s">
        <v>74</v>
      </c>
      <c r="E1619" t="s">
        <v>17</v>
      </c>
      <c r="F1619">
        <v>145</v>
      </c>
      <c r="G1619">
        <v>94797</v>
      </c>
      <c r="H1619">
        <v>13745565</v>
      </c>
      <c r="I1619" t="s">
        <v>813</v>
      </c>
      <c r="J1619" t="s">
        <v>1736</v>
      </c>
      <c r="K1619">
        <v>145</v>
      </c>
      <c r="L1619">
        <v>0</v>
      </c>
      <c r="M1619" t="s">
        <v>115</v>
      </c>
      <c r="N1619" t="str">
        <f t="shared" si="150"/>
        <v>PO-101618</v>
      </c>
      <c r="O1619" t="str">
        <f t="shared" si="151"/>
        <v>Delivered</v>
      </c>
      <c r="P1619" t="str">
        <f t="shared" si="152"/>
        <v>WH-BLR</v>
      </c>
      <c r="Q1619" t="str">
        <f>VLOOKUP(C1619, Lookups!$A$2:$D$10, 2, FALSE())</f>
        <v>FastElectronics</v>
      </c>
      <c r="R1619" t="str">
        <f>_xlfn.XLOOKUP(D1619, Lookups!$A$12:$A$51, Lookups!$C$12:$C$51, "Unknown")</f>
        <v>Electronics</v>
      </c>
      <c r="S1619" t="str">
        <f>IF(ISBLANK(I1619), B1619+VLOOKUP(C1619, Lookups!$A$2:$D$10, 4, FALSE()), I1619)</f>
        <v>2025-03-17</v>
      </c>
      <c r="T1619">
        <f t="shared" si="153"/>
        <v>19</v>
      </c>
      <c r="U1619" t="str">
        <f t="shared" si="154"/>
        <v>Late</v>
      </c>
      <c r="V1619">
        <f t="shared" si="155"/>
        <v>0</v>
      </c>
    </row>
    <row r="1620" spans="1:22" x14ac:dyDescent="0.45">
      <c r="A1620" t="s">
        <v>2466</v>
      </c>
      <c r="B1620" t="s">
        <v>443</v>
      </c>
      <c r="C1620" t="s">
        <v>37</v>
      </c>
      <c r="D1620" t="s">
        <v>83</v>
      </c>
      <c r="E1620" t="s">
        <v>18</v>
      </c>
      <c r="F1620">
        <v>236</v>
      </c>
      <c r="G1620">
        <v>19850</v>
      </c>
      <c r="H1620">
        <v>4684600</v>
      </c>
      <c r="I1620" t="s">
        <v>444</v>
      </c>
      <c r="J1620" t="s">
        <v>204</v>
      </c>
      <c r="K1620">
        <v>236</v>
      </c>
      <c r="L1620">
        <v>0</v>
      </c>
      <c r="M1620" t="s">
        <v>115</v>
      </c>
      <c r="N1620" t="str">
        <f t="shared" si="150"/>
        <v>PO-101619</v>
      </c>
      <c r="O1620" t="str">
        <f t="shared" si="151"/>
        <v>Delivered</v>
      </c>
      <c r="P1620" t="str">
        <f t="shared" si="152"/>
        <v>WH-PUN</v>
      </c>
      <c r="Q1620" t="str">
        <f>VLOOKUP(C1620, Lookups!$A$2:$D$10, 2, FALSE())</f>
        <v>Premium Desks Ltd</v>
      </c>
      <c r="R1620" t="str">
        <f>_xlfn.XLOOKUP(D1620, Lookups!$A$12:$A$51, Lookups!$C$12:$C$51, "Unknown")</f>
        <v>Office Furniture</v>
      </c>
      <c r="S1620" t="str">
        <f>IF(ISBLANK(I1620), B1620+VLOOKUP(C1620, Lookups!$A$2:$D$10, 4, FALSE()), I1620)</f>
        <v>2026-04-12</v>
      </c>
      <c r="T1620">
        <f t="shared" si="153"/>
        <v>9</v>
      </c>
      <c r="U1620" t="str">
        <f t="shared" si="154"/>
        <v>On-Time</v>
      </c>
      <c r="V1620">
        <f t="shared" si="155"/>
        <v>0</v>
      </c>
    </row>
    <row r="1621" spans="1:22" x14ac:dyDescent="0.45">
      <c r="A1621" t="s">
        <v>2467</v>
      </c>
      <c r="B1621" t="s">
        <v>1198</v>
      </c>
      <c r="C1621" t="s">
        <v>35</v>
      </c>
      <c r="D1621" t="s">
        <v>72</v>
      </c>
      <c r="E1621" t="s">
        <v>16</v>
      </c>
      <c r="F1621">
        <v>144</v>
      </c>
      <c r="G1621">
        <v>7754</v>
      </c>
      <c r="H1621">
        <v>1116576</v>
      </c>
      <c r="I1621" t="s">
        <v>281</v>
      </c>
      <c r="J1621" t="s">
        <v>282</v>
      </c>
      <c r="K1621">
        <v>144</v>
      </c>
      <c r="L1621">
        <v>0</v>
      </c>
      <c r="M1621" t="s">
        <v>115</v>
      </c>
      <c r="N1621" t="str">
        <f t="shared" si="150"/>
        <v>PO-101620</v>
      </c>
      <c r="O1621" t="str">
        <f t="shared" si="151"/>
        <v>Delivered</v>
      </c>
      <c r="P1621" t="str">
        <f t="shared" si="152"/>
        <v>WH-DEL</v>
      </c>
      <c r="Q1621" t="str">
        <f>VLOOKUP(C1621, Lookups!$A$2:$D$10, 2, FALSE())</f>
        <v>Peripheral Source</v>
      </c>
      <c r="R1621" t="str">
        <f>_xlfn.XLOOKUP(D1621, Lookups!$A$12:$A$51, Lookups!$C$12:$C$51, "Unknown")</f>
        <v>Peripherals</v>
      </c>
      <c r="S1621" t="str">
        <f>IF(ISBLANK(I1621), B1621+VLOOKUP(C1621, Lookups!$A$2:$D$10, 4, FALSE()), I1621)</f>
        <v>2026-10-26</v>
      </c>
      <c r="T1621">
        <f t="shared" si="153"/>
        <v>11</v>
      </c>
      <c r="U1621" t="str">
        <f t="shared" si="154"/>
        <v>Late</v>
      </c>
      <c r="V1621">
        <f t="shared" si="155"/>
        <v>0</v>
      </c>
    </row>
    <row r="1622" spans="1:22" x14ac:dyDescent="0.45">
      <c r="A1622" t="s">
        <v>2468</v>
      </c>
      <c r="B1622" t="s">
        <v>1780</v>
      </c>
      <c r="C1622" t="s">
        <v>30</v>
      </c>
      <c r="D1622" t="s">
        <v>61</v>
      </c>
      <c r="E1622" t="s">
        <v>16</v>
      </c>
      <c r="F1622">
        <v>205</v>
      </c>
      <c r="G1622">
        <v>111237</v>
      </c>
      <c r="H1622">
        <v>22803585</v>
      </c>
      <c r="I1622" t="s">
        <v>412</v>
      </c>
      <c r="J1622" t="s">
        <v>412</v>
      </c>
      <c r="K1622">
        <v>205</v>
      </c>
      <c r="L1622">
        <v>0</v>
      </c>
      <c r="M1622" t="s">
        <v>115</v>
      </c>
      <c r="N1622" t="str">
        <f t="shared" si="150"/>
        <v>PO-101621</v>
      </c>
      <c r="O1622" t="str">
        <f t="shared" si="151"/>
        <v>Delivered</v>
      </c>
      <c r="P1622" t="str">
        <f t="shared" si="152"/>
        <v>WH-DEL</v>
      </c>
      <c r="Q1622" t="str">
        <f>VLOOKUP(C1622, Lookups!$A$2:$D$10, 2, FALSE())</f>
        <v>TechSupply Corp</v>
      </c>
      <c r="R1622" t="str">
        <f>_xlfn.XLOOKUP(D1622, Lookups!$A$12:$A$51, Lookups!$C$12:$C$51, "Unknown")</f>
        <v>Electronics</v>
      </c>
      <c r="S1622" t="str">
        <f>IF(ISBLANK(I1622), B1622+VLOOKUP(C1622, Lookups!$A$2:$D$10, 4, FALSE()), I1622)</f>
        <v>2026-05-27</v>
      </c>
      <c r="T1622">
        <f t="shared" si="153"/>
        <v>14</v>
      </c>
      <c r="U1622" t="str">
        <f t="shared" si="154"/>
        <v>On-Time</v>
      </c>
      <c r="V1622">
        <f t="shared" si="155"/>
        <v>0</v>
      </c>
    </row>
    <row r="1623" spans="1:22" x14ac:dyDescent="0.45">
      <c r="A1623" t="s">
        <v>2469</v>
      </c>
      <c r="B1623" t="s">
        <v>523</v>
      </c>
      <c r="C1623" t="s">
        <v>33</v>
      </c>
      <c r="D1623" t="s">
        <v>89</v>
      </c>
      <c r="E1623" t="s">
        <v>17</v>
      </c>
      <c r="F1623">
        <v>232</v>
      </c>
      <c r="G1623">
        <v>11309</v>
      </c>
      <c r="H1623">
        <v>2623688</v>
      </c>
      <c r="I1623" t="s">
        <v>239</v>
      </c>
      <c r="J1623" t="s">
        <v>240</v>
      </c>
      <c r="K1623">
        <v>232</v>
      </c>
      <c r="L1623">
        <v>0</v>
      </c>
      <c r="M1623" t="s">
        <v>115</v>
      </c>
      <c r="N1623" t="str">
        <f t="shared" si="150"/>
        <v>PO-101622</v>
      </c>
      <c r="O1623" t="str">
        <f t="shared" si="151"/>
        <v>Delivered</v>
      </c>
      <c r="P1623" t="str">
        <f t="shared" si="152"/>
        <v>WH-BLR</v>
      </c>
      <c r="Q1623" t="str">
        <f>VLOOKUP(C1623, Lookups!$A$2:$D$10, 2, FALSE())</f>
        <v>MegaFurnish</v>
      </c>
      <c r="R1623" t="str">
        <f>_xlfn.XLOOKUP(D1623, Lookups!$A$12:$A$51, Lookups!$C$12:$C$51, "Unknown")</f>
        <v>Office Furniture</v>
      </c>
      <c r="S1623" t="str">
        <f>IF(ISBLANK(I1623), B1623+VLOOKUP(C1623, Lookups!$A$2:$D$10, 4, FALSE()), I1623)</f>
        <v>2025-06-14</v>
      </c>
      <c r="T1623">
        <f t="shared" si="153"/>
        <v>31</v>
      </c>
      <c r="U1623" t="str">
        <f t="shared" si="154"/>
        <v>Late</v>
      </c>
      <c r="V1623">
        <f t="shared" si="155"/>
        <v>0</v>
      </c>
    </row>
    <row r="1624" spans="1:22" x14ac:dyDescent="0.45">
      <c r="A1624" t="s">
        <v>2470</v>
      </c>
      <c r="B1624" t="s">
        <v>1318</v>
      </c>
      <c r="C1624" t="s">
        <v>34</v>
      </c>
      <c r="D1624" t="s">
        <v>81</v>
      </c>
      <c r="E1624" t="s">
        <v>18</v>
      </c>
      <c r="F1624">
        <v>208</v>
      </c>
      <c r="G1624">
        <v>55328</v>
      </c>
      <c r="H1624">
        <v>11508224</v>
      </c>
      <c r="I1624" t="s">
        <v>1368</v>
      </c>
      <c r="J1624" t="s">
        <v>1368</v>
      </c>
      <c r="K1624">
        <v>208</v>
      </c>
      <c r="L1624">
        <v>0</v>
      </c>
      <c r="M1624" t="s">
        <v>115</v>
      </c>
      <c r="N1624" t="str">
        <f t="shared" si="150"/>
        <v>PO-101623</v>
      </c>
      <c r="O1624" t="str">
        <f t="shared" si="151"/>
        <v>Delivered</v>
      </c>
      <c r="P1624" t="str">
        <f t="shared" si="152"/>
        <v>WH-PUN</v>
      </c>
      <c r="Q1624" t="str">
        <f>VLOOKUP(C1624, Lookups!$A$2:$D$10, 2, FALSE())</f>
        <v>FastElectronics</v>
      </c>
      <c r="R1624" t="str">
        <f>_xlfn.XLOOKUP(D1624, Lookups!$A$12:$A$51, Lookups!$C$12:$C$51, "Unknown")</f>
        <v>Electronics</v>
      </c>
      <c r="S1624" t="str">
        <f>IF(ISBLANK(I1624), B1624+VLOOKUP(C1624, Lookups!$A$2:$D$10, 4, FALSE()), I1624)</f>
        <v>2026-11-12</v>
      </c>
      <c r="T1624">
        <f t="shared" si="153"/>
        <v>18</v>
      </c>
      <c r="U1624" t="str">
        <f t="shared" si="154"/>
        <v>On-Time</v>
      </c>
      <c r="V1624">
        <f t="shared" si="155"/>
        <v>0</v>
      </c>
    </row>
    <row r="1625" spans="1:22" x14ac:dyDescent="0.45">
      <c r="A1625" t="s">
        <v>2471</v>
      </c>
      <c r="B1625" t="s">
        <v>439</v>
      </c>
      <c r="C1625" t="s">
        <v>32</v>
      </c>
      <c r="D1625" t="s">
        <v>67</v>
      </c>
      <c r="E1625" t="s">
        <v>15</v>
      </c>
      <c r="F1625">
        <v>249</v>
      </c>
      <c r="G1625">
        <v>1553</v>
      </c>
      <c r="H1625">
        <v>386697</v>
      </c>
      <c r="I1625" t="s">
        <v>764</v>
      </c>
      <c r="J1625" t="s">
        <v>925</v>
      </c>
      <c r="K1625">
        <v>249</v>
      </c>
      <c r="L1625">
        <v>0</v>
      </c>
      <c r="M1625" t="s">
        <v>115</v>
      </c>
      <c r="N1625" t="str">
        <f t="shared" si="150"/>
        <v>PO-101624</v>
      </c>
      <c r="O1625" t="str">
        <f t="shared" si="151"/>
        <v>Delivered</v>
      </c>
      <c r="P1625" t="str">
        <f t="shared" si="152"/>
        <v>WH-BOM</v>
      </c>
      <c r="Q1625" t="str">
        <f>VLOOKUP(C1625, Lookups!$A$2:$D$10, 2, FALSE())</f>
        <v>OfficeDepot Pro</v>
      </c>
      <c r="R1625" t="str">
        <f>_xlfn.XLOOKUP(D1625, Lookups!$A$12:$A$51, Lookups!$C$12:$C$51, "Unknown")</f>
        <v>Peripherals</v>
      </c>
      <c r="S1625" t="str">
        <f>IF(ISBLANK(I1625), B1625+VLOOKUP(C1625, Lookups!$A$2:$D$10, 4, FALSE()), I1625)</f>
        <v>2025-02-19</v>
      </c>
      <c r="T1625">
        <f t="shared" si="153"/>
        <v>8</v>
      </c>
      <c r="U1625" t="str">
        <f t="shared" si="154"/>
        <v>Late</v>
      </c>
      <c r="V1625">
        <f t="shared" si="155"/>
        <v>0</v>
      </c>
    </row>
    <row r="1626" spans="1:22" x14ac:dyDescent="0.45">
      <c r="A1626" t="s">
        <v>2472</v>
      </c>
      <c r="B1626" t="s">
        <v>1428</v>
      </c>
      <c r="C1626" t="s">
        <v>34</v>
      </c>
      <c r="D1626" t="s">
        <v>73</v>
      </c>
      <c r="E1626" t="s">
        <v>17</v>
      </c>
      <c r="F1626">
        <v>77</v>
      </c>
      <c r="G1626">
        <v>58396</v>
      </c>
      <c r="H1626">
        <v>4496492</v>
      </c>
      <c r="I1626" t="s">
        <v>1198</v>
      </c>
      <c r="J1626" t="s">
        <v>1041</v>
      </c>
      <c r="K1626">
        <v>77</v>
      </c>
      <c r="L1626">
        <v>0</v>
      </c>
      <c r="M1626" t="s">
        <v>115</v>
      </c>
      <c r="N1626" t="str">
        <f t="shared" si="150"/>
        <v>PO-101625</v>
      </c>
      <c r="O1626" t="str">
        <f t="shared" si="151"/>
        <v>Delivered</v>
      </c>
      <c r="P1626" t="str">
        <f t="shared" si="152"/>
        <v>WH-BLR</v>
      </c>
      <c r="Q1626" t="str">
        <f>VLOOKUP(C1626, Lookups!$A$2:$D$10, 2, FALSE())</f>
        <v>FastElectronics</v>
      </c>
      <c r="R1626" t="str">
        <f>_xlfn.XLOOKUP(D1626, Lookups!$A$12:$A$51, Lookups!$C$12:$C$51, "Unknown")</f>
        <v>Electronics</v>
      </c>
      <c r="S1626" t="str">
        <f>IF(ISBLANK(I1626), B1626+VLOOKUP(C1626, Lookups!$A$2:$D$10, 4, FALSE()), I1626)</f>
        <v>2026-10-16</v>
      </c>
      <c r="T1626">
        <f t="shared" si="153"/>
        <v>19</v>
      </c>
      <c r="U1626" t="str">
        <f t="shared" si="154"/>
        <v>Late</v>
      </c>
      <c r="V1626">
        <f t="shared" si="155"/>
        <v>0</v>
      </c>
    </row>
    <row r="1627" spans="1:22" x14ac:dyDescent="0.45">
      <c r="A1627" t="s">
        <v>2473</v>
      </c>
      <c r="B1627" t="s">
        <v>778</v>
      </c>
      <c r="C1627" t="s">
        <v>30</v>
      </c>
      <c r="D1627" t="s">
        <v>52</v>
      </c>
      <c r="E1627" t="s">
        <v>17</v>
      </c>
      <c r="F1627">
        <v>141</v>
      </c>
      <c r="G1627">
        <v>59592</v>
      </c>
      <c r="H1627">
        <v>8402472</v>
      </c>
      <c r="I1627" t="s">
        <v>1302</v>
      </c>
      <c r="J1627" t="s">
        <v>1302</v>
      </c>
      <c r="K1627">
        <v>141</v>
      </c>
      <c r="L1627">
        <v>0</v>
      </c>
      <c r="M1627" t="s">
        <v>115</v>
      </c>
      <c r="N1627" t="str">
        <f t="shared" si="150"/>
        <v>PO-101626</v>
      </c>
      <c r="O1627" t="str">
        <f t="shared" si="151"/>
        <v>Delivered</v>
      </c>
      <c r="P1627" t="str">
        <f t="shared" si="152"/>
        <v>WH-BLR</v>
      </c>
      <c r="Q1627" t="str">
        <f>VLOOKUP(C1627, Lookups!$A$2:$D$10, 2, FALSE())</f>
        <v>TechSupply Corp</v>
      </c>
      <c r="R1627" t="str">
        <f>_xlfn.XLOOKUP(D1627, Lookups!$A$12:$A$51, Lookups!$C$12:$C$51, "Unknown")</f>
        <v>Electronics</v>
      </c>
      <c r="S1627" t="str">
        <f>IF(ISBLANK(I1627), B1627+VLOOKUP(C1627, Lookups!$A$2:$D$10, 4, FALSE()), I1627)</f>
        <v>2025-12-27</v>
      </c>
      <c r="T1627">
        <f t="shared" si="153"/>
        <v>14</v>
      </c>
      <c r="U1627" t="str">
        <f t="shared" si="154"/>
        <v>On-Time</v>
      </c>
      <c r="V1627">
        <f t="shared" si="155"/>
        <v>0</v>
      </c>
    </row>
    <row r="1628" spans="1:22" x14ac:dyDescent="0.45">
      <c r="A1628" t="s">
        <v>2474</v>
      </c>
      <c r="B1628" t="s">
        <v>1544</v>
      </c>
      <c r="C1628" t="s">
        <v>32</v>
      </c>
      <c r="D1628" t="s">
        <v>84</v>
      </c>
      <c r="E1628" t="s">
        <v>16</v>
      </c>
      <c r="F1628">
        <v>177</v>
      </c>
      <c r="G1628">
        <v>7271</v>
      </c>
      <c r="H1628">
        <v>1286967</v>
      </c>
      <c r="I1628" t="s">
        <v>259</v>
      </c>
      <c r="J1628" t="s">
        <v>711</v>
      </c>
      <c r="K1628">
        <v>177</v>
      </c>
      <c r="L1628">
        <v>11</v>
      </c>
      <c r="M1628" t="s">
        <v>115</v>
      </c>
      <c r="N1628" t="str">
        <f t="shared" si="150"/>
        <v>PO-101627</v>
      </c>
      <c r="O1628" t="str">
        <f t="shared" si="151"/>
        <v>Delivered</v>
      </c>
      <c r="P1628" t="str">
        <f t="shared" si="152"/>
        <v>WH-DEL</v>
      </c>
      <c r="Q1628" t="str">
        <f>VLOOKUP(C1628, Lookups!$A$2:$D$10, 2, FALSE())</f>
        <v>OfficeDepot Pro</v>
      </c>
      <c r="R1628" t="str">
        <f>_xlfn.XLOOKUP(D1628, Lookups!$A$12:$A$51, Lookups!$C$12:$C$51, "Unknown")</f>
        <v>Peripherals</v>
      </c>
      <c r="S1628" t="str">
        <f>IF(ISBLANK(I1628), B1628+VLOOKUP(C1628, Lookups!$A$2:$D$10, 4, FALSE()), I1628)</f>
        <v>2025-02-08</v>
      </c>
      <c r="T1628">
        <f t="shared" si="153"/>
        <v>8</v>
      </c>
      <c r="U1628" t="str">
        <f t="shared" si="154"/>
        <v>Late</v>
      </c>
      <c r="V1628">
        <f t="shared" si="155"/>
        <v>6.2146892655367235E-2</v>
      </c>
    </row>
    <row r="1629" spans="1:22" x14ac:dyDescent="0.45">
      <c r="A1629" t="s">
        <v>2475</v>
      </c>
      <c r="B1629" t="s">
        <v>489</v>
      </c>
      <c r="C1629" t="s">
        <v>34</v>
      </c>
      <c r="D1629" t="s">
        <v>80</v>
      </c>
      <c r="E1629" t="s">
        <v>18</v>
      </c>
      <c r="F1629">
        <v>162</v>
      </c>
      <c r="G1629">
        <v>19090</v>
      </c>
      <c r="H1629">
        <v>3092580</v>
      </c>
      <c r="I1629" t="s">
        <v>266</v>
      </c>
      <c r="J1629" t="s">
        <v>379</v>
      </c>
      <c r="K1629">
        <v>162</v>
      </c>
      <c r="L1629">
        <v>0</v>
      </c>
      <c r="M1629" t="s">
        <v>115</v>
      </c>
      <c r="N1629" t="str">
        <f t="shared" si="150"/>
        <v>PO-101628</v>
      </c>
      <c r="O1629" t="str">
        <f t="shared" si="151"/>
        <v>Delivered</v>
      </c>
      <c r="P1629" t="str">
        <f t="shared" si="152"/>
        <v>WH-PUN</v>
      </c>
      <c r="Q1629" t="str">
        <f>VLOOKUP(C1629, Lookups!$A$2:$D$10, 2, FALSE())</f>
        <v>FastElectronics</v>
      </c>
      <c r="R1629" t="str">
        <f>_xlfn.XLOOKUP(D1629, Lookups!$A$12:$A$51, Lookups!$C$12:$C$51, "Unknown")</f>
        <v>Networking</v>
      </c>
      <c r="S1629" t="str">
        <f>IF(ISBLANK(I1629), B1629+VLOOKUP(C1629, Lookups!$A$2:$D$10, 4, FALSE()), I1629)</f>
        <v>2025-02-15</v>
      </c>
      <c r="T1629">
        <f t="shared" si="153"/>
        <v>19</v>
      </c>
      <c r="U1629" t="str">
        <f t="shared" si="154"/>
        <v>Late</v>
      </c>
      <c r="V1629">
        <f t="shared" si="155"/>
        <v>0</v>
      </c>
    </row>
    <row r="1630" spans="1:22" x14ac:dyDescent="0.45">
      <c r="A1630" t="s">
        <v>2476</v>
      </c>
      <c r="B1630" t="s">
        <v>192</v>
      </c>
      <c r="C1630" t="s">
        <v>35</v>
      </c>
      <c r="D1630" t="s">
        <v>75</v>
      </c>
      <c r="E1630" t="s">
        <v>17</v>
      </c>
      <c r="F1630">
        <v>140</v>
      </c>
      <c r="G1630">
        <v>4440</v>
      </c>
      <c r="H1630">
        <v>621600</v>
      </c>
      <c r="I1630" t="s">
        <v>1069</v>
      </c>
      <c r="J1630" t="s">
        <v>1069</v>
      </c>
      <c r="K1630">
        <v>140</v>
      </c>
      <c r="L1630">
        <v>0</v>
      </c>
      <c r="M1630" t="s">
        <v>115</v>
      </c>
      <c r="N1630" t="str">
        <f t="shared" si="150"/>
        <v>PO-101629</v>
      </c>
      <c r="O1630" t="str">
        <f t="shared" si="151"/>
        <v>Delivered</v>
      </c>
      <c r="P1630" t="str">
        <f t="shared" si="152"/>
        <v>WH-BLR</v>
      </c>
      <c r="Q1630" t="str">
        <f>VLOOKUP(C1630, Lookups!$A$2:$D$10, 2, FALSE())</f>
        <v>Peripheral Source</v>
      </c>
      <c r="R1630" t="str">
        <f>_xlfn.XLOOKUP(D1630, Lookups!$A$12:$A$51, Lookups!$C$12:$C$51, "Unknown")</f>
        <v>Peripherals</v>
      </c>
      <c r="S1630" t="str">
        <f>IF(ISBLANK(I1630), B1630+VLOOKUP(C1630, Lookups!$A$2:$D$10, 4, FALSE()), I1630)</f>
        <v>2025-08-14</v>
      </c>
      <c r="T1630">
        <f t="shared" si="153"/>
        <v>10</v>
      </c>
      <c r="U1630" t="str">
        <f t="shared" si="154"/>
        <v>On-Time</v>
      </c>
      <c r="V1630">
        <f t="shared" si="155"/>
        <v>0</v>
      </c>
    </row>
    <row r="1631" spans="1:22" x14ac:dyDescent="0.45">
      <c r="A1631" t="s">
        <v>2477</v>
      </c>
      <c r="B1631" t="s">
        <v>1100</v>
      </c>
      <c r="C1631" t="s">
        <v>30</v>
      </c>
      <c r="D1631" t="s">
        <v>61</v>
      </c>
      <c r="E1631" t="s">
        <v>18</v>
      </c>
      <c r="F1631">
        <v>122</v>
      </c>
      <c r="G1631">
        <v>111237</v>
      </c>
      <c r="H1631">
        <v>13570914</v>
      </c>
      <c r="I1631" t="s">
        <v>744</v>
      </c>
      <c r="J1631" t="s">
        <v>1148</v>
      </c>
      <c r="K1631">
        <v>122</v>
      </c>
      <c r="L1631">
        <v>0</v>
      </c>
      <c r="M1631" t="s">
        <v>115</v>
      </c>
      <c r="N1631" t="str">
        <f t="shared" si="150"/>
        <v>PO-101630</v>
      </c>
      <c r="O1631" t="str">
        <f t="shared" si="151"/>
        <v>Delivered</v>
      </c>
      <c r="P1631" t="str">
        <f t="shared" si="152"/>
        <v>WH-PUN</v>
      </c>
      <c r="Q1631" t="str">
        <f>VLOOKUP(C1631, Lookups!$A$2:$D$10, 2, FALSE())</f>
        <v>TechSupply Corp</v>
      </c>
      <c r="R1631" t="str">
        <f>_xlfn.XLOOKUP(D1631, Lookups!$A$12:$A$51, Lookups!$C$12:$C$51, "Unknown")</f>
        <v>Electronics</v>
      </c>
      <c r="S1631" t="str">
        <f>IF(ISBLANK(I1631), B1631+VLOOKUP(C1631, Lookups!$A$2:$D$10, 4, FALSE()), I1631)</f>
        <v>2026-11-25</v>
      </c>
      <c r="T1631">
        <f t="shared" si="153"/>
        <v>15</v>
      </c>
      <c r="U1631" t="str">
        <f t="shared" si="154"/>
        <v>Late</v>
      </c>
      <c r="V1631">
        <f t="shared" si="155"/>
        <v>0</v>
      </c>
    </row>
    <row r="1632" spans="1:22" x14ac:dyDescent="0.45">
      <c r="A1632" t="s">
        <v>2478</v>
      </c>
      <c r="B1632" t="s">
        <v>662</v>
      </c>
      <c r="C1632" t="s">
        <v>37</v>
      </c>
      <c r="D1632" t="s">
        <v>83</v>
      </c>
      <c r="E1632" t="s">
        <v>18</v>
      </c>
      <c r="F1632">
        <v>79</v>
      </c>
      <c r="G1632">
        <v>19850</v>
      </c>
      <c r="H1632">
        <v>1568150</v>
      </c>
      <c r="I1632" t="s">
        <v>1041</v>
      </c>
      <c r="J1632" t="s">
        <v>1041</v>
      </c>
      <c r="K1632">
        <v>79</v>
      </c>
      <c r="L1632">
        <v>0</v>
      </c>
      <c r="M1632" t="s">
        <v>115</v>
      </c>
      <c r="N1632" t="str">
        <f t="shared" si="150"/>
        <v>PO-101631</v>
      </c>
      <c r="O1632" t="str">
        <f t="shared" si="151"/>
        <v>Delivered</v>
      </c>
      <c r="P1632" t="str">
        <f t="shared" si="152"/>
        <v>WH-PUN</v>
      </c>
      <c r="Q1632" t="str">
        <f>VLOOKUP(C1632, Lookups!$A$2:$D$10, 2, FALSE())</f>
        <v>Premium Desks Ltd</v>
      </c>
      <c r="R1632" t="str">
        <f>_xlfn.XLOOKUP(D1632, Lookups!$A$12:$A$51, Lookups!$C$12:$C$51, "Unknown")</f>
        <v>Office Furniture</v>
      </c>
      <c r="S1632" t="str">
        <f>IF(ISBLANK(I1632), B1632+VLOOKUP(C1632, Lookups!$A$2:$D$10, 4, FALSE()), I1632)</f>
        <v>2026-10-17</v>
      </c>
      <c r="T1632">
        <f t="shared" si="153"/>
        <v>12</v>
      </c>
      <c r="U1632" t="str">
        <f t="shared" si="154"/>
        <v>On-Time</v>
      </c>
      <c r="V1632">
        <f t="shared" si="155"/>
        <v>0</v>
      </c>
    </row>
    <row r="1633" spans="1:22" x14ac:dyDescent="0.45">
      <c r="A1633" t="s">
        <v>2479</v>
      </c>
      <c r="B1633" t="s">
        <v>1241</v>
      </c>
      <c r="C1633" t="s">
        <v>35</v>
      </c>
      <c r="D1633" t="s">
        <v>60</v>
      </c>
      <c r="E1633" t="s">
        <v>16</v>
      </c>
      <c r="F1633">
        <v>141</v>
      </c>
      <c r="G1633">
        <v>3291</v>
      </c>
      <c r="H1633">
        <v>464031</v>
      </c>
      <c r="I1633" t="s">
        <v>506</v>
      </c>
      <c r="J1633" t="s">
        <v>277</v>
      </c>
      <c r="K1633">
        <v>141</v>
      </c>
      <c r="L1633">
        <v>0</v>
      </c>
      <c r="M1633" t="s">
        <v>115</v>
      </c>
      <c r="N1633" t="str">
        <f t="shared" si="150"/>
        <v>PO-101632</v>
      </c>
      <c r="O1633" t="str">
        <f t="shared" si="151"/>
        <v>Delivered</v>
      </c>
      <c r="P1633" t="str">
        <f t="shared" si="152"/>
        <v>WH-DEL</v>
      </c>
      <c r="Q1633" t="str">
        <f>VLOOKUP(C1633, Lookups!$A$2:$D$10, 2, FALSE())</f>
        <v>Peripheral Source</v>
      </c>
      <c r="R1633" t="str">
        <f>_xlfn.XLOOKUP(D1633, Lookups!$A$12:$A$51, Lookups!$C$12:$C$51, "Unknown")</f>
        <v>Peripherals</v>
      </c>
      <c r="S1633" t="str">
        <f>IF(ISBLANK(I1633), B1633+VLOOKUP(C1633, Lookups!$A$2:$D$10, 4, FALSE()), I1633)</f>
        <v>2025-05-11</v>
      </c>
      <c r="T1633">
        <f t="shared" si="153"/>
        <v>11</v>
      </c>
      <c r="U1633" t="str">
        <f t="shared" si="154"/>
        <v>Late</v>
      </c>
      <c r="V1633">
        <f t="shared" si="155"/>
        <v>0</v>
      </c>
    </row>
    <row r="1634" spans="1:22" x14ac:dyDescent="0.45">
      <c r="A1634" t="s">
        <v>2480</v>
      </c>
      <c r="B1634" t="s">
        <v>784</v>
      </c>
      <c r="C1634" t="s">
        <v>30</v>
      </c>
      <c r="D1634" t="s">
        <v>82</v>
      </c>
      <c r="E1634" t="s">
        <v>18</v>
      </c>
      <c r="F1634">
        <v>167</v>
      </c>
      <c r="G1634">
        <v>83427</v>
      </c>
      <c r="H1634">
        <v>13932309</v>
      </c>
      <c r="I1634" t="s">
        <v>138</v>
      </c>
      <c r="J1634" t="s">
        <v>147</v>
      </c>
      <c r="K1634">
        <v>119</v>
      </c>
      <c r="L1634">
        <v>0</v>
      </c>
      <c r="M1634" t="s">
        <v>115</v>
      </c>
      <c r="N1634" t="str">
        <f t="shared" si="150"/>
        <v>PO-101633</v>
      </c>
      <c r="O1634" t="str">
        <f t="shared" si="151"/>
        <v>Delivered</v>
      </c>
      <c r="P1634" t="str">
        <f t="shared" si="152"/>
        <v>WH-PUN</v>
      </c>
      <c r="Q1634" t="str">
        <f>VLOOKUP(C1634, Lookups!$A$2:$D$10, 2, FALSE())</f>
        <v>TechSupply Corp</v>
      </c>
      <c r="R1634" t="str">
        <f>_xlfn.XLOOKUP(D1634, Lookups!$A$12:$A$51, Lookups!$C$12:$C$51, "Unknown")</f>
        <v>Electronics</v>
      </c>
      <c r="S1634" t="str">
        <f>IF(ISBLANK(I1634), B1634+VLOOKUP(C1634, Lookups!$A$2:$D$10, 4, FALSE()), I1634)</f>
        <v>2025-09-26</v>
      </c>
      <c r="T1634">
        <f t="shared" si="153"/>
        <v>23</v>
      </c>
      <c r="U1634" t="str">
        <f t="shared" si="154"/>
        <v>Late</v>
      </c>
      <c r="V1634">
        <f t="shared" si="155"/>
        <v>0</v>
      </c>
    </row>
    <row r="1635" spans="1:22" x14ac:dyDescent="0.45">
      <c r="A1635" t="s">
        <v>2481</v>
      </c>
      <c r="B1635" t="s">
        <v>548</v>
      </c>
      <c r="C1635" t="s">
        <v>36</v>
      </c>
      <c r="D1635" t="s">
        <v>90</v>
      </c>
      <c r="E1635" t="s">
        <v>17</v>
      </c>
      <c r="F1635">
        <v>150</v>
      </c>
      <c r="G1635">
        <v>81434</v>
      </c>
      <c r="H1635">
        <v>12215100</v>
      </c>
      <c r="I1635" t="s">
        <v>721</v>
      </c>
      <c r="J1635" t="s">
        <v>127</v>
      </c>
      <c r="K1635">
        <v>150</v>
      </c>
      <c r="L1635">
        <v>0</v>
      </c>
      <c r="M1635" t="s">
        <v>115</v>
      </c>
      <c r="N1635" t="str">
        <f t="shared" si="150"/>
        <v>PO-101634</v>
      </c>
      <c r="O1635" t="str">
        <f t="shared" si="151"/>
        <v>Delivered</v>
      </c>
      <c r="P1635" t="str">
        <f t="shared" si="152"/>
        <v>WH-BLR</v>
      </c>
      <c r="Q1635" t="str">
        <f>VLOOKUP(C1635, Lookups!$A$2:$D$10, 2, FALSE())</f>
        <v>NextGen Hardware</v>
      </c>
      <c r="R1635" t="str">
        <f>_xlfn.XLOOKUP(D1635, Lookups!$A$12:$A$51, Lookups!$C$12:$C$51, "Unknown")</f>
        <v>Electronics</v>
      </c>
      <c r="S1635" t="str">
        <f>IF(ISBLANK(I1635), B1635+VLOOKUP(C1635, Lookups!$A$2:$D$10, 4, FALSE()), I1635)</f>
        <v>2026-02-01</v>
      </c>
      <c r="T1635">
        <f t="shared" si="153"/>
        <v>25</v>
      </c>
      <c r="U1635" t="str">
        <f t="shared" si="154"/>
        <v>Late</v>
      </c>
      <c r="V1635">
        <f t="shared" si="155"/>
        <v>0</v>
      </c>
    </row>
    <row r="1636" spans="1:22" x14ac:dyDescent="0.45">
      <c r="A1636" t="s">
        <v>2482</v>
      </c>
      <c r="B1636" t="s">
        <v>1454</v>
      </c>
      <c r="C1636" t="s">
        <v>37</v>
      </c>
      <c r="D1636" t="s">
        <v>79</v>
      </c>
      <c r="E1636" t="s">
        <v>18</v>
      </c>
      <c r="F1636">
        <v>43</v>
      </c>
      <c r="G1636">
        <v>23054</v>
      </c>
      <c r="H1636">
        <v>991322</v>
      </c>
      <c r="I1636" t="s">
        <v>1241</v>
      </c>
      <c r="J1636" t="s">
        <v>1190</v>
      </c>
      <c r="K1636">
        <v>43</v>
      </c>
      <c r="L1636">
        <v>0</v>
      </c>
      <c r="M1636" t="s">
        <v>115</v>
      </c>
      <c r="N1636" t="str">
        <f t="shared" si="150"/>
        <v>PO-101635</v>
      </c>
      <c r="O1636" t="str">
        <f t="shared" si="151"/>
        <v>Delivered</v>
      </c>
      <c r="P1636" t="str">
        <f t="shared" si="152"/>
        <v>WH-PUN</v>
      </c>
      <c r="Q1636" t="str">
        <f>VLOOKUP(C1636, Lookups!$A$2:$D$10, 2, FALSE())</f>
        <v>Premium Desks Ltd</v>
      </c>
      <c r="R1636" t="str">
        <f>_xlfn.XLOOKUP(D1636, Lookups!$A$12:$A$51, Lookups!$C$12:$C$51, "Unknown")</f>
        <v>Office Furniture</v>
      </c>
      <c r="S1636" t="str">
        <f>IF(ISBLANK(I1636), B1636+VLOOKUP(C1636, Lookups!$A$2:$D$10, 4, FALSE()), I1636)</f>
        <v>2025-05-01</v>
      </c>
      <c r="T1636">
        <f t="shared" si="153"/>
        <v>10</v>
      </c>
      <c r="U1636" t="str">
        <f t="shared" si="154"/>
        <v>On-Time</v>
      </c>
      <c r="V1636">
        <f t="shared" si="155"/>
        <v>0</v>
      </c>
    </row>
    <row r="1637" spans="1:22" x14ac:dyDescent="0.45">
      <c r="A1637" t="s">
        <v>2483</v>
      </c>
      <c r="B1637" t="s">
        <v>1463</v>
      </c>
      <c r="C1637" t="s">
        <v>30</v>
      </c>
      <c r="D1637" t="s">
        <v>59</v>
      </c>
      <c r="E1637" t="s">
        <v>16</v>
      </c>
      <c r="F1637">
        <v>94</v>
      </c>
      <c r="G1637">
        <v>48905</v>
      </c>
      <c r="H1637">
        <v>4597070</v>
      </c>
      <c r="I1637" t="s">
        <v>1661</v>
      </c>
      <c r="J1637" t="s">
        <v>1661</v>
      </c>
      <c r="K1637">
        <v>94</v>
      </c>
      <c r="L1637">
        <v>3</v>
      </c>
      <c r="M1637" t="s">
        <v>115</v>
      </c>
      <c r="N1637" t="str">
        <f t="shared" si="150"/>
        <v>PO-101636</v>
      </c>
      <c r="O1637" t="str">
        <f t="shared" si="151"/>
        <v>Delivered</v>
      </c>
      <c r="P1637" t="str">
        <f t="shared" si="152"/>
        <v>WH-DEL</v>
      </c>
      <c r="Q1637" t="str">
        <f>VLOOKUP(C1637, Lookups!$A$2:$D$10, 2, FALSE())</f>
        <v>TechSupply Corp</v>
      </c>
      <c r="R1637" t="str">
        <f>_xlfn.XLOOKUP(D1637, Lookups!$A$12:$A$51, Lookups!$C$12:$C$51, "Unknown")</f>
        <v>Electronics</v>
      </c>
      <c r="S1637" t="str">
        <f>IF(ISBLANK(I1637), B1637+VLOOKUP(C1637, Lookups!$A$2:$D$10, 4, FALSE()), I1637)</f>
        <v>2026-05-30</v>
      </c>
      <c r="T1637">
        <f t="shared" si="153"/>
        <v>14</v>
      </c>
      <c r="U1637" t="str">
        <f t="shared" si="154"/>
        <v>On-Time</v>
      </c>
      <c r="V1637">
        <f t="shared" si="155"/>
        <v>3.1914893617021274E-2</v>
      </c>
    </row>
    <row r="1638" spans="1:22" x14ac:dyDescent="0.45">
      <c r="A1638" t="s">
        <v>2484</v>
      </c>
      <c r="B1638" t="s">
        <v>540</v>
      </c>
      <c r="C1638" t="s">
        <v>37</v>
      </c>
      <c r="D1638" t="s">
        <v>79</v>
      </c>
      <c r="E1638" t="s">
        <v>18</v>
      </c>
      <c r="F1638">
        <v>77</v>
      </c>
      <c r="G1638">
        <v>23054</v>
      </c>
      <c r="H1638">
        <v>1775158</v>
      </c>
      <c r="I1638" t="s">
        <v>559</v>
      </c>
      <c r="J1638" t="s">
        <v>559</v>
      </c>
      <c r="K1638">
        <v>77</v>
      </c>
      <c r="L1638">
        <v>0</v>
      </c>
      <c r="M1638" t="s">
        <v>115</v>
      </c>
      <c r="N1638" t="str">
        <f t="shared" si="150"/>
        <v>PO-101637</v>
      </c>
      <c r="O1638" t="str">
        <f t="shared" si="151"/>
        <v>Delivered</v>
      </c>
      <c r="P1638" t="str">
        <f t="shared" si="152"/>
        <v>WH-PUN</v>
      </c>
      <c r="Q1638" t="str">
        <f>VLOOKUP(C1638, Lookups!$A$2:$D$10, 2, FALSE())</f>
        <v>Premium Desks Ltd</v>
      </c>
      <c r="R1638" t="str">
        <f>_xlfn.XLOOKUP(D1638, Lookups!$A$12:$A$51, Lookups!$C$12:$C$51, "Unknown")</f>
        <v>Office Furniture</v>
      </c>
      <c r="S1638" t="str">
        <f>IF(ISBLANK(I1638), B1638+VLOOKUP(C1638, Lookups!$A$2:$D$10, 4, FALSE()), I1638)</f>
        <v>2026-04-19</v>
      </c>
      <c r="T1638">
        <f t="shared" si="153"/>
        <v>12</v>
      </c>
      <c r="U1638" t="str">
        <f t="shared" si="154"/>
        <v>On-Time</v>
      </c>
      <c r="V1638">
        <f t="shared" si="155"/>
        <v>0</v>
      </c>
    </row>
    <row r="1639" spans="1:22" x14ac:dyDescent="0.45">
      <c r="A1639" t="s">
        <v>2485</v>
      </c>
      <c r="B1639" t="s">
        <v>731</v>
      </c>
      <c r="C1639" t="s">
        <v>30</v>
      </c>
      <c r="D1639" t="s">
        <v>61</v>
      </c>
      <c r="E1639" t="s">
        <v>18</v>
      </c>
      <c r="F1639">
        <v>47</v>
      </c>
      <c r="G1639">
        <v>111237</v>
      </c>
      <c r="H1639">
        <v>5228139</v>
      </c>
      <c r="I1639" t="s">
        <v>1639</v>
      </c>
      <c r="J1639" t="s">
        <v>635</v>
      </c>
      <c r="K1639">
        <v>47</v>
      </c>
      <c r="L1639">
        <v>0</v>
      </c>
      <c r="M1639" t="s">
        <v>115</v>
      </c>
      <c r="N1639" t="str">
        <f t="shared" si="150"/>
        <v>PO-101638</v>
      </c>
      <c r="O1639" t="str">
        <f t="shared" si="151"/>
        <v>Delivered</v>
      </c>
      <c r="P1639" t="str">
        <f t="shared" si="152"/>
        <v>WH-PUN</v>
      </c>
      <c r="Q1639" t="str">
        <f>VLOOKUP(C1639, Lookups!$A$2:$D$10, 2, FALSE())</f>
        <v>TechSupply Corp</v>
      </c>
      <c r="R1639" t="str">
        <f>_xlfn.XLOOKUP(D1639, Lookups!$A$12:$A$51, Lookups!$C$12:$C$51, "Unknown")</f>
        <v>Electronics</v>
      </c>
      <c r="S1639" t="str">
        <f>IF(ISBLANK(I1639), B1639+VLOOKUP(C1639, Lookups!$A$2:$D$10, 4, FALSE()), I1639)</f>
        <v>2025-06-22</v>
      </c>
      <c r="T1639">
        <f t="shared" si="153"/>
        <v>15</v>
      </c>
      <c r="U1639" t="str">
        <f t="shared" si="154"/>
        <v>Late</v>
      </c>
      <c r="V1639">
        <f t="shared" si="155"/>
        <v>0</v>
      </c>
    </row>
    <row r="1640" spans="1:22" x14ac:dyDescent="0.45">
      <c r="A1640" t="s">
        <v>2486</v>
      </c>
      <c r="B1640" t="s">
        <v>809</v>
      </c>
      <c r="C1640" t="s">
        <v>35</v>
      </c>
      <c r="D1640" t="s">
        <v>75</v>
      </c>
      <c r="E1640" t="s">
        <v>15</v>
      </c>
      <c r="F1640">
        <v>187</v>
      </c>
      <c r="G1640">
        <v>4440</v>
      </c>
      <c r="H1640">
        <v>830280</v>
      </c>
      <c r="I1640" t="s">
        <v>1077</v>
      </c>
      <c r="J1640" t="s">
        <v>154</v>
      </c>
      <c r="K1640">
        <v>187</v>
      </c>
      <c r="L1640">
        <v>0</v>
      </c>
      <c r="M1640" t="s">
        <v>178</v>
      </c>
      <c r="N1640" t="str">
        <f t="shared" si="150"/>
        <v>PO-101639</v>
      </c>
      <c r="O1640" t="str">
        <f t="shared" si="151"/>
        <v>Delivered</v>
      </c>
      <c r="P1640" t="str">
        <f t="shared" si="152"/>
        <v>WH-BOM</v>
      </c>
      <c r="Q1640" t="str">
        <f>VLOOKUP(C1640, Lookups!$A$2:$D$10, 2, FALSE())</f>
        <v>Peripheral Source</v>
      </c>
      <c r="R1640" t="str">
        <f>_xlfn.XLOOKUP(D1640, Lookups!$A$12:$A$51, Lookups!$C$12:$C$51, "Unknown")</f>
        <v>Peripherals</v>
      </c>
      <c r="S1640" t="str">
        <f>IF(ISBLANK(I1640), B1640+VLOOKUP(C1640, Lookups!$A$2:$D$10, 4, FALSE()), I1640)</f>
        <v>2025-10-27</v>
      </c>
      <c r="T1640">
        <f t="shared" si="153"/>
        <v>11</v>
      </c>
      <c r="U1640" t="str">
        <f t="shared" si="154"/>
        <v>Late</v>
      </c>
      <c r="V1640">
        <f t="shared" si="155"/>
        <v>0</v>
      </c>
    </row>
    <row r="1641" spans="1:22" x14ac:dyDescent="0.45">
      <c r="A1641" t="s">
        <v>2487</v>
      </c>
      <c r="B1641" t="s">
        <v>920</v>
      </c>
      <c r="C1641" t="s">
        <v>36</v>
      </c>
      <c r="D1641" t="s">
        <v>55</v>
      </c>
      <c r="E1641" t="s">
        <v>15</v>
      </c>
      <c r="F1641">
        <v>96</v>
      </c>
      <c r="G1641">
        <v>58434</v>
      </c>
      <c r="H1641">
        <v>5609664</v>
      </c>
      <c r="I1641" t="s">
        <v>921</v>
      </c>
      <c r="J1641" t="s">
        <v>922</v>
      </c>
      <c r="K1641">
        <v>96</v>
      </c>
      <c r="L1641">
        <v>0</v>
      </c>
      <c r="M1641" t="s">
        <v>115</v>
      </c>
      <c r="N1641" t="str">
        <f t="shared" si="150"/>
        <v>PO-101640</v>
      </c>
      <c r="O1641" t="str">
        <f t="shared" si="151"/>
        <v>Delivered</v>
      </c>
      <c r="P1641" t="str">
        <f t="shared" si="152"/>
        <v>WH-BOM</v>
      </c>
      <c r="Q1641" t="str">
        <f>VLOOKUP(C1641, Lookups!$A$2:$D$10, 2, FALSE())</f>
        <v>NextGen Hardware</v>
      </c>
      <c r="R1641" t="str">
        <f>_xlfn.XLOOKUP(D1641, Lookups!$A$12:$A$51, Lookups!$C$12:$C$51, "Unknown")</f>
        <v>Electronics</v>
      </c>
      <c r="S1641" t="str">
        <f>IF(ISBLANK(I1641), B1641+VLOOKUP(C1641, Lookups!$A$2:$D$10, 4, FALSE()), I1641)</f>
        <v>2026-11-08</v>
      </c>
      <c r="T1641">
        <f t="shared" si="153"/>
        <v>25</v>
      </c>
      <c r="U1641" t="str">
        <f t="shared" si="154"/>
        <v>Late</v>
      </c>
      <c r="V1641">
        <f t="shared" si="155"/>
        <v>0</v>
      </c>
    </row>
    <row r="1642" spans="1:22" x14ac:dyDescent="0.45">
      <c r="A1642" t="s">
        <v>2488</v>
      </c>
      <c r="B1642" t="s">
        <v>871</v>
      </c>
      <c r="C1642" t="s">
        <v>34</v>
      </c>
      <c r="D1642" t="s">
        <v>74</v>
      </c>
      <c r="E1642" t="s">
        <v>17</v>
      </c>
      <c r="F1642">
        <v>169</v>
      </c>
      <c r="G1642">
        <v>94797</v>
      </c>
      <c r="H1642">
        <v>16020693</v>
      </c>
      <c r="I1642" t="s">
        <v>370</v>
      </c>
      <c r="J1642" t="s">
        <v>651</v>
      </c>
      <c r="K1642">
        <v>169</v>
      </c>
      <c r="L1642">
        <v>0</v>
      </c>
      <c r="M1642" t="s">
        <v>115</v>
      </c>
      <c r="N1642" t="str">
        <f t="shared" si="150"/>
        <v>PO-101641</v>
      </c>
      <c r="O1642" t="str">
        <f t="shared" si="151"/>
        <v>Delivered</v>
      </c>
      <c r="P1642" t="str">
        <f t="shared" si="152"/>
        <v>WH-BLR</v>
      </c>
      <c r="Q1642" t="str">
        <f>VLOOKUP(C1642, Lookups!$A$2:$D$10, 2, FALSE())</f>
        <v>FastElectronics</v>
      </c>
      <c r="R1642" t="str">
        <f>_xlfn.XLOOKUP(D1642, Lookups!$A$12:$A$51, Lookups!$C$12:$C$51, "Unknown")</f>
        <v>Electronics</v>
      </c>
      <c r="S1642" t="str">
        <f>IF(ISBLANK(I1642), B1642+VLOOKUP(C1642, Lookups!$A$2:$D$10, 4, FALSE()), I1642)</f>
        <v>2025-11-11</v>
      </c>
      <c r="T1642">
        <f t="shared" si="153"/>
        <v>19</v>
      </c>
      <c r="U1642" t="str">
        <f t="shared" si="154"/>
        <v>Late</v>
      </c>
      <c r="V1642">
        <f t="shared" si="155"/>
        <v>0</v>
      </c>
    </row>
    <row r="1643" spans="1:22" x14ac:dyDescent="0.45">
      <c r="A1643" t="s">
        <v>2489</v>
      </c>
      <c r="B1643" t="s">
        <v>1191</v>
      </c>
      <c r="C1643" t="s">
        <v>37</v>
      </c>
      <c r="D1643" t="s">
        <v>79</v>
      </c>
      <c r="E1643" t="s">
        <v>16</v>
      </c>
      <c r="F1643">
        <v>62</v>
      </c>
      <c r="G1643">
        <v>23054</v>
      </c>
      <c r="H1643">
        <v>1429348</v>
      </c>
      <c r="I1643" t="s">
        <v>1551</v>
      </c>
      <c r="J1643" t="s">
        <v>806</v>
      </c>
      <c r="K1643">
        <v>62</v>
      </c>
      <c r="L1643">
        <v>0</v>
      </c>
      <c r="M1643" t="s">
        <v>115</v>
      </c>
      <c r="N1643" t="str">
        <f t="shared" si="150"/>
        <v>PO-101642</v>
      </c>
      <c r="O1643" t="str">
        <f t="shared" si="151"/>
        <v>Delivered</v>
      </c>
      <c r="P1643" t="str">
        <f t="shared" si="152"/>
        <v>WH-DEL</v>
      </c>
      <c r="Q1643" t="str">
        <f>VLOOKUP(C1643, Lookups!$A$2:$D$10, 2, FALSE())</f>
        <v>Premium Desks Ltd</v>
      </c>
      <c r="R1643" t="str">
        <f>_xlfn.XLOOKUP(D1643, Lookups!$A$12:$A$51, Lookups!$C$12:$C$51, "Unknown")</f>
        <v>Office Furniture</v>
      </c>
      <c r="S1643" t="str">
        <f>IF(ISBLANK(I1643), B1643+VLOOKUP(C1643, Lookups!$A$2:$D$10, 4, FALSE()), I1643)</f>
        <v>2025-05-18</v>
      </c>
      <c r="T1643">
        <f t="shared" si="153"/>
        <v>13</v>
      </c>
      <c r="U1643" t="str">
        <f t="shared" si="154"/>
        <v>Late</v>
      </c>
      <c r="V1643">
        <f t="shared" si="155"/>
        <v>0</v>
      </c>
    </row>
    <row r="1644" spans="1:22" x14ac:dyDescent="0.45">
      <c r="A1644" t="s">
        <v>2490</v>
      </c>
      <c r="B1644" t="s">
        <v>222</v>
      </c>
      <c r="C1644" t="s">
        <v>37</v>
      </c>
      <c r="D1644" t="s">
        <v>78</v>
      </c>
      <c r="E1644" t="s">
        <v>15</v>
      </c>
      <c r="F1644">
        <v>153</v>
      </c>
      <c r="G1644">
        <v>9423</v>
      </c>
      <c r="H1644">
        <v>1441719</v>
      </c>
      <c r="I1644" t="s">
        <v>1979</v>
      </c>
      <c r="J1644" t="s">
        <v>935</v>
      </c>
      <c r="K1644">
        <v>153</v>
      </c>
      <c r="L1644">
        <v>0</v>
      </c>
      <c r="M1644" t="s">
        <v>115</v>
      </c>
      <c r="N1644" t="str">
        <f t="shared" si="150"/>
        <v>PO-101643</v>
      </c>
      <c r="O1644" t="str">
        <f t="shared" si="151"/>
        <v>Delivered</v>
      </c>
      <c r="P1644" t="str">
        <f t="shared" si="152"/>
        <v>WH-BOM</v>
      </c>
      <c r="Q1644" t="str">
        <f>VLOOKUP(C1644, Lookups!$A$2:$D$10, 2, FALSE())</f>
        <v>Premium Desks Ltd</v>
      </c>
      <c r="R1644" t="str">
        <f>_xlfn.XLOOKUP(D1644, Lookups!$A$12:$A$51, Lookups!$C$12:$C$51, "Unknown")</f>
        <v>Office Furniture</v>
      </c>
      <c r="S1644" t="str">
        <f>IF(ISBLANK(I1644), B1644+VLOOKUP(C1644, Lookups!$A$2:$D$10, 4, FALSE()), I1644)</f>
        <v>2026-03-13</v>
      </c>
      <c r="T1644">
        <f t="shared" si="153"/>
        <v>13</v>
      </c>
      <c r="U1644" t="str">
        <f t="shared" si="154"/>
        <v>Late</v>
      </c>
      <c r="V1644">
        <f t="shared" si="155"/>
        <v>0</v>
      </c>
    </row>
    <row r="1645" spans="1:22" x14ac:dyDescent="0.45">
      <c r="A1645" t="s">
        <v>2491</v>
      </c>
      <c r="B1645" t="s">
        <v>998</v>
      </c>
      <c r="C1645" t="s">
        <v>35</v>
      </c>
      <c r="D1645" t="s">
        <v>57</v>
      </c>
      <c r="E1645" t="s">
        <v>15</v>
      </c>
      <c r="F1645">
        <v>138</v>
      </c>
      <c r="G1645">
        <v>2212</v>
      </c>
      <c r="H1645">
        <v>305256</v>
      </c>
      <c r="I1645" t="s">
        <v>999</v>
      </c>
      <c r="J1645" t="s">
        <v>999</v>
      </c>
      <c r="K1645">
        <v>138</v>
      </c>
      <c r="L1645">
        <v>3</v>
      </c>
      <c r="M1645" t="s">
        <v>115</v>
      </c>
      <c r="N1645" t="str">
        <f t="shared" si="150"/>
        <v>PO-101644</v>
      </c>
      <c r="O1645" t="str">
        <f t="shared" si="151"/>
        <v>Delivered</v>
      </c>
      <c r="P1645" t="str">
        <f t="shared" si="152"/>
        <v>WH-BOM</v>
      </c>
      <c r="Q1645" t="str">
        <f>VLOOKUP(C1645, Lookups!$A$2:$D$10, 2, FALSE())</f>
        <v>Peripheral Source</v>
      </c>
      <c r="R1645" t="str">
        <f>_xlfn.XLOOKUP(D1645, Lookups!$A$12:$A$51, Lookups!$C$12:$C$51, "Unknown")</f>
        <v>Peripherals</v>
      </c>
      <c r="S1645" t="str">
        <f>IF(ISBLANK(I1645), B1645+VLOOKUP(C1645, Lookups!$A$2:$D$10, 4, FALSE()), I1645)</f>
        <v>2026-08-28</v>
      </c>
      <c r="T1645">
        <f t="shared" si="153"/>
        <v>10</v>
      </c>
      <c r="U1645" t="str">
        <f t="shared" si="154"/>
        <v>On-Time</v>
      </c>
      <c r="V1645">
        <f t="shared" si="155"/>
        <v>2.1739130434782608E-2</v>
      </c>
    </row>
    <row r="1646" spans="1:22" x14ac:dyDescent="0.45">
      <c r="A1646" t="s">
        <v>2492</v>
      </c>
      <c r="B1646" t="s">
        <v>261</v>
      </c>
      <c r="C1646" t="s">
        <v>34</v>
      </c>
      <c r="D1646" t="s">
        <v>73</v>
      </c>
      <c r="E1646" t="s">
        <v>18</v>
      </c>
      <c r="F1646">
        <v>153</v>
      </c>
      <c r="G1646">
        <v>58396</v>
      </c>
      <c r="H1646">
        <v>8934588</v>
      </c>
      <c r="I1646" t="s">
        <v>127</v>
      </c>
      <c r="J1646" t="s">
        <v>127</v>
      </c>
      <c r="K1646">
        <v>150</v>
      </c>
      <c r="L1646">
        <v>0</v>
      </c>
      <c r="M1646" t="s">
        <v>115</v>
      </c>
      <c r="N1646" t="str">
        <f t="shared" si="150"/>
        <v>PO-101645</v>
      </c>
      <c r="O1646" t="str">
        <f t="shared" si="151"/>
        <v>Delivered</v>
      </c>
      <c r="P1646" t="str">
        <f t="shared" si="152"/>
        <v>WH-PUN</v>
      </c>
      <c r="Q1646" t="str">
        <f>VLOOKUP(C1646, Lookups!$A$2:$D$10, 2, FALSE())</f>
        <v>FastElectronics</v>
      </c>
      <c r="R1646" t="str">
        <f>_xlfn.XLOOKUP(D1646, Lookups!$A$12:$A$51, Lookups!$C$12:$C$51, "Unknown")</f>
        <v>Electronics</v>
      </c>
      <c r="S1646" t="str">
        <f>IF(ISBLANK(I1646), B1646+VLOOKUP(C1646, Lookups!$A$2:$D$10, 4, FALSE()), I1646)</f>
        <v>2026-02-02</v>
      </c>
      <c r="T1646">
        <f t="shared" si="153"/>
        <v>18</v>
      </c>
      <c r="U1646" t="str">
        <f t="shared" si="154"/>
        <v>On-Time</v>
      </c>
      <c r="V1646">
        <f t="shared" si="155"/>
        <v>0</v>
      </c>
    </row>
    <row r="1647" spans="1:22" x14ac:dyDescent="0.45">
      <c r="A1647" t="s">
        <v>2493</v>
      </c>
      <c r="B1647" t="s">
        <v>834</v>
      </c>
      <c r="C1647" t="s">
        <v>31</v>
      </c>
      <c r="D1647" t="s">
        <v>66</v>
      </c>
      <c r="E1647" t="s">
        <v>18</v>
      </c>
      <c r="F1647">
        <v>152</v>
      </c>
      <c r="G1647">
        <v>29719</v>
      </c>
      <c r="H1647">
        <v>4517288</v>
      </c>
      <c r="I1647" t="s">
        <v>394</v>
      </c>
      <c r="J1647" t="s">
        <v>394</v>
      </c>
      <c r="K1647">
        <v>152</v>
      </c>
      <c r="L1647">
        <v>0</v>
      </c>
      <c r="M1647" t="s">
        <v>115</v>
      </c>
      <c r="N1647" t="str">
        <f t="shared" si="150"/>
        <v>PO-101646</v>
      </c>
      <c r="O1647" t="str">
        <f t="shared" si="151"/>
        <v>Delivered</v>
      </c>
      <c r="P1647" t="str">
        <f t="shared" si="152"/>
        <v>WH-PUN</v>
      </c>
      <c r="Q1647" t="str">
        <f>VLOOKUP(C1647, Lookups!$A$2:$D$10, 2, FALSE())</f>
        <v>Global Networks</v>
      </c>
      <c r="R1647" t="str">
        <f>_xlfn.XLOOKUP(D1647, Lookups!$A$12:$A$51, Lookups!$C$12:$C$51, "Unknown")</f>
        <v>Networking</v>
      </c>
      <c r="S1647" t="str">
        <f>IF(ISBLANK(I1647), B1647+VLOOKUP(C1647, Lookups!$A$2:$D$10, 4, FALSE()), I1647)</f>
        <v>2025-09-16</v>
      </c>
      <c r="T1647">
        <f t="shared" si="153"/>
        <v>21</v>
      </c>
      <c r="U1647" t="str">
        <f t="shared" si="154"/>
        <v>On-Time</v>
      </c>
      <c r="V1647">
        <f t="shared" si="155"/>
        <v>0</v>
      </c>
    </row>
    <row r="1648" spans="1:22" x14ac:dyDescent="0.45">
      <c r="A1648" t="s">
        <v>2494</v>
      </c>
      <c r="B1648" t="s">
        <v>173</v>
      </c>
      <c r="C1648" t="s">
        <v>31</v>
      </c>
      <c r="D1648" t="s">
        <v>56</v>
      </c>
      <c r="E1648" t="s">
        <v>18</v>
      </c>
      <c r="F1648">
        <v>19</v>
      </c>
      <c r="G1648">
        <v>39270</v>
      </c>
      <c r="H1648">
        <v>746130</v>
      </c>
      <c r="I1648" t="s">
        <v>356</v>
      </c>
      <c r="J1648" t="s">
        <v>729</v>
      </c>
      <c r="K1648">
        <v>19</v>
      </c>
      <c r="L1648">
        <v>1</v>
      </c>
      <c r="M1648" t="s">
        <v>115</v>
      </c>
      <c r="N1648" t="str">
        <f t="shared" si="150"/>
        <v>PO-101647</v>
      </c>
      <c r="O1648" t="str">
        <f t="shared" si="151"/>
        <v>Delivered</v>
      </c>
      <c r="P1648" t="str">
        <f t="shared" si="152"/>
        <v>WH-PUN</v>
      </c>
      <c r="Q1648" t="str">
        <f>VLOOKUP(C1648, Lookups!$A$2:$D$10, 2, FALSE())</f>
        <v>Global Networks</v>
      </c>
      <c r="R1648" t="str">
        <f>_xlfn.XLOOKUP(D1648, Lookups!$A$12:$A$51, Lookups!$C$12:$C$51, "Unknown")</f>
        <v>Networking</v>
      </c>
      <c r="S1648" t="str">
        <f>IF(ISBLANK(I1648), B1648+VLOOKUP(C1648, Lookups!$A$2:$D$10, 4, FALSE()), I1648)</f>
        <v>2025-09-27</v>
      </c>
      <c r="T1648">
        <f t="shared" si="153"/>
        <v>22</v>
      </c>
      <c r="U1648" t="str">
        <f t="shared" si="154"/>
        <v>Late</v>
      </c>
      <c r="V1648">
        <f t="shared" si="155"/>
        <v>5.2631578947368418E-2</v>
      </c>
    </row>
    <row r="1649" spans="1:22" x14ac:dyDescent="0.45">
      <c r="A1649" t="s">
        <v>2495</v>
      </c>
      <c r="B1649" t="s">
        <v>612</v>
      </c>
      <c r="C1649" t="s">
        <v>35</v>
      </c>
      <c r="D1649" t="s">
        <v>75</v>
      </c>
      <c r="E1649" t="s">
        <v>17</v>
      </c>
      <c r="F1649">
        <v>212</v>
      </c>
      <c r="G1649">
        <v>4440</v>
      </c>
      <c r="H1649">
        <v>941280</v>
      </c>
      <c r="I1649" t="s">
        <v>265</v>
      </c>
      <c r="J1649" t="s">
        <v>265</v>
      </c>
      <c r="K1649">
        <v>212</v>
      </c>
      <c r="L1649">
        <v>0</v>
      </c>
      <c r="M1649" t="s">
        <v>115</v>
      </c>
      <c r="N1649" t="str">
        <f t="shared" si="150"/>
        <v>PO-101648</v>
      </c>
      <c r="O1649" t="str">
        <f t="shared" si="151"/>
        <v>Delivered</v>
      </c>
      <c r="P1649" t="str">
        <f t="shared" si="152"/>
        <v>WH-BLR</v>
      </c>
      <c r="Q1649" t="str">
        <f>VLOOKUP(C1649, Lookups!$A$2:$D$10, 2, FALSE())</f>
        <v>Peripheral Source</v>
      </c>
      <c r="R1649" t="str">
        <f>_xlfn.XLOOKUP(D1649, Lookups!$A$12:$A$51, Lookups!$C$12:$C$51, "Unknown")</f>
        <v>Peripherals</v>
      </c>
      <c r="S1649" t="str">
        <f>IF(ISBLANK(I1649), B1649+VLOOKUP(C1649, Lookups!$A$2:$D$10, 4, FALSE()), I1649)</f>
        <v>2025-02-14</v>
      </c>
      <c r="T1649">
        <f t="shared" si="153"/>
        <v>10</v>
      </c>
      <c r="U1649" t="str">
        <f t="shared" si="154"/>
        <v>On-Time</v>
      </c>
      <c r="V1649">
        <f t="shared" si="155"/>
        <v>0</v>
      </c>
    </row>
    <row r="1650" spans="1:22" x14ac:dyDescent="0.45">
      <c r="A1650" t="s">
        <v>2496</v>
      </c>
      <c r="B1650" t="s">
        <v>707</v>
      </c>
      <c r="C1650" t="s">
        <v>35</v>
      </c>
      <c r="D1650" t="s">
        <v>65</v>
      </c>
      <c r="E1650" t="s">
        <v>16</v>
      </c>
      <c r="F1650">
        <v>21</v>
      </c>
      <c r="G1650">
        <v>4936</v>
      </c>
      <c r="H1650">
        <v>103656</v>
      </c>
      <c r="I1650" t="s">
        <v>538</v>
      </c>
      <c r="J1650" t="s">
        <v>1416</v>
      </c>
      <c r="K1650">
        <v>19</v>
      </c>
      <c r="L1650">
        <v>0</v>
      </c>
      <c r="M1650" t="s">
        <v>115</v>
      </c>
      <c r="N1650" t="str">
        <f t="shared" si="150"/>
        <v>PO-101649</v>
      </c>
      <c r="O1650" t="str">
        <f t="shared" si="151"/>
        <v>Delivered</v>
      </c>
      <c r="P1650" t="str">
        <f t="shared" si="152"/>
        <v>WH-DEL</v>
      </c>
      <c r="Q1650" t="str">
        <f>VLOOKUP(C1650, Lookups!$A$2:$D$10, 2, FALSE())</f>
        <v>Peripheral Source</v>
      </c>
      <c r="R1650" t="str">
        <f>_xlfn.XLOOKUP(D1650, Lookups!$A$12:$A$51, Lookups!$C$12:$C$51, "Unknown")</f>
        <v>Peripherals</v>
      </c>
      <c r="S1650" t="str">
        <f>IF(ISBLANK(I1650), B1650+VLOOKUP(C1650, Lookups!$A$2:$D$10, 4, FALSE()), I1650)</f>
        <v>2026-01-24</v>
      </c>
      <c r="T1650">
        <f t="shared" si="153"/>
        <v>16</v>
      </c>
      <c r="U1650" t="str">
        <f t="shared" si="154"/>
        <v>Late</v>
      </c>
      <c r="V1650">
        <f t="shared" si="155"/>
        <v>0</v>
      </c>
    </row>
    <row r="1651" spans="1:22" x14ac:dyDescent="0.45">
      <c r="A1651" t="s">
        <v>2497</v>
      </c>
      <c r="B1651" t="s">
        <v>877</v>
      </c>
      <c r="C1651" t="s">
        <v>32</v>
      </c>
      <c r="D1651" t="s">
        <v>67</v>
      </c>
      <c r="E1651" t="s">
        <v>16</v>
      </c>
      <c r="F1651">
        <v>250</v>
      </c>
      <c r="G1651">
        <v>1553</v>
      </c>
      <c r="H1651">
        <v>388250</v>
      </c>
      <c r="I1651" t="s">
        <v>383</v>
      </c>
      <c r="K1651">
        <v>0</v>
      </c>
      <c r="L1651">
        <v>0</v>
      </c>
      <c r="M1651" t="s">
        <v>297</v>
      </c>
      <c r="N1651" t="str">
        <f t="shared" si="150"/>
        <v>PO-101650</v>
      </c>
      <c r="O1651" t="str">
        <f t="shared" si="151"/>
        <v>Open</v>
      </c>
      <c r="P1651" t="str">
        <f t="shared" si="152"/>
        <v>WH-DEL</v>
      </c>
      <c r="Q1651" t="str">
        <f>VLOOKUP(C1651, Lookups!$A$2:$D$10, 2, FALSE())</f>
        <v>OfficeDepot Pro</v>
      </c>
      <c r="R1651" t="str">
        <f>_xlfn.XLOOKUP(D1651, Lookups!$A$12:$A$51, Lookups!$C$12:$C$51, "Unknown")</f>
        <v>Peripherals</v>
      </c>
      <c r="S1651" t="str">
        <f>IF(ISBLANK(I1651), B1651+VLOOKUP(C1651, Lookups!$A$2:$D$10, 4, FALSE()), I1651)</f>
        <v>2026-12-11</v>
      </c>
      <c r="T1651" t="str">
        <f t="shared" si="153"/>
        <v/>
      </c>
      <c r="U1651" t="str">
        <f t="shared" si="154"/>
        <v>Open</v>
      </c>
      <c r="V1651">
        <f t="shared" si="155"/>
        <v>0</v>
      </c>
    </row>
    <row r="1652" spans="1:22" x14ac:dyDescent="0.45">
      <c r="A1652" t="s">
        <v>2498</v>
      </c>
      <c r="B1652" t="s">
        <v>438</v>
      </c>
      <c r="C1652" t="s">
        <v>36</v>
      </c>
      <c r="D1652" t="s">
        <v>63</v>
      </c>
      <c r="E1652" t="s">
        <v>15</v>
      </c>
      <c r="F1652">
        <v>180</v>
      </c>
      <c r="G1652">
        <v>71062</v>
      </c>
      <c r="H1652">
        <v>12791160</v>
      </c>
      <c r="I1652" t="s">
        <v>566</v>
      </c>
      <c r="J1652" t="s">
        <v>566</v>
      </c>
      <c r="K1652">
        <v>180</v>
      </c>
      <c r="L1652">
        <v>0</v>
      </c>
      <c r="M1652" t="s">
        <v>115</v>
      </c>
      <c r="N1652" t="str">
        <f t="shared" si="150"/>
        <v>PO-101651</v>
      </c>
      <c r="O1652" t="str">
        <f t="shared" si="151"/>
        <v>Delivered</v>
      </c>
      <c r="P1652" t="str">
        <f t="shared" si="152"/>
        <v>WH-BOM</v>
      </c>
      <c r="Q1652" t="str">
        <f>VLOOKUP(C1652, Lookups!$A$2:$D$10, 2, FALSE())</f>
        <v>NextGen Hardware</v>
      </c>
      <c r="R1652" t="str">
        <f>_xlfn.XLOOKUP(D1652, Lookups!$A$12:$A$51, Lookups!$C$12:$C$51, "Unknown")</f>
        <v>Electronics</v>
      </c>
      <c r="S1652" t="str">
        <f>IF(ISBLANK(I1652), B1652+VLOOKUP(C1652, Lookups!$A$2:$D$10, 4, FALSE()), I1652)</f>
        <v>2025-03-09</v>
      </c>
      <c r="T1652">
        <f t="shared" si="153"/>
        <v>24</v>
      </c>
      <c r="U1652" t="str">
        <f t="shared" si="154"/>
        <v>On-Time</v>
      </c>
      <c r="V1652">
        <f t="shared" si="155"/>
        <v>0</v>
      </c>
    </row>
    <row r="1653" spans="1:22" x14ac:dyDescent="0.45">
      <c r="A1653" t="s">
        <v>2499</v>
      </c>
      <c r="B1653" t="s">
        <v>112</v>
      </c>
      <c r="C1653" t="s">
        <v>36</v>
      </c>
      <c r="D1653" t="s">
        <v>62</v>
      </c>
      <c r="E1653" t="s">
        <v>15</v>
      </c>
      <c r="F1653">
        <v>153</v>
      </c>
      <c r="G1653">
        <v>48478</v>
      </c>
      <c r="H1653">
        <v>7417134</v>
      </c>
      <c r="I1653" t="s">
        <v>195</v>
      </c>
      <c r="J1653" t="s">
        <v>195</v>
      </c>
      <c r="K1653">
        <v>153</v>
      </c>
      <c r="L1653">
        <v>0</v>
      </c>
      <c r="M1653" t="s">
        <v>115</v>
      </c>
      <c r="N1653" t="str">
        <f t="shared" si="150"/>
        <v>PO-101652</v>
      </c>
      <c r="O1653" t="str">
        <f t="shared" si="151"/>
        <v>Delivered</v>
      </c>
      <c r="P1653" t="str">
        <f t="shared" si="152"/>
        <v>WH-BOM</v>
      </c>
      <c r="Q1653" t="str">
        <f>VLOOKUP(C1653, Lookups!$A$2:$D$10, 2, FALSE())</f>
        <v>NextGen Hardware</v>
      </c>
      <c r="R1653" t="str">
        <f>_xlfn.XLOOKUP(D1653, Lookups!$A$12:$A$51, Lookups!$C$12:$C$51, "Unknown")</f>
        <v>Electronics</v>
      </c>
      <c r="S1653" t="str">
        <f>IF(ISBLANK(I1653), B1653+VLOOKUP(C1653, Lookups!$A$2:$D$10, 4, FALSE()), I1653)</f>
        <v>2026-07-10</v>
      </c>
      <c r="T1653">
        <f t="shared" si="153"/>
        <v>24</v>
      </c>
      <c r="U1653" t="str">
        <f t="shared" si="154"/>
        <v>On-Time</v>
      </c>
      <c r="V1653">
        <f t="shared" si="155"/>
        <v>0</v>
      </c>
    </row>
    <row r="1654" spans="1:22" x14ac:dyDescent="0.45">
      <c r="A1654" t="s">
        <v>2500</v>
      </c>
      <c r="B1654" t="s">
        <v>389</v>
      </c>
      <c r="C1654" t="s">
        <v>31</v>
      </c>
      <c r="D1654" t="s">
        <v>85</v>
      </c>
      <c r="E1654" t="s">
        <v>15</v>
      </c>
      <c r="F1654">
        <v>202</v>
      </c>
      <c r="G1654">
        <v>16501</v>
      </c>
      <c r="H1654">
        <v>3333202</v>
      </c>
      <c r="I1654" t="s">
        <v>1003</v>
      </c>
      <c r="J1654" t="s">
        <v>2277</v>
      </c>
      <c r="K1654">
        <v>202</v>
      </c>
      <c r="L1654">
        <v>0</v>
      </c>
      <c r="M1654" t="s">
        <v>115</v>
      </c>
      <c r="N1654" t="str">
        <f t="shared" si="150"/>
        <v>PO-101653</v>
      </c>
      <c r="O1654" t="str">
        <f t="shared" si="151"/>
        <v>Delivered</v>
      </c>
      <c r="P1654" t="str">
        <f t="shared" si="152"/>
        <v>WH-BOM</v>
      </c>
      <c r="Q1654" t="str">
        <f>VLOOKUP(C1654, Lookups!$A$2:$D$10, 2, FALSE())</f>
        <v>Global Networks</v>
      </c>
      <c r="R1654" t="str">
        <f>_xlfn.XLOOKUP(D1654, Lookups!$A$12:$A$51, Lookups!$C$12:$C$51, "Unknown")</f>
        <v>Networking</v>
      </c>
      <c r="S1654" t="str">
        <f>IF(ISBLANK(I1654), B1654+VLOOKUP(C1654, Lookups!$A$2:$D$10, 4, FALSE()), I1654)</f>
        <v>2026-04-27</v>
      </c>
      <c r="T1654">
        <f t="shared" si="153"/>
        <v>22</v>
      </c>
      <c r="U1654" t="str">
        <f t="shared" si="154"/>
        <v>Late</v>
      </c>
      <c r="V1654">
        <f t="shared" si="155"/>
        <v>0</v>
      </c>
    </row>
    <row r="1655" spans="1:22" x14ac:dyDescent="0.45">
      <c r="A1655" t="s">
        <v>2501</v>
      </c>
      <c r="B1655" t="s">
        <v>153</v>
      </c>
      <c r="C1655" t="s">
        <v>35</v>
      </c>
      <c r="D1655" t="s">
        <v>60</v>
      </c>
      <c r="E1655" t="s">
        <v>15</v>
      </c>
      <c r="F1655">
        <v>149</v>
      </c>
      <c r="G1655">
        <v>3291</v>
      </c>
      <c r="H1655">
        <v>490359</v>
      </c>
      <c r="I1655" t="s">
        <v>809</v>
      </c>
      <c r="J1655" t="s">
        <v>809</v>
      </c>
      <c r="K1655">
        <v>149</v>
      </c>
      <c r="L1655">
        <v>0</v>
      </c>
      <c r="M1655" t="s">
        <v>115</v>
      </c>
      <c r="N1655" t="str">
        <f t="shared" si="150"/>
        <v>PO-101654</v>
      </c>
      <c r="O1655" t="str">
        <f t="shared" si="151"/>
        <v>Delivered</v>
      </c>
      <c r="P1655" t="str">
        <f t="shared" si="152"/>
        <v>WH-BOM</v>
      </c>
      <c r="Q1655" t="str">
        <f>VLOOKUP(C1655, Lookups!$A$2:$D$10, 2, FALSE())</f>
        <v>Peripheral Source</v>
      </c>
      <c r="R1655" t="str">
        <f>_xlfn.XLOOKUP(D1655, Lookups!$A$12:$A$51, Lookups!$C$12:$C$51, "Unknown")</f>
        <v>Peripherals</v>
      </c>
      <c r="S1655" t="str">
        <f>IF(ISBLANK(I1655), B1655+VLOOKUP(C1655, Lookups!$A$2:$D$10, 4, FALSE()), I1655)</f>
        <v>2025-10-17</v>
      </c>
      <c r="T1655">
        <f t="shared" si="153"/>
        <v>10</v>
      </c>
      <c r="U1655" t="str">
        <f t="shared" si="154"/>
        <v>On-Time</v>
      </c>
      <c r="V1655">
        <f t="shared" si="155"/>
        <v>0</v>
      </c>
    </row>
    <row r="1656" spans="1:22" x14ac:dyDescent="0.45">
      <c r="A1656" t="s">
        <v>2502</v>
      </c>
      <c r="B1656" t="s">
        <v>165</v>
      </c>
      <c r="C1656" t="s">
        <v>37</v>
      </c>
      <c r="D1656" t="s">
        <v>79</v>
      </c>
      <c r="E1656" t="s">
        <v>17</v>
      </c>
      <c r="F1656">
        <v>133</v>
      </c>
      <c r="G1656">
        <v>23054</v>
      </c>
      <c r="H1656">
        <v>3066182</v>
      </c>
      <c r="I1656" t="s">
        <v>1547</v>
      </c>
      <c r="J1656" t="s">
        <v>787</v>
      </c>
      <c r="K1656">
        <v>133</v>
      </c>
      <c r="L1656">
        <v>0</v>
      </c>
      <c r="M1656" t="s">
        <v>115</v>
      </c>
      <c r="N1656" t="str">
        <f t="shared" si="150"/>
        <v>PO-101655</v>
      </c>
      <c r="O1656" t="str">
        <f t="shared" si="151"/>
        <v>Delivered</v>
      </c>
      <c r="P1656" t="str">
        <f t="shared" si="152"/>
        <v>WH-BLR</v>
      </c>
      <c r="Q1656" t="str">
        <f>VLOOKUP(C1656, Lookups!$A$2:$D$10, 2, FALSE())</f>
        <v>Premium Desks Ltd</v>
      </c>
      <c r="R1656" t="str">
        <f>_xlfn.XLOOKUP(D1656, Lookups!$A$12:$A$51, Lookups!$C$12:$C$51, "Unknown")</f>
        <v>Office Furniture</v>
      </c>
      <c r="S1656" t="str">
        <f>IF(ISBLANK(I1656), B1656+VLOOKUP(C1656, Lookups!$A$2:$D$10, 4, FALSE()), I1656)</f>
        <v>2026-03-03</v>
      </c>
      <c r="T1656">
        <f t="shared" si="153"/>
        <v>13</v>
      </c>
      <c r="U1656" t="str">
        <f t="shared" si="154"/>
        <v>Late</v>
      </c>
      <c r="V1656">
        <f t="shared" si="155"/>
        <v>0</v>
      </c>
    </row>
    <row r="1657" spans="1:22" x14ac:dyDescent="0.45">
      <c r="A1657" t="s">
        <v>2503</v>
      </c>
      <c r="B1657" t="s">
        <v>1584</v>
      </c>
      <c r="C1657" t="s">
        <v>34</v>
      </c>
      <c r="D1657" t="s">
        <v>81</v>
      </c>
      <c r="E1657" t="s">
        <v>16</v>
      </c>
      <c r="F1657">
        <v>206</v>
      </c>
      <c r="G1657">
        <v>55328</v>
      </c>
      <c r="H1657">
        <v>11397568</v>
      </c>
      <c r="I1657" t="s">
        <v>460</v>
      </c>
      <c r="J1657" t="s">
        <v>460</v>
      </c>
      <c r="K1657">
        <v>206</v>
      </c>
      <c r="L1657">
        <v>0</v>
      </c>
      <c r="M1657" t="s">
        <v>115</v>
      </c>
      <c r="N1657" t="str">
        <f t="shared" si="150"/>
        <v>PO-101656</v>
      </c>
      <c r="O1657" t="str">
        <f t="shared" si="151"/>
        <v>Delivered</v>
      </c>
      <c r="P1657" t="str">
        <f t="shared" si="152"/>
        <v>WH-DEL</v>
      </c>
      <c r="Q1657" t="str">
        <f>VLOOKUP(C1657, Lookups!$A$2:$D$10, 2, FALSE())</f>
        <v>FastElectronics</v>
      </c>
      <c r="R1657" t="str">
        <f>_xlfn.XLOOKUP(D1657, Lookups!$A$12:$A$51, Lookups!$C$12:$C$51, "Unknown")</f>
        <v>Electronics</v>
      </c>
      <c r="S1657" t="str">
        <f>IF(ISBLANK(I1657), B1657+VLOOKUP(C1657, Lookups!$A$2:$D$10, 4, FALSE()), I1657)</f>
        <v>2025-10-09</v>
      </c>
      <c r="T1657">
        <f t="shared" si="153"/>
        <v>18</v>
      </c>
      <c r="U1657" t="str">
        <f t="shared" si="154"/>
        <v>On-Time</v>
      </c>
      <c r="V1657">
        <f t="shared" si="155"/>
        <v>0</v>
      </c>
    </row>
    <row r="1658" spans="1:22" x14ac:dyDescent="0.45">
      <c r="A1658" t="s">
        <v>2504</v>
      </c>
      <c r="B1658" t="s">
        <v>1497</v>
      </c>
      <c r="C1658" t="s">
        <v>37</v>
      </c>
      <c r="D1658" t="s">
        <v>78</v>
      </c>
      <c r="E1658" t="s">
        <v>16</v>
      </c>
      <c r="F1658">
        <v>123</v>
      </c>
      <c r="G1658">
        <v>9423</v>
      </c>
      <c r="H1658">
        <v>1159029</v>
      </c>
      <c r="I1658" t="s">
        <v>363</v>
      </c>
      <c r="J1658" t="s">
        <v>149</v>
      </c>
      <c r="K1658">
        <v>123</v>
      </c>
      <c r="L1658">
        <v>0</v>
      </c>
      <c r="M1658" t="s">
        <v>115</v>
      </c>
      <c r="N1658" t="str">
        <f t="shared" si="150"/>
        <v>PO-101657</v>
      </c>
      <c r="O1658" t="str">
        <f t="shared" si="151"/>
        <v>Delivered</v>
      </c>
      <c r="P1658" t="str">
        <f t="shared" si="152"/>
        <v>WH-DEL</v>
      </c>
      <c r="Q1658" t="str">
        <f>VLOOKUP(C1658, Lookups!$A$2:$D$10, 2, FALSE())</f>
        <v>Premium Desks Ltd</v>
      </c>
      <c r="R1658" t="str">
        <f>_xlfn.XLOOKUP(D1658, Lookups!$A$12:$A$51, Lookups!$C$12:$C$51, "Unknown")</f>
        <v>Office Furniture</v>
      </c>
      <c r="S1658" t="str">
        <f>IF(ISBLANK(I1658), B1658+VLOOKUP(C1658, Lookups!$A$2:$D$10, 4, FALSE()), I1658)</f>
        <v>2026-04-02</v>
      </c>
      <c r="T1658">
        <f t="shared" si="153"/>
        <v>13</v>
      </c>
      <c r="U1658" t="str">
        <f t="shared" si="154"/>
        <v>Late</v>
      </c>
      <c r="V1658">
        <f t="shared" si="155"/>
        <v>0</v>
      </c>
    </row>
    <row r="1659" spans="1:22" x14ac:dyDescent="0.45">
      <c r="A1659" t="s">
        <v>2505</v>
      </c>
      <c r="B1659" t="s">
        <v>428</v>
      </c>
      <c r="C1659" t="s">
        <v>30</v>
      </c>
      <c r="D1659" t="s">
        <v>82</v>
      </c>
      <c r="E1659" t="s">
        <v>18</v>
      </c>
      <c r="F1659">
        <v>221</v>
      </c>
      <c r="G1659">
        <v>83427</v>
      </c>
      <c r="H1659">
        <v>18437367</v>
      </c>
      <c r="I1659" t="s">
        <v>225</v>
      </c>
      <c r="J1659" t="s">
        <v>226</v>
      </c>
      <c r="K1659">
        <v>221</v>
      </c>
      <c r="L1659">
        <v>0</v>
      </c>
      <c r="M1659" t="s">
        <v>115</v>
      </c>
      <c r="N1659" t="str">
        <f t="shared" si="150"/>
        <v>PO-101658</v>
      </c>
      <c r="O1659" t="str">
        <f t="shared" si="151"/>
        <v>Delivered</v>
      </c>
      <c r="P1659" t="str">
        <f t="shared" si="152"/>
        <v>WH-PUN</v>
      </c>
      <c r="Q1659" t="str">
        <f>VLOOKUP(C1659, Lookups!$A$2:$D$10, 2, FALSE())</f>
        <v>TechSupply Corp</v>
      </c>
      <c r="R1659" t="str">
        <f>_xlfn.XLOOKUP(D1659, Lookups!$A$12:$A$51, Lookups!$C$12:$C$51, "Unknown")</f>
        <v>Electronics</v>
      </c>
      <c r="S1659" t="str">
        <f>IF(ISBLANK(I1659), B1659+VLOOKUP(C1659, Lookups!$A$2:$D$10, 4, FALSE()), I1659)</f>
        <v>2026-07-31</v>
      </c>
      <c r="T1659">
        <f t="shared" si="153"/>
        <v>15</v>
      </c>
      <c r="U1659" t="str">
        <f t="shared" si="154"/>
        <v>Late</v>
      </c>
      <c r="V1659">
        <f t="shared" si="155"/>
        <v>0</v>
      </c>
    </row>
    <row r="1660" spans="1:22" x14ac:dyDescent="0.45">
      <c r="A1660" t="s">
        <v>2506</v>
      </c>
      <c r="B1660" t="s">
        <v>127</v>
      </c>
      <c r="C1660" t="s">
        <v>31</v>
      </c>
      <c r="D1660" t="s">
        <v>85</v>
      </c>
      <c r="E1660" t="s">
        <v>18</v>
      </c>
      <c r="F1660">
        <v>179</v>
      </c>
      <c r="G1660">
        <v>16501</v>
      </c>
      <c r="H1660">
        <v>2953679</v>
      </c>
      <c r="I1660" t="s">
        <v>330</v>
      </c>
      <c r="J1660" t="s">
        <v>222</v>
      </c>
      <c r="K1660">
        <v>179</v>
      </c>
      <c r="L1660">
        <v>0</v>
      </c>
      <c r="M1660" t="s">
        <v>115</v>
      </c>
      <c r="N1660" t="str">
        <f t="shared" si="150"/>
        <v>PO-101659</v>
      </c>
      <c r="O1660" t="str">
        <f t="shared" si="151"/>
        <v>Delivered</v>
      </c>
      <c r="P1660" t="str">
        <f t="shared" si="152"/>
        <v>WH-PUN</v>
      </c>
      <c r="Q1660" t="str">
        <f>VLOOKUP(C1660, Lookups!$A$2:$D$10, 2, FALSE())</f>
        <v>Global Networks</v>
      </c>
      <c r="R1660" t="str">
        <f>_xlfn.XLOOKUP(D1660, Lookups!$A$12:$A$51, Lookups!$C$12:$C$51, "Unknown")</f>
        <v>Networking</v>
      </c>
      <c r="S1660" t="str">
        <f>IF(ISBLANK(I1660), B1660+VLOOKUP(C1660, Lookups!$A$2:$D$10, 4, FALSE()), I1660)</f>
        <v>2026-02-23</v>
      </c>
      <c r="T1660">
        <f t="shared" si="153"/>
        <v>27</v>
      </c>
      <c r="U1660" t="str">
        <f t="shared" si="154"/>
        <v>Late</v>
      </c>
      <c r="V1660">
        <f t="shared" si="155"/>
        <v>0</v>
      </c>
    </row>
    <row r="1661" spans="1:22" x14ac:dyDescent="0.45">
      <c r="A1661" t="s">
        <v>2507</v>
      </c>
      <c r="B1661" t="s">
        <v>2246</v>
      </c>
      <c r="C1661" t="s">
        <v>35</v>
      </c>
      <c r="D1661" t="s">
        <v>91</v>
      </c>
      <c r="E1661" t="s">
        <v>17</v>
      </c>
      <c r="F1661">
        <v>73</v>
      </c>
      <c r="G1661">
        <v>6707</v>
      </c>
      <c r="H1661">
        <v>489611</v>
      </c>
      <c r="I1661" t="s">
        <v>803</v>
      </c>
      <c r="J1661" t="s">
        <v>348</v>
      </c>
      <c r="K1661">
        <v>73</v>
      </c>
      <c r="L1661">
        <v>0</v>
      </c>
      <c r="M1661" t="s">
        <v>115</v>
      </c>
      <c r="N1661" t="str">
        <f t="shared" si="150"/>
        <v>PO-101660</v>
      </c>
      <c r="O1661" t="str">
        <f t="shared" si="151"/>
        <v>Delivered</v>
      </c>
      <c r="P1661" t="str">
        <f t="shared" si="152"/>
        <v>WH-BLR</v>
      </c>
      <c r="Q1661" t="str">
        <f>VLOOKUP(C1661, Lookups!$A$2:$D$10, 2, FALSE())</f>
        <v>Peripheral Source</v>
      </c>
      <c r="R1661" t="str">
        <f>_xlfn.XLOOKUP(D1661, Lookups!$A$12:$A$51, Lookups!$C$12:$C$51, "Unknown")</f>
        <v>Peripherals</v>
      </c>
      <c r="S1661" t="str">
        <f>IF(ISBLANK(I1661), B1661+VLOOKUP(C1661, Lookups!$A$2:$D$10, 4, FALSE()), I1661)</f>
        <v>2026-08-16</v>
      </c>
      <c r="T1661">
        <f t="shared" si="153"/>
        <v>17</v>
      </c>
      <c r="U1661" t="str">
        <f t="shared" si="154"/>
        <v>Late</v>
      </c>
      <c r="V1661">
        <f t="shared" si="155"/>
        <v>0</v>
      </c>
    </row>
    <row r="1662" spans="1:22" x14ac:dyDescent="0.45">
      <c r="A1662" t="s">
        <v>2508</v>
      </c>
      <c r="B1662" t="s">
        <v>1087</v>
      </c>
      <c r="C1662" t="s">
        <v>30</v>
      </c>
      <c r="D1662" t="s">
        <v>61</v>
      </c>
      <c r="E1662" t="s">
        <v>16</v>
      </c>
      <c r="F1662">
        <v>167</v>
      </c>
      <c r="G1662">
        <v>111237</v>
      </c>
      <c r="H1662">
        <v>18576579</v>
      </c>
      <c r="I1662" t="s">
        <v>446</v>
      </c>
      <c r="J1662" t="s">
        <v>446</v>
      </c>
      <c r="K1662">
        <v>167</v>
      </c>
      <c r="L1662">
        <v>0</v>
      </c>
      <c r="M1662" t="s">
        <v>115</v>
      </c>
      <c r="N1662" t="str">
        <f t="shared" si="150"/>
        <v>PO-101661</v>
      </c>
      <c r="O1662" t="str">
        <f t="shared" si="151"/>
        <v>Delivered</v>
      </c>
      <c r="P1662" t="str">
        <f t="shared" si="152"/>
        <v>WH-DEL</v>
      </c>
      <c r="Q1662" t="str">
        <f>VLOOKUP(C1662, Lookups!$A$2:$D$10, 2, FALSE())</f>
        <v>TechSupply Corp</v>
      </c>
      <c r="R1662" t="str">
        <f>_xlfn.XLOOKUP(D1662, Lookups!$A$12:$A$51, Lookups!$C$12:$C$51, "Unknown")</f>
        <v>Electronics</v>
      </c>
      <c r="S1662" t="str">
        <f>IF(ISBLANK(I1662), B1662+VLOOKUP(C1662, Lookups!$A$2:$D$10, 4, FALSE()), I1662)</f>
        <v>2025-11-29</v>
      </c>
      <c r="T1662">
        <f t="shared" si="153"/>
        <v>14</v>
      </c>
      <c r="U1662" t="str">
        <f t="shared" si="154"/>
        <v>On-Time</v>
      </c>
      <c r="V1662">
        <f t="shared" si="155"/>
        <v>0</v>
      </c>
    </row>
    <row r="1663" spans="1:22" x14ac:dyDescent="0.45">
      <c r="A1663" t="s">
        <v>2509</v>
      </c>
      <c r="B1663" t="s">
        <v>1615</v>
      </c>
      <c r="C1663" t="s">
        <v>30</v>
      </c>
      <c r="D1663" t="s">
        <v>52</v>
      </c>
      <c r="E1663" t="s">
        <v>18</v>
      </c>
      <c r="F1663">
        <v>78</v>
      </c>
      <c r="G1663">
        <v>59592</v>
      </c>
      <c r="H1663">
        <v>4648176</v>
      </c>
      <c r="I1663" t="s">
        <v>349</v>
      </c>
      <c r="J1663" t="s">
        <v>350</v>
      </c>
      <c r="K1663">
        <v>78</v>
      </c>
      <c r="L1663">
        <v>0</v>
      </c>
      <c r="M1663" t="s">
        <v>115</v>
      </c>
      <c r="N1663" t="str">
        <f t="shared" si="150"/>
        <v>PO-101662</v>
      </c>
      <c r="O1663" t="str">
        <f t="shared" si="151"/>
        <v>Delivered</v>
      </c>
      <c r="P1663" t="str">
        <f t="shared" si="152"/>
        <v>WH-PUN</v>
      </c>
      <c r="Q1663" t="str">
        <f>VLOOKUP(C1663, Lookups!$A$2:$D$10, 2, FALSE())</f>
        <v>TechSupply Corp</v>
      </c>
      <c r="R1663" t="str">
        <f>_xlfn.XLOOKUP(D1663, Lookups!$A$12:$A$51, Lookups!$C$12:$C$51, "Unknown")</f>
        <v>Electronics</v>
      </c>
      <c r="S1663" t="str">
        <f>IF(ISBLANK(I1663), B1663+VLOOKUP(C1663, Lookups!$A$2:$D$10, 4, FALSE()), I1663)</f>
        <v>2026-09-04</v>
      </c>
      <c r="T1663">
        <f t="shared" si="153"/>
        <v>15</v>
      </c>
      <c r="U1663" t="str">
        <f t="shared" si="154"/>
        <v>Late</v>
      </c>
      <c r="V1663">
        <f t="shared" si="155"/>
        <v>0</v>
      </c>
    </row>
    <row r="1664" spans="1:22" x14ac:dyDescent="0.45">
      <c r="A1664" t="s">
        <v>2510</v>
      </c>
      <c r="B1664" t="s">
        <v>112</v>
      </c>
      <c r="C1664" t="s">
        <v>31</v>
      </c>
      <c r="D1664" t="s">
        <v>56</v>
      </c>
      <c r="E1664" t="s">
        <v>15</v>
      </c>
      <c r="F1664">
        <v>179</v>
      </c>
      <c r="G1664">
        <v>39270</v>
      </c>
      <c r="H1664">
        <v>7029330</v>
      </c>
      <c r="I1664" t="s">
        <v>527</v>
      </c>
      <c r="J1664" t="s">
        <v>527</v>
      </c>
      <c r="K1664">
        <v>179</v>
      </c>
      <c r="L1664">
        <v>0</v>
      </c>
      <c r="M1664" t="s">
        <v>115</v>
      </c>
      <c r="N1664" t="str">
        <f t="shared" si="150"/>
        <v>PO-101663</v>
      </c>
      <c r="O1664" t="str">
        <f t="shared" si="151"/>
        <v>Delivered</v>
      </c>
      <c r="P1664" t="str">
        <f t="shared" si="152"/>
        <v>WH-BOM</v>
      </c>
      <c r="Q1664" t="str">
        <f>VLOOKUP(C1664, Lookups!$A$2:$D$10, 2, FALSE())</f>
        <v>Global Networks</v>
      </c>
      <c r="R1664" t="str">
        <f>_xlfn.XLOOKUP(D1664, Lookups!$A$12:$A$51, Lookups!$C$12:$C$51, "Unknown")</f>
        <v>Networking</v>
      </c>
      <c r="S1664" t="str">
        <f>IF(ISBLANK(I1664), B1664+VLOOKUP(C1664, Lookups!$A$2:$D$10, 4, FALSE()), I1664)</f>
        <v>2026-07-07</v>
      </c>
      <c r="T1664">
        <f t="shared" si="153"/>
        <v>21</v>
      </c>
      <c r="U1664" t="str">
        <f t="shared" si="154"/>
        <v>On-Time</v>
      </c>
      <c r="V1664">
        <f t="shared" si="155"/>
        <v>0</v>
      </c>
    </row>
    <row r="1665" spans="1:22" x14ac:dyDescent="0.45">
      <c r="A1665" t="s">
        <v>2511</v>
      </c>
      <c r="B1665" t="s">
        <v>525</v>
      </c>
      <c r="C1665" t="s">
        <v>32</v>
      </c>
      <c r="D1665" t="s">
        <v>67</v>
      </c>
      <c r="E1665" t="s">
        <v>16</v>
      </c>
      <c r="F1665">
        <v>78</v>
      </c>
      <c r="G1665">
        <v>1553</v>
      </c>
      <c r="H1665">
        <v>121134</v>
      </c>
      <c r="I1665" t="s">
        <v>328</v>
      </c>
      <c r="J1665" t="s">
        <v>169</v>
      </c>
      <c r="K1665">
        <v>78</v>
      </c>
      <c r="L1665">
        <v>0</v>
      </c>
      <c r="M1665" t="s">
        <v>115</v>
      </c>
      <c r="N1665" t="str">
        <f t="shared" si="150"/>
        <v>PO-101664</v>
      </c>
      <c r="O1665" t="str">
        <f t="shared" si="151"/>
        <v>Delivered</v>
      </c>
      <c r="P1665" t="str">
        <f t="shared" si="152"/>
        <v>WH-DEL</v>
      </c>
      <c r="Q1665" t="str">
        <f>VLOOKUP(C1665, Lookups!$A$2:$D$10, 2, FALSE())</f>
        <v>OfficeDepot Pro</v>
      </c>
      <c r="R1665" t="str">
        <f>_xlfn.XLOOKUP(D1665, Lookups!$A$12:$A$51, Lookups!$C$12:$C$51, "Unknown")</f>
        <v>Peripherals</v>
      </c>
      <c r="S1665" t="str">
        <f>IF(ISBLANK(I1665), B1665+VLOOKUP(C1665, Lookups!$A$2:$D$10, 4, FALSE()), I1665)</f>
        <v>2025-06-06</v>
      </c>
      <c r="T1665">
        <f t="shared" si="153"/>
        <v>8</v>
      </c>
      <c r="U1665" t="str">
        <f t="shared" si="154"/>
        <v>Late</v>
      </c>
      <c r="V1665">
        <f t="shared" si="155"/>
        <v>0</v>
      </c>
    </row>
    <row r="1666" spans="1:22" x14ac:dyDescent="0.45">
      <c r="A1666" t="s">
        <v>2512</v>
      </c>
      <c r="B1666" t="s">
        <v>435</v>
      </c>
      <c r="C1666" t="s">
        <v>34</v>
      </c>
      <c r="D1666" t="s">
        <v>81</v>
      </c>
      <c r="E1666" t="s">
        <v>16</v>
      </c>
      <c r="F1666">
        <v>68</v>
      </c>
      <c r="G1666">
        <v>55328</v>
      </c>
      <c r="H1666">
        <v>3762304</v>
      </c>
      <c r="I1666" t="s">
        <v>1604</v>
      </c>
      <c r="J1666" t="s">
        <v>137</v>
      </c>
      <c r="K1666">
        <v>58</v>
      </c>
      <c r="L1666">
        <v>0</v>
      </c>
      <c r="M1666" t="s">
        <v>115</v>
      </c>
      <c r="N1666" t="str">
        <f t="shared" ref="N1666:N1729" si="156">TRIM(A1666)</f>
        <v>PO-101665</v>
      </c>
      <c r="O1666" t="str">
        <f t="shared" ref="O1666:O1729" si="157">PROPER(TRIM(M1666))</f>
        <v>Delivered</v>
      </c>
      <c r="P1666" t="str">
        <f t="shared" ref="P1666:P1729" si="158">TRIM(E1666)</f>
        <v>WH-DEL</v>
      </c>
      <c r="Q1666" t="str">
        <f>VLOOKUP(C1666, Lookups!$A$2:$D$10, 2, FALSE())</f>
        <v>FastElectronics</v>
      </c>
      <c r="R1666" t="str">
        <f>_xlfn.XLOOKUP(D1666, Lookups!$A$12:$A$51, Lookups!$C$12:$C$51, "Unknown")</f>
        <v>Electronics</v>
      </c>
      <c r="S1666" t="str">
        <f>IF(ISBLANK(I1666), B1666+VLOOKUP(C1666, Lookups!$A$2:$D$10, 4, FALSE()), I1666)</f>
        <v>2025-09-07</v>
      </c>
      <c r="T1666">
        <f t="shared" ref="T1666:T1729" si="159">IF(ISBLANK(J1666), "", J1666-B1666)</f>
        <v>19</v>
      </c>
      <c r="U1666" t="str">
        <f t="shared" ref="U1666:U1729" si="160">IF(O1666="Open", "Open", IF(J1666&gt;S1666, "Late", "On-Time"))</f>
        <v>Late</v>
      </c>
      <c r="V1666">
        <f t="shared" ref="V1666:V1729" si="161">IF(K1666&gt;0, L1666/K1666, 0)</f>
        <v>0</v>
      </c>
    </row>
    <row r="1667" spans="1:22" x14ac:dyDescent="0.45">
      <c r="A1667" t="s">
        <v>2513</v>
      </c>
      <c r="B1667" t="s">
        <v>189</v>
      </c>
      <c r="C1667" t="s">
        <v>35</v>
      </c>
      <c r="D1667" t="s">
        <v>65</v>
      </c>
      <c r="E1667" t="s">
        <v>18</v>
      </c>
      <c r="F1667">
        <v>135</v>
      </c>
      <c r="G1667">
        <v>4936</v>
      </c>
      <c r="H1667">
        <v>666360</v>
      </c>
      <c r="I1667" t="s">
        <v>813</v>
      </c>
      <c r="J1667" t="s">
        <v>1736</v>
      </c>
      <c r="K1667">
        <v>135</v>
      </c>
      <c r="L1667">
        <v>0</v>
      </c>
      <c r="M1667" t="s">
        <v>115</v>
      </c>
      <c r="N1667" t="str">
        <f t="shared" si="156"/>
        <v>PO-101666</v>
      </c>
      <c r="O1667" t="str">
        <f t="shared" si="157"/>
        <v>Delivered</v>
      </c>
      <c r="P1667" t="str">
        <f t="shared" si="158"/>
        <v>WH-PUN</v>
      </c>
      <c r="Q1667" t="str">
        <f>VLOOKUP(C1667, Lookups!$A$2:$D$10, 2, FALSE())</f>
        <v>Peripheral Source</v>
      </c>
      <c r="R1667" t="str">
        <f>_xlfn.XLOOKUP(D1667, Lookups!$A$12:$A$51, Lookups!$C$12:$C$51, "Unknown")</f>
        <v>Peripherals</v>
      </c>
      <c r="S1667" t="str">
        <f>IF(ISBLANK(I1667), B1667+VLOOKUP(C1667, Lookups!$A$2:$D$10, 4, FALSE()), I1667)</f>
        <v>2025-03-17</v>
      </c>
      <c r="T1667">
        <f t="shared" si="159"/>
        <v>11</v>
      </c>
      <c r="U1667" t="str">
        <f t="shared" si="160"/>
        <v>Late</v>
      </c>
      <c r="V1667">
        <f t="shared" si="161"/>
        <v>0</v>
      </c>
    </row>
    <row r="1668" spans="1:22" x14ac:dyDescent="0.45">
      <c r="A1668" t="s">
        <v>2514</v>
      </c>
      <c r="B1668" t="s">
        <v>139</v>
      </c>
      <c r="C1668" t="s">
        <v>34</v>
      </c>
      <c r="D1668" t="s">
        <v>73</v>
      </c>
      <c r="E1668" t="s">
        <v>17</v>
      </c>
      <c r="F1668">
        <v>159</v>
      </c>
      <c r="G1668">
        <v>58396</v>
      </c>
      <c r="H1668">
        <v>9284964</v>
      </c>
      <c r="I1668" t="s">
        <v>809</v>
      </c>
      <c r="J1668" t="s">
        <v>969</v>
      </c>
      <c r="K1668">
        <v>159</v>
      </c>
      <c r="L1668">
        <v>0</v>
      </c>
      <c r="M1668" t="s">
        <v>115</v>
      </c>
      <c r="N1668" t="str">
        <f t="shared" si="156"/>
        <v>PO-101667</v>
      </c>
      <c r="O1668" t="str">
        <f t="shared" si="157"/>
        <v>Delivered</v>
      </c>
      <c r="P1668" t="str">
        <f t="shared" si="158"/>
        <v>WH-BLR</v>
      </c>
      <c r="Q1668" t="str">
        <f>VLOOKUP(C1668, Lookups!$A$2:$D$10, 2, FALSE())</f>
        <v>FastElectronics</v>
      </c>
      <c r="R1668" t="str">
        <f>_xlfn.XLOOKUP(D1668, Lookups!$A$12:$A$51, Lookups!$C$12:$C$51, "Unknown")</f>
        <v>Electronics</v>
      </c>
      <c r="S1668" t="str">
        <f>IF(ISBLANK(I1668), B1668+VLOOKUP(C1668, Lookups!$A$2:$D$10, 4, FALSE()), I1668)</f>
        <v>2025-10-17</v>
      </c>
      <c r="T1668">
        <f t="shared" si="159"/>
        <v>19</v>
      </c>
      <c r="U1668" t="str">
        <f t="shared" si="160"/>
        <v>Late</v>
      </c>
      <c r="V1668">
        <f t="shared" si="161"/>
        <v>0</v>
      </c>
    </row>
    <row r="1669" spans="1:22" x14ac:dyDescent="0.45">
      <c r="A1669" t="s">
        <v>2515</v>
      </c>
      <c r="B1669" t="s">
        <v>815</v>
      </c>
      <c r="C1669" t="s">
        <v>35</v>
      </c>
      <c r="D1669" t="s">
        <v>75</v>
      </c>
      <c r="E1669" t="s">
        <v>18</v>
      </c>
      <c r="F1669">
        <v>138</v>
      </c>
      <c r="G1669">
        <v>4440</v>
      </c>
      <c r="H1669">
        <v>612720</v>
      </c>
      <c r="I1669" t="s">
        <v>330</v>
      </c>
      <c r="J1669" t="s">
        <v>330</v>
      </c>
      <c r="K1669">
        <v>114</v>
      </c>
      <c r="L1669">
        <v>0</v>
      </c>
      <c r="M1669" t="s">
        <v>115</v>
      </c>
      <c r="N1669" t="str">
        <f t="shared" si="156"/>
        <v>PO-101668</v>
      </c>
      <c r="O1669" t="str">
        <f t="shared" si="157"/>
        <v>Delivered</v>
      </c>
      <c r="P1669" t="str">
        <f t="shared" si="158"/>
        <v>WH-PUN</v>
      </c>
      <c r="Q1669" t="str">
        <f>VLOOKUP(C1669, Lookups!$A$2:$D$10, 2, FALSE())</f>
        <v>Peripheral Source</v>
      </c>
      <c r="R1669" t="str">
        <f>_xlfn.XLOOKUP(D1669, Lookups!$A$12:$A$51, Lookups!$C$12:$C$51, "Unknown")</f>
        <v>Peripherals</v>
      </c>
      <c r="S1669" t="str">
        <f>IF(ISBLANK(I1669), B1669+VLOOKUP(C1669, Lookups!$A$2:$D$10, 4, FALSE()), I1669)</f>
        <v>2026-02-23</v>
      </c>
      <c r="T1669">
        <f t="shared" si="159"/>
        <v>10</v>
      </c>
      <c r="U1669" t="str">
        <f t="shared" si="160"/>
        <v>On-Time</v>
      </c>
      <c r="V1669">
        <f t="shared" si="161"/>
        <v>0</v>
      </c>
    </row>
    <row r="1670" spans="1:22" x14ac:dyDescent="0.45">
      <c r="A1670" t="s">
        <v>2516</v>
      </c>
      <c r="B1670" t="s">
        <v>523</v>
      </c>
      <c r="C1670" t="s">
        <v>31</v>
      </c>
      <c r="D1670" t="s">
        <v>77</v>
      </c>
      <c r="E1670" t="s">
        <v>18</v>
      </c>
      <c r="F1670">
        <v>176</v>
      </c>
      <c r="G1670">
        <v>23667</v>
      </c>
      <c r="H1670">
        <v>4165392</v>
      </c>
      <c r="I1670" t="s">
        <v>327</v>
      </c>
      <c r="J1670" t="s">
        <v>328</v>
      </c>
      <c r="K1670">
        <v>176</v>
      </c>
      <c r="L1670">
        <v>0</v>
      </c>
      <c r="M1670" t="s">
        <v>115</v>
      </c>
      <c r="N1670" t="str">
        <f t="shared" si="156"/>
        <v>PO-101669</v>
      </c>
      <c r="O1670" t="str">
        <f t="shared" si="157"/>
        <v>Delivered</v>
      </c>
      <c r="P1670" t="str">
        <f t="shared" si="158"/>
        <v>WH-PUN</v>
      </c>
      <c r="Q1670" t="str">
        <f>VLOOKUP(C1670, Lookups!$A$2:$D$10, 2, FALSE())</f>
        <v>Global Networks</v>
      </c>
      <c r="R1670" t="str">
        <f>_xlfn.XLOOKUP(D1670, Lookups!$A$12:$A$51, Lookups!$C$12:$C$51, "Unknown")</f>
        <v>Networking</v>
      </c>
      <c r="S1670" t="str">
        <f>IF(ISBLANK(I1670), B1670+VLOOKUP(C1670, Lookups!$A$2:$D$10, 4, FALSE()), I1670)</f>
        <v>2025-06-05</v>
      </c>
      <c r="T1670">
        <f t="shared" si="159"/>
        <v>22</v>
      </c>
      <c r="U1670" t="str">
        <f t="shared" si="160"/>
        <v>Late</v>
      </c>
      <c r="V1670">
        <f t="shared" si="161"/>
        <v>0</v>
      </c>
    </row>
    <row r="1671" spans="1:22" x14ac:dyDescent="0.45">
      <c r="A1671" t="s">
        <v>2517</v>
      </c>
      <c r="B1671" t="s">
        <v>222</v>
      </c>
      <c r="C1671" t="s">
        <v>31</v>
      </c>
      <c r="D1671" t="s">
        <v>66</v>
      </c>
      <c r="E1671" t="s">
        <v>16</v>
      </c>
      <c r="F1671">
        <v>129</v>
      </c>
      <c r="G1671">
        <v>29719</v>
      </c>
      <c r="H1671">
        <v>3833751</v>
      </c>
      <c r="I1671" t="s">
        <v>361</v>
      </c>
      <c r="J1671" t="s">
        <v>577</v>
      </c>
      <c r="K1671">
        <v>129</v>
      </c>
      <c r="L1671">
        <v>0</v>
      </c>
      <c r="M1671" t="s">
        <v>115</v>
      </c>
      <c r="N1671" t="str">
        <f t="shared" si="156"/>
        <v>PO-101670</v>
      </c>
      <c r="O1671" t="str">
        <f t="shared" si="157"/>
        <v>Delivered</v>
      </c>
      <c r="P1671" t="str">
        <f t="shared" si="158"/>
        <v>WH-DEL</v>
      </c>
      <c r="Q1671" t="str">
        <f>VLOOKUP(C1671, Lookups!$A$2:$D$10, 2, FALSE())</f>
        <v>Global Networks</v>
      </c>
      <c r="R1671" t="str">
        <f>_xlfn.XLOOKUP(D1671, Lookups!$A$12:$A$51, Lookups!$C$12:$C$51, "Unknown")</f>
        <v>Networking</v>
      </c>
      <c r="S1671" t="str">
        <f>IF(ISBLANK(I1671), B1671+VLOOKUP(C1671, Lookups!$A$2:$D$10, 4, FALSE()), I1671)</f>
        <v>2026-03-22</v>
      </c>
      <c r="T1671">
        <f t="shared" si="159"/>
        <v>29</v>
      </c>
      <c r="U1671" t="str">
        <f t="shared" si="160"/>
        <v>Late</v>
      </c>
      <c r="V1671">
        <f t="shared" si="161"/>
        <v>0</v>
      </c>
    </row>
    <row r="1672" spans="1:22" x14ac:dyDescent="0.45">
      <c r="A1672" t="s">
        <v>2518</v>
      </c>
      <c r="B1672" t="s">
        <v>1621</v>
      </c>
      <c r="C1672" t="s">
        <v>31</v>
      </c>
      <c r="D1672" t="s">
        <v>64</v>
      </c>
      <c r="E1672" t="s">
        <v>17</v>
      </c>
      <c r="F1672">
        <v>214</v>
      </c>
      <c r="G1672">
        <v>36295</v>
      </c>
      <c r="H1672">
        <v>7767130</v>
      </c>
      <c r="I1672" t="s">
        <v>591</v>
      </c>
      <c r="J1672" t="s">
        <v>591</v>
      </c>
      <c r="K1672">
        <v>126</v>
      </c>
      <c r="L1672">
        <v>0</v>
      </c>
      <c r="M1672" t="s">
        <v>301</v>
      </c>
      <c r="N1672" t="str">
        <f t="shared" si="156"/>
        <v>PO-101671</v>
      </c>
      <c r="O1672" t="str">
        <f t="shared" si="157"/>
        <v>Delivered</v>
      </c>
      <c r="P1672" t="str">
        <f t="shared" si="158"/>
        <v>WH-BLR</v>
      </c>
      <c r="Q1672" t="str">
        <f>VLOOKUP(C1672, Lookups!$A$2:$D$10, 2, FALSE())</f>
        <v>Global Networks</v>
      </c>
      <c r="R1672" t="str">
        <f>_xlfn.XLOOKUP(D1672, Lookups!$A$12:$A$51, Lookups!$C$12:$C$51, "Unknown")</f>
        <v>Networking</v>
      </c>
      <c r="S1672" t="str">
        <f>IF(ISBLANK(I1672), B1672+VLOOKUP(C1672, Lookups!$A$2:$D$10, 4, FALSE()), I1672)</f>
        <v>2026-01-20</v>
      </c>
      <c r="T1672">
        <f t="shared" si="159"/>
        <v>21</v>
      </c>
      <c r="U1672" t="str">
        <f t="shared" si="160"/>
        <v>On-Time</v>
      </c>
      <c r="V1672">
        <f t="shared" si="161"/>
        <v>0</v>
      </c>
    </row>
    <row r="1673" spans="1:22" x14ac:dyDescent="0.45">
      <c r="A1673" t="s">
        <v>2519</v>
      </c>
      <c r="B1673" t="s">
        <v>1170</v>
      </c>
      <c r="C1673" t="s">
        <v>32</v>
      </c>
      <c r="D1673" t="s">
        <v>84</v>
      </c>
      <c r="E1673" t="s">
        <v>18</v>
      </c>
      <c r="F1673">
        <v>123</v>
      </c>
      <c r="G1673">
        <v>7271</v>
      </c>
      <c r="H1673">
        <v>894333</v>
      </c>
      <c r="I1673" t="s">
        <v>766</v>
      </c>
      <c r="J1673" t="s">
        <v>766</v>
      </c>
      <c r="K1673">
        <v>123</v>
      </c>
      <c r="L1673">
        <v>0</v>
      </c>
      <c r="M1673" t="s">
        <v>115</v>
      </c>
      <c r="N1673" t="str">
        <f t="shared" si="156"/>
        <v>PO-101672</v>
      </c>
      <c r="O1673" t="str">
        <f t="shared" si="157"/>
        <v>Delivered</v>
      </c>
      <c r="P1673" t="str">
        <f t="shared" si="158"/>
        <v>WH-PUN</v>
      </c>
      <c r="Q1673" t="str">
        <f>VLOOKUP(C1673, Lookups!$A$2:$D$10, 2, FALSE())</f>
        <v>OfficeDepot Pro</v>
      </c>
      <c r="R1673" t="str">
        <f>_xlfn.XLOOKUP(D1673, Lookups!$A$12:$A$51, Lookups!$C$12:$C$51, "Unknown")</f>
        <v>Peripherals</v>
      </c>
      <c r="S1673" t="str">
        <f>IF(ISBLANK(I1673), B1673+VLOOKUP(C1673, Lookups!$A$2:$D$10, 4, FALSE()), I1673)</f>
        <v>2026-12-10</v>
      </c>
      <c r="T1673">
        <f t="shared" si="159"/>
        <v>7</v>
      </c>
      <c r="U1673" t="str">
        <f t="shared" si="160"/>
        <v>On-Time</v>
      </c>
      <c r="V1673">
        <f t="shared" si="161"/>
        <v>0</v>
      </c>
    </row>
    <row r="1674" spans="1:22" x14ac:dyDescent="0.45">
      <c r="A1674" t="s">
        <v>2520</v>
      </c>
      <c r="B1674" t="s">
        <v>1168</v>
      </c>
      <c r="C1674" t="s">
        <v>30</v>
      </c>
      <c r="D1674" t="s">
        <v>88</v>
      </c>
      <c r="E1674" t="s">
        <v>15</v>
      </c>
      <c r="F1674">
        <v>156</v>
      </c>
      <c r="G1674">
        <v>75512</v>
      </c>
      <c r="H1674">
        <v>11779872</v>
      </c>
      <c r="I1674" t="s">
        <v>911</v>
      </c>
      <c r="J1674" t="s">
        <v>1165</v>
      </c>
      <c r="K1674">
        <v>156</v>
      </c>
      <c r="L1674">
        <v>0</v>
      </c>
      <c r="M1674" t="s">
        <v>115</v>
      </c>
      <c r="N1674" t="str">
        <f t="shared" si="156"/>
        <v>PO-101673</v>
      </c>
      <c r="O1674" t="str">
        <f t="shared" si="157"/>
        <v>Delivered</v>
      </c>
      <c r="P1674" t="str">
        <f t="shared" si="158"/>
        <v>WH-BOM</v>
      </c>
      <c r="Q1674" t="str">
        <f>VLOOKUP(C1674, Lookups!$A$2:$D$10, 2, FALSE())</f>
        <v>TechSupply Corp</v>
      </c>
      <c r="R1674" t="str">
        <f>_xlfn.XLOOKUP(D1674, Lookups!$A$12:$A$51, Lookups!$C$12:$C$51, "Unknown")</f>
        <v>Electronics</v>
      </c>
      <c r="S1674" t="str">
        <f>IF(ISBLANK(I1674), B1674+VLOOKUP(C1674, Lookups!$A$2:$D$10, 4, FALSE()), I1674)</f>
        <v>2025-04-09</v>
      </c>
      <c r="T1674">
        <f t="shared" si="159"/>
        <v>15</v>
      </c>
      <c r="U1674" t="str">
        <f t="shared" si="160"/>
        <v>Late</v>
      </c>
      <c r="V1674">
        <f t="shared" si="161"/>
        <v>0</v>
      </c>
    </row>
    <row r="1675" spans="1:22" x14ac:dyDescent="0.45">
      <c r="A1675" t="s">
        <v>2521</v>
      </c>
      <c r="B1675" t="s">
        <v>885</v>
      </c>
      <c r="C1675" t="s">
        <v>37</v>
      </c>
      <c r="D1675" t="s">
        <v>78</v>
      </c>
      <c r="E1675" t="s">
        <v>17</v>
      </c>
      <c r="F1675">
        <v>170</v>
      </c>
      <c r="G1675">
        <v>9423</v>
      </c>
      <c r="H1675">
        <v>1601910</v>
      </c>
      <c r="I1675" t="s">
        <v>1302</v>
      </c>
      <c r="J1675" t="s">
        <v>772</v>
      </c>
      <c r="K1675">
        <v>170</v>
      </c>
      <c r="L1675">
        <v>0</v>
      </c>
      <c r="M1675" t="s">
        <v>115</v>
      </c>
      <c r="N1675" t="str">
        <f t="shared" si="156"/>
        <v>PO-101674</v>
      </c>
      <c r="O1675" t="str">
        <f t="shared" si="157"/>
        <v>Delivered</v>
      </c>
      <c r="P1675" t="str">
        <f t="shared" si="158"/>
        <v>WH-BLR</v>
      </c>
      <c r="Q1675" t="str">
        <f>VLOOKUP(C1675, Lookups!$A$2:$D$10, 2, FALSE())</f>
        <v>Premium Desks Ltd</v>
      </c>
      <c r="R1675" t="str">
        <f>_xlfn.XLOOKUP(D1675, Lookups!$A$12:$A$51, Lookups!$C$12:$C$51, "Unknown")</f>
        <v>Office Furniture</v>
      </c>
      <c r="S1675" t="str">
        <f>IF(ISBLANK(I1675), B1675+VLOOKUP(C1675, Lookups!$A$2:$D$10, 4, FALSE()), I1675)</f>
        <v>2025-12-27</v>
      </c>
      <c r="T1675">
        <f t="shared" si="159"/>
        <v>17</v>
      </c>
      <c r="U1675" t="str">
        <f t="shared" si="160"/>
        <v>Late</v>
      </c>
      <c r="V1675">
        <f t="shared" si="161"/>
        <v>0</v>
      </c>
    </row>
    <row r="1676" spans="1:22" x14ac:dyDescent="0.45">
      <c r="A1676" t="s">
        <v>2522</v>
      </c>
      <c r="B1676" t="s">
        <v>755</v>
      </c>
      <c r="C1676" t="s">
        <v>36</v>
      </c>
      <c r="D1676" t="s">
        <v>55</v>
      </c>
      <c r="E1676" t="s">
        <v>15</v>
      </c>
      <c r="F1676">
        <v>170</v>
      </c>
      <c r="G1676">
        <v>58434</v>
      </c>
      <c r="H1676">
        <v>9933780</v>
      </c>
      <c r="I1676" t="s">
        <v>448</v>
      </c>
      <c r="J1676" t="s">
        <v>448</v>
      </c>
      <c r="K1676">
        <v>170</v>
      </c>
      <c r="L1676">
        <v>0</v>
      </c>
      <c r="M1676" t="s">
        <v>115</v>
      </c>
      <c r="N1676" t="str">
        <f t="shared" si="156"/>
        <v>PO-101675</v>
      </c>
      <c r="O1676" t="str">
        <f t="shared" si="157"/>
        <v>Delivered</v>
      </c>
      <c r="P1676" t="str">
        <f t="shared" si="158"/>
        <v>WH-BOM</v>
      </c>
      <c r="Q1676" t="str">
        <f>VLOOKUP(C1676, Lookups!$A$2:$D$10, 2, FALSE())</f>
        <v>NextGen Hardware</v>
      </c>
      <c r="R1676" t="str">
        <f>_xlfn.XLOOKUP(D1676, Lookups!$A$12:$A$51, Lookups!$C$12:$C$51, "Unknown")</f>
        <v>Electronics</v>
      </c>
      <c r="S1676" t="str">
        <f>IF(ISBLANK(I1676), B1676+VLOOKUP(C1676, Lookups!$A$2:$D$10, 4, FALSE()), I1676)</f>
        <v>2025-12-18</v>
      </c>
      <c r="T1676">
        <f t="shared" si="159"/>
        <v>24</v>
      </c>
      <c r="U1676" t="str">
        <f t="shared" si="160"/>
        <v>On-Time</v>
      </c>
      <c r="V1676">
        <f t="shared" si="161"/>
        <v>0</v>
      </c>
    </row>
    <row r="1677" spans="1:22" x14ac:dyDescent="0.45">
      <c r="A1677" t="s">
        <v>2523</v>
      </c>
      <c r="B1677" t="s">
        <v>225</v>
      </c>
      <c r="C1677" t="s">
        <v>32</v>
      </c>
      <c r="D1677" t="s">
        <v>84</v>
      </c>
      <c r="E1677" t="s">
        <v>18</v>
      </c>
      <c r="F1677">
        <v>240</v>
      </c>
      <c r="G1677">
        <v>7271</v>
      </c>
      <c r="H1677">
        <v>1745040</v>
      </c>
      <c r="I1677" t="s">
        <v>176</v>
      </c>
      <c r="J1677" t="s">
        <v>176</v>
      </c>
      <c r="K1677">
        <v>240</v>
      </c>
      <c r="L1677">
        <v>0</v>
      </c>
      <c r="M1677" t="s">
        <v>115</v>
      </c>
      <c r="N1677" t="str">
        <f t="shared" si="156"/>
        <v>PO-101676</v>
      </c>
      <c r="O1677" t="str">
        <f t="shared" si="157"/>
        <v>Delivered</v>
      </c>
      <c r="P1677" t="str">
        <f t="shared" si="158"/>
        <v>WH-PUN</v>
      </c>
      <c r="Q1677" t="str">
        <f>VLOOKUP(C1677, Lookups!$A$2:$D$10, 2, FALSE())</f>
        <v>OfficeDepot Pro</v>
      </c>
      <c r="R1677" t="str">
        <f>_xlfn.XLOOKUP(D1677, Lookups!$A$12:$A$51, Lookups!$C$12:$C$51, "Unknown")</f>
        <v>Peripherals</v>
      </c>
      <c r="S1677" t="str">
        <f>IF(ISBLANK(I1677), B1677+VLOOKUP(C1677, Lookups!$A$2:$D$10, 4, FALSE()), I1677)</f>
        <v>2026-08-07</v>
      </c>
      <c r="T1677">
        <f t="shared" si="159"/>
        <v>7</v>
      </c>
      <c r="U1677" t="str">
        <f t="shared" si="160"/>
        <v>On-Time</v>
      </c>
      <c r="V1677">
        <f t="shared" si="161"/>
        <v>0</v>
      </c>
    </row>
    <row r="1678" spans="1:22" x14ac:dyDescent="0.45">
      <c r="A1678" t="s">
        <v>2524</v>
      </c>
      <c r="B1678" t="s">
        <v>520</v>
      </c>
      <c r="C1678" t="s">
        <v>36</v>
      </c>
      <c r="D1678" t="s">
        <v>55</v>
      </c>
      <c r="E1678" t="s">
        <v>17</v>
      </c>
      <c r="F1678">
        <v>42</v>
      </c>
      <c r="G1678">
        <v>58434</v>
      </c>
      <c r="H1678">
        <v>2454228</v>
      </c>
      <c r="I1678" t="s">
        <v>1337</v>
      </c>
      <c r="J1678" t="s">
        <v>494</v>
      </c>
      <c r="K1678">
        <v>22</v>
      </c>
      <c r="L1678">
        <v>0</v>
      </c>
      <c r="M1678" t="s">
        <v>115</v>
      </c>
      <c r="N1678" t="str">
        <f t="shared" si="156"/>
        <v>PO-101677</v>
      </c>
      <c r="O1678" t="str">
        <f t="shared" si="157"/>
        <v>Delivered</v>
      </c>
      <c r="P1678" t="str">
        <f t="shared" si="158"/>
        <v>WH-BLR</v>
      </c>
      <c r="Q1678" t="str">
        <f>VLOOKUP(C1678, Lookups!$A$2:$D$10, 2, FALSE())</f>
        <v>NextGen Hardware</v>
      </c>
      <c r="R1678" t="str">
        <f>_xlfn.XLOOKUP(D1678, Lookups!$A$12:$A$51, Lookups!$C$12:$C$51, "Unknown")</f>
        <v>Electronics</v>
      </c>
      <c r="S1678" t="str">
        <f>IF(ISBLANK(I1678), B1678+VLOOKUP(C1678, Lookups!$A$2:$D$10, 4, FALSE()), I1678)</f>
        <v>2026-09-22</v>
      </c>
      <c r="T1678">
        <f t="shared" si="159"/>
        <v>20</v>
      </c>
      <c r="U1678" t="str">
        <f t="shared" si="160"/>
        <v>On-Time</v>
      </c>
      <c r="V1678">
        <f t="shared" si="161"/>
        <v>0</v>
      </c>
    </row>
    <row r="1679" spans="1:22" x14ac:dyDescent="0.45">
      <c r="A1679" t="s">
        <v>2525</v>
      </c>
      <c r="B1679" t="s">
        <v>417</v>
      </c>
      <c r="C1679" t="s">
        <v>35</v>
      </c>
      <c r="D1679" t="s">
        <v>91</v>
      </c>
      <c r="E1679" t="s">
        <v>15</v>
      </c>
      <c r="F1679">
        <v>198</v>
      </c>
      <c r="G1679">
        <v>6707</v>
      </c>
      <c r="H1679">
        <v>1327986</v>
      </c>
      <c r="I1679" t="s">
        <v>124</v>
      </c>
      <c r="J1679" t="s">
        <v>124</v>
      </c>
      <c r="K1679">
        <v>118</v>
      </c>
      <c r="L1679">
        <v>0</v>
      </c>
      <c r="M1679" t="s">
        <v>115</v>
      </c>
      <c r="N1679" t="str">
        <f t="shared" si="156"/>
        <v>PO-101678</v>
      </c>
      <c r="O1679" t="str">
        <f t="shared" si="157"/>
        <v>Delivered</v>
      </c>
      <c r="P1679" t="str">
        <f t="shared" si="158"/>
        <v>WH-BOM</v>
      </c>
      <c r="Q1679" t="str">
        <f>VLOOKUP(C1679, Lookups!$A$2:$D$10, 2, FALSE())</f>
        <v>Peripheral Source</v>
      </c>
      <c r="R1679" t="str">
        <f>_xlfn.XLOOKUP(D1679, Lookups!$A$12:$A$51, Lookups!$C$12:$C$51, "Unknown")</f>
        <v>Peripherals</v>
      </c>
      <c r="S1679" t="str">
        <f>IF(ISBLANK(I1679), B1679+VLOOKUP(C1679, Lookups!$A$2:$D$10, 4, FALSE()), I1679)</f>
        <v>2026-06-12</v>
      </c>
      <c r="T1679">
        <f t="shared" si="159"/>
        <v>10</v>
      </c>
      <c r="U1679" t="str">
        <f t="shared" si="160"/>
        <v>On-Time</v>
      </c>
      <c r="V1679">
        <f t="shared" si="161"/>
        <v>0</v>
      </c>
    </row>
    <row r="1680" spans="1:22" x14ac:dyDescent="0.45">
      <c r="A1680" t="s">
        <v>2526</v>
      </c>
      <c r="B1680" t="s">
        <v>432</v>
      </c>
      <c r="C1680" t="s">
        <v>31</v>
      </c>
      <c r="D1680" t="s">
        <v>85</v>
      </c>
      <c r="E1680" t="s">
        <v>17</v>
      </c>
      <c r="F1680">
        <v>99</v>
      </c>
      <c r="G1680">
        <v>16501</v>
      </c>
      <c r="H1680">
        <v>1633599</v>
      </c>
      <c r="I1680" t="s">
        <v>1456</v>
      </c>
      <c r="J1680" t="s">
        <v>571</v>
      </c>
      <c r="K1680">
        <v>99</v>
      </c>
      <c r="L1680">
        <v>0</v>
      </c>
      <c r="M1680" t="s">
        <v>115</v>
      </c>
      <c r="N1680" t="str">
        <f t="shared" si="156"/>
        <v>PO-101679</v>
      </c>
      <c r="O1680" t="str">
        <f t="shared" si="157"/>
        <v>Delivered</v>
      </c>
      <c r="P1680" t="str">
        <f t="shared" si="158"/>
        <v>WH-BLR</v>
      </c>
      <c r="Q1680" t="str">
        <f>VLOOKUP(C1680, Lookups!$A$2:$D$10, 2, FALSE())</f>
        <v>Global Networks</v>
      </c>
      <c r="R1680" t="str">
        <f>_xlfn.XLOOKUP(D1680, Lookups!$A$12:$A$51, Lookups!$C$12:$C$51, "Unknown")</f>
        <v>Networking</v>
      </c>
      <c r="S1680" t="str">
        <f>IF(ISBLANK(I1680), B1680+VLOOKUP(C1680, Lookups!$A$2:$D$10, 4, FALSE()), I1680)</f>
        <v>2025-04-15</v>
      </c>
      <c r="T1680">
        <f t="shared" si="159"/>
        <v>22</v>
      </c>
      <c r="U1680" t="str">
        <f t="shared" si="160"/>
        <v>Late</v>
      </c>
      <c r="V1680">
        <f t="shared" si="161"/>
        <v>0</v>
      </c>
    </row>
    <row r="1681" spans="1:22" x14ac:dyDescent="0.45">
      <c r="A1681" t="s">
        <v>2527</v>
      </c>
      <c r="B1681" t="s">
        <v>590</v>
      </c>
      <c r="C1681" t="s">
        <v>35</v>
      </c>
      <c r="D1681" t="s">
        <v>91</v>
      </c>
      <c r="E1681" t="s">
        <v>15</v>
      </c>
      <c r="F1681">
        <v>95</v>
      </c>
      <c r="G1681">
        <v>6707</v>
      </c>
      <c r="H1681">
        <v>637165</v>
      </c>
      <c r="I1681" t="s">
        <v>851</v>
      </c>
      <c r="J1681" t="s">
        <v>508</v>
      </c>
      <c r="K1681">
        <v>58</v>
      </c>
      <c r="L1681">
        <v>0</v>
      </c>
      <c r="M1681" t="s">
        <v>115</v>
      </c>
      <c r="N1681" t="str">
        <f t="shared" si="156"/>
        <v>PO-101680</v>
      </c>
      <c r="O1681" t="str">
        <f t="shared" si="157"/>
        <v>Delivered</v>
      </c>
      <c r="P1681" t="str">
        <f t="shared" si="158"/>
        <v>WH-BOM</v>
      </c>
      <c r="Q1681" t="str">
        <f>VLOOKUP(C1681, Lookups!$A$2:$D$10, 2, FALSE())</f>
        <v>Peripheral Source</v>
      </c>
      <c r="R1681" t="str">
        <f>_xlfn.XLOOKUP(D1681, Lookups!$A$12:$A$51, Lookups!$C$12:$C$51, "Unknown")</f>
        <v>Peripherals</v>
      </c>
      <c r="S1681" t="str">
        <f>IF(ISBLANK(I1681), B1681+VLOOKUP(C1681, Lookups!$A$2:$D$10, 4, FALSE()), I1681)</f>
        <v>2026-01-16</v>
      </c>
      <c r="T1681">
        <f t="shared" si="159"/>
        <v>11</v>
      </c>
      <c r="U1681" t="str">
        <f t="shared" si="160"/>
        <v>Late</v>
      </c>
      <c r="V1681">
        <f t="shared" si="161"/>
        <v>0</v>
      </c>
    </row>
    <row r="1682" spans="1:22" x14ac:dyDescent="0.45">
      <c r="A1682" t="s">
        <v>2528</v>
      </c>
      <c r="B1682" t="s">
        <v>1428</v>
      </c>
      <c r="C1682" t="s">
        <v>37</v>
      </c>
      <c r="D1682" t="s">
        <v>79</v>
      </c>
      <c r="E1682" t="s">
        <v>15</v>
      </c>
      <c r="F1682">
        <v>38</v>
      </c>
      <c r="G1682">
        <v>23054</v>
      </c>
      <c r="H1682">
        <v>876052</v>
      </c>
      <c r="I1682" t="s">
        <v>1254</v>
      </c>
      <c r="J1682" t="s">
        <v>1254</v>
      </c>
      <c r="K1682">
        <v>38</v>
      </c>
      <c r="L1682">
        <v>0</v>
      </c>
      <c r="M1682" t="s">
        <v>115</v>
      </c>
      <c r="N1682" t="str">
        <f t="shared" si="156"/>
        <v>PO-101681</v>
      </c>
      <c r="O1682" t="str">
        <f t="shared" si="157"/>
        <v>Delivered</v>
      </c>
      <c r="P1682" t="str">
        <f t="shared" si="158"/>
        <v>WH-BOM</v>
      </c>
      <c r="Q1682" t="str">
        <f>VLOOKUP(C1682, Lookups!$A$2:$D$10, 2, FALSE())</f>
        <v>Premium Desks Ltd</v>
      </c>
      <c r="R1682" t="str">
        <f>_xlfn.XLOOKUP(D1682, Lookups!$A$12:$A$51, Lookups!$C$12:$C$51, "Unknown")</f>
        <v>Office Furniture</v>
      </c>
      <c r="S1682" t="str">
        <f>IF(ISBLANK(I1682), B1682+VLOOKUP(C1682, Lookups!$A$2:$D$10, 4, FALSE()), I1682)</f>
        <v>2026-10-10</v>
      </c>
      <c r="T1682">
        <f t="shared" si="159"/>
        <v>12</v>
      </c>
      <c r="U1682" t="str">
        <f t="shared" si="160"/>
        <v>On-Time</v>
      </c>
      <c r="V1682">
        <f t="shared" si="161"/>
        <v>0</v>
      </c>
    </row>
    <row r="1683" spans="1:22" x14ac:dyDescent="0.45">
      <c r="A1683" t="s">
        <v>2529</v>
      </c>
      <c r="B1683" t="s">
        <v>760</v>
      </c>
      <c r="C1683" t="s">
        <v>34</v>
      </c>
      <c r="D1683" t="s">
        <v>54</v>
      </c>
      <c r="E1683" t="s">
        <v>17</v>
      </c>
      <c r="F1683">
        <v>232</v>
      </c>
      <c r="G1683">
        <v>22314</v>
      </c>
      <c r="H1683">
        <v>5176848</v>
      </c>
      <c r="I1683" t="s">
        <v>1300</v>
      </c>
      <c r="J1683" t="s">
        <v>1069</v>
      </c>
      <c r="K1683">
        <v>232</v>
      </c>
      <c r="L1683">
        <v>0</v>
      </c>
      <c r="M1683" t="s">
        <v>115</v>
      </c>
      <c r="N1683" t="str">
        <f t="shared" si="156"/>
        <v>PO-101682</v>
      </c>
      <c r="O1683" t="str">
        <f t="shared" si="157"/>
        <v>Delivered</v>
      </c>
      <c r="P1683" t="str">
        <f t="shared" si="158"/>
        <v>WH-BLR</v>
      </c>
      <c r="Q1683" t="str">
        <f>VLOOKUP(C1683, Lookups!$A$2:$D$10, 2, FALSE())</f>
        <v>FastElectronics</v>
      </c>
      <c r="R1683" t="str">
        <f>_xlfn.XLOOKUP(D1683, Lookups!$A$12:$A$51, Lookups!$C$12:$C$51, "Unknown")</f>
        <v>Networking</v>
      </c>
      <c r="S1683" t="str">
        <f>IF(ISBLANK(I1683), B1683+VLOOKUP(C1683, Lookups!$A$2:$D$10, 4, FALSE()), I1683)</f>
        <v>2025-08-05</v>
      </c>
      <c r="T1683">
        <f t="shared" si="159"/>
        <v>27</v>
      </c>
      <c r="U1683" t="str">
        <f t="shared" si="160"/>
        <v>Late</v>
      </c>
      <c r="V1683">
        <f t="shared" si="161"/>
        <v>0</v>
      </c>
    </row>
    <row r="1684" spans="1:22" x14ac:dyDescent="0.45">
      <c r="A1684" t="s">
        <v>2530</v>
      </c>
      <c r="B1684" t="s">
        <v>837</v>
      </c>
      <c r="C1684" t="s">
        <v>30</v>
      </c>
      <c r="D1684" t="s">
        <v>59</v>
      </c>
      <c r="E1684" t="s">
        <v>16</v>
      </c>
      <c r="F1684">
        <v>20</v>
      </c>
      <c r="G1684">
        <v>48905</v>
      </c>
      <c r="H1684">
        <v>978100</v>
      </c>
      <c r="I1684" t="s">
        <v>1080</v>
      </c>
      <c r="J1684" t="s">
        <v>1080</v>
      </c>
      <c r="K1684">
        <v>20</v>
      </c>
      <c r="L1684">
        <v>0</v>
      </c>
      <c r="M1684" t="s">
        <v>115</v>
      </c>
      <c r="N1684" t="str">
        <f t="shared" si="156"/>
        <v>PO-101683</v>
      </c>
      <c r="O1684" t="str">
        <f t="shared" si="157"/>
        <v>Delivered</v>
      </c>
      <c r="P1684" t="str">
        <f t="shared" si="158"/>
        <v>WH-DEL</v>
      </c>
      <c r="Q1684" t="str">
        <f>VLOOKUP(C1684, Lookups!$A$2:$D$10, 2, FALSE())</f>
        <v>TechSupply Corp</v>
      </c>
      <c r="R1684" t="str">
        <f>_xlfn.XLOOKUP(D1684, Lookups!$A$12:$A$51, Lookups!$C$12:$C$51, "Unknown")</f>
        <v>Electronics</v>
      </c>
      <c r="S1684" t="str">
        <f>IF(ISBLANK(I1684), B1684+VLOOKUP(C1684, Lookups!$A$2:$D$10, 4, FALSE()), I1684)</f>
        <v>2026-01-25</v>
      </c>
      <c r="T1684">
        <f t="shared" si="159"/>
        <v>14</v>
      </c>
      <c r="U1684" t="str">
        <f t="shared" si="160"/>
        <v>On-Time</v>
      </c>
      <c r="V1684">
        <f t="shared" si="161"/>
        <v>0</v>
      </c>
    </row>
    <row r="1685" spans="1:22" x14ac:dyDescent="0.45">
      <c r="A1685" t="s">
        <v>2531</v>
      </c>
      <c r="B1685" t="s">
        <v>971</v>
      </c>
      <c r="C1685" t="s">
        <v>34</v>
      </c>
      <c r="D1685" t="s">
        <v>58</v>
      </c>
      <c r="E1685" t="s">
        <v>18</v>
      </c>
      <c r="F1685">
        <v>150</v>
      </c>
      <c r="G1685">
        <v>100302</v>
      </c>
      <c r="H1685">
        <v>15045300</v>
      </c>
      <c r="I1685" t="s">
        <v>791</v>
      </c>
      <c r="J1685" t="s">
        <v>161</v>
      </c>
      <c r="K1685">
        <v>150</v>
      </c>
      <c r="L1685">
        <v>0</v>
      </c>
      <c r="M1685" t="s">
        <v>115</v>
      </c>
      <c r="N1685" t="str">
        <f t="shared" si="156"/>
        <v>PO-101684</v>
      </c>
      <c r="O1685" t="str">
        <f t="shared" si="157"/>
        <v>Delivered</v>
      </c>
      <c r="P1685" t="str">
        <f t="shared" si="158"/>
        <v>WH-PUN</v>
      </c>
      <c r="Q1685" t="str">
        <f>VLOOKUP(C1685, Lookups!$A$2:$D$10, 2, FALSE())</f>
        <v>FastElectronics</v>
      </c>
      <c r="R1685" t="str">
        <f>_xlfn.XLOOKUP(D1685, Lookups!$A$12:$A$51, Lookups!$C$12:$C$51, "Unknown")</f>
        <v>Electronics</v>
      </c>
      <c r="S1685" t="str">
        <f>IF(ISBLANK(I1685), B1685+VLOOKUP(C1685, Lookups!$A$2:$D$10, 4, FALSE()), I1685)</f>
        <v>2025-06-11</v>
      </c>
      <c r="T1685">
        <f t="shared" si="159"/>
        <v>19</v>
      </c>
      <c r="U1685" t="str">
        <f t="shared" si="160"/>
        <v>Late</v>
      </c>
      <c r="V1685">
        <f t="shared" si="161"/>
        <v>0</v>
      </c>
    </row>
    <row r="1686" spans="1:22" x14ac:dyDescent="0.45">
      <c r="A1686" t="s">
        <v>2532</v>
      </c>
      <c r="B1686" t="s">
        <v>366</v>
      </c>
      <c r="C1686" t="s">
        <v>30</v>
      </c>
      <c r="D1686" t="s">
        <v>59</v>
      </c>
      <c r="E1686" t="s">
        <v>17</v>
      </c>
      <c r="F1686">
        <v>124</v>
      </c>
      <c r="G1686">
        <v>48905</v>
      </c>
      <c r="H1686">
        <v>6064220</v>
      </c>
      <c r="I1686" t="s">
        <v>573</v>
      </c>
      <c r="J1686" t="s">
        <v>573</v>
      </c>
      <c r="K1686">
        <v>77</v>
      </c>
      <c r="L1686">
        <v>0</v>
      </c>
      <c r="M1686" t="s">
        <v>115</v>
      </c>
      <c r="N1686" t="str">
        <f t="shared" si="156"/>
        <v>PO-101685</v>
      </c>
      <c r="O1686" t="str">
        <f t="shared" si="157"/>
        <v>Delivered</v>
      </c>
      <c r="P1686" t="str">
        <f t="shared" si="158"/>
        <v>WH-BLR</v>
      </c>
      <c r="Q1686" t="str">
        <f>VLOOKUP(C1686, Lookups!$A$2:$D$10, 2, FALSE())</f>
        <v>TechSupply Corp</v>
      </c>
      <c r="R1686" t="str">
        <f>_xlfn.XLOOKUP(D1686, Lookups!$A$12:$A$51, Lookups!$C$12:$C$51, "Unknown")</f>
        <v>Electronics</v>
      </c>
      <c r="S1686" t="str">
        <f>IF(ISBLANK(I1686), B1686+VLOOKUP(C1686, Lookups!$A$2:$D$10, 4, FALSE()), I1686)</f>
        <v>2026-04-30</v>
      </c>
      <c r="T1686">
        <f t="shared" si="159"/>
        <v>14</v>
      </c>
      <c r="U1686" t="str">
        <f t="shared" si="160"/>
        <v>On-Time</v>
      </c>
      <c r="V1686">
        <f t="shared" si="161"/>
        <v>0</v>
      </c>
    </row>
    <row r="1687" spans="1:22" x14ac:dyDescent="0.45">
      <c r="A1687" t="s">
        <v>2533</v>
      </c>
      <c r="B1687" t="s">
        <v>1106</v>
      </c>
      <c r="C1687" t="s">
        <v>34</v>
      </c>
      <c r="D1687" t="s">
        <v>80</v>
      </c>
      <c r="E1687" t="s">
        <v>17</v>
      </c>
      <c r="F1687">
        <v>73</v>
      </c>
      <c r="G1687">
        <v>19090</v>
      </c>
      <c r="H1687">
        <v>1393570</v>
      </c>
      <c r="I1687" t="s">
        <v>993</v>
      </c>
      <c r="J1687" t="s">
        <v>993</v>
      </c>
      <c r="K1687">
        <v>73</v>
      </c>
      <c r="L1687">
        <v>0</v>
      </c>
      <c r="M1687" t="s">
        <v>927</v>
      </c>
      <c r="N1687" t="str">
        <f t="shared" si="156"/>
        <v>PO-101686</v>
      </c>
      <c r="O1687" t="str">
        <f t="shared" si="157"/>
        <v>Delivered</v>
      </c>
      <c r="P1687" t="str">
        <f t="shared" si="158"/>
        <v>WH-BLR</v>
      </c>
      <c r="Q1687" t="str">
        <f>VLOOKUP(C1687, Lookups!$A$2:$D$10, 2, FALSE())</f>
        <v>FastElectronics</v>
      </c>
      <c r="R1687" t="str">
        <f>_xlfn.XLOOKUP(D1687, Lookups!$A$12:$A$51, Lookups!$C$12:$C$51, "Unknown")</f>
        <v>Networking</v>
      </c>
      <c r="S1687" t="str">
        <f>IF(ISBLANK(I1687), B1687+VLOOKUP(C1687, Lookups!$A$2:$D$10, 4, FALSE()), I1687)</f>
        <v>2025-05-28</v>
      </c>
      <c r="T1687">
        <f t="shared" si="159"/>
        <v>18</v>
      </c>
      <c r="U1687" t="str">
        <f t="shared" si="160"/>
        <v>On-Time</v>
      </c>
      <c r="V1687">
        <f t="shared" si="161"/>
        <v>0</v>
      </c>
    </row>
    <row r="1688" spans="1:22" x14ac:dyDescent="0.45">
      <c r="A1688" t="s">
        <v>2534</v>
      </c>
      <c r="B1688" t="s">
        <v>423</v>
      </c>
      <c r="C1688" t="s">
        <v>34</v>
      </c>
      <c r="D1688" t="s">
        <v>54</v>
      </c>
      <c r="E1688" t="s">
        <v>16</v>
      </c>
      <c r="F1688">
        <v>66</v>
      </c>
      <c r="G1688">
        <v>22314</v>
      </c>
      <c r="H1688">
        <v>1472724</v>
      </c>
      <c r="I1688" t="s">
        <v>1413</v>
      </c>
      <c r="J1688" t="s">
        <v>705</v>
      </c>
      <c r="K1688">
        <v>66</v>
      </c>
      <c r="L1688">
        <v>0</v>
      </c>
      <c r="M1688" t="s">
        <v>115</v>
      </c>
      <c r="N1688" t="str">
        <f t="shared" si="156"/>
        <v>PO-101687</v>
      </c>
      <c r="O1688" t="str">
        <f t="shared" si="157"/>
        <v>Delivered</v>
      </c>
      <c r="P1688" t="str">
        <f t="shared" si="158"/>
        <v>WH-DEL</v>
      </c>
      <c r="Q1688" t="str">
        <f>VLOOKUP(C1688, Lookups!$A$2:$D$10, 2, FALSE())</f>
        <v>FastElectronics</v>
      </c>
      <c r="R1688" t="str">
        <f>_xlfn.XLOOKUP(D1688, Lookups!$A$12:$A$51, Lookups!$C$12:$C$51, "Unknown")</f>
        <v>Networking</v>
      </c>
      <c r="S1688" t="str">
        <f>IF(ISBLANK(I1688), B1688+VLOOKUP(C1688, Lookups!$A$2:$D$10, 4, FALSE()), I1688)</f>
        <v>2026-03-02</v>
      </c>
      <c r="T1688">
        <f t="shared" si="159"/>
        <v>14</v>
      </c>
      <c r="U1688" t="str">
        <f t="shared" si="160"/>
        <v>On-Time</v>
      </c>
      <c r="V1688">
        <f t="shared" si="161"/>
        <v>0</v>
      </c>
    </row>
    <row r="1689" spans="1:22" x14ac:dyDescent="0.45">
      <c r="A1689" t="s">
        <v>2535</v>
      </c>
      <c r="B1689" t="s">
        <v>207</v>
      </c>
      <c r="C1689" t="s">
        <v>32</v>
      </c>
      <c r="D1689" t="s">
        <v>84</v>
      </c>
      <c r="E1689" t="s">
        <v>15</v>
      </c>
      <c r="F1689">
        <v>117</v>
      </c>
      <c r="G1689">
        <v>7271</v>
      </c>
      <c r="H1689">
        <v>850707</v>
      </c>
      <c r="I1689" t="s">
        <v>859</v>
      </c>
      <c r="J1689" t="s">
        <v>752</v>
      </c>
      <c r="K1689">
        <v>117</v>
      </c>
      <c r="L1689">
        <v>0</v>
      </c>
      <c r="M1689" t="s">
        <v>115</v>
      </c>
      <c r="N1689" t="str">
        <f t="shared" si="156"/>
        <v>PO-101688</v>
      </c>
      <c r="O1689" t="str">
        <f t="shared" si="157"/>
        <v>Delivered</v>
      </c>
      <c r="P1689" t="str">
        <f t="shared" si="158"/>
        <v>WH-BOM</v>
      </c>
      <c r="Q1689" t="str">
        <f>VLOOKUP(C1689, Lookups!$A$2:$D$10, 2, FALSE())</f>
        <v>OfficeDepot Pro</v>
      </c>
      <c r="R1689" t="str">
        <f>_xlfn.XLOOKUP(D1689, Lookups!$A$12:$A$51, Lookups!$C$12:$C$51, "Unknown")</f>
        <v>Peripherals</v>
      </c>
      <c r="S1689" t="str">
        <f>IF(ISBLANK(I1689), B1689+VLOOKUP(C1689, Lookups!$A$2:$D$10, 4, FALSE()), I1689)</f>
        <v>2025-12-21</v>
      </c>
      <c r="T1689">
        <f t="shared" si="159"/>
        <v>8</v>
      </c>
      <c r="U1689" t="str">
        <f t="shared" si="160"/>
        <v>Late</v>
      </c>
      <c r="V1689">
        <f t="shared" si="161"/>
        <v>0</v>
      </c>
    </row>
    <row r="1690" spans="1:22" x14ac:dyDescent="0.45">
      <c r="A1690" t="s">
        <v>2536</v>
      </c>
      <c r="B1690" t="s">
        <v>1440</v>
      </c>
      <c r="C1690" t="s">
        <v>37</v>
      </c>
      <c r="D1690" t="s">
        <v>78</v>
      </c>
      <c r="E1690" t="s">
        <v>18</v>
      </c>
      <c r="F1690">
        <v>250</v>
      </c>
      <c r="G1690">
        <v>9423</v>
      </c>
      <c r="H1690">
        <v>2355750</v>
      </c>
      <c r="I1690" t="s">
        <v>240</v>
      </c>
      <c r="J1690" t="s">
        <v>213</v>
      </c>
      <c r="K1690">
        <v>250</v>
      </c>
      <c r="L1690">
        <v>0</v>
      </c>
      <c r="M1690" t="s">
        <v>115</v>
      </c>
      <c r="N1690" t="str">
        <f t="shared" si="156"/>
        <v>PO-101689</v>
      </c>
      <c r="O1690" t="str">
        <f t="shared" si="157"/>
        <v>Delivered</v>
      </c>
      <c r="P1690" t="str">
        <f t="shared" si="158"/>
        <v>WH-PUN</v>
      </c>
      <c r="Q1690" t="str">
        <f>VLOOKUP(C1690, Lookups!$A$2:$D$10, 2, FALSE())</f>
        <v>Premium Desks Ltd</v>
      </c>
      <c r="R1690" t="str">
        <f>_xlfn.XLOOKUP(D1690, Lookups!$A$12:$A$51, Lookups!$C$12:$C$51, "Unknown")</f>
        <v>Office Furniture</v>
      </c>
      <c r="S1690" t="str">
        <f>IF(ISBLANK(I1690), B1690+VLOOKUP(C1690, Lookups!$A$2:$D$10, 4, FALSE()), I1690)</f>
        <v>2025-06-15</v>
      </c>
      <c r="T1690">
        <f t="shared" si="159"/>
        <v>14</v>
      </c>
      <c r="U1690" t="str">
        <f t="shared" si="160"/>
        <v>Late</v>
      </c>
      <c r="V1690">
        <f t="shared" si="161"/>
        <v>0</v>
      </c>
    </row>
    <row r="1691" spans="1:22" x14ac:dyDescent="0.45">
      <c r="A1691" t="s">
        <v>2537</v>
      </c>
      <c r="B1691" t="s">
        <v>573</v>
      </c>
      <c r="C1691" t="s">
        <v>36</v>
      </c>
      <c r="D1691" t="s">
        <v>55</v>
      </c>
      <c r="E1691" t="s">
        <v>16</v>
      </c>
      <c r="F1691">
        <v>126</v>
      </c>
      <c r="G1691">
        <v>58434</v>
      </c>
      <c r="H1691">
        <v>7362684</v>
      </c>
      <c r="I1691" t="s">
        <v>1508</v>
      </c>
      <c r="J1691" t="s">
        <v>1508</v>
      </c>
      <c r="K1691">
        <v>108</v>
      </c>
      <c r="L1691">
        <v>0</v>
      </c>
      <c r="M1691" t="s">
        <v>115</v>
      </c>
      <c r="N1691" t="str">
        <f t="shared" si="156"/>
        <v>PO-101690</v>
      </c>
      <c r="O1691" t="str">
        <f t="shared" si="157"/>
        <v>Delivered</v>
      </c>
      <c r="P1691" t="str">
        <f t="shared" si="158"/>
        <v>WH-DEL</v>
      </c>
      <c r="Q1691" t="str">
        <f>VLOOKUP(C1691, Lookups!$A$2:$D$10, 2, FALSE())</f>
        <v>NextGen Hardware</v>
      </c>
      <c r="R1691" t="str">
        <f>_xlfn.XLOOKUP(D1691, Lookups!$A$12:$A$51, Lookups!$C$12:$C$51, "Unknown")</f>
        <v>Electronics</v>
      </c>
      <c r="S1691" t="str">
        <f>IF(ISBLANK(I1691), B1691+VLOOKUP(C1691, Lookups!$A$2:$D$10, 4, FALSE()), I1691)</f>
        <v>2026-05-24</v>
      </c>
      <c r="T1691">
        <f t="shared" si="159"/>
        <v>24</v>
      </c>
      <c r="U1691" t="str">
        <f t="shared" si="160"/>
        <v>On-Time</v>
      </c>
      <c r="V1691">
        <f t="shared" si="161"/>
        <v>0</v>
      </c>
    </row>
    <row r="1692" spans="1:22" x14ac:dyDescent="0.45">
      <c r="A1692" t="s">
        <v>2538</v>
      </c>
      <c r="B1692" t="s">
        <v>1170</v>
      </c>
      <c r="C1692" t="s">
        <v>37</v>
      </c>
      <c r="D1692" t="s">
        <v>79</v>
      </c>
      <c r="E1692" t="s">
        <v>18</v>
      </c>
      <c r="F1692">
        <v>20</v>
      </c>
      <c r="G1692">
        <v>23054</v>
      </c>
      <c r="H1692">
        <v>461080</v>
      </c>
      <c r="K1692">
        <v>0</v>
      </c>
      <c r="L1692">
        <v>0</v>
      </c>
      <c r="M1692" t="s">
        <v>297</v>
      </c>
      <c r="N1692" t="str">
        <f t="shared" si="156"/>
        <v>PO-101691</v>
      </c>
      <c r="O1692" t="str">
        <f t="shared" si="157"/>
        <v>Open</v>
      </c>
      <c r="P1692" t="str">
        <f t="shared" si="158"/>
        <v>WH-PUN</v>
      </c>
      <c r="Q1692" t="str">
        <f>VLOOKUP(C1692, Lookups!$A$2:$D$10, 2, FALSE())</f>
        <v>Premium Desks Ltd</v>
      </c>
      <c r="R1692" t="str">
        <f>_xlfn.XLOOKUP(D1692, Lookups!$A$12:$A$51, Lookups!$C$12:$C$51, "Unknown")</f>
        <v>Office Furniture</v>
      </c>
      <c r="S1692">
        <f>IF(ISBLANK(I1692), B1692+VLOOKUP(C1692, Lookups!$A$2:$D$10, 4, FALSE()), I1692)</f>
        <v>46371</v>
      </c>
      <c r="T1692" t="str">
        <f t="shared" si="159"/>
        <v/>
      </c>
      <c r="U1692" t="str">
        <f t="shared" si="160"/>
        <v>Open</v>
      </c>
      <c r="V1692">
        <f t="shared" si="161"/>
        <v>0</v>
      </c>
    </row>
    <row r="1693" spans="1:22" x14ac:dyDescent="0.45">
      <c r="A1693" t="s">
        <v>2539</v>
      </c>
      <c r="B1693" t="s">
        <v>497</v>
      </c>
      <c r="C1693" t="s">
        <v>31</v>
      </c>
      <c r="D1693" t="s">
        <v>56</v>
      </c>
      <c r="E1693" t="s">
        <v>16</v>
      </c>
      <c r="F1693">
        <v>31</v>
      </c>
      <c r="G1693">
        <v>39270</v>
      </c>
      <c r="H1693">
        <v>1217370</v>
      </c>
      <c r="I1693" t="s">
        <v>911</v>
      </c>
      <c r="J1693" t="s">
        <v>911</v>
      </c>
      <c r="K1693">
        <v>31</v>
      </c>
      <c r="L1693">
        <v>0</v>
      </c>
      <c r="M1693" t="s">
        <v>178</v>
      </c>
      <c r="N1693" t="str">
        <f t="shared" si="156"/>
        <v>PO-101692</v>
      </c>
      <c r="O1693" t="str">
        <f t="shared" si="157"/>
        <v>Delivered</v>
      </c>
      <c r="P1693" t="str">
        <f t="shared" si="158"/>
        <v>WH-DEL</v>
      </c>
      <c r="Q1693" t="str">
        <f>VLOOKUP(C1693, Lookups!$A$2:$D$10, 2, FALSE())</f>
        <v>Global Networks</v>
      </c>
      <c r="R1693" t="str">
        <f>_xlfn.XLOOKUP(D1693, Lookups!$A$12:$A$51, Lookups!$C$12:$C$51, "Unknown")</f>
        <v>Networking</v>
      </c>
      <c r="S1693" t="str">
        <f>IF(ISBLANK(I1693), B1693+VLOOKUP(C1693, Lookups!$A$2:$D$10, 4, FALSE()), I1693)</f>
        <v>2025-04-09</v>
      </c>
      <c r="T1693">
        <f t="shared" si="159"/>
        <v>21</v>
      </c>
      <c r="U1693" t="str">
        <f t="shared" si="160"/>
        <v>On-Time</v>
      </c>
      <c r="V1693">
        <f t="shared" si="161"/>
        <v>0</v>
      </c>
    </row>
    <row r="1694" spans="1:22" x14ac:dyDescent="0.45">
      <c r="A1694" t="s">
        <v>2540</v>
      </c>
      <c r="B1694" t="s">
        <v>745</v>
      </c>
      <c r="C1694" t="s">
        <v>36</v>
      </c>
      <c r="D1694" t="s">
        <v>90</v>
      </c>
      <c r="E1694" t="s">
        <v>16</v>
      </c>
      <c r="F1694">
        <v>217</v>
      </c>
      <c r="G1694">
        <v>81434</v>
      </c>
      <c r="H1694">
        <v>17671178</v>
      </c>
      <c r="I1694" t="s">
        <v>770</v>
      </c>
      <c r="K1694">
        <v>0</v>
      </c>
      <c r="L1694">
        <v>0</v>
      </c>
      <c r="M1694" t="s">
        <v>297</v>
      </c>
      <c r="N1694" t="str">
        <f t="shared" si="156"/>
        <v>PO-101693</v>
      </c>
      <c r="O1694" t="str">
        <f t="shared" si="157"/>
        <v>Open</v>
      </c>
      <c r="P1694" t="str">
        <f t="shared" si="158"/>
        <v>WH-DEL</v>
      </c>
      <c r="Q1694" t="str">
        <f>VLOOKUP(C1694, Lookups!$A$2:$D$10, 2, FALSE())</f>
        <v>NextGen Hardware</v>
      </c>
      <c r="R1694" t="str">
        <f>_xlfn.XLOOKUP(D1694, Lookups!$A$12:$A$51, Lookups!$C$12:$C$51, "Unknown")</f>
        <v>Electronics</v>
      </c>
      <c r="S1694" t="str">
        <f>IF(ISBLANK(I1694), B1694+VLOOKUP(C1694, Lookups!$A$2:$D$10, 4, FALSE()), I1694)</f>
        <v>2026-12-30</v>
      </c>
      <c r="T1694" t="str">
        <f t="shared" si="159"/>
        <v/>
      </c>
      <c r="U1694" t="str">
        <f t="shared" si="160"/>
        <v>Open</v>
      </c>
      <c r="V1694">
        <f t="shared" si="161"/>
        <v>0</v>
      </c>
    </row>
    <row r="1695" spans="1:22" x14ac:dyDescent="0.45">
      <c r="A1695" t="s">
        <v>2541</v>
      </c>
      <c r="B1695" t="s">
        <v>1530</v>
      </c>
      <c r="C1695" t="s">
        <v>30</v>
      </c>
      <c r="D1695" t="s">
        <v>88</v>
      </c>
      <c r="E1695" t="s">
        <v>16</v>
      </c>
      <c r="F1695">
        <v>204</v>
      </c>
      <c r="G1695">
        <v>75512</v>
      </c>
      <c r="H1695">
        <v>15404448</v>
      </c>
      <c r="I1695" t="s">
        <v>271</v>
      </c>
      <c r="J1695" t="s">
        <v>271</v>
      </c>
      <c r="K1695">
        <v>149</v>
      </c>
      <c r="L1695">
        <v>0</v>
      </c>
      <c r="M1695" t="s">
        <v>115</v>
      </c>
      <c r="N1695" t="str">
        <f t="shared" si="156"/>
        <v>PO-101694</v>
      </c>
      <c r="O1695" t="str">
        <f t="shared" si="157"/>
        <v>Delivered</v>
      </c>
      <c r="P1695" t="str">
        <f t="shared" si="158"/>
        <v>WH-DEL</v>
      </c>
      <c r="Q1695" t="str">
        <f>VLOOKUP(C1695, Lookups!$A$2:$D$10, 2, FALSE())</f>
        <v>TechSupply Corp</v>
      </c>
      <c r="R1695" t="str">
        <f>_xlfn.XLOOKUP(D1695, Lookups!$A$12:$A$51, Lookups!$C$12:$C$51, "Unknown")</f>
        <v>Electronics</v>
      </c>
      <c r="S1695" t="str">
        <f>IF(ISBLANK(I1695), B1695+VLOOKUP(C1695, Lookups!$A$2:$D$10, 4, FALSE()), I1695)</f>
        <v>2025-07-26</v>
      </c>
      <c r="T1695">
        <f t="shared" si="159"/>
        <v>14</v>
      </c>
      <c r="U1695" t="str">
        <f t="shared" si="160"/>
        <v>On-Time</v>
      </c>
      <c r="V1695">
        <f t="shared" si="161"/>
        <v>0</v>
      </c>
    </row>
    <row r="1696" spans="1:22" x14ac:dyDescent="0.45">
      <c r="A1696" t="s">
        <v>2542</v>
      </c>
      <c r="B1696" t="s">
        <v>199</v>
      </c>
      <c r="C1696" t="s">
        <v>33</v>
      </c>
      <c r="D1696" t="s">
        <v>89</v>
      </c>
      <c r="E1696" t="s">
        <v>17</v>
      </c>
      <c r="F1696">
        <v>30</v>
      </c>
      <c r="G1696">
        <v>11309</v>
      </c>
      <c r="H1696">
        <v>339270</v>
      </c>
      <c r="I1696" t="s">
        <v>1087</v>
      </c>
      <c r="J1696" t="s">
        <v>1006</v>
      </c>
      <c r="K1696">
        <v>30</v>
      </c>
      <c r="L1696">
        <v>0</v>
      </c>
      <c r="M1696" t="s">
        <v>115</v>
      </c>
      <c r="N1696" t="str">
        <f t="shared" si="156"/>
        <v>PO-101695</v>
      </c>
      <c r="O1696" t="str">
        <f t="shared" si="157"/>
        <v>Delivered</v>
      </c>
      <c r="P1696" t="str">
        <f t="shared" si="158"/>
        <v>WH-BLR</v>
      </c>
      <c r="Q1696" t="str">
        <f>VLOOKUP(C1696, Lookups!$A$2:$D$10, 2, FALSE())</f>
        <v>MegaFurnish</v>
      </c>
      <c r="R1696" t="str">
        <f>_xlfn.XLOOKUP(D1696, Lookups!$A$12:$A$51, Lookups!$C$12:$C$51, "Unknown")</f>
        <v>Office Furniture</v>
      </c>
      <c r="S1696" t="str">
        <f>IF(ISBLANK(I1696), B1696+VLOOKUP(C1696, Lookups!$A$2:$D$10, 4, FALSE()), I1696)</f>
        <v>2025-11-15</v>
      </c>
      <c r="T1696">
        <f t="shared" si="159"/>
        <v>31</v>
      </c>
      <c r="U1696" t="str">
        <f t="shared" si="160"/>
        <v>Late</v>
      </c>
      <c r="V1696">
        <f t="shared" si="161"/>
        <v>0</v>
      </c>
    </row>
    <row r="1697" spans="1:22" x14ac:dyDescent="0.45">
      <c r="A1697" t="s">
        <v>2543</v>
      </c>
      <c r="B1697" t="s">
        <v>365</v>
      </c>
      <c r="C1697" t="s">
        <v>33</v>
      </c>
      <c r="D1697" t="s">
        <v>89</v>
      </c>
      <c r="E1697" t="s">
        <v>17</v>
      </c>
      <c r="F1697">
        <v>58</v>
      </c>
      <c r="G1697">
        <v>11309</v>
      </c>
      <c r="H1697">
        <v>655922</v>
      </c>
      <c r="I1697" t="s">
        <v>2277</v>
      </c>
      <c r="J1697" t="s">
        <v>574</v>
      </c>
      <c r="K1697">
        <v>58</v>
      </c>
      <c r="L1697">
        <v>0</v>
      </c>
      <c r="M1697" t="s">
        <v>115</v>
      </c>
      <c r="N1697" t="str">
        <f t="shared" si="156"/>
        <v>PO-101696</v>
      </c>
      <c r="O1697" t="str">
        <f t="shared" si="157"/>
        <v>Delivered</v>
      </c>
      <c r="P1697" t="str">
        <f t="shared" si="158"/>
        <v>WH-BLR</v>
      </c>
      <c r="Q1697" t="str">
        <f>VLOOKUP(C1697, Lookups!$A$2:$D$10, 2, FALSE())</f>
        <v>MegaFurnish</v>
      </c>
      <c r="R1697" t="str">
        <f>_xlfn.XLOOKUP(D1697, Lookups!$A$12:$A$51, Lookups!$C$12:$C$51, "Unknown")</f>
        <v>Office Furniture</v>
      </c>
      <c r="S1697" t="str">
        <f>IF(ISBLANK(I1697), B1697+VLOOKUP(C1697, Lookups!$A$2:$D$10, 4, FALSE()), I1697)</f>
        <v>2026-04-28</v>
      </c>
      <c r="T1697">
        <f t="shared" si="159"/>
        <v>33</v>
      </c>
      <c r="U1697" t="str">
        <f t="shared" si="160"/>
        <v>Late</v>
      </c>
      <c r="V1697">
        <f t="shared" si="161"/>
        <v>0</v>
      </c>
    </row>
    <row r="1698" spans="1:22" x14ac:dyDescent="0.45">
      <c r="A1698" t="s">
        <v>2544</v>
      </c>
      <c r="B1698" t="s">
        <v>409</v>
      </c>
      <c r="C1698" t="s">
        <v>37</v>
      </c>
      <c r="D1698" t="s">
        <v>69</v>
      </c>
      <c r="E1698" t="s">
        <v>16</v>
      </c>
      <c r="F1698">
        <v>111</v>
      </c>
      <c r="G1698">
        <v>13231</v>
      </c>
      <c r="H1698">
        <v>1468641</v>
      </c>
      <c r="I1698" t="s">
        <v>162</v>
      </c>
      <c r="J1698" t="s">
        <v>239</v>
      </c>
      <c r="K1698">
        <v>111</v>
      </c>
      <c r="L1698">
        <v>0</v>
      </c>
      <c r="M1698" t="s">
        <v>115</v>
      </c>
      <c r="N1698" t="str">
        <f t="shared" si="156"/>
        <v>PO-101697</v>
      </c>
      <c r="O1698" t="str">
        <f t="shared" si="157"/>
        <v>Delivered</v>
      </c>
      <c r="P1698" t="str">
        <f t="shared" si="158"/>
        <v>WH-DEL</v>
      </c>
      <c r="Q1698" t="str">
        <f>VLOOKUP(C1698, Lookups!$A$2:$D$10, 2, FALSE())</f>
        <v>Premium Desks Ltd</v>
      </c>
      <c r="R1698" t="str">
        <f>_xlfn.XLOOKUP(D1698, Lookups!$A$12:$A$51, Lookups!$C$12:$C$51, "Unknown")</f>
        <v>Office Furniture</v>
      </c>
      <c r="S1698" t="str">
        <f>IF(ISBLANK(I1698), B1698+VLOOKUP(C1698, Lookups!$A$2:$D$10, 4, FALSE()), I1698)</f>
        <v>2025-06-13</v>
      </c>
      <c r="T1698">
        <f t="shared" si="159"/>
        <v>13</v>
      </c>
      <c r="U1698" t="str">
        <f t="shared" si="160"/>
        <v>Late</v>
      </c>
      <c r="V1698">
        <f t="shared" si="161"/>
        <v>0</v>
      </c>
    </row>
    <row r="1699" spans="1:22" x14ac:dyDescent="0.45">
      <c r="A1699" t="s">
        <v>2545</v>
      </c>
      <c r="B1699" t="s">
        <v>663</v>
      </c>
      <c r="C1699" t="s">
        <v>34</v>
      </c>
      <c r="D1699" t="s">
        <v>73</v>
      </c>
      <c r="E1699" t="s">
        <v>15</v>
      </c>
      <c r="F1699">
        <v>156</v>
      </c>
      <c r="G1699">
        <v>58396</v>
      </c>
      <c r="H1699">
        <v>9109776</v>
      </c>
      <c r="I1699" t="s">
        <v>1401</v>
      </c>
      <c r="J1699" t="s">
        <v>734</v>
      </c>
      <c r="K1699">
        <v>86</v>
      </c>
      <c r="L1699">
        <v>0</v>
      </c>
      <c r="M1699" t="s">
        <v>115</v>
      </c>
      <c r="N1699" t="str">
        <f t="shared" si="156"/>
        <v>PO-101698</v>
      </c>
      <c r="O1699" t="str">
        <f t="shared" si="157"/>
        <v>Delivered</v>
      </c>
      <c r="P1699" t="str">
        <f t="shared" si="158"/>
        <v>WH-BOM</v>
      </c>
      <c r="Q1699" t="str">
        <f>VLOOKUP(C1699, Lookups!$A$2:$D$10, 2, FALSE())</f>
        <v>FastElectronics</v>
      </c>
      <c r="R1699" t="str">
        <f>_xlfn.XLOOKUP(D1699, Lookups!$A$12:$A$51, Lookups!$C$12:$C$51, "Unknown")</f>
        <v>Electronics</v>
      </c>
      <c r="S1699" t="str">
        <f>IF(ISBLANK(I1699), B1699+VLOOKUP(C1699, Lookups!$A$2:$D$10, 4, FALSE()), I1699)</f>
        <v>2026-10-24</v>
      </c>
      <c r="T1699">
        <f t="shared" si="159"/>
        <v>31</v>
      </c>
      <c r="U1699" t="str">
        <f t="shared" si="160"/>
        <v>Late</v>
      </c>
      <c r="V1699">
        <f t="shared" si="161"/>
        <v>0</v>
      </c>
    </row>
    <row r="1700" spans="1:22" x14ac:dyDescent="0.45">
      <c r="A1700" t="s">
        <v>2546</v>
      </c>
      <c r="B1700" t="s">
        <v>182</v>
      </c>
      <c r="C1700" t="s">
        <v>31</v>
      </c>
      <c r="D1700" t="s">
        <v>56</v>
      </c>
      <c r="E1700" t="s">
        <v>17</v>
      </c>
      <c r="F1700">
        <v>191</v>
      </c>
      <c r="G1700">
        <v>39270</v>
      </c>
      <c r="H1700">
        <v>7500570</v>
      </c>
      <c r="I1700" t="s">
        <v>1101</v>
      </c>
      <c r="J1700" t="s">
        <v>1101</v>
      </c>
      <c r="K1700">
        <v>191</v>
      </c>
      <c r="L1700">
        <v>0</v>
      </c>
      <c r="M1700" t="s">
        <v>115</v>
      </c>
      <c r="N1700" t="str">
        <f t="shared" si="156"/>
        <v>PO-101699</v>
      </c>
      <c r="O1700" t="str">
        <f t="shared" si="157"/>
        <v>Delivered</v>
      </c>
      <c r="P1700" t="str">
        <f t="shared" si="158"/>
        <v>WH-BLR</v>
      </c>
      <c r="Q1700" t="str">
        <f>VLOOKUP(C1700, Lookups!$A$2:$D$10, 2, FALSE())</f>
        <v>Global Networks</v>
      </c>
      <c r="R1700" t="str">
        <f>_xlfn.XLOOKUP(D1700, Lookups!$A$12:$A$51, Lookups!$C$12:$C$51, "Unknown")</f>
        <v>Networking</v>
      </c>
      <c r="S1700" t="str">
        <f>IF(ISBLANK(I1700), B1700+VLOOKUP(C1700, Lookups!$A$2:$D$10, 4, FALSE()), I1700)</f>
        <v>2026-11-21</v>
      </c>
      <c r="T1700">
        <f t="shared" si="159"/>
        <v>21</v>
      </c>
      <c r="U1700" t="str">
        <f t="shared" si="160"/>
        <v>On-Time</v>
      </c>
      <c r="V1700">
        <f t="shared" si="161"/>
        <v>0</v>
      </c>
    </row>
    <row r="1701" spans="1:22" x14ac:dyDescent="0.45">
      <c r="A1701" t="s">
        <v>2547</v>
      </c>
      <c r="B1701" t="s">
        <v>661</v>
      </c>
      <c r="C1701" t="s">
        <v>31</v>
      </c>
      <c r="D1701" t="s">
        <v>66</v>
      </c>
      <c r="E1701" t="s">
        <v>16</v>
      </c>
      <c r="F1701">
        <v>82</v>
      </c>
      <c r="G1701">
        <v>29719</v>
      </c>
      <c r="H1701">
        <v>2436958</v>
      </c>
      <c r="I1701" t="s">
        <v>662</v>
      </c>
      <c r="J1701" t="s">
        <v>663</v>
      </c>
      <c r="K1701">
        <v>82</v>
      </c>
      <c r="L1701">
        <v>0</v>
      </c>
      <c r="M1701" t="s">
        <v>115</v>
      </c>
      <c r="N1701" t="str">
        <f t="shared" si="156"/>
        <v>PO-101700</v>
      </c>
      <c r="O1701" t="str">
        <f t="shared" si="157"/>
        <v>Delivered</v>
      </c>
      <c r="P1701" t="str">
        <f t="shared" si="158"/>
        <v>WH-DEL</v>
      </c>
      <c r="Q1701" t="str">
        <f>VLOOKUP(C1701, Lookups!$A$2:$D$10, 2, FALSE())</f>
        <v>Global Networks</v>
      </c>
      <c r="R1701" t="str">
        <f>_xlfn.XLOOKUP(D1701, Lookups!$A$12:$A$51, Lookups!$C$12:$C$51, "Unknown")</f>
        <v>Networking</v>
      </c>
      <c r="S1701" t="str">
        <f>IF(ISBLANK(I1701), B1701+VLOOKUP(C1701, Lookups!$A$2:$D$10, 4, FALSE()), I1701)</f>
        <v>2026-10-05</v>
      </c>
      <c r="T1701">
        <f t="shared" si="159"/>
        <v>22</v>
      </c>
      <c r="U1701" t="str">
        <f t="shared" si="160"/>
        <v>Late</v>
      </c>
      <c r="V1701">
        <f t="shared" si="161"/>
        <v>0</v>
      </c>
    </row>
    <row r="1702" spans="1:22" x14ac:dyDescent="0.45">
      <c r="A1702" t="s">
        <v>2548</v>
      </c>
      <c r="B1702" t="s">
        <v>1547</v>
      </c>
      <c r="C1702" t="s">
        <v>31</v>
      </c>
      <c r="D1702" t="s">
        <v>64</v>
      </c>
      <c r="E1702" t="s">
        <v>16</v>
      </c>
      <c r="F1702">
        <v>11</v>
      </c>
      <c r="G1702">
        <v>36295</v>
      </c>
      <c r="H1702">
        <v>399245</v>
      </c>
      <c r="I1702" t="s">
        <v>322</v>
      </c>
      <c r="J1702" t="s">
        <v>388</v>
      </c>
      <c r="K1702">
        <v>11</v>
      </c>
      <c r="L1702">
        <v>0</v>
      </c>
      <c r="M1702" t="s">
        <v>115</v>
      </c>
      <c r="N1702" t="str">
        <f t="shared" si="156"/>
        <v>PO-101701</v>
      </c>
      <c r="O1702" t="str">
        <f t="shared" si="157"/>
        <v>Delivered</v>
      </c>
      <c r="P1702" t="str">
        <f t="shared" si="158"/>
        <v>WH-DEL</v>
      </c>
      <c r="Q1702" t="str">
        <f>VLOOKUP(C1702, Lookups!$A$2:$D$10, 2, FALSE())</f>
        <v>Global Networks</v>
      </c>
      <c r="R1702" t="str">
        <f>_xlfn.XLOOKUP(D1702, Lookups!$A$12:$A$51, Lookups!$C$12:$C$51, "Unknown")</f>
        <v>Networking</v>
      </c>
      <c r="S1702" t="str">
        <f>IF(ISBLANK(I1702), B1702+VLOOKUP(C1702, Lookups!$A$2:$D$10, 4, FALSE()), I1702)</f>
        <v>2026-03-24</v>
      </c>
      <c r="T1702">
        <f t="shared" si="159"/>
        <v>22</v>
      </c>
      <c r="U1702" t="str">
        <f t="shared" si="160"/>
        <v>Late</v>
      </c>
      <c r="V1702">
        <f t="shared" si="161"/>
        <v>0</v>
      </c>
    </row>
    <row r="1703" spans="1:22" x14ac:dyDescent="0.45">
      <c r="A1703" t="s">
        <v>2549</v>
      </c>
      <c r="B1703" t="s">
        <v>565</v>
      </c>
      <c r="C1703" t="s">
        <v>30</v>
      </c>
      <c r="D1703" t="s">
        <v>52</v>
      </c>
      <c r="E1703" t="s">
        <v>17</v>
      </c>
      <c r="F1703">
        <v>40</v>
      </c>
      <c r="G1703">
        <v>59592</v>
      </c>
      <c r="H1703">
        <v>2383680</v>
      </c>
      <c r="I1703" t="s">
        <v>476</v>
      </c>
      <c r="J1703" t="s">
        <v>665</v>
      </c>
      <c r="K1703">
        <v>40</v>
      </c>
      <c r="L1703">
        <v>0</v>
      </c>
      <c r="M1703" t="s">
        <v>115</v>
      </c>
      <c r="N1703" t="str">
        <f t="shared" si="156"/>
        <v>PO-101702</v>
      </c>
      <c r="O1703" t="str">
        <f t="shared" si="157"/>
        <v>Delivered</v>
      </c>
      <c r="P1703" t="str">
        <f t="shared" si="158"/>
        <v>WH-BLR</v>
      </c>
      <c r="Q1703" t="str">
        <f>VLOOKUP(C1703, Lookups!$A$2:$D$10, 2, FALSE())</f>
        <v>TechSupply Corp</v>
      </c>
      <c r="R1703" t="str">
        <f>_xlfn.XLOOKUP(D1703, Lookups!$A$12:$A$51, Lookups!$C$12:$C$51, "Unknown")</f>
        <v>Electronics</v>
      </c>
      <c r="S1703" t="str">
        <f>IF(ISBLANK(I1703), B1703+VLOOKUP(C1703, Lookups!$A$2:$D$10, 4, FALSE()), I1703)</f>
        <v>2025-03-10</v>
      </c>
      <c r="T1703">
        <f t="shared" si="159"/>
        <v>15</v>
      </c>
      <c r="U1703" t="str">
        <f t="shared" si="160"/>
        <v>Late</v>
      </c>
      <c r="V1703">
        <f t="shared" si="161"/>
        <v>0</v>
      </c>
    </row>
    <row r="1704" spans="1:22" x14ac:dyDescent="0.45">
      <c r="A1704" t="s">
        <v>2550</v>
      </c>
      <c r="B1704" t="s">
        <v>437</v>
      </c>
      <c r="C1704" t="s">
        <v>30</v>
      </c>
      <c r="D1704" t="s">
        <v>61</v>
      </c>
      <c r="E1704" t="s">
        <v>15</v>
      </c>
      <c r="F1704">
        <v>211</v>
      </c>
      <c r="G1704">
        <v>111237</v>
      </c>
      <c r="H1704">
        <v>23471007</v>
      </c>
      <c r="I1704" t="s">
        <v>633</v>
      </c>
      <c r="J1704" t="s">
        <v>1225</v>
      </c>
      <c r="K1704">
        <v>211</v>
      </c>
      <c r="L1704">
        <v>0</v>
      </c>
      <c r="M1704" t="s">
        <v>115</v>
      </c>
      <c r="N1704" t="str">
        <f t="shared" si="156"/>
        <v>PO-101703</v>
      </c>
      <c r="O1704" t="str">
        <f t="shared" si="157"/>
        <v>Delivered</v>
      </c>
      <c r="P1704" t="str">
        <f t="shared" si="158"/>
        <v>WH-BOM</v>
      </c>
      <c r="Q1704" t="str">
        <f>VLOOKUP(C1704, Lookups!$A$2:$D$10, 2, FALSE())</f>
        <v>TechSupply Corp</v>
      </c>
      <c r="R1704" t="str">
        <f>_xlfn.XLOOKUP(D1704, Lookups!$A$12:$A$51, Lookups!$C$12:$C$51, "Unknown")</f>
        <v>Electronics</v>
      </c>
      <c r="S1704" t="str">
        <f>IF(ISBLANK(I1704), B1704+VLOOKUP(C1704, Lookups!$A$2:$D$10, 4, FALSE()), I1704)</f>
        <v>2025-02-17</v>
      </c>
      <c r="T1704">
        <f t="shared" si="159"/>
        <v>15</v>
      </c>
      <c r="U1704" t="str">
        <f t="shared" si="160"/>
        <v>Late</v>
      </c>
      <c r="V1704">
        <f t="shared" si="161"/>
        <v>0</v>
      </c>
    </row>
    <row r="1705" spans="1:22" x14ac:dyDescent="0.45">
      <c r="A1705" t="s">
        <v>2551</v>
      </c>
      <c r="B1705" t="s">
        <v>1482</v>
      </c>
      <c r="C1705" t="s">
        <v>34</v>
      </c>
      <c r="D1705" t="s">
        <v>73</v>
      </c>
      <c r="E1705" t="s">
        <v>16</v>
      </c>
      <c r="F1705">
        <v>151</v>
      </c>
      <c r="G1705">
        <v>58396</v>
      </c>
      <c r="H1705">
        <v>8817796</v>
      </c>
      <c r="I1705" t="s">
        <v>271</v>
      </c>
      <c r="J1705" t="s">
        <v>271</v>
      </c>
      <c r="K1705">
        <v>151</v>
      </c>
      <c r="L1705">
        <v>0</v>
      </c>
      <c r="M1705" t="s">
        <v>166</v>
      </c>
      <c r="N1705" t="str">
        <f t="shared" si="156"/>
        <v>PO-101704</v>
      </c>
      <c r="O1705" t="str">
        <f t="shared" si="157"/>
        <v>Delivered</v>
      </c>
      <c r="P1705" t="str">
        <f t="shared" si="158"/>
        <v>WH-DEL</v>
      </c>
      <c r="Q1705" t="str">
        <f>VLOOKUP(C1705, Lookups!$A$2:$D$10, 2, FALSE())</f>
        <v>FastElectronics</v>
      </c>
      <c r="R1705" t="str">
        <f>_xlfn.XLOOKUP(D1705, Lookups!$A$12:$A$51, Lookups!$C$12:$C$51, "Unknown")</f>
        <v>Electronics</v>
      </c>
      <c r="S1705" t="str">
        <f>IF(ISBLANK(I1705), B1705+VLOOKUP(C1705, Lookups!$A$2:$D$10, 4, FALSE()), I1705)</f>
        <v>2025-07-26</v>
      </c>
      <c r="T1705">
        <f t="shared" si="159"/>
        <v>18</v>
      </c>
      <c r="U1705" t="str">
        <f t="shared" si="160"/>
        <v>On-Time</v>
      </c>
      <c r="V1705">
        <f t="shared" si="161"/>
        <v>0</v>
      </c>
    </row>
    <row r="1706" spans="1:22" x14ac:dyDescent="0.45">
      <c r="A1706" t="s">
        <v>2552</v>
      </c>
      <c r="B1706" t="s">
        <v>662</v>
      </c>
      <c r="C1706" t="s">
        <v>30</v>
      </c>
      <c r="D1706" t="s">
        <v>88</v>
      </c>
      <c r="E1706" t="s">
        <v>18</v>
      </c>
      <c r="F1706">
        <v>33</v>
      </c>
      <c r="G1706">
        <v>75512</v>
      </c>
      <c r="H1706">
        <v>2491896</v>
      </c>
      <c r="I1706" t="s">
        <v>181</v>
      </c>
      <c r="J1706" t="s">
        <v>750</v>
      </c>
      <c r="K1706">
        <v>33</v>
      </c>
      <c r="L1706">
        <v>0</v>
      </c>
      <c r="M1706" t="s">
        <v>115</v>
      </c>
      <c r="N1706" t="str">
        <f t="shared" si="156"/>
        <v>PO-101705</v>
      </c>
      <c r="O1706" t="str">
        <f t="shared" si="157"/>
        <v>Delivered</v>
      </c>
      <c r="P1706" t="str">
        <f t="shared" si="158"/>
        <v>WH-PUN</v>
      </c>
      <c r="Q1706" t="str">
        <f>VLOOKUP(C1706, Lookups!$A$2:$D$10, 2, FALSE())</f>
        <v>TechSupply Corp</v>
      </c>
      <c r="R1706" t="str">
        <f>_xlfn.XLOOKUP(D1706, Lookups!$A$12:$A$51, Lookups!$C$12:$C$51, "Unknown")</f>
        <v>Electronics</v>
      </c>
      <c r="S1706" t="str">
        <f>IF(ISBLANK(I1706), B1706+VLOOKUP(C1706, Lookups!$A$2:$D$10, 4, FALSE()), I1706)</f>
        <v>2026-10-19</v>
      </c>
      <c r="T1706">
        <f t="shared" si="159"/>
        <v>15</v>
      </c>
      <c r="U1706" t="str">
        <f t="shared" si="160"/>
        <v>Late</v>
      </c>
      <c r="V1706">
        <f t="shared" si="161"/>
        <v>0</v>
      </c>
    </row>
    <row r="1707" spans="1:22" x14ac:dyDescent="0.45">
      <c r="A1707" t="s">
        <v>2553</v>
      </c>
      <c r="B1707" t="s">
        <v>2554</v>
      </c>
      <c r="C1707" t="s">
        <v>36</v>
      </c>
      <c r="D1707" t="s">
        <v>90</v>
      </c>
      <c r="E1707" t="s">
        <v>18</v>
      </c>
      <c r="F1707">
        <v>105</v>
      </c>
      <c r="G1707">
        <v>81434</v>
      </c>
      <c r="H1707">
        <v>8550570</v>
      </c>
      <c r="I1707" t="s">
        <v>128</v>
      </c>
      <c r="J1707" t="s">
        <v>503</v>
      </c>
      <c r="K1707">
        <v>99</v>
      </c>
      <c r="L1707">
        <v>0</v>
      </c>
      <c r="M1707" t="s">
        <v>115</v>
      </c>
      <c r="N1707" t="str">
        <f t="shared" si="156"/>
        <v>PO-101706</v>
      </c>
      <c r="O1707" t="str">
        <f t="shared" si="157"/>
        <v>Delivered</v>
      </c>
      <c r="P1707" t="str">
        <f t="shared" si="158"/>
        <v>WH-PUN</v>
      </c>
      <c r="Q1707" t="str">
        <f>VLOOKUP(C1707, Lookups!$A$2:$D$10, 2, FALSE())</f>
        <v>NextGen Hardware</v>
      </c>
      <c r="R1707" t="str">
        <f>_xlfn.XLOOKUP(D1707, Lookups!$A$12:$A$51, Lookups!$C$12:$C$51, "Unknown")</f>
        <v>Electronics</v>
      </c>
      <c r="S1707" t="str">
        <f>IF(ISBLANK(I1707), B1707+VLOOKUP(C1707, Lookups!$A$2:$D$10, 4, FALSE()), I1707)</f>
        <v>2026-02-16</v>
      </c>
      <c r="T1707">
        <f t="shared" si="159"/>
        <v>35</v>
      </c>
      <c r="U1707" t="str">
        <f t="shared" si="160"/>
        <v>Late</v>
      </c>
      <c r="V1707">
        <f t="shared" si="161"/>
        <v>0</v>
      </c>
    </row>
    <row r="1708" spans="1:22" x14ac:dyDescent="0.45">
      <c r="A1708" t="s">
        <v>2555</v>
      </c>
      <c r="B1708" t="s">
        <v>824</v>
      </c>
      <c r="C1708" t="s">
        <v>30</v>
      </c>
      <c r="D1708" t="s">
        <v>88</v>
      </c>
      <c r="E1708" t="s">
        <v>16</v>
      </c>
      <c r="F1708">
        <v>17</v>
      </c>
      <c r="G1708">
        <v>75512</v>
      </c>
      <c r="H1708">
        <v>1283704</v>
      </c>
      <c r="I1708" t="s">
        <v>1357</v>
      </c>
      <c r="J1708" t="s">
        <v>1357</v>
      </c>
      <c r="K1708">
        <v>17</v>
      </c>
      <c r="L1708">
        <v>0</v>
      </c>
      <c r="M1708" t="s">
        <v>115</v>
      </c>
      <c r="N1708" t="str">
        <f t="shared" si="156"/>
        <v>PO-101707</v>
      </c>
      <c r="O1708" t="str">
        <f t="shared" si="157"/>
        <v>Delivered</v>
      </c>
      <c r="P1708" t="str">
        <f t="shared" si="158"/>
        <v>WH-DEL</v>
      </c>
      <c r="Q1708" t="str">
        <f>VLOOKUP(C1708, Lookups!$A$2:$D$10, 2, FALSE())</f>
        <v>TechSupply Corp</v>
      </c>
      <c r="R1708" t="str">
        <f>_xlfn.XLOOKUP(D1708, Lookups!$A$12:$A$51, Lookups!$C$12:$C$51, "Unknown")</f>
        <v>Electronics</v>
      </c>
      <c r="S1708" t="str">
        <f>IF(ISBLANK(I1708), B1708+VLOOKUP(C1708, Lookups!$A$2:$D$10, 4, FALSE()), I1708)</f>
        <v>2026-12-21</v>
      </c>
      <c r="T1708">
        <f t="shared" si="159"/>
        <v>14</v>
      </c>
      <c r="U1708" t="str">
        <f t="shared" si="160"/>
        <v>On-Time</v>
      </c>
      <c r="V1708">
        <f t="shared" si="161"/>
        <v>0</v>
      </c>
    </row>
    <row r="1709" spans="1:22" x14ac:dyDescent="0.45">
      <c r="A1709" t="s">
        <v>2556</v>
      </c>
      <c r="B1709" t="s">
        <v>133</v>
      </c>
      <c r="C1709" t="s">
        <v>35</v>
      </c>
      <c r="D1709" t="s">
        <v>57</v>
      </c>
      <c r="E1709" t="s">
        <v>18</v>
      </c>
      <c r="F1709">
        <v>165</v>
      </c>
      <c r="G1709">
        <v>2212</v>
      </c>
      <c r="H1709">
        <v>364980</v>
      </c>
      <c r="I1709" t="s">
        <v>657</v>
      </c>
      <c r="J1709" t="s">
        <v>657</v>
      </c>
      <c r="K1709">
        <v>165</v>
      </c>
      <c r="L1709">
        <v>0</v>
      </c>
      <c r="M1709" t="s">
        <v>115</v>
      </c>
      <c r="N1709" t="str">
        <f t="shared" si="156"/>
        <v>PO-101708</v>
      </c>
      <c r="O1709" t="str">
        <f t="shared" si="157"/>
        <v>Delivered</v>
      </c>
      <c r="P1709" t="str">
        <f t="shared" si="158"/>
        <v>WH-PUN</v>
      </c>
      <c r="Q1709" t="str">
        <f>VLOOKUP(C1709, Lookups!$A$2:$D$10, 2, FALSE())</f>
        <v>Peripheral Source</v>
      </c>
      <c r="R1709" t="str">
        <f>_xlfn.XLOOKUP(D1709, Lookups!$A$12:$A$51, Lookups!$C$12:$C$51, "Unknown")</f>
        <v>Peripherals</v>
      </c>
      <c r="S1709" t="str">
        <f>IF(ISBLANK(I1709), B1709+VLOOKUP(C1709, Lookups!$A$2:$D$10, 4, FALSE()), I1709)</f>
        <v>2026-09-06</v>
      </c>
      <c r="T1709">
        <f t="shared" si="159"/>
        <v>10</v>
      </c>
      <c r="U1709" t="str">
        <f t="shared" si="160"/>
        <v>On-Time</v>
      </c>
      <c r="V1709">
        <f t="shared" si="161"/>
        <v>0</v>
      </c>
    </row>
    <row r="1710" spans="1:22" x14ac:dyDescent="0.45">
      <c r="A1710" t="s">
        <v>2557</v>
      </c>
      <c r="B1710" t="s">
        <v>798</v>
      </c>
      <c r="C1710" t="s">
        <v>33</v>
      </c>
      <c r="D1710" t="s">
        <v>89</v>
      </c>
      <c r="E1710" t="s">
        <v>16</v>
      </c>
      <c r="F1710">
        <v>237</v>
      </c>
      <c r="G1710">
        <v>11309</v>
      </c>
      <c r="H1710">
        <v>2680233</v>
      </c>
      <c r="I1710" t="s">
        <v>391</v>
      </c>
      <c r="J1710" t="s">
        <v>842</v>
      </c>
      <c r="K1710">
        <v>195</v>
      </c>
      <c r="L1710">
        <v>0</v>
      </c>
      <c r="M1710" t="s">
        <v>115</v>
      </c>
      <c r="N1710" t="str">
        <f t="shared" si="156"/>
        <v>PO-101709</v>
      </c>
      <c r="O1710" t="str">
        <f t="shared" si="157"/>
        <v>Delivered</v>
      </c>
      <c r="P1710" t="str">
        <f t="shared" si="158"/>
        <v>WH-DEL</v>
      </c>
      <c r="Q1710" t="str">
        <f>VLOOKUP(C1710, Lookups!$A$2:$D$10, 2, FALSE())</f>
        <v>MegaFurnish</v>
      </c>
      <c r="R1710" t="str">
        <f>_xlfn.XLOOKUP(D1710, Lookups!$A$12:$A$51, Lookups!$C$12:$C$51, "Unknown")</f>
        <v>Office Furniture</v>
      </c>
      <c r="S1710" t="str">
        <f>IF(ISBLANK(I1710), B1710+VLOOKUP(C1710, Lookups!$A$2:$D$10, 4, FALSE()), I1710)</f>
        <v>2026-06-14</v>
      </c>
      <c r="T1710">
        <f t="shared" si="159"/>
        <v>31</v>
      </c>
      <c r="U1710" t="str">
        <f t="shared" si="160"/>
        <v>Late</v>
      </c>
      <c r="V1710">
        <f t="shared" si="161"/>
        <v>0</v>
      </c>
    </row>
    <row r="1711" spans="1:22" x14ac:dyDescent="0.45">
      <c r="A1711" t="s">
        <v>2558</v>
      </c>
      <c r="B1711" t="s">
        <v>1584</v>
      </c>
      <c r="C1711" t="s">
        <v>36</v>
      </c>
      <c r="D1711" t="s">
        <v>71</v>
      </c>
      <c r="E1711" t="s">
        <v>245</v>
      </c>
      <c r="F1711">
        <v>108</v>
      </c>
      <c r="G1711">
        <v>65379</v>
      </c>
      <c r="H1711">
        <v>7060932</v>
      </c>
      <c r="I1711" t="s">
        <v>320</v>
      </c>
      <c r="J1711" t="s">
        <v>199</v>
      </c>
      <c r="K1711">
        <v>108</v>
      </c>
      <c r="L1711">
        <v>0</v>
      </c>
      <c r="M1711" t="s">
        <v>115</v>
      </c>
      <c r="N1711" t="str">
        <f t="shared" si="156"/>
        <v>PO-101710</v>
      </c>
      <c r="O1711" t="str">
        <f t="shared" si="157"/>
        <v>Delivered</v>
      </c>
      <c r="P1711" t="str">
        <f t="shared" si="158"/>
        <v>WH-BOM</v>
      </c>
      <c r="Q1711" t="str">
        <f>VLOOKUP(C1711, Lookups!$A$2:$D$10, 2, FALSE())</f>
        <v>NextGen Hardware</v>
      </c>
      <c r="R1711" t="str">
        <f>_xlfn.XLOOKUP(D1711, Lookups!$A$12:$A$51, Lookups!$C$12:$C$51, "Unknown")</f>
        <v>Electronics</v>
      </c>
      <c r="S1711" t="str">
        <f>IF(ISBLANK(I1711), B1711+VLOOKUP(C1711, Lookups!$A$2:$D$10, 4, FALSE()), I1711)</f>
        <v>2025-10-15</v>
      </c>
      <c r="T1711">
        <f t="shared" si="159"/>
        <v>25</v>
      </c>
      <c r="U1711" t="str">
        <f t="shared" si="160"/>
        <v>Late</v>
      </c>
      <c r="V1711">
        <f t="shared" si="161"/>
        <v>0</v>
      </c>
    </row>
    <row r="1712" spans="1:22" x14ac:dyDescent="0.45">
      <c r="A1712" t="s">
        <v>2559</v>
      </c>
      <c r="B1712" t="s">
        <v>209</v>
      </c>
      <c r="C1712" t="s">
        <v>34</v>
      </c>
      <c r="D1712" t="s">
        <v>73</v>
      </c>
      <c r="E1712" t="s">
        <v>16</v>
      </c>
      <c r="F1712">
        <v>248</v>
      </c>
      <c r="G1712">
        <v>58396</v>
      </c>
      <c r="H1712">
        <v>14482208</v>
      </c>
      <c r="I1712" t="s">
        <v>210</v>
      </c>
      <c r="J1712" t="s">
        <v>211</v>
      </c>
      <c r="K1712">
        <v>187</v>
      </c>
      <c r="L1712">
        <v>0</v>
      </c>
      <c r="M1712" t="s">
        <v>115</v>
      </c>
      <c r="N1712" t="str">
        <f t="shared" si="156"/>
        <v>PO-101711</v>
      </c>
      <c r="O1712" t="str">
        <f t="shared" si="157"/>
        <v>Delivered</v>
      </c>
      <c r="P1712" t="str">
        <f t="shared" si="158"/>
        <v>WH-DEL</v>
      </c>
      <c r="Q1712" t="str">
        <f>VLOOKUP(C1712, Lookups!$A$2:$D$10, 2, FALSE())</f>
        <v>FastElectronics</v>
      </c>
      <c r="R1712" t="str">
        <f>_xlfn.XLOOKUP(D1712, Lookups!$A$12:$A$51, Lookups!$C$12:$C$51, "Unknown")</f>
        <v>Electronics</v>
      </c>
      <c r="S1712" t="str">
        <f>IF(ISBLANK(I1712), B1712+VLOOKUP(C1712, Lookups!$A$2:$D$10, 4, FALSE()), I1712)</f>
        <v>2025-06-20</v>
      </c>
      <c r="T1712">
        <f t="shared" si="159"/>
        <v>19</v>
      </c>
      <c r="U1712" t="str">
        <f t="shared" si="160"/>
        <v>Late</v>
      </c>
      <c r="V1712">
        <f t="shared" si="161"/>
        <v>0</v>
      </c>
    </row>
    <row r="1713" spans="1:22" x14ac:dyDescent="0.45">
      <c r="A1713" t="s">
        <v>2560</v>
      </c>
      <c r="B1713" t="s">
        <v>1389</v>
      </c>
      <c r="C1713" t="s">
        <v>35</v>
      </c>
      <c r="D1713" t="s">
        <v>75</v>
      </c>
      <c r="E1713" t="s">
        <v>15</v>
      </c>
      <c r="F1713">
        <v>157</v>
      </c>
      <c r="G1713">
        <v>4440</v>
      </c>
      <c r="H1713">
        <v>697080</v>
      </c>
      <c r="I1713" t="s">
        <v>861</v>
      </c>
      <c r="J1713" t="s">
        <v>861</v>
      </c>
      <c r="K1713">
        <v>157</v>
      </c>
      <c r="L1713">
        <v>0</v>
      </c>
      <c r="M1713" t="s">
        <v>115</v>
      </c>
      <c r="N1713" t="str">
        <f t="shared" si="156"/>
        <v>PO-101712</v>
      </c>
      <c r="O1713" t="str">
        <f t="shared" si="157"/>
        <v>Delivered</v>
      </c>
      <c r="P1713" t="str">
        <f t="shared" si="158"/>
        <v>WH-BOM</v>
      </c>
      <c r="Q1713" t="str">
        <f>VLOOKUP(C1713, Lookups!$A$2:$D$10, 2, FALSE())</f>
        <v>Peripheral Source</v>
      </c>
      <c r="R1713" t="str">
        <f>_xlfn.XLOOKUP(D1713, Lookups!$A$12:$A$51, Lookups!$C$12:$C$51, "Unknown")</f>
        <v>Peripherals</v>
      </c>
      <c r="S1713" t="str">
        <f>IF(ISBLANK(I1713), B1713+VLOOKUP(C1713, Lookups!$A$2:$D$10, 4, FALSE()), I1713)</f>
        <v>2026-02-06</v>
      </c>
      <c r="T1713">
        <f t="shared" si="159"/>
        <v>10</v>
      </c>
      <c r="U1713" t="str">
        <f t="shared" si="160"/>
        <v>On-Time</v>
      </c>
      <c r="V1713">
        <f t="shared" si="161"/>
        <v>0</v>
      </c>
    </row>
    <row r="1714" spans="1:22" x14ac:dyDescent="0.45">
      <c r="A1714" t="s">
        <v>2561</v>
      </c>
      <c r="B1714" t="s">
        <v>281</v>
      </c>
      <c r="C1714" t="s">
        <v>35</v>
      </c>
      <c r="D1714" t="s">
        <v>72</v>
      </c>
      <c r="E1714" t="s">
        <v>18</v>
      </c>
      <c r="F1714">
        <v>47</v>
      </c>
      <c r="G1714">
        <v>7754</v>
      </c>
      <c r="H1714">
        <v>364438</v>
      </c>
      <c r="I1714" t="s">
        <v>158</v>
      </c>
      <c r="J1714" t="s">
        <v>158</v>
      </c>
      <c r="K1714">
        <v>47</v>
      </c>
      <c r="L1714">
        <v>0</v>
      </c>
      <c r="M1714" t="s">
        <v>115</v>
      </c>
      <c r="N1714" t="str">
        <f t="shared" si="156"/>
        <v>PO-101713</v>
      </c>
      <c r="O1714" t="str">
        <f t="shared" si="157"/>
        <v>Delivered</v>
      </c>
      <c r="P1714" t="str">
        <f t="shared" si="158"/>
        <v>WH-PUN</v>
      </c>
      <c r="Q1714" t="str">
        <f>VLOOKUP(C1714, Lookups!$A$2:$D$10, 2, FALSE())</f>
        <v>Peripheral Source</v>
      </c>
      <c r="R1714" t="str">
        <f>_xlfn.XLOOKUP(D1714, Lookups!$A$12:$A$51, Lookups!$C$12:$C$51, "Unknown")</f>
        <v>Peripherals</v>
      </c>
      <c r="S1714" t="str">
        <f>IF(ISBLANK(I1714), B1714+VLOOKUP(C1714, Lookups!$A$2:$D$10, 4, FALSE()), I1714)</f>
        <v>2026-11-05</v>
      </c>
      <c r="T1714">
        <f t="shared" si="159"/>
        <v>10</v>
      </c>
      <c r="U1714" t="str">
        <f t="shared" si="160"/>
        <v>On-Time</v>
      </c>
      <c r="V1714">
        <f t="shared" si="161"/>
        <v>0</v>
      </c>
    </row>
    <row r="1715" spans="1:22" x14ac:dyDescent="0.45">
      <c r="A1715" t="s">
        <v>2562</v>
      </c>
      <c r="B1715" t="s">
        <v>162</v>
      </c>
      <c r="C1715" t="s">
        <v>37</v>
      </c>
      <c r="D1715" t="s">
        <v>78</v>
      </c>
      <c r="E1715" t="s">
        <v>15</v>
      </c>
      <c r="F1715">
        <v>204</v>
      </c>
      <c r="G1715">
        <v>9423</v>
      </c>
      <c r="H1715">
        <v>1922292</v>
      </c>
      <c r="I1715" t="s">
        <v>457</v>
      </c>
      <c r="J1715" t="s">
        <v>715</v>
      </c>
      <c r="K1715">
        <v>204</v>
      </c>
      <c r="L1715">
        <v>0</v>
      </c>
      <c r="M1715" t="s">
        <v>115</v>
      </c>
      <c r="N1715" t="str">
        <f t="shared" si="156"/>
        <v>PO-101714</v>
      </c>
      <c r="O1715" t="str">
        <f t="shared" si="157"/>
        <v>Delivered</v>
      </c>
      <c r="P1715" t="str">
        <f t="shared" si="158"/>
        <v>WH-BOM</v>
      </c>
      <c r="Q1715" t="str">
        <f>VLOOKUP(C1715, Lookups!$A$2:$D$10, 2, FALSE())</f>
        <v>Premium Desks Ltd</v>
      </c>
      <c r="R1715" t="str">
        <f>_xlfn.XLOOKUP(D1715, Lookups!$A$12:$A$51, Lookups!$C$12:$C$51, "Unknown")</f>
        <v>Office Furniture</v>
      </c>
      <c r="S1715" t="str">
        <f>IF(ISBLANK(I1715), B1715+VLOOKUP(C1715, Lookups!$A$2:$D$10, 4, FALSE()), I1715)</f>
        <v>2025-06-25</v>
      </c>
      <c r="T1715">
        <f t="shared" si="159"/>
        <v>27</v>
      </c>
      <c r="U1715" t="str">
        <f t="shared" si="160"/>
        <v>Late</v>
      </c>
      <c r="V1715">
        <f t="shared" si="161"/>
        <v>0</v>
      </c>
    </row>
    <row r="1716" spans="1:22" x14ac:dyDescent="0.45">
      <c r="A1716" t="s">
        <v>2563</v>
      </c>
      <c r="B1716" t="s">
        <v>926</v>
      </c>
      <c r="C1716" t="s">
        <v>30</v>
      </c>
      <c r="D1716" t="s">
        <v>59</v>
      </c>
      <c r="E1716" t="s">
        <v>18</v>
      </c>
      <c r="F1716">
        <v>141</v>
      </c>
      <c r="G1716">
        <v>48905</v>
      </c>
      <c r="H1716">
        <v>6895605</v>
      </c>
      <c r="I1716" t="s">
        <v>1092</v>
      </c>
      <c r="J1716" t="s">
        <v>1092</v>
      </c>
      <c r="K1716">
        <v>141</v>
      </c>
      <c r="L1716">
        <v>20</v>
      </c>
      <c r="M1716" t="s">
        <v>115</v>
      </c>
      <c r="N1716" t="str">
        <f t="shared" si="156"/>
        <v>PO-101715</v>
      </c>
      <c r="O1716" t="str">
        <f t="shared" si="157"/>
        <v>Delivered</v>
      </c>
      <c r="P1716" t="str">
        <f t="shared" si="158"/>
        <v>WH-PUN</v>
      </c>
      <c r="Q1716" t="str">
        <f>VLOOKUP(C1716, Lookups!$A$2:$D$10, 2, FALSE())</f>
        <v>TechSupply Corp</v>
      </c>
      <c r="R1716" t="str">
        <f>_xlfn.XLOOKUP(D1716, Lookups!$A$12:$A$51, Lookups!$C$12:$C$51, "Unknown")</f>
        <v>Electronics</v>
      </c>
      <c r="S1716" t="str">
        <f>IF(ISBLANK(I1716), B1716+VLOOKUP(C1716, Lookups!$A$2:$D$10, 4, FALSE()), I1716)</f>
        <v>2025-03-22</v>
      </c>
      <c r="T1716">
        <f t="shared" si="159"/>
        <v>14</v>
      </c>
      <c r="U1716" t="str">
        <f t="shared" si="160"/>
        <v>On-Time</v>
      </c>
      <c r="V1716">
        <f t="shared" si="161"/>
        <v>0.14184397163120568</v>
      </c>
    </row>
    <row r="1717" spans="1:22" x14ac:dyDescent="0.45">
      <c r="A1717" t="s">
        <v>2564</v>
      </c>
      <c r="B1717" t="s">
        <v>1069</v>
      </c>
      <c r="C1717" t="s">
        <v>37</v>
      </c>
      <c r="D1717" t="s">
        <v>79</v>
      </c>
      <c r="E1717" t="s">
        <v>15</v>
      </c>
      <c r="F1717">
        <v>160</v>
      </c>
      <c r="G1717">
        <v>23054</v>
      </c>
      <c r="H1717">
        <v>3688640</v>
      </c>
      <c r="I1717" t="s">
        <v>834</v>
      </c>
      <c r="J1717" t="s">
        <v>235</v>
      </c>
      <c r="K1717">
        <v>160</v>
      </c>
      <c r="L1717">
        <v>18</v>
      </c>
      <c r="M1717" t="s">
        <v>115</v>
      </c>
      <c r="N1717" t="str">
        <f t="shared" si="156"/>
        <v>PO-101716</v>
      </c>
      <c r="O1717" t="str">
        <f t="shared" si="157"/>
        <v>Delivered</v>
      </c>
      <c r="P1717" t="str">
        <f t="shared" si="158"/>
        <v>WH-BOM</v>
      </c>
      <c r="Q1717" t="str">
        <f>VLOOKUP(C1717, Lookups!$A$2:$D$10, 2, FALSE())</f>
        <v>Premium Desks Ltd</v>
      </c>
      <c r="R1717" t="str">
        <f>_xlfn.XLOOKUP(D1717, Lookups!$A$12:$A$51, Lookups!$C$12:$C$51, "Unknown")</f>
        <v>Office Furniture</v>
      </c>
      <c r="S1717" t="str">
        <f>IF(ISBLANK(I1717), B1717+VLOOKUP(C1717, Lookups!$A$2:$D$10, 4, FALSE()), I1717)</f>
        <v>2025-08-26</v>
      </c>
      <c r="T1717">
        <f t="shared" si="159"/>
        <v>13</v>
      </c>
      <c r="U1717" t="str">
        <f t="shared" si="160"/>
        <v>Late</v>
      </c>
      <c r="V1717">
        <f t="shared" si="161"/>
        <v>0.1125</v>
      </c>
    </row>
    <row r="1718" spans="1:22" x14ac:dyDescent="0.45">
      <c r="A1718" t="s">
        <v>2565</v>
      </c>
      <c r="B1718" t="s">
        <v>476</v>
      </c>
      <c r="C1718" t="s">
        <v>34</v>
      </c>
      <c r="D1718" t="s">
        <v>81</v>
      </c>
      <c r="E1718" t="s">
        <v>15</v>
      </c>
      <c r="F1718">
        <v>22</v>
      </c>
      <c r="G1718">
        <v>55328</v>
      </c>
      <c r="H1718">
        <v>1217216</v>
      </c>
      <c r="I1718" t="s">
        <v>477</v>
      </c>
      <c r="J1718" t="s">
        <v>477</v>
      </c>
      <c r="K1718">
        <v>22</v>
      </c>
      <c r="L1718">
        <v>0</v>
      </c>
      <c r="M1718" t="s">
        <v>115</v>
      </c>
      <c r="N1718" t="str">
        <f t="shared" si="156"/>
        <v>PO-101717</v>
      </c>
      <c r="O1718" t="str">
        <f t="shared" si="157"/>
        <v>Delivered</v>
      </c>
      <c r="P1718" t="str">
        <f t="shared" si="158"/>
        <v>WH-BOM</v>
      </c>
      <c r="Q1718" t="str">
        <f>VLOOKUP(C1718, Lookups!$A$2:$D$10, 2, FALSE())</f>
        <v>FastElectronics</v>
      </c>
      <c r="R1718" t="str">
        <f>_xlfn.XLOOKUP(D1718, Lookups!$A$12:$A$51, Lookups!$C$12:$C$51, "Unknown")</f>
        <v>Electronics</v>
      </c>
      <c r="S1718" t="str">
        <f>IF(ISBLANK(I1718), B1718+VLOOKUP(C1718, Lookups!$A$2:$D$10, 4, FALSE()), I1718)</f>
        <v>2025-03-28</v>
      </c>
      <c r="T1718">
        <f t="shared" si="159"/>
        <v>18</v>
      </c>
      <c r="U1718" t="str">
        <f t="shared" si="160"/>
        <v>On-Time</v>
      </c>
      <c r="V1718">
        <f t="shared" si="161"/>
        <v>0</v>
      </c>
    </row>
    <row r="1719" spans="1:22" x14ac:dyDescent="0.45">
      <c r="A1719" t="s">
        <v>2566</v>
      </c>
      <c r="B1719" t="s">
        <v>1639</v>
      </c>
      <c r="C1719" t="s">
        <v>31</v>
      </c>
      <c r="D1719" t="s">
        <v>85</v>
      </c>
      <c r="E1719" t="s">
        <v>15</v>
      </c>
      <c r="F1719">
        <v>98</v>
      </c>
      <c r="G1719">
        <v>16501</v>
      </c>
      <c r="H1719">
        <v>1617098</v>
      </c>
      <c r="I1719" t="s">
        <v>228</v>
      </c>
      <c r="J1719" t="s">
        <v>458</v>
      </c>
      <c r="K1719">
        <v>98</v>
      </c>
      <c r="L1719">
        <v>0</v>
      </c>
      <c r="M1719" t="s">
        <v>115</v>
      </c>
      <c r="N1719" t="str">
        <f t="shared" si="156"/>
        <v>PO-101718</v>
      </c>
      <c r="O1719" t="str">
        <f t="shared" si="157"/>
        <v>Delivered</v>
      </c>
      <c r="P1719" t="str">
        <f t="shared" si="158"/>
        <v>WH-BOM</v>
      </c>
      <c r="Q1719" t="str">
        <f>VLOOKUP(C1719, Lookups!$A$2:$D$10, 2, FALSE())</f>
        <v>Global Networks</v>
      </c>
      <c r="R1719" t="str">
        <f>_xlfn.XLOOKUP(D1719, Lookups!$A$12:$A$51, Lookups!$C$12:$C$51, "Unknown")</f>
        <v>Networking</v>
      </c>
      <c r="S1719" t="str">
        <f>IF(ISBLANK(I1719), B1719+VLOOKUP(C1719, Lookups!$A$2:$D$10, 4, FALSE()), I1719)</f>
        <v>2025-07-13</v>
      </c>
      <c r="T1719">
        <f t="shared" si="159"/>
        <v>22</v>
      </c>
      <c r="U1719" t="str">
        <f t="shared" si="160"/>
        <v>Late</v>
      </c>
      <c r="V1719">
        <f t="shared" si="161"/>
        <v>0</v>
      </c>
    </row>
    <row r="1720" spans="1:22" x14ac:dyDescent="0.45">
      <c r="A1720" t="s">
        <v>2567</v>
      </c>
      <c r="B1720" t="s">
        <v>1405</v>
      </c>
      <c r="C1720" t="s">
        <v>36</v>
      </c>
      <c r="D1720" t="s">
        <v>55</v>
      </c>
      <c r="E1720" t="s">
        <v>15</v>
      </c>
      <c r="F1720">
        <v>81</v>
      </c>
      <c r="G1720">
        <v>58434</v>
      </c>
      <c r="H1720">
        <v>4733154</v>
      </c>
      <c r="I1720" t="s">
        <v>112</v>
      </c>
      <c r="J1720" t="s">
        <v>2281</v>
      </c>
      <c r="K1720">
        <v>81</v>
      </c>
      <c r="L1720">
        <v>0</v>
      </c>
      <c r="M1720" t="s">
        <v>115</v>
      </c>
      <c r="N1720" t="str">
        <f t="shared" si="156"/>
        <v>PO-101719</v>
      </c>
      <c r="O1720" t="str">
        <f t="shared" si="157"/>
        <v>Delivered</v>
      </c>
      <c r="P1720" t="str">
        <f t="shared" si="158"/>
        <v>WH-BOM</v>
      </c>
      <c r="Q1720" t="str">
        <f>VLOOKUP(C1720, Lookups!$A$2:$D$10, 2, FALSE())</f>
        <v>NextGen Hardware</v>
      </c>
      <c r="R1720" t="str">
        <f>_xlfn.XLOOKUP(D1720, Lookups!$A$12:$A$51, Lookups!$C$12:$C$51, "Unknown")</f>
        <v>Electronics</v>
      </c>
      <c r="S1720" t="str">
        <f>IF(ISBLANK(I1720), B1720+VLOOKUP(C1720, Lookups!$A$2:$D$10, 4, FALSE()), I1720)</f>
        <v>2026-06-16</v>
      </c>
      <c r="T1720">
        <f t="shared" si="159"/>
        <v>25</v>
      </c>
      <c r="U1720" t="str">
        <f t="shared" si="160"/>
        <v>Late</v>
      </c>
      <c r="V1720">
        <f t="shared" si="161"/>
        <v>0</v>
      </c>
    </row>
    <row r="1721" spans="1:22" x14ac:dyDescent="0.45">
      <c r="A1721" t="s">
        <v>2568</v>
      </c>
      <c r="B1721" t="s">
        <v>278</v>
      </c>
      <c r="C1721" t="s">
        <v>34</v>
      </c>
      <c r="D1721" t="s">
        <v>58</v>
      </c>
      <c r="E1721" t="s">
        <v>15</v>
      </c>
      <c r="F1721">
        <v>154</v>
      </c>
      <c r="G1721">
        <v>100302</v>
      </c>
      <c r="H1721">
        <v>15446508</v>
      </c>
      <c r="I1721" t="s">
        <v>1281</v>
      </c>
      <c r="J1721" t="s">
        <v>409</v>
      </c>
      <c r="K1721">
        <v>154</v>
      </c>
      <c r="L1721">
        <v>16</v>
      </c>
      <c r="M1721" t="s">
        <v>115</v>
      </c>
      <c r="N1721" t="str">
        <f t="shared" si="156"/>
        <v>PO-101720</v>
      </c>
      <c r="O1721" t="str">
        <f t="shared" si="157"/>
        <v>Delivered</v>
      </c>
      <c r="P1721" t="str">
        <f t="shared" si="158"/>
        <v>WH-BOM</v>
      </c>
      <c r="Q1721" t="str">
        <f>VLOOKUP(C1721, Lookups!$A$2:$D$10, 2, FALSE())</f>
        <v>FastElectronics</v>
      </c>
      <c r="R1721" t="str">
        <f>_xlfn.XLOOKUP(D1721, Lookups!$A$12:$A$51, Lookups!$C$12:$C$51, "Unknown")</f>
        <v>Electronics</v>
      </c>
      <c r="S1721" t="str">
        <f>IF(ISBLANK(I1721), B1721+VLOOKUP(C1721, Lookups!$A$2:$D$10, 4, FALSE()), I1721)</f>
        <v>2025-05-31</v>
      </c>
      <c r="T1721">
        <f t="shared" si="159"/>
        <v>19</v>
      </c>
      <c r="U1721" t="str">
        <f t="shared" si="160"/>
        <v>Late</v>
      </c>
      <c r="V1721">
        <f t="shared" si="161"/>
        <v>0.1038961038961039</v>
      </c>
    </row>
    <row r="1722" spans="1:22" x14ac:dyDescent="0.45">
      <c r="A1722" t="s">
        <v>2569</v>
      </c>
      <c r="B1722" t="s">
        <v>389</v>
      </c>
      <c r="C1722" t="s">
        <v>31</v>
      </c>
      <c r="D1722" t="s">
        <v>64</v>
      </c>
      <c r="E1722" t="s">
        <v>17</v>
      </c>
      <c r="F1722">
        <v>162</v>
      </c>
      <c r="G1722">
        <v>36295</v>
      </c>
      <c r="H1722">
        <v>5879790</v>
      </c>
      <c r="I1722" t="s">
        <v>1003</v>
      </c>
      <c r="J1722" t="s">
        <v>1003</v>
      </c>
      <c r="K1722">
        <v>162</v>
      </c>
      <c r="L1722">
        <v>0</v>
      </c>
      <c r="M1722" t="s">
        <v>115</v>
      </c>
      <c r="N1722" t="str">
        <f t="shared" si="156"/>
        <v>PO-101721</v>
      </c>
      <c r="O1722" t="str">
        <f t="shared" si="157"/>
        <v>Delivered</v>
      </c>
      <c r="P1722" t="str">
        <f t="shared" si="158"/>
        <v>WH-BLR</v>
      </c>
      <c r="Q1722" t="str">
        <f>VLOOKUP(C1722, Lookups!$A$2:$D$10, 2, FALSE())</f>
        <v>Global Networks</v>
      </c>
      <c r="R1722" t="str">
        <f>_xlfn.XLOOKUP(D1722, Lookups!$A$12:$A$51, Lookups!$C$12:$C$51, "Unknown")</f>
        <v>Networking</v>
      </c>
      <c r="S1722" t="str">
        <f>IF(ISBLANK(I1722), B1722+VLOOKUP(C1722, Lookups!$A$2:$D$10, 4, FALSE()), I1722)</f>
        <v>2026-04-27</v>
      </c>
      <c r="T1722">
        <f t="shared" si="159"/>
        <v>21</v>
      </c>
      <c r="U1722" t="str">
        <f t="shared" si="160"/>
        <v>On-Time</v>
      </c>
      <c r="V1722">
        <f t="shared" si="161"/>
        <v>0</v>
      </c>
    </row>
    <row r="1723" spans="1:22" x14ac:dyDescent="0.45">
      <c r="A1723" t="s">
        <v>2570</v>
      </c>
      <c r="B1723" t="s">
        <v>209</v>
      </c>
      <c r="C1723" t="s">
        <v>34</v>
      </c>
      <c r="D1723" t="s">
        <v>54</v>
      </c>
      <c r="E1723" t="s">
        <v>17</v>
      </c>
      <c r="F1723">
        <v>231</v>
      </c>
      <c r="G1723">
        <v>22314</v>
      </c>
      <c r="H1723">
        <v>5154534</v>
      </c>
      <c r="I1723" t="s">
        <v>210</v>
      </c>
      <c r="J1723" t="s">
        <v>210</v>
      </c>
      <c r="K1723">
        <v>231</v>
      </c>
      <c r="L1723">
        <v>0</v>
      </c>
      <c r="M1723" t="s">
        <v>115</v>
      </c>
      <c r="N1723" t="str">
        <f t="shared" si="156"/>
        <v>PO-101722</v>
      </c>
      <c r="O1723" t="str">
        <f t="shared" si="157"/>
        <v>Delivered</v>
      </c>
      <c r="P1723" t="str">
        <f t="shared" si="158"/>
        <v>WH-BLR</v>
      </c>
      <c r="Q1723" t="str">
        <f>VLOOKUP(C1723, Lookups!$A$2:$D$10, 2, FALSE())</f>
        <v>FastElectronics</v>
      </c>
      <c r="R1723" t="str">
        <f>_xlfn.XLOOKUP(D1723, Lookups!$A$12:$A$51, Lookups!$C$12:$C$51, "Unknown")</f>
        <v>Networking</v>
      </c>
      <c r="S1723" t="str">
        <f>IF(ISBLANK(I1723), B1723+VLOOKUP(C1723, Lookups!$A$2:$D$10, 4, FALSE()), I1723)</f>
        <v>2025-06-20</v>
      </c>
      <c r="T1723">
        <f t="shared" si="159"/>
        <v>18</v>
      </c>
      <c r="U1723" t="str">
        <f t="shared" si="160"/>
        <v>On-Time</v>
      </c>
      <c r="V1723">
        <f t="shared" si="161"/>
        <v>0</v>
      </c>
    </row>
    <row r="1724" spans="1:22" x14ac:dyDescent="0.45">
      <c r="A1724" t="s">
        <v>2571</v>
      </c>
      <c r="B1724" t="s">
        <v>172</v>
      </c>
      <c r="C1724" t="s">
        <v>30</v>
      </c>
      <c r="D1724" t="s">
        <v>88</v>
      </c>
      <c r="E1724" t="s">
        <v>18</v>
      </c>
      <c r="F1724">
        <v>214</v>
      </c>
      <c r="G1724">
        <v>75512</v>
      </c>
      <c r="H1724">
        <v>16159568</v>
      </c>
      <c r="I1724" t="s">
        <v>1783</v>
      </c>
      <c r="J1724" t="s">
        <v>1783</v>
      </c>
      <c r="K1724">
        <v>214</v>
      </c>
      <c r="L1724">
        <v>23</v>
      </c>
      <c r="M1724" t="s">
        <v>115</v>
      </c>
      <c r="N1724" t="str">
        <f t="shared" si="156"/>
        <v>PO-101723</v>
      </c>
      <c r="O1724" t="str">
        <f t="shared" si="157"/>
        <v>Delivered</v>
      </c>
      <c r="P1724" t="str">
        <f t="shared" si="158"/>
        <v>WH-PUN</v>
      </c>
      <c r="Q1724" t="str">
        <f>VLOOKUP(C1724, Lookups!$A$2:$D$10, 2, FALSE())</f>
        <v>TechSupply Corp</v>
      </c>
      <c r="R1724" t="str">
        <f>_xlfn.XLOOKUP(D1724, Lookups!$A$12:$A$51, Lookups!$C$12:$C$51, "Unknown")</f>
        <v>Electronics</v>
      </c>
      <c r="S1724" t="str">
        <f>IF(ISBLANK(I1724), B1724+VLOOKUP(C1724, Lookups!$A$2:$D$10, 4, FALSE()), I1724)</f>
        <v>2025-09-17</v>
      </c>
      <c r="T1724">
        <f t="shared" si="159"/>
        <v>14</v>
      </c>
      <c r="U1724" t="str">
        <f t="shared" si="160"/>
        <v>On-Time</v>
      </c>
      <c r="V1724">
        <f t="shared" si="161"/>
        <v>0.10747663551401869</v>
      </c>
    </row>
    <row r="1725" spans="1:22" x14ac:dyDescent="0.45">
      <c r="A1725" t="s">
        <v>2572</v>
      </c>
      <c r="B1725" t="s">
        <v>1454</v>
      </c>
      <c r="C1725" t="s">
        <v>37</v>
      </c>
      <c r="D1725" t="s">
        <v>79</v>
      </c>
      <c r="E1725" t="s">
        <v>18</v>
      </c>
      <c r="F1725">
        <v>201</v>
      </c>
      <c r="G1725">
        <v>23054</v>
      </c>
      <c r="H1725">
        <v>4633854</v>
      </c>
      <c r="I1725" t="s">
        <v>1241</v>
      </c>
      <c r="J1725" t="s">
        <v>1247</v>
      </c>
      <c r="K1725">
        <v>201</v>
      </c>
      <c r="L1725">
        <v>0</v>
      </c>
      <c r="M1725" t="s">
        <v>115</v>
      </c>
      <c r="N1725" t="str">
        <f t="shared" si="156"/>
        <v>PO-101724</v>
      </c>
      <c r="O1725" t="str">
        <f t="shared" si="157"/>
        <v>Delivered</v>
      </c>
      <c r="P1725" t="str">
        <f t="shared" si="158"/>
        <v>WH-PUN</v>
      </c>
      <c r="Q1725" t="str">
        <f>VLOOKUP(C1725, Lookups!$A$2:$D$10, 2, FALSE())</f>
        <v>Premium Desks Ltd</v>
      </c>
      <c r="R1725" t="str">
        <f>_xlfn.XLOOKUP(D1725, Lookups!$A$12:$A$51, Lookups!$C$12:$C$51, "Unknown")</f>
        <v>Office Furniture</v>
      </c>
      <c r="S1725" t="str">
        <f>IF(ISBLANK(I1725), B1725+VLOOKUP(C1725, Lookups!$A$2:$D$10, 4, FALSE()), I1725)</f>
        <v>2025-05-01</v>
      </c>
      <c r="T1725">
        <f t="shared" si="159"/>
        <v>13</v>
      </c>
      <c r="U1725" t="str">
        <f t="shared" si="160"/>
        <v>Late</v>
      </c>
      <c r="V1725">
        <f t="shared" si="161"/>
        <v>0</v>
      </c>
    </row>
    <row r="1726" spans="1:22" x14ac:dyDescent="0.45">
      <c r="A1726" t="s">
        <v>2573</v>
      </c>
      <c r="B1726" t="s">
        <v>289</v>
      </c>
      <c r="C1726" t="s">
        <v>30</v>
      </c>
      <c r="D1726" t="s">
        <v>59</v>
      </c>
      <c r="E1726" t="s">
        <v>16</v>
      </c>
      <c r="F1726">
        <v>197</v>
      </c>
      <c r="G1726">
        <v>48905</v>
      </c>
      <c r="H1726">
        <v>9634285</v>
      </c>
      <c r="I1726" t="s">
        <v>141</v>
      </c>
      <c r="J1726" t="s">
        <v>1740</v>
      </c>
      <c r="K1726">
        <v>197</v>
      </c>
      <c r="L1726">
        <v>0</v>
      </c>
      <c r="M1726" t="s">
        <v>115</v>
      </c>
      <c r="N1726" t="str">
        <f t="shared" si="156"/>
        <v>PO-101725</v>
      </c>
      <c r="O1726" t="str">
        <f t="shared" si="157"/>
        <v>Delivered</v>
      </c>
      <c r="P1726" t="str">
        <f t="shared" si="158"/>
        <v>WH-DEL</v>
      </c>
      <c r="Q1726" t="str">
        <f>VLOOKUP(C1726, Lookups!$A$2:$D$10, 2, FALSE())</f>
        <v>TechSupply Corp</v>
      </c>
      <c r="R1726" t="str">
        <f>_xlfn.XLOOKUP(D1726, Lookups!$A$12:$A$51, Lookups!$C$12:$C$51, "Unknown")</f>
        <v>Electronics</v>
      </c>
      <c r="S1726" t="str">
        <f>IF(ISBLANK(I1726), B1726+VLOOKUP(C1726, Lookups!$A$2:$D$10, 4, FALSE()), I1726)</f>
        <v>2026-07-23</v>
      </c>
      <c r="T1726">
        <f t="shared" si="159"/>
        <v>27</v>
      </c>
      <c r="U1726" t="str">
        <f t="shared" si="160"/>
        <v>Late</v>
      </c>
      <c r="V1726">
        <f t="shared" si="161"/>
        <v>0</v>
      </c>
    </row>
    <row r="1727" spans="1:22" x14ac:dyDescent="0.45">
      <c r="A1727" t="s">
        <v>2574</v>
      </c>
      <c r="B1727" t="s">
        <v>199</v>
      </c>
      <c r="C1727" t="s">
        <v>37</v>
      </c>
      <c r="D1727" t="s">
        <v>83</v>
      </c>
      <c r="E1727" t="s">
        <v>18</v>
      </c>
      <c r="F1727">
        <v>165</v>
      </c>
      <c r="G1727">
        <v>19850</v>
      </c>
      <c r="H1727">
        <v>3275250</v>
      </c>
      <c r="I1727" t="s">
        <v>154</v>
      </c>
      <c r="J1727" t="s">
        <v>988</v>
      </c>
      <c r="K1727">
        <v>165</v>
      </c>
      <c r="L1727">
        <v>0</v>
      </c>
      <c r="M1727" t="s">
        <v>166</v>
      </c>
      <c r="N1727" t="str">
        <f t="shared" si="156"/>
        <v>PO-101726</v>
      </c>
      <c r="O1727" t="str">
        <f t="shared" si="157"/>
        <v>Delivered</v>
      </c>
      <c r="P1727" t="str">
        <f t="shared" si="158"/>
        <v>WH-PUN</v>
      </c>
      <c r="Q1727" t="str">
        <f>VLOOKUP(C1727, Lookups!$A$2:$D$10, 2, FALSE())</f>
        <v>Premium Desks Ltd</v>
      </c>
      <c r="R1727" t="str">
        <f>_xlfn.XLOOKUP(D1727, Lookups!$A$12:$A$51, Lookups!$C$12:$C$51, "Unknown")</f>
        <v>Office Furniture</v>
      </c>
      <c r="S1727" t="str">
        <f>IF(ISBLANK(I1727), B1727+VLOOKUP(C1727, Lookups!$A$2:$D$10, 4, FALSE()), I1727)</f>
        <v>2025-10-28</v>
      </c>
      <c r="T1727">
        <f t="shared" si="159"/>
        <v>13</v>
      </c>
      <c r="U1727" t="str">
        <f t="shared" si="160"/>
        <v>Late</v>
      </c>
      <c r="V1727">
        <f t="shared" si="161"/>
        <v>0</v>
      </c>
    </row>
    <row r="1728" spans="1:22" x14ac:dyDescent="0.45">
      <c r="A1728" t="s">
        <v>2575</v>
      </c>
      <c r="B1728" t="s">
        <v>113</v>
      </c>
      <c r="C1728" t="s">
        <v>32</v>
      </c>
      <c r="D1728" t="s">
        <v>67</v>
      </c>
      <c r="E1728" t="s">
        <v>17</v>
      </c>
      <c r="F1728">
        <v>108</v>
      </c>
      <c r="G1728">
        <v>1553</v>
      </c>
      <c r="H1728">
        <v>167724</v>
      </c>
      <c r="I1728" t="s">
        <v>196</v>
      </c>
      <c r="J1728" t="s">
        <v>290</v>
      </c>
      <c r="K1728">
        <v>108</v>
      </c>
      <c r="L1728">
        <v>0</v>
      </c>
      <c r="M1728" t="s">
        <v>115</v>
      </c>
      <c r="N1728" t="str">
        <f t="shared" si="156"/>
        <v>PO-101727</v>
      </c>
      <c r="O1728" t="str">
        <f t="shared" si="157"/>
        <v>Delivered</v>
      </c>
      <c r="P1728" t="str">
        <f t="shared" si="158"/>
        <v>WH-BLR</v>
      </c>
      <c r="Q1728" t="str">
        <f>VLOOKUP(C1728, Lookups!$A$2:$D$10, 2, FALSE())</f>
        <v>OfficeDepot Pro</v>
      </c>
      <c r="R1728" t="str">
        <f>_xlfn.XLOOKUP(D1728, Lookups!$A$12:$A$51, Lookups!$C$12:$C$51, "Unknown")</f>
        <v>Peripherals</v>
      </c>
      <c r="S1728" t="str">
        <f>IF(ISBLANK(I1728), B1728+VLOOKUP(C1728, Lookups!$A$2:$D$10, 4, FALSE()), I1728)</f>
        <v>2026-07-11</v>
      </c>
      <c r="T1728">
        <f t="shared" si="159"/>
        <v>8</v>
      </c>
      <c r="U1728" t="str">
        <f t="shared" si="160"/>
        <v>Late</v>
      </c>
      <c r="V1728">
        <f t="shared" si="161"/>
        <v>0</v>
      </c>
    </row>
    <row r="1729" spans="1:22" x14ac:dyDescent="0.45">
      <c r="A1729" t="s">
        <v>2576</v>
      </c>
      <c r="B1729" t="s">
        <v>524</v>
      </c>
      <c r="C1729" t="s">
        <v>34</v>
      </c>
      <c r="D1729" t="s">
        <v>54</v>
      </c>
      <c r="E1729" t="s">
        <v>245</v>
      </c>
      <c r="F1729">
        <v>166</v>
      </c>
      <c r="G1729">
        <v>22314</v>
      </c>
      <c r="H1729">
        <v>3704124</v>
      </c>
      <c r="I1729" t="s">
        <v>486</v>
      </c>
      <c r="J1729" t="s">
        <v>240</v>
      </c>
      <c r="K1729">
        <v>166</v>
      </c>
      <c r="L1729">
        <v>0</v>
      </c>
      <c r="M1729" t="s">
        <v>115</v>
      </c>
      <c r="N1729" t="str">
        <f t="shared" si="156"/>
        <v>PO-101728</v>
      </c>
      <c r="O1729" t="str">
        <f t="shared" si="157"/>
        <v>Delivered</v>
      </c>
      <c r="P1729" t="str">
        <f t="shared" si="158"/>
        <v>WH-BOM</v>
      </c>
      <c r="Q1729" t="str">
        <f>VLOOKUP(C1729, Lookups!$A$2:$D$10, 2, FALSE())</f>
        <v>FastElectronics</v>
      </c>
      <c r="R1729" t="str">
        <f>_xlfn.XLOOKUP(D1729, Lookups!$A$12:$A$51, Lookups!$C$12:$C$51, "Unknown")</f>
        <v>Networking</v>
      </c>
      <c r="S1729" t="str">
        <f>IF(ISBLANK(I1729), B1729+VLOOKUP(C1729, Lookups!$A$2:$D$10, 4, FALSE()), I1729)</f>
        <v>2025-06-16</v>
      </c>
      <c r="T1729">
        <f t="shared" si="159"/>
        <v>17</v>
      </c>
      <c r="U1729" t="str">
        <f t="shared" si="160"/>
        <v>On-Time</v>
      </c>
      <c r="V1729">
        <f t="shared" si="161"/>
        <v>0</v>
      </c>
    </row>
    <row r="1730" spans="1:22" x14ac:dyDescent="0.45">
      <c r="A1730" t="s">
        <v>2577</v>
      </c>
      <c r="B1730" t="s">
        <v>334</v>
      </c>
      <c r="C1730" t="s">
        <v>30</v>
      </c>
      <c r="D1730" t="s">
        <v>59</v>
      </c>
      <c r="E1730" t="s">
        <v>16</v>
      </c>
      <c r="F1730">
        <v>107</v>
      </c>
      <c r="G1730">
        <v>48905</v>
      </c>
      <c r="H1730">
        <v>5232835</v>
      </c>
      <c r="I1730" t="s">
        <v>520</v>
      </c>
      <c r="J1730" t="s">
        <v>520</v>
      </c>
      <c r="K1730">
        <v>107</v>
      </c>
      <c r="L1730">
        <v>0</v>
      </c>
      <c r="M1730" t="s">
        <v>115</v>
      </c>
      <c r="N1730" t="str">
        <f t="shared" ref="N1730:N1793" si="162">TRIM(A1730)</f>
        <v>PO-101729</v>
      </c>
      <c r="O1730" t="str">
        <f t="shared" ref="O1730:O1793" si="163">PROPER(TRIM(M1730))</f>
        <v>Delivered</v>
      </c>
      <c r="P1730" t="str">
        <f t="shared" ref="P1730:P1793" si="164">TRIM(E1730)</f>
        <v>WH-DEL</v>
      </c>
      <c r="Q1730" t="str">
        <f>VLOOKUP(C1730, Lookups!$A$2:$D$10, 2, FALSE())</f>
        <v>TechSupply Corp</v>
      </c>
      <c r="R1730" t="str">
        <f>_xlfn.XLOOKUP(D1730, Lookups!$A$12:$A$51, Lookups!$C$12:$C$51, "Unknown")</f>
        <v>Electronics</v>
      </c>
      <c r="S1730" t="str">
        <f>IF(ISBLANK(I1730), B1730+VLOOKUP(C1730, Lookups!$A$2:$D$10, 4, FALSE()), I1730)</f>
        <v>2026-08-29</v>
      </c>
      <c r="T1730">
        <f t="shared" ref="T1730:T1793" si="165">IF(ISBLANK(J1730), "", J1730-B1730)</f>
        <v>14</v>
      </c>
      <c r="U1730" t="str">
        <f t="shared" ref="U1730:U1793" si="166">IF(O1730="Open", "Open", IF(J1730&gt;S1730, "Late", "On-Time"))</f>
        <v>On-Time</v>
      </c>
      <c r="V1730">
        <f t="shared" ref="V1730:V1793" si="167">IF(K1730&gt;0, L1730/K1730, 0)</f>
        <v>0</v>
      </c>
    </row>
    <row r="1731" spans="1:22" x14ac:dyDescent="0.45">
      <c r="A1731" t="s">
        <v>2578</v>
      </c>
      <c r="B1731" t="s">
        <v>348</v>
      </c>
      <c r="C1731" t="s">
        <v>30</v>
      </c>
      <c r="D1731" t="s">
        <v>88</v>
      </c>
      <c r="E1731" t="s">
        <v>16</v>
      </c>
      <c r="F1731">
        <v>63</v>
      </c>
      <c r="G1731">
        <v>75512</v>
      </c>
      <c r="H1731">
        <v>4757256</v>
      </c>
      <c r="I1731" t="s">
        <v>657</v>
      </c>
      <c r="J1731" t="s">
        <v>657</v>
      </c>
      <c r="K1731">
        <v>63</v>
      </c>
      <c r="L1731">
        <v>9</v>
      </c>
      <c r="M1731" t="s">
        <v>115</v>
      </c>
      <c r="N1731" t="str">
        <f t="shared" si="162"/>
        <v>PO-101730</v>
      </c>
      <c r="O1731" t="str">
        <f t="shared" si="163"/>
        <v>Delivered</v>
      </c>
      <c r="P1731" t="str">
        <f t="shared" si="164"/>
        <v>WH-DEL</v>
      </c>
      <c r="Q1731" t="str">
        <f>VLOOKUP(C1731, Lookups!$A$2:$D$10, 2, FALSE())</f>
        <v>TechSupply Corp</v>
      </c>
      <c r="R1731" t="str">
        <f>_xlfn.XLOOKUP(D1731, Lookups!$A$12:$A$51, Lookups!$C$12:$C$51, "Unknown")</f>
        <v>Electronics</v>
      </c>
      <c r="S1731" t="str">
        <f>IF(ISBLANK(I1731), B1731+VLOOKUP(C1731, Lookups!$A$2:$D$10, 4, FALSE()), I1731)</f>
        <v>2026-09-06</v>
      </c>
      <c r="T1731">
        <f t="shared" si="165"/>
        <v>14</v>
      </c>
      <c r="U1731" t="str">
        <f t="shared" si="166"/>
        <v>On-Time</v>
      </c>
      <c r="V1731">
        <f t="shared" si="167"/>
        <v>0.14285714285714285</v>
      </c>
    </row>
    <row r="1732" spans="1:22" x14ac:dyDescent="0.45">
      <c r="A1732" t="s">
        <v>2579</v>
      </c>
      <c r="B1732" t="s">
        <v>1432</v>
      </c>
      <c r="C1732" t="s">
        <v>36</v>
      </c>
      <c r="D1732" t="s">
        <v>87</v>
      </c>
      <c r="E1732" t="s">
        <v>16</v>
      </c>
      <c r="F1732">
        <v>20</v>
      </c>
      <c r="G1732">
        <v>82930</v>
      </c>
      <c r="H1732">
        <v>1658600</v>
      </c>
      <c r="I1732" t="s">
        <v>416</v>
      </c>
      <c r="J1732" t="s">
        <v>1661</v>
      </c>
      <c r="K1732">
        <v>20</v>
      </c>
      <c r="L1732">
        <v>0</v>
      </c>
      <c r="M1732" t="s">
        <v>115</v>
      </c>
      <c r="N1732" t="str">
        <f t="shared" si="162"/>
        <v>PO-101731</v>
      </c>
      <c r="O1732" t="str">
        <f t="shared" si="163"/>
        <v>Delivered</v>
      </c>
      <c r="P1732" t="str">
        <f t="shared" si="164"/>
        <v>WH-DEL</v>
      </c>
      <c r="Q1732" t="str">
        <f>VLOOKUP(C1732, Lookups!$A$2:$D$10, 2, FALSE())</f>
        <v>NextGen Hardware</v>
      </c>
      <c r="R1732" t="str">
        <f>_xlfn.XLOOKUP(D1732, Lookups!$A$12:$A$51, Lookups!$C$12:$C$51, "Unknown")</f>
        <v>Electronics</v>
      </c>
      <c r="S1732" t="str">
        <f>IF(ISBLANK(I1732), B1732+VLOOKUP(C1732, Lookups!$A$2:$D$10, 4, FALSE()), I1732)</f>
        <v>2026-05-29</v>
      </c>
      <c r="T1732">
        <f t="shared" si="165"/>
        <v>25</v>
      </c>
      <c r="U1732" t="str">
        <f t="shared" si="166"/>
        <v>Late</v>
      </c>
      <c r="V1732">
        <f t="shared" si="167"/>
        <v>0</v>
      </c>
    </row>
    <row r="1733" spans="1:22" x14ac:dyDescent="0.45">
      <c r="A1733" t="s">
        <v>2580</v>
      </c>
      <c r="B1733" t="s">
        <v>723</v>
      </c>
      <c r="C1733" t="s">
        <v>35</v>
      </c>
      <c r="D1733" t="s">
        <v>75</v>
      </c>
      <c r="E1733" t="s">
        <v>16</v>
      </c>
      <c r="F1733">
        <v>70</v>
      </c>
      <c r="G1733">
        <v>4440</v>
      </c>
      <c r="H1733">
        <v>310800</v>
      </c>
      <c r="I1733" t="s">
        <v>1048</v>
      </c>
      <c r="J1733" t="s">
        <v>798</v>
      </c>
      <c r="K1733">
        <v>70</v>
      </c>
      <c r="L1733">
        <v>0</v>
      </c>
      <c r="M1733" t="s">
        <v>115</v>
      </c>
      <c r="N1733" t="str">
        <f t="shared" si="162"/>
        <v>PO-101732</v>
      </c>
      <c r="O1733" t="str">
        <f t="shared" si="163"/>
        <v>Delivered</v>
      </c>
      <c r="P1733" t="str">
        <f t="shared" si="164"/>
        <v>WH-DEL</v>
      </c>
      <c r="Q1733" t="str">
        <f>VLOOKUP(C1733, Lookups!$A$2:$D$10, 2, FALSE())</f>
        <v>Peripheral Source</v>
      </c>
      <c r="R1733" t="str">
        <f>_xlfn.XLOOKUP(D1733, Lookups!$A$12:$A$51, Lookups!$C$12:$C$51, "Unknown")</f>
        <v>Peripherals</v>
      </c>
      <c r="S1733" t="str">
        <f>IF(ISBLANK(I1733), B1733+VLOOKUP(C1733, Lookups!$A$2:$D$10, 4, FALSE()), I1733)</f>
        <v>2026-05-14</v>
      </c>
      <c r="T1733">
        <f t="shared" si="165"/>
        <v>11</v>
      </c>
      <c r="U1733" t="str">
        <f t="shared" si="166"/>
        <v>Late</v>
      </c>
      <c r="V1733">
        <f t="shared" si="167"/>
        <v>0</v>
      </c>
    </row>
    <row r="1734" spans="1:22" x14ac:dyDescent="0.45">
      <c r="A1734" t="s">
        <v>2581</v>
      </c>
      <c r="B1734" t="s">
        <v>565</v>
      </c>
      <c r="C1734" t="s">
        <v>35</v>
      </c>
      <c r="D1734" t="s">
        <v>60</v>
      </c>
      <c r="E1734" t="s">
        <v>17</v>
      </c>
      <c r="F1734">
        <v>208</v>
      </c>
      <c r="G1734">
        <v>3291</v>
      </c>
      <c r="H1734">
        <v>684528</v>
      </c>
      <c r="I1734" t="s">
        <v>380</v>
      </c>
      <c r="J1734" t="s">
        <v>189</v>
      </c>
      <c r="K1734">
        <v>208</v>
      </c>
      <c r="L1734">
        <v>0</v>
      </c>
      <c r="M1734" t="s">
        <v>301</v>
      </c>
      <c r="N1734" t="str">
        <f t="shared" si="162"/>
        <v>PO-101733</v>
      </c>
      <c r="O1734" t="str">
        <f t="shared" si="163"/>
        <v>Delivered</v>
      </c>
      <c r="P1734" t="str">
        <f t="shared" si="164"/>
        <v>WH-BLR</v>
      </c>
      <c r="Q1734" t="str">
        <f>VLOOKUP(C1734, Lookups!$A$2:$D$10, 2, FALSE())</f>
        <v>Peripheral Source</v>
      </c>
      <c r="R1734" t="str">
        <f>_xlfn.XLOOKUP(D1734, Lookups!$A$12:$A$51, Lookups!$C$12:$C$51, "Unknown")</f>
        <v>Peripherals</v>
      </c>
      <c r="S1734" t="str">
        <f>IF(ISBLANK(I1734), B1734+VLOOKUP(C1734, Lookups!$A$2:$D$10, 4, FALSE()), I1734)</f>
        <v>2025-03-06</v>
      </c>
      <c r="T1734">
        <f t="shared" si="165"/>
        <v>11</v>
      </c>
      <c r="U1734" t="str">
        <f t="shared" si="166"/>
        <v>Late</v>
      </c>
      <c r="V1734">
        <f t="shared" si="167"/>
        <v>0</v>
      </c>
    </row>
    <row r="1735" spans="1:22" x14ac:dyDescent="0.45">
      <c r="A1735" t="s">
        <v>2582</v>
      </c>
      <c r="B1735" t="s">
        <v>480</v>
      </c>
      <c r="C1735" t="s">
        <v>36</v>
      </c>
      <c r="D1735" t="s">
        <v>63</v>
      </c>
      <c r="E1735" t="s">
        <v>16</v>
      </c>
      <c r="F1735">
        <v>113</v>
      </c>
      <c r="G1735">
        <v>71062</v>
      </c>
      <c r="H1735">
        <v>8030006</v>
      </c>
      <c r="I1735" t="s">
        <v>831</v>
      </c>
      <c r="J1735" t="s">
        <v>831</v>
      </c>
      <c r="K1735">
        <v>113</v>
      </c>
      <c r="L1735">
        <v>0</v>
      </c>
      <c r="M1735" t="s">
        <v>115</v>
      </c>
      <c r="N1735" t="str">
        <f t="shared" si="162"/>
        <v>PO-101734</v>
      </c>
      <c r="O1735" t="str">
        <f t="shared" si="163"/>
        <v>Delivered</v>
      </c>
      <c r="P1735" t="str">
        <f t="shared" si="164"/>
        <v>WH-DEL</v>
      </c>
      <c r="Q1735" t="str">
        <f>VLOOKUP(C1735, Lookups!$A$2:$D$10, 2, FALSE())</f>
        <v>NextGen Hardware</v>
      </c>
      <c r="R1735" t="str">
        <f>_xlfn.XLOOKUP(D1735, Lookups!$A$12:$A$51, Lookups!$C$12:$C$51, "Unknown")</f>
        <v>Electronics</v>
      </c>
      <c r="S1735" t="str">
        <f>IF(ISBLANK(I1735), B1735+VLOOKUP(C1735, Lookups!$A$2:$D$10, 4, FALSE()), I1735)</f>
        <v>2025-05-21</v>
      </c>
      <c r="T1735">
        <f t="shared" si="165"/>
        <v>24</v>
      </c>
      <c r="U1735" t="str">
        <f t="shared" si="166"/>
        <v>On-Time</v>
      </c>
      <c r="V1735">
        <f t="shared" si="167"/>
        <v>0</v>
      </c>
    </row>
    <row r="1736" spans="1:22" x14ac:dyDescent="0.45">
      <c r="A1736" t="s">
        <v>2583</v>
      </c>
      <c r="B1736" t="s">
        <v>203</v>
      </c>
      <c r="C1736" t="s">
        <v>31</v>
      </c>
      <c r="D1736" t="s">
        <v>66</v>
      </c>
      <c r="E1736" t="s">
        <v>16</v>
      </c>
      <c r="F1736">
        <v>214</v>
      </c>
      <c r="G1736">
        <v>29719</v>
      </c>
      <c r="H1736">
        <v>6359866</v>
      </c>
      <c r="I1736" t="s">
        <v>688</v>
      </c>
      <c r="J1736" t="s">
        <v>900</v>
      </c>
      <c r="K1736">
        <v>214</v>
      </c>
      <c r="L1736">
        <v>0</v>
      </c>
      <c r="M1736" t="s">
        <v>115</v>
      </c>
      <c r="N1736" t="str">
        <f t="shared" si="162"/>
        <v>PO-101735</v>
      </c>
      <c r="O1736" t="str">
        <f t="shared" si="163"/>
        <v>Delivered</v>
      </c>
      <c r="P1736" t="str">
        <f t="shared" si="164"/>
        <v>WH-DEL</v>
      </c>
      <c r="Q1736" t="str">
        <f>VLOOKUP(C1736, Lookups!$A$2:$D$10, 2, FALSE())</f>
        <v>Global Networks</v>
      </c>
      <c r="R1736" t="str">
        <f>_xlfn.XLOOKUP(D1736, Lookups!$A$12:$A$51, Lookups!$C$12:$C$51, "Unknown")</f>
        <v>Networking</v>
      </c>
      <c r="S1736" t="str">
        <f>IF(ISBLANK(I1736), B1736+VLOOKUP(C1736, Lookups!$A$2:$D$10, 4, FALSE()), I1736)</f>
        <v>2026-04-29</v>
      </c>
      <c r="T1736">
        <f t="shared" si="165"/>
        <v>32</v>
      </c>
      <c r="U1736" t="str">
        <f t="shared" si="166"/>
        <v>Late</v>
      </c>
      <c r="V1736">
        <f t="shared" si="167"/>
        <v>0</v>
      </c>
    </row>
    <row r="1737" spans="1:22" x14ac:dyDescent="0.45">
      <c r="A1737" t="s">
        <v>2584</v>
      </c>
      <c r="B1737" t="s">
        <v>855</v>
      </c>
      <c r="C1737" t="s">
        <v>32</v>
      </c>
      <c r="D1737" t="s">
        <v>84</v>
      </c>
      <c r="E1737" t="s">
        <v>18</v>
      </c>
      <c r="F1737">
        <v>95</v>
      </c>
      <c r="G1737">
        <v>7271</v>
      </c>
      <c r="H1737">
        <v>690745</v>
      </c>
      <c r="I1737" t="s">
        <v>218</v>
      </c>
      <c r="J1737" t="s">
        <v>218</v>
      </c>
      <c r="K1737">
        <v>95</v>
      </c>
      <c r="L1737">
        <v>0</v>
      </c>
      <c r="M1737" t="s">
        <v>115</v>
      </c>
      <c r="N1737" t="str">
        <f t="shared" si="162"/>
        <v>PO-101736</v>
      </c>
      <c r="O1737" t="str">
        <f t="shared" si="163"/>
        <v>Delivered</v>
      </c>
      <c r="P1737" t="str">
        <f t="shared" si="164"/>
        <v>WH-PUN</v>
      </c>
      <c r="Q1737" t="str">
        <f>VLOOKUP(C1737, Lookups!$A$2:$D$10, 2, FALSE())</f>
        <v>OfficeDepot Pro</v>
      </c>
      <c r="R1737" t="str">
        <f>_xlfn.XLOOKUP(D1737, Lookups!$A$12:$A$51, Lookups!$C$12:$C$51, "Unknown")</f>
        <v>Peripherals</v>
      </c>
      <c r="S1737" t="str">
        <f>IF(ISBLANK(I1737), B1737+VLOOKUP(C1737, Lookups!$A$2:$D$10, 4, FALSE()), I1737)</f>
        <v>2026-04-24</v>
      </c>
      <c r="T1737">
        <f t="shared" si="165"/>
        <v>7</v>
      </c>
      <c r="U1737" t="str">
        <f t="shared" si="166"/>
        <v>On-Time</v>
      </c>
      <c r="V1737">
        <f t="shared" si="167"/>
        <v>0</v>
      </c>
    </row>
    <row r="1738" spans="1:22" x14ac:dyDescent="0.45">
      <c r="A1738" t="s">
        <v>2585</v>
      </c>
      <c r="B1738" t="s">
        <v>244</v>
      </c>
      <c r="C1738" t="s">
        <v>34</v>
      </c>
      <c r="D1738" t="s">
        <v>80</v>
      </c>
      <c r="E1738" t="s">
        <v>17</v>
      </c>
      <c r="F1738">
        <v>224</v>
      </c>
      <c r="G1738">
        <v>19090</v>
      </c>
      <c r="H1738">
        <v>4276160</v>
      </c>
      <c r="I1738" t="s">
        <v>988</v>
      </c>
      <c r="J1738" t="s">
        <v>988</v>
      </c>
      <c r="K1738">
        <v>224</v>
      </c>
      <c r="L1738">
        <v>0</v>
      </c>
      <c r="M1738" t="s">
        <v>115</v>
      </c>
      <c r="N1738" t="str">
        <f t="shared" si="162"/>
        <v>PO-101737</v>
      </c>
      <c r="O1738" t="str">
        <f t="shared" si="163"/>
        <v>Delivered</v>
      </c>
      <c r="P1738" t="str">
        <f t="shared" si="164"/>
        <v>WH-BLR</v>
      </c>
      <c r="Q1738" t="str">
        <f>VLOOKUP(C1738, Lookups!$A$2:$D$10, 2, FALSE())</f>
        <v>FastElectronics</v>
      </c>
      <c r="R1738" t="str">
        <f>_xlfn.XLOOKUP(D1738, Lookups!$A$12:$A$51, Lookups!$C$12:$C$51, "Unknown")</f>
        <v>Networking</v>
      </c>
      <c r="S1738" t="str">
        <f>IF(ISBLANK(I1738), B1738+VLOOKUP(C1738, Lookups!$A$2:$D$10, 4, FALSE()), I1738)</f>
        <v>2025-10-29</v>
      </c>
      <c r="T1738">
        <f t="shared" si="165"/>
        <v>18</v>
      </c>
      <c r="U1738" t="str">
        <f t="shared" si="166"/>
        <v>On-Time</v>
      </c>
      <c r="V1738">
        <f t="shared" si="167"/>
        <v>0</v>
      </c>
    </row>
    <row r="1739" spans="1:22" x14ac:dyDescent="0.45">
      <c r="A1739" t="s">
        <v>2586</v>
      </c>
      <c r="B1739" t="s">
        <v>383</v>
      </c>
      <c r="C1739" t="s">
        <v>37</v>
      </c>
      <c r="D1739" t="s">
        <v>83</v>
      </c>
      <c r="E1739" t="s">
        <v>18</v>
      </c>
      <c r="F1739">
        <v>209</v>
      </c>
      <c r="G1739">
        <v>19850</v>
      </c>
      <c r="H1739">
        <v>4148650</v>
      </c>
      <c r="K1739">
        <v>0</v>
      </c>
      <c r="L1739">
        <v>0</v>
      </c>
      <c r="M1739" t="s">
        <v>297</v>
      </c>
      <c r="N1739" t="str">
        <f t="shared" si="162"/>
        <v>PO-101738</v>
      </c>
      <c r="O1739" t="str">
        <f t="shared" si="163"/>
        <v>Open</v>
      </c>
      <c r="P1739" t="str">
        <f t="shared" si="164"/>
        <v>WH-PUN</v>
      </c>
      <c r="Q1739" t="str">
        <f>VLOOKUP(C1739, Lookups!$A$2:$D$10, 2, FALSE())</f>
        <v>Premium Desks Ltd</v>
      </c>
      <c r="R1739" t="str">
        <f>_xlfn.XLOOKUP(D1739, Lookups!$A$12:$A$51, Lookups!$C$12:$C$51, "Unknown")</f>
        <v>Office Furniture</v>
      </c>
      <c r="S1739">
        <f>IF(ISBLANK(I1739), B1739+VLOOKUP(C1739, Lookups!$A$2:$D$10, 4, FALSE()), I1739)</f>
        <v>46379</v>
      </c>
      <c r="T1739" t="str">
        <f t="shared" si="165"/>
        <v/>
      </c>
      <c r="U1739" t="str">
        <f t="shared" si="166"/>
        <v>Open</v>
      </c>
      <c r="V1739">
        <f t="shared" si="167"/>
        <v>0</v>
      </c>
    </row>
    <row r="1740" spans="1:22" x14ac:dyDescent="0.45">
      <c r="A1740" t="s">
        <v>2587</v>
      </c>
      <c r="B1740" t="s">
        <v>648</v>
      </c>
      <c r="C1740" t="s">
        <v>31</v>
      </c>
      <c r="D1740" t="s">
        <v>56</v>
      </c>
      <c r="E1740" t="s">
        <v>16</v>
      </c>
      <c r="F1740">
        <v>181</v>
      </c>
      <c r="G1740">
        <v>39270</v>
      </c>
      <c r="H1740">
        <v>7107870</v>
      </c>
      <c r="I1740" t="s">
        <v>649</v>
      </c>
      <c r="J1740" t="s">
        <v>252</v>
      </c>
      <c r="K1740">
        <v>181</v>
      </c>
      <c r="L1740">
        <v>0</v>
      </c>
      <c r="M1740" t="s">
        <v>115</v>
      </c>
      <c r="N1740" t="str">
        <f t="shared" si="162"/>
        <v>PO-101739</v>
      </c>
      <c r="O1740" t="str">
        <f t="shared" si="163"/>
        <v>Delivered</v>
      </c>
      <c r="P1740" t="str">
        <f t="shared" si="164"/>
        <v>WH-DEL</v>
      </c>
      <c r="Q1740" t="str">
        <f>VLOOKUP(C1740, Lookups!$A$2:$D$10, 2, FALSE())</f>
        <v>Global Networks</v>
      </c>
      <c r="R1740" t="str">
        <f>_xlfn.XLOOKUP(D1740, Lookups!$A$12:$A$51, Lookups!$C$12:$C$51, "Unknown")</f>
        <v>Networking</v>
      </c>
      <c r="S1740" t="str">
        <f>IF(ISBLANK(I1740), B1740+VLOOKUP(C1740, Lookups!$A$2:$D$10, 4, FALSE()), I1740)</f>
        <v>2025-08-18</v>
      </c>
      <c r="T1740">
        <f t="shared" si="165"/>
        <v>22</v>
      </c>
      <c r="U1740" t="str">
        <f t="shared" si="166"/>
        <v>Late</v>
      </c>
      <c r="V1740">
        <f t="shared" si="167"/>
        <v>0</v>
      </c>
    </row>
    <row r="1741" spans="1:22" x14ac:dyDescent="0.45">
      <c r="A1741" t="s">
        <v>2588</v>
      </c>
      <c r="B1741" t="s">
        <v>875</v>
      </c>
      <c r="C1741" t="s">
        <v>32</v>
      </c>
      <c r="D1741" t="s">
        <v>84</v>
      </c>
      <c r="E1741" t="s">
        <v>15</v>
      </c>
      <c r="F1741">
        <v>27</v>
      </c>
      <c r="G1741">
        <v>7271</v>
      </c>
      <c r="H1741">
        <v>196317</v>
      </c>
      <c r="I1741" t="s">
        <v>403</v>
      </c>
      <c r="J1741" t="s">
        <v>569</v>
      </c>
      <c r="K1741">
        <v>27</v>
      </c>
      <c r="L1741">
        <v>0</v>
      </c>
      <c r="M1741" t="s">
        <v>115</v>
      </c>
      <c r="N1741" t="str">
        <f t="shared" si="162"/>
        <v>PO-101740</v>
      </c>
      <c r="O1741" t="str">
        <f t="shared" si="163"/>
        <v>Delivered</v>
      </c>
      <c r="P1741" t="str">
        <f t="shared" si="164"/>
        <v>WH-BOM</v>
      </c>
      <c r="Q1741" t="str">
        <f>VLOOKUP(C1741, Lookups!$A$2:$D$10, 2, FALSE())</f>
        <v>OfficeDepot Pro</v>
      </c>
      <c r="R1741" t="str">
        <f>_xlfn.XLOOKUP(D1741, Lookups!$A$12:$A$51, Lookups!$C$12:$C$51, "Unknown")</f>
        <v>Peripherals</v>
      </c>
      <c r="S1741" t="str">
        <f>IF(ISBLANK(I1741), B1741+VLOOKUP(C1741, Lookups!$A$2:$D$10, 4, FALSE()), I1741)</f>
        <v>2025-09-18</v>
      </c>
      <c r="T1741">
        <f t="shared" si="165"/>
        <v>8</v>
      </c>
      <c r="U1741" t="str">
        <f t="shared" si="166"/>
        <v>Late</v>
      </c>
      <c r="V1741">
        <f t="shared" si="167"/>
        <v>0</v>
      </c>
    </row>
    <row r="1742" spans="1:22" x14ac:dyDescent="0.45">
      <c r="A1742" t="s">
        <v>2589</v>
      </c>
      <c r="B1742" t="s">
        <v>1329</v>
      </c>
      <c r="C1742" t="s">
        <v>34</v>
      </c>
      <c r="D1742" t="s">
        <v>81</v>
      </c>
      <c r="E1742" t="s">
        <v>913</v>
      </c>
      <c r="F1742">
        <v>22</v>
      </c>
      <c r="G1742">
        <v>55328</v>
      </c>
      <c r="H1742">
        <v>1217216</v>
      </c>
      <c r="I1742" t="s">
        <v>161</v>
      </c>
      <c r="J1742" t="s">
        <v>161</v>
      </c>
      <c r="K1742">
        <v>22</v>
      </c>
      <c r="L1742">
        <v>0</v>
      </c>
      <c r="M1742" t="s">
        <v>115</v>
      </c>
      <c r="N1742" t="str">
        <f t="shared" si="162"/>
        <v>PO-101741</v>
      </c>
      <c r="O1742" t="str">
        <f t="shared" si="163"/>
        <v>Delivered</v>
      </c>
      <c r="P1742" t="str">
        <f t="shared" si="164"/>
        <v>WH-DEL</v>
      </c>
      <c r="Q1742" t="str">
        <f>VLOOKUP(C1742, Lookups!$A$2:$D$10, 2, FALSE())</f>
        <v>FastElectronics</v>
      </c>
      <c r="R1742" t="str">
        <f>_xlfn.XLOOKUP(D1742, Lookups!$A$12:$A$51, Lookups!$C$12:$C$51, "Unknown")</f>
        <v>Electronics</v>
      </c>
      <c r="S1742" t="str">
        <f>IF(ISBLANK(I1742), B1742+VLOOKUP(C1742, Lookups!$A$2:$D$10, 4, FALSE()), I1742)</f>
        <v>2025-06-12</v>
      </c>
      <c r="T1742">
        <f t="shared" si="165"/>
        <v>18</v>
      </c>
      <c r="U1742" t="str">
        <f t="shared" si="166"/>
        <v>On-Time</v>
      </c>
      <c r="V1742">
        <f t="shared" si="167"/>
        <v>0</v>
      </c>
    </row>
    <row r="1743" spans="1:22" x14ac:dyDescent="0.45">
      <c r="A1743" t="s">
        <v>2590</v>
      </c>
      <c r="B1743" t="s">
        <v>520</v>
      </c>
      <c r="C1743" t="s">
        <v>35</v>
      </c>
      <c r="D1743" t="s">
        <v>75</v>
      </c>
      <c r="E1743" t="s">
        <v>18</v>
      </c>
      <c r="F1743">
        <v>174</v>
      </c>
      <c r="G1743">
        <v>4440</v>
      </c>
      <c r="H1743">
        <v>772560</v>
      </c>
      <c r="I1743" t="s">
        <v>493</v>
      </c>
      <c r="J1743" t="s">
        <v>1028</v>
      </c>
      <c r="K1743">
        <v>174</v>
      </c>
      <c r="L1743">
        <v>0</v>
      </c>
      <c r="M1743" t="s">
        <v>115</v>
      </c>
      <c r="N1743" t="str">
        <f t="shared" si="162"/>
        <v>PO-101742</v>
      </c>
      <c r="O1743" t="str">
        <f t="shared" si="163"/>
        <v>Delivered</v>
      </c>
      <c r="P1743" t="str">
        <f t="shared" si="164"/>
        <v>WH-PUN</v>
      </c>
      <c r="Q1743" t="str">
        <f>VLOOKUP(C1743, Lookups!$A$2:$D$10, 2, FALSE())</f>
        <v>Peripheral Source</v>
      </c>
      <c r="R1743" t="str">
        <f>_xlfn.XLOOKUP(D1743, Lookups!$A$12:$A$51, Lookups!$C$12:$C$51, "Unknown")</f>
        <v>Peripherals</v>
      </c>
      <c r="S1743" t="str">
        <f>IF(ISBLANK(I1743), B1743+VLOOKUP(C1743, Lookups!$A$2:$D$10, 4, FALSE()), I1743)</f>
        <v>2026-09-08</v>
      </c>
      <c r="T1743">
        <f t="shared" si="165"/>
        <v>11</v>
      </c>
      <c r="U1743" t="str">
        <f t="shared" si="166"/>
        <v>Late</v>
      </c>
      <c r="V1743">
        <f t="shared" si="167"/>
        <v>0</v>
      </c>
    </row>
    <row r="1744" spans="1:22" x14ac:dyDescent="0.45">
      <c r="A1744" t="s">
        <v>2591</v>
      </c>
      <c r="B1744" t="s">
        <v>1641</v>
      </c>
      <c r="C1744" t="s">
        <v>31</v>
      </c>
      <c r="D1744" t="s">
        <v>64</v>
      </c>
      <c r="E1744" t="s">
        <v>15</v>
      </c>
      <c r="F1744">
        <v>114</v>
      </c>
      <c r="G1744">
        <v>36295</v>
      </c>
      <c r="H1744">
        <v>4137630</v>
      </c>
      <c r="I1744" t="s">
        <v>716</v>
      </c>
      <c r="J1744" t="s">
        <v>604</v>
      </c>
      <c r="K1744">
        <v>114</v>
      </c>
      <c r="L1744">
        <v>0</v>
      </c>
      <c r="M1744" t="s">
        <v>115</v>
      </c>
      <c r="N1744" t="str">
        <f t="shared" si="162"/>
        <v>PO-101743</v>
      </c>
      <c r="O1744" t="str">
        <f t="shared" si="163"/>
        <v>Delivered</v>
      </c>
      <c r="P1744" t="str">
        <f t="shared" si="164"/>
        <v>WH-BOM</v>
      </c>
      <c r="Q1744" t="str">
        <f>VLOOKUP(C1744, Lookups!$A$2:$D$10, 2, FALSE())</f>
        <v>Global Networks</v>
      </c>
      <c r="R1744" t="str">
        <f>_xlfn.XLOOKUP(D1744, Lookups!$A$12:$A$51, Lookups!$C$12:$C$51, "Unknown")</f>
        <v>Networking</v>
      </c>
      <c r="S1744" t="str">
        <f>IF(ISBLANK(I1744), B1744+VLOOKUP(C1744, Lookups!$A$2:$D$10, 4, FALSE()), I1744)</f>
        <v>2025-08-11</v>
      </c>
      <c r="T1744">
        <f t="shared" si="165"/>
        <v>22</v>
      </c>
      <c r="U1744" t="str">
        <f t="shared" si="166"/>
        <v>Late</v>
      </c>
      <c r="V1744">
        <f t="shared" si="167"/>
        <v>0</v>
      </c>
    </row>
    <row r="1745" spans="1:22" x14ac:dyDescent="0.45">
      <c r="A1745" t="s">
        <v>2592</v>
      </c>
      <c r="B1745" t="s">
        <v>113</v>
      </c>
      <c r="C1745" t="s">
        <v>35</v>
      </c>
      <c r="D1745" t="s">
        <v>72</v>
      </c>
      <c r="E1745" t="s">
        <v>17</v>
      </c>
      <c r="F1745">
        <v>14</v>
      </c>
      <c r="G1745">
        <v>7754</v>
      </c>
      <c r="H1745">
        <v>108556</v>
      </c>
      <c r="I1745" t="s">
        <v>514</v>
      </c>
      <c r="J1745" t="s">
        <v>130</v>
      </c>
      <c r="K1745">
        <v>14</v>
      </c>
      <c r="L1745">
        <v>0</v>
      </c>
      <c r="M1745" t="s">
        <v>166</v>
      </c>
      <c r="N1745" t="str">
        <f t="shared" si="162"/>
        <v>PO-101744</v>
      </c>
      <c r="O1745" t="str">
        <f t="shared" si="163"/>
        <v>Delivered</v>
      </c>
      <c r="P1745" t="str">
        <f t="shared" si="164"/>
        <v>WH-BLR</v>
      </c>
      <c r="Q1745" t="str">
        <f>VLOOKUP(C1745, Lookups!$A$2:$D$10, 2, FALSE())</f>
        <v>Peripheral Source</v>
      </c>
      <c r="R1745" t="str">
        <f>_xlfn.XLOOKUP(D1745, Lookups!$A$12:$A$51, Lookups!$C$12:$C$51, "Unknown")</f>
        <v>Peripherals</v>
      </c>
      <c r="S1745" t="str">
        <f>IF(ISBLANK(I1745), B1745+VLOOKUP(C1745, Lookups!$A$2:$D$10, 4, FALSE()), I1745)</f>
        <v>2026-07-14</v>
      </c>
      <c r="T1745">
        <f t="shared" si="165"/>
        <v>11</v>
      </c>
      <c r="U1745" t="str">
        <f t="shared" si="166"/>
        <v>Late</v>
      </c>
      <c r="V1745">
        <f t="shared" si="167"/>
        <v>0</v>
      </c>
    </row>
    <row r="1746" spans="1:22" x14ac:dyDescent="0.45">
      <c r="A1746" t="s">
        <v>2593</v>
      </c>
      <c r="B1746" t="s">
        <v>1370</v>
      </c>
      <c r="C1746" t="s">
        <v>37</v>
      </c>
      <c r="D1746" t="s">
        <v>69</v>
      </c>
      <c r="E1746" t="s">
        <v>17</v>
      </c>
      <c r="F1746">
        <v>215</v>
      </c>
      <c r="G1746">
        <v>13231</v>
      </c>
      <c r="H1746">
        <v>2844665</v>
      </c>
      <c r="I1746" t="s">
        <v>1403</v>
      </c>
      <c r="J1746" t="s">
        <v>954</v>
      </c>
      <c r="K1746">
        <v>215</v>
      </c>
      <c r="L1746">
        <v>10</v>
      </c>
      <c r="M1746" t="s">
        <v>927</v>
      </c>
      <c r="N1746" t="str">
        <f t="shared" si="162"/>
        <v>PO-101745</v>
      </c>
      <c r="O1746" t="str">
        <f t="shared" si="163"/>
        <v>Delivered</v>
      </c>
      <c r="P1746" t="str">
        <f t="shared" si="164"/>
        <v>WH-BLR</v>
      </c>
      <c r="Q1746" t="str">
        <f>VLOOKUP(C1746, Lookups!$A$2:$D$10, 2, FALSE())</f>
        <v>Premium Desks Ltd</v>
      </c>
      <c r="R1746" t="str">
        <f>_xlfn.XLOOKUP(D1746, Lookups!$A$12:$A$51, Lookups!$C$12:$C$51, "Unknown")</f>
        <v>Office Furniture</v>
      </c>
      <c r="S1746" t="str">
        <f>IF(ISBLANK(I1746), B1746+VLOOKUP(C1746, Lookups!$A$2:$D$10, 4, FALSE()), I1746)</f>
        <v>2026-11-02</v>
      </c>
      <c r="T1746">
        <f t="shared" si="165"/>
        <v>26</v>
      </c>
      <c r="U1746" t="str">
        <f t="shared" si="166"/>
        <v>Late</v>
      </c>
      <c r="V1746">
        <f t="shared" si="167"/>
        <v>4.6511627906976744E-2</v>
      </c>
    </row>
    <row r="1747" spans="1:22" x14ac:dyDescent="0.45">
      <c r="A1747" t="s">
        <v>2594</v>
      </c>
      <c r="B1747" t="s">
        <v>1048</v>
      </c>
      <c r="C1747" t="s">
        <v>33</v>
      </c>
      <c r="D1747" t="s">
        <v>89</v>
      </c>
      <c r="E1747" t="s">
        <v>18</v>
      </c>
      <c r="F1747">
        <v>76</v>
      </c>
      <c r="G1747">
        <v>11309</v>
      </c>
      <c r="H1747">
        <v>859484</v>
      </c>
      <c r="I1747" t="s">
        <v>125</v>
      </c>
      <c r="J1747" t="s">
        <v>391</v>
      </c>
      <c r="K1747">
        <v>76</v>
      </c>
      <c r="L1747">
        <v>0</v>
      </c>
      <c r="M1747" t="s">
        <v>115</v>
      </c>
      <c r="N1747" t="str">
        <f t="shared" si="162"/>
        <v>PO-101746</v>
      </c>
      <c r="O1747" t="str">
        <f t="shared" si="163"/>
        <v>Delivered</v>
      </c>
      <c r="P1747" t="str">
        <f t="shared" si="164"/>
        <v>WH-PUN</v>
      </c>
      <c r="Q1747" t="str">
        <f>VLOOKUP(C1747, Lookups!$A$2:$D$10, 2, FALSE())</f>
        <v>MegaFurnish</v>
      </c>
      <c r="R1747" t="str">
        <f>_xlfn.XLOOKUP(D1747, Lookups!$A$12:$A$51, Lookups!$C$12:$C$51, "Unknown")</f>
        <v>Office Furniture</v>
      </c>
      <c r="S1747" t="str">
        <f>IF(ISBLANK(I1747), B1747+VLOOKUP(C1747, Lookups!$A$2:$D$10, 4, FALSE()), I1747)</f>
        <v>2026-06-13</v>
      </c>
      <c r="T1747">
        <f t="shared" si="165"/>
        <v>31</v>
      </c>
      <c r="U1747" t="str">
        <f t="shared" si="166"/>
        <v>Late</v>
      </c>
      <c r="V1747">
        <f t="shared" si="167"/>
        <v>0</v>
      </c>
    </row>
    <row r="1748" spans="1:22" x14ac:dyDescent="0.45">
      <c r="A1748" t="s">
        <v>2595</v>
      </c>
      <c r="B1748" t="s">
        <v>844</v>
      </c>
      <c r="C1748" t="s">
        <v>30</v>
      </c>
      <c r="D1748" t="s">
        <v>52</v>
      </c>
      <c r="E1748" t="s">
        <v>15</v>
      </c>
      <c r="F1748">
        <v>227</v>
      </c>
      <c r="G1748">
        <v>59592</v>
      </c>
      <c r="H1748">
        <v>13527384</v>
      </c>
      <c r="I1748" t="s">
        <v>277</v>
      </c>
      <c r="J1748" t="s">
        <v>277</v>
      </c>
      <c r="K1748">
        <v>227</v>
      </c>
      <c r="L1748">
        <v>0</v>
      </c>
      <c r="M1748" t="s">
        <v>115</v>
      </c>
      <c r="N1748" t="str">
        <f t="shared" si="162"/>
        <v>PO-101747</v>
      </c>
      <c r="O1748" t="str">
        <f t="shared" si="163"/>
        <v>Delivered</v>
      </c>
      <c r="P1748" t="str">
        <f t="shared" si="164"/>
        <v>WH-BOM</v>
      </c>
      <c r="Q1748" t="str">
        <f>VLOOKUP(C1748, Lookups!$A$2:$D$10, 2, FALSE())</f>
        <v>TechSupply Corp</v>
      </c>
      <c r="R1748" t="str">
        <f>_xlfn.XLOOKUP(D1748, Lookups!$A$12:$A$51, Lookups!$C$12:$C$51, "Unknown")</f>
        <v>Electronics</v>
      </c>
      <c r="S1748" t="str">
        <f>IF(ISBLANK(I1748), B1748+VLOOKUP(C1748, Lookups!$A$2:$D$10, 4, FALSE()), I1748)</f>
        <v>2025-05-12</v>
      </c>
      <c r="T1748">
        <f t="shared" si="165"/>
        <v>14</v>
      </c>
      <c r="U1748" t="str">
        <f t="shared" si="166"/>
        <v>On-Time</v>
      </c>
      <c r="V1748">
        <f t="shared" si="167"/>
        <v>0</v>
      </c>
    </row>
    <row r="1749" spans="1:22" x14ac:dyDescent="0.45">
      <c r="A1749" t="s">
        <v>2596</v>
      </c>
      <c r="B1749" t="s">
        <v>1337</v>
      </c>
      <c r="C1749" t="s">
        <v>37</v>
      </c>
      <c r="D1749" t="s">
        <v>78</v>
      </c>
      <c r="E1749" t="s">
        <v>15</v>
      </c>
      <c r="F1749">
        <v>64</v>
      </c>
      <c r="G1749">
        <v>9423</v>
      </c>
      <c r="H1749">
        <v>603072</v>
      </c>
      <c r="I1749" t="s">
        <v>451</v>
      </c>
      <c r="J1749" t="s">
        <v>451</v>
      </c>
      <c r="K1749">
        <v>64</v>
      </c>
      <c r="L1749">
        <v>0</v>
      </c>
      <c r="M1749" t="s">
        <v>115</v>
      </c>
      <c r="N1749" t="str">
        <f t="shared" si="162"/>
        <v>PO-101748</v>
      </c>
      <c r="O1749" t="str">
        <f t="shared" si="163"/>
        <v>Delivered</v>
      </c>
      <c r="P1749" t="str">
        <f t="shared" si="164"/>
        <v>WH-BOM</v>
      </c>
      <c r="Q1749" t="str">
        <f>VLOOKUP(C1749, Lookups!$A$2:$D$10, 2, FALSE())</f>
        <v>Premium Desks Ltd</v>
      </c>
      <c r="R1749" t="str">
        <f>_xlfn.XLOOKUP(D1749, Lookups!$A$12:$A$51, Lookups!$C$12:$C$51, "Unknown")</f>
        <v>Office Furniture</v>
      </c>
      <c r="S1749" t="str">
        <f>IF(ISBLANK(I1749), B1749+VLOOKUP(C1749, Lookups!$A$2:$D$10, 4, FALSE()), I1749)</f>
        <v>2026-10-04</v>
      </c>
      <c r="T1749">
        <f t="shared" si="165"/>
        <v>12</v>
      </c>
      <c r="U1749" t="str">
        <f t="shared" si="166"/>
        <v>On-Time</v>
      </c>
      <c r="V1749">
        <f t="shared" si="167"/>
        <v>0</v>
      </c>
    </row>
    <row r="1750" spans="1:22" x14ac:dyDescent="0.45">
      <c r="A1750" t="s">
        <v>2597</v>
      </c>
      <c r="B1750" t="s">
        <v>777</v>
      </c>
      <c r="C1750" t="s">
        <v>35</v>
      </c>
      <c r="D1750" t="s">
        <v>65</v>
      </c>
      <c r="E1750" t="s">
        <v>17</v>
      </c>
      <c r="F1750">
        <v>213</v>
      </c>
      <c r="G1750">
        <v>4936</v>
      </c>
      <c r="H1750">
        <v>1051368</v>
      </c>
      <c r="I1750" t="s">
        <v>1597</v>
      </c>
      <c r="J1750" t="s">
        <v>1597</v>
      </c>
      <c r="K1750">
        <v>213</v>
      </c>
      <c r="L1750">
        <v>0</v>
      </c>
      <c r="M1750" t="s">
        <v>115</v>
      </c>
      <c r="N1750" t="str">
        <f t="shared" si="162"/>
        <v>PO-101749</v>
      </c>
      <c r="O1750" t="str">
        <f t="shared" si="163"/>
        <v>Delivered</v>
      </c>
      <c r="P1750" t="str">
        <f t="shared" si="164"/>
        <v>WH-BLR</v>
      </c>
      <c r="Q1750" t="str">
        <f>VLOOKUP(C1750, Lookups!$A$2:$D$10, 2, FALSE())</f>
        <v>Peripheral Source</v>
      </c>
      <c r="R1750" t="str">
        <f>_xlfn.XLOOKUP(D1750, Lookups!$A$12:$A$51, Lookups!$C$12:$C$51, "Unknown")</f>
        <v>Peripherals</v>
      </c>
      <c r="S1750" t="str">
        <f>IF(ISBLANK(I1750), B1750+VLOOKUP(C1750, Lookups!$A$2:$D$10, 4, FALSE()), I1750)</f>
        <v>2025-12-05</v>
      </c>
      <c r="T1750">
        <f t="shared" si="165"/>
        <v>10</v>
      </c>
      <c r="U1750" t="str">
        <f t="shared" si="166"/>
        <v>On-Time</v>
      </c>
      <c r="V1750">
        <f t="shared" si="167"/>
        <v>0</v>
      </c>
    </row>
    <row r="1751" spans="1:22" x14ac:dyDescent="0.45">
      <c r="A1751" t="s">
        <v>2598</v>
      </c>
      <c r="B1751" t="s">
        <v>412</v>
      </c>
      <c r="C1751" t="s">
        <v>34</v>
      </c>
      <c r="D1751" t="s">
        <v>54</v>
      </c>
      <c r="E1751" t="s">
        <v>16</v>
      </c>
      <c r="F1751">
        <v>86</v>
      </c>
      <c r="G1751">
        <v>22314</v>
      </c>
      <c r="H1751">
        <v>1919004</v>
      </c>
      <c r="I1751" t="s">
        <v>391</v>
      </c>
      <c r="J1751" t="s">
        <v>842</v>
      </c>
      <c r="K1751">
        <v>48</v>
      </c>
      <c r="L1751">
        <v>0</v>
      </c>
      <c r="M1751" t="s">
        <v>115</v>
      </c>
      <c r="N1751" t="str">
        <f t="shared" si="162"/>
        <v>PO-101750</v>
      </c>
      <c r="O1751" t="str">
        <f t="shared" si="163"/>
        <v>Delivered</v>
      </c>
      <c r="P1751" t="str">
        <f t="shared" si="164"/>
        <v>WH-DEL</v>
      </c>
      <c r="Q1751" t="str">
        <f>VLOOKUP(C1751, Lookups!$A$2:$D$10, 2, FALSE())</f>
        <v>FastElectronics</v>
      </c>
      <c r="R1751" t="str">
        <f>_xlfn.XLOOKUP(D1751, Lookups!$A$12:$A$51, Lookups!$C$12:$C$51, "Unknown")</f>
        <v>Networking</v>
      </c>
      <c r="S1751" t="str">
        <f>IF(ISBLANK(I1751), B1751+VLOOKUP(C1751, Lookups!$A$2:$D$10, 4, FALSE()), I1751)</f>
        <v>2026-06-14</v>
      </c>
      <c r="T1751">
        <f t="shared" si="165"/>
        <v>19</v>
      </c>
      <c r="U1751" t="str">
        <f t="shared" si="166"/>
        <v>Late</v>
      </c>
      <c r="V1751">
        <f t="shared" si="167"/>
        <v>0</v>
      </c>
    </row>
    <row r="1752" spans="1:22" x14ac:dyDescent="0.45">
      <c r="A1752" t="s">
        <v>2599</v>
      </c>
      <c r="B1752" t="s">
        <v>705</v>
      </c>
      <c r="C1752" t="s">
        <v>35</v>
      </c>
      <c r="D1752" t="s">
        <v>70</v>
      </c>
      <c r="E1752" t="s">
        <v>16</v>
      </c>
      <c r="F1752">
        <v>108</v>
      </c>
      <c r="G1752">
        <v>4287</v>
      </c>
      <c r="H1752">
        <v>462996</v>
      </c>
      <c r="I1752" t="s">
        <v>316</v>
      </c>
      <c r="J1752" t="s">
        <v>1354</v>
      </c>
      <c r="K1752">
        <v>108</v>
      </c>
      <c r="L1752">
        <v>0</v>
      </c>
      <c r="M1752" t="s">
        <v>115</v>
      </c>
      <c r="N1752" t="str">
        <f t="shared" si="162"/>
        <v>PO-101751</v>
      </c>
      <c r="O1752" t="str">
        <f t="shared" si="163"/>
        <v>Delivered</v>
      </c>
      <c r="P1752" t="str">
        <f t="shared" si="164"/>
        <v>WH-DEL</v>
      </c>
      <c r="Q1752" t="str">
        <f>VLOOKUP(C1752, Lookups!$A$2:$D$10, 2, FALSE())</f>
        <v>Peripheral Source</v>
      </c>
      <c r="R1752" t="str">
        <f>_xlfn.XLOOKUP(D1752, Lookups!$A$12:$A$51, Lookups!$C$12:$C$51, "Unknown")</f>
        <v>Peripherals</v>
      </c>
      <c r="S1752" t="str">
        <f>IF(ISBLANK(I1752), B1752+VLOOKUP(C1752, Lookups!$A$2:$D$10, 4, FALSE()), I1752)</f>
        <v>2026-03-08</v>
      </c>
      <c r="T1752">
        <f t="shared" si="165"/>
        <v>8</v>
      </c>
      <c r="U1752" t="str">
        <f t="shared" si="166"/>
        <v>On-Time</v>
      </c>
      <c r="V1752">
        <f t="shared" si="167"/>
        <v>0</v>
      </c>
    </row>
    <row r="1753" spans="1:22" x14ac:dyDescent="0.45">
      <c r="A1753" t="s">
        <v>2600</v>
      </c>
      <c r="B1753" t="s">
        <v>486</v>
      </c>
      <c r="C1753" t="s">
        <v>30</v>
      </c>
      <c r="D1753" t="s">
        <v>52</v>
      </c>
      <c r="E1753" t="s">
        <v>16</v>
      </c>
      <c r="F1753">
        <v>41</v>
      </c>
      <c r="G1753">
        <v>59592</v>
      </c>
      <c r="H1753">
        <v>2443272</v>
      </c>
      <c r="I1753" t="s">
        <v>636</v>
      </c>
      <c r="J1753" t="s">
        <v>1187</v>
      </c>
      <c r="K1753">
        <v>41</v>
      </c>
      <c r="L1753">
        <v>0</v>
      </c>
      <c r="M1753" t="s">
        <v>115</v>
      </c>
      <c r="N1753" t="str">
        <f t="shared" si="162"/>
        <v>PO-101752</v>
      </c>
      <c r="O1753" t="str">
        <f t="shared" si="163"/>
        <v>Delivered</v>
      </c>
      <c r="P1753" t="str">
        <f t="shared" si="164"/>
        <v>WH-DEL</v>
      </c>
      <c r="Q1753" t="str">
        <f>VLOOKUP(C1753, Lookups!$A$2:$D$10, 2, FALSE())</f>
        <v>TechSupply Corp</v>
      </c>
      <c r="R1753" t="str">
        <f>_xlfn.XLOOKUP(D1753, Lookups!$A$12:$A$51, Lookups!$C$12:$C$51, "Unknown")</f>
        <v>Electronics</v>
      </c>
      <c r="S1753" t="str">
        <f>IF(ISBLANK(I1753), B1753+VLOOKUP(C1753, Lookups!$A$2:$D$10, 4, FALSE()), I1753)</f>
        <v>2025-06-30</v>
      </c>
      <c r="T1753">
        <f t="shared" si="165"/>
        <v>15</v>
      </c>
      <c r="U1753" t="str">
        <f t="shared" si="166"/>
        <v>Late</v>
      </c>
      <c r="V1753">
        <f t="shared" si="167"/>
        <v>0</v>
      </c>
    </row>
    <row r="1754" spans="1:22" x14ac:dyDescent="0.45">
      <c r="A1754" t="s">
        <v>2601</v>
      </c>
      <c r="B1754" t="s">
        <v>658</v>
      </c>
      <c r="C1754" t="s">
        <v>36</v>
      </c>
      <c r="D1754" t="s">
        <v>62</v>
      </c>
      <c r="E1754" t="s">
        <v>16</v>
      </c>
      <c r="F1754">
        <v>179</v>
      </c>
      <c r="G1754">
        <v>48478</v>
      </c>
      <c r="H1754">
        <v>8677562</v>
      </c>
      <c r="I1754" t="s">
        <v>1401</v>
      </c>
      <c r="J1754" t="s">
        <v>1318</v>
      </c>
      <c r="K1754">
        <v>99</v>
      </c>
      <c r="L1754">
        <v>0</v>
      </c>
      <c r="M1754" t="s">
        <v>115</v>
      </c>
      <c r="N1754" t="str">
        <f t="shared" si="162"/>
        <v>PO-101753</v>
      </c>
      <c r="O1754" t="str">
        <f t="shared" si="163"/>
        <v>Delivered</v>
      </c>
      <c r="P1754" t="str">
        <f t="shared" si="164"/>
        <v>WH-DEL</v>
      </c>
      <c r="Q1754" t="str">
        <f>VLOOKUP(C1754, Lookups!$A$2:$D$10, 2, FALSE())</f>
        <v>NextGen Hardware</v>
      </c>
      <c r="R1754" t="str">
        <f>_xlfn.XLOOKUP(D1754, Lookups!$A$12:$A$51, Lookups!$C$12:$C$51, "Unknown")</f>
        <v>Electronics</v>
      </c>
      <c r="S1754" t="str">
        <f>IF(ISBLANK(I1754), B1754+VLOOKUP(C1754, Lookups!$A$2:$D$10, 4, FALSE()), I1754)</f>
        <v>2026-10-24</v>
      </c>
      <c r="T1754">
        <f t="shared" si="165"/>
        <v>25</v>
      </c>
      <c r="U1754" t="str">
        <f t="shared" si="166"/>
        <v>Late</v>
      </c>
      <c r="V1754">
        <f t="shared" si="167"/>
        <v>0</v>
      </c>
    </row>
    <row r="1755" spans="1:22" x14ac:dyDescent="0.45">
      <c r="A1755" t="s">
        <v>2602</v>
      </c>
      <c r="B1755" t="s">
        <v>728</v>
      </c>
      <c r="C1755" t="s">
        <v>35</v>
      </c>
      <c r="D1755" t="s">
        <v>70</v>
      </c>
      <c r="E1755" t="s">
        <v>16</v>
      </c>
      <c r="F1755">
        <v>80</v>
      </c>
      <c r="G1755">
        <v>4287</v>
      </c>
      <c r="H1755">
        <v>342960</v>
      </c>
      <c r="I1755" t="s">
        <v>1475</v>
      </c>
      <c r="J1755" t="s">
        <v>1475</v>
      </c>
      <c r="K1755">
        <v>80</v>
      </c>
      <c r="L1755">
        <v>0</v>
      </c>
      <c r="M1755" t="s">
        <v>115</v>
      </c>
      <c r="N1755" t="str">
        <f t="shared" si="162"/>
        <v>PO-101754</v>
      </c>
      <c r="O1755" t="str">
        <f t="shared" si="163"/>
        <v>Delivered</v>
      </c>
      <c r="P1755" t="str">
        <f t="shared" si="164"/>
        <v>WH-DEL</v>
      </c>
      <c r="Q1755" t="str">
        <f>VLOOKUP(C1755, Lookups!$A$2:$D$10, 2, FALSE())</f>
        <v>Peripheral Source</v>
      </c>
      <c r="R1755" t="str">
        <f>_xlfn.XLOOKUP(D1755, Lookups!$A$12:$A$51, Lookups!$C$12:$C$51, "Unknown")</f>
        <v>Peripherals</v>
      </c>
      <c r="S1755" t="str">
        <f>IF(ISBLANK(I1755), B1755+VLOOKUP(C1755, Lookups!$A$2:$D$10, 4, FALSE()), I1755)</f>
        <v>2025-09-20</v>
      </c>
      <c r="T1755">
        <f t="shared" si="165"/>
        <v>10</v>
      </c>
      <c r="U1755" t="str">
        <f t="shared" si="166"/>
        <v>On-Time</v>
      </c>
      <c r="V1755">
        <f t="shared" si="167"/>
        <v>0</v>
      </c>
    </row>
    <row r="1756" spans="1:22" x14ac:dyDescent="0.45">
      <c r="A1756" t="s">
        <v>2603</v>
      </c>
      <c r="B1756" t="s">
        <v>885</v>
      </c>
      <c r="C1756" t="s">
        <v>34</v>
      </c>
      <c r="D1756" t="s">
        <v>68</v>
      </c>
      <c r="E1756" t="s">
        <v>18</v>
      </c>
      <c r="F1756">
        <v>185</v>
      </c>
      <c r="G1756">
        <v>41405</v>
      </c>
      <c r="H1756">
        <v>7659925</v>
      </c>
      <c r="I1756" t="s">
        <v>773</v>
      </c>
      <c r="J1756" t="s">
        <v>707</v>
      </c>
      <c r="K1756">
        <v>98</v>
      </c>
      <c r="L1756">
        <v>0</v>
      </c>
      <c r="M1756" t="s">
        <v>115</v>
      </c>
      <c r="N1756" t="str">
        <f t="shared" si="162"/>
        <v>PO-101755</v>
      </c>
      <c r="O1756" t="str">
        <f t="shared" si="163"/>
        <v>Delivered</v>
      </c>
      <c r="P1756" t="str">
        <f t="shared" si="164"/>
        <v>WH-PUN</v>
      </c>
      <c r="Q1756" t="str">
        <f>VLOOKUP(C1756, Lookups!$A$2:$D$10, 2, FALSE())</f>
        <v>FastElectronics</v>
      </c>
      <c r="R1756" t="str">
        <f>_xlfn.XLOOKUP(D1756, Lookups!$A$12:$A$51, Lookups!$C$12:$C$51, "Unknown")</f>
        <v>Networking</v>
      </c>
      <c r="S1756" t="str">
        <f>IF(ISBLANK(I1756), B1756+VLOOKUP(C1756, Lookups!$A$2:$D$10, 4, FALSE()), I1756)</f>
        <v>2026-01-02</v>
      </c>
      <c r="T1756">
        <f t="shared" si="165"/>
        <v>30</v>
      </c>
      <c r="U1756" t="str">
        <f t="shared" si="166"/>
        <v>Late</v>
      </c>
      <c r="V1756">
        <f t="shared" si="167"/>
        <v>0</v>
      </c>
    </row>
    <row r="1757" spans="1:22" x14ac:dyDescent="0.45">
      <c r="A1757" t="s">
        <v>2604</v>
      </c>
      <c r="B1757" t="s">
        <v>294</v>
      </c>
      <c r="C1757" t="s">
        <v>30</v>
      </c>
      <c r="D1757" t="s">
        <v>88</v>
      </c>
      <c r="E1757" t="s">
        <v>15</v>
      </c>
      <c r="F1757">
        <v>23</v>
      </c>
      <c r="G1757">
        <v>75512</v>
      </c>
      <c r="H1757">
        <v>1736776</v>
      </c>
      <c r="I1757" t="s">
        <v>356</v>
      </c>
      <c r="J1757" t="s">
        <v>729</v>
      </c>
      <c r="K1757">
        <v>23</v>
      </c>
      <c r="L1757">
        <v>0</v>
      </c>
      <c r="M1757" t="s">
        <v>115</v>
      </c>
      <c r="N1757" t="str">
        <f t="shared" si="162"/>
        <v>PO-101756</v>
      </c>
      <c r="O1757" t="str">
        <f t="shared" si="163"/>
        <v>Delivered</v>
      </c>
      <c r="P1757" t="str">
        <f t="shared" si="164"/>
        <v>WH-BOM</v>
      </c>
      <c r="Q1757" t="str">
        <f>VLOOKUP(C1757, Lookups!$A$2:$D$10, 2, FALSE())</f>
        <v>TechSupply Corp</v>
      </c>
      <c r="R1757" t="str">
        <f>_xlfn.XLOOKUP(D1757, Lookups!$A$12:$A$51, Lookups!$C$12:$C$51, "Unknown")</f>
        <v>Electronics</v>
      </c>
      <c r="S1757" t="str">
        <f>IF(ISBLANK(I1757), B1757+VLOOKUP(C1757, Lookups!$A$2:$D$10, 4, FALSE()), I1757)</f>
        <v>2025-09-27</v>
      </c>
      <c r="T1757">
        <f t="shared" si="165"/>
        <v>15</v>
      </c>
      <c r="U1757" t="str">
        <f t="shared" si="166"/>
        <v>Late</v>
      </c>
      <c r="V1757">
        <f t="shared" si="167"/>
        <v>0</v>
      </c>
    </row>
    <row r="1758" spans="1:22" x14ac:dyDescent="0.45">
      <c r="A1758" t="s">
        <v>2605</v>
      </c>
      <c r="B1758" t="s">
        <v>2179</v>
      </c>
      <c r="C1758" t="s">
        <v>31</v>
      </c>
      <c r="D1758" t="s">
        <v>56</v>
      </c>
      <c r="E1758" t="s">
        <v>17</v>
      </c>
      <c r="F1758">
        <v>171</v>
      </c>
      <c r="G1758">
        <v>39270</v>
      </c>
      <c r="H1758">
        <v>6715170</v>
      </c>
      <c r="I1758" t="s">
        <v>169</v>
      </c>
      <c r="J1758" t="s">
        <v>169</v>
      </c>
      <c r="K1758">
        <v>171</v>
      </c>
      <c r="L1758">
        <v>6</v>
      </c>
      <c r="M1758" t="s">
        <v>115</v>
      </c>
      <c r="N1758" t="str">
        <f t="shared" si="162"/>
        <v>PO-101757</v>
      </c>
      <c r="O1758" t="str">
        <f t="shared" si="163"/>
        <v>Delivered</v>
      </c>
      <c r="P1758" t="str">
        <f t="shared" si="164"/>
        <v>WH-BLR</v>
      </c>
      <c r="Q1758" t="str">
        <f>VLOOKUP(C1758, Lookups!$A$2:$D$10, 2, FALSE())</f>
        <v>Global Networks</v>
      </c>
      <c r="R1758" t="str">
        <f>_xlfn.XLOOKUP(D1758, Lookups!$A$12:$A$51, Lookups!$C$12:$C$51, "Unknown")</f>
        <v>Networking</v>
      </c>
      <c r="S1758" t="str">
        <f>IF(ISBLANK(I1758), B1758+VLOOKUP(C1758, Lookups!$A$2:$D$10, 4, FALSE()), I1758)</f>
        <v>2025-06-07</v>
      </c>
      <c r="T1758">
        <f t="shared" si="165"/>
        <v>21</v>
      </c>
      <c r="U1758" t="str">
        <f t="shared" si="166"/>
        <v>On-Time</v>
      </c>
      <c r="V1758">
        <f t="shared" si="167"/>
        <v>3.5087719298245612E-2</v>
      </c>
    </row>
    <row r="1759" spans="1:22" x14ac:dyDescent="0.45">
      <c r="A1759" t="s">
        <v>2606</v>
      </c>
      <c r="B1759" t="s">
        <v>1288</v>
      </c>
      <c r="C1759" t="s">
        <v>35</v>
      </c>
      <c r="D1759" t="s">
        <v>70</v>
      </c>
      <c r="E1759" t="s">
        <v>15</v>
      </c>
      <c r="F1759">
        <v>134</v>
      </c>
      <c r="G1759">
        <v>4287</v>
      </c>
      <c r="H1759">
        <v>574458</v>
      </c>
      <c r="I1759" t="s">
        <v>880</v>
      </c>
      <c r="J1759" t="s">
        <v>880</v>
      </c>
      <c r="K1759">
        <v>134</v>
      </c>
      <c r="L1759">
        <v>20</v>
      </c>
      <c r="M1759" t="s">
        <v>115</v>
      </c>
      <c r="N1759" t="str">
        <f t="shared" si="162"/>
        <v>PO-101758</v>
      </c>
      <c r="O1759" t="str">
        <f t="shared" si="163"/>
        <v>Delivered</v>
      </c>
      <c r="P1759" t="str">
        <f t="shared" si="164"/>
        <v>WH-BOM</v>
      </c>
      <c r="Q1759" t="str">
        <f>VLOOKUP(C1759, Lookups!$A$2:$D$10, 2, FALSE())</f>
        <v>Peripheral Source</v>
      </c>
      <c r="R1759" t="str">
        <f>_xlfn.XLOOKUP(D1759, Lookups!$A$12:$A$51, Lookups!$C$12:$C$51, "Unknown")</f>
        <v>Peripherals</v>
      </c>
      <c r="S1759" t="str">
        <f>IF(ISBLANK(I1759), B1759+VLOOKUP(C1759, Lookups!$A$2:$D$10, 4, FALSE()), I1759)</f>
        <v>2025-06-29</v>
      </c>
      <c r="T1759">
        <f t="shared" si="165"/>
        <v>10</v>
      </c>
      <c r="U1759" t="str">
        <f t="shared" si="166"/>
        <v>On-Time</v>
      </c>
      <c r="V1759">
        <f t="shared" si="167"/>
        <v>0.14925373134328357</v>
      </c>
    </row>
    <row r="1760" spans="1:22" x14ac:dyDescent="0.45">
      <c r="A1760" t="s">
        <v>2607</v>
      </c>
      <c r="B1760" t="s">
        <v>937</v>
      </c>
      <c r="C1760" t="s">
        <v>37</v>
      </c>
      <c r="D1760" t="s">
        <v>79</v>
      </c>
      <c r="E1760" t="s">
        <v>17</v>
      </c>
      <c r="F1760">
        <v>180</v>
      </c>
      <c r="G1760">
        <v>23054</v>
      </c>
      <c r="H1760">
        <v>4149720</v>
      </c>
      <c r="I1760" t="s">
        <v>829</v>
      </c>
      <c r="J1760" t="s">
        <v>547</v>
      </c>
      <c r="K1760">
        <v>180</v>
      </c>
      <c r="L1760">
        <v>0</v>
      </c>
      <c r="M1760" t="s">
        <v>115</v>
      </c>
      <c r="N1760" t="str">
        <f t="shared" si="162"/>
        <v>PO-101759</v>
      </c>
      <c r="O1760" t="str">
        <f t="shared" si="163"/>
        <v>Delivered</v>
      </c>
      <c r="P1760" t="str">
        <f t="shared" si="164"/>
        <v>WH-BLR</v>
      </c>
      <c r="Q1760" t="str">
        <f>VLOOKUP(C1760, Lookups!$A$2:$D$10, 2, FALSE())</f>
        <v>Premium Desks Ltd</v>
      </c>
      <c r="R1760" t="str">
        <f>_xlfn.XLOOKUP(D1760, Lookups!$A$12:$A$51, Lookups!$C$12:$C$51, "Unknown")</f>
        <v>Office Furniture</v>
      </c>
      <c r="S1760" t="str">
        <f>IF(ISBLANK(I1760), B1760+VLOOKUP(C1760, Lookups!$A$2:$D$10, 4, FALSE()), I1760)</f>
        <v>2025-12-24</v>
      </c>
      <c r="T1760">
        <f t="shared" si="165"/>
        <v>13</v>
      </c>
      <c r="U1760" t="str">
        <f t="shared" si="166"/>
        <v>Late</v>
      </c>
      <c r="V1760">
        <f t="shared" si="167"/>
        <v>0</v>
      </c>
    </row>
    <row r="1761" spans="1:22" x14ac:dyDescent="0.45">
      <c r="A1761" t="s">
        <v>2608</v>
      </c>
      <c r="B1761" t="s">
        <v>693</v>
      </c>
      <c r="C1761" t="s">
        <v>31</v>
      </c>
      <c r="D1761" t="s">
        <v>64</v>
      </c>
      <c r="E1761" t="s">
        <v>18</v>
      </c>
      <c r="F1761">
        <v>110</v>
      </c>
      <c r="G1761">
        <v>36295</v>
      </c>
      <c r="H1761">
        <v>3992450</v>
      </c>
      <c r="I1761" t="s">
        <v>801</v>
      </c>
      <c r="K1761">
        <v>0</v>
      </c>
      <c r="L1761">
        <v>0</v>
      </c>
      <c r="M1761" t="s">
        <v>297</v>
      </c>
      <c r="N1761" t="str">
        <f t="shared" si="162"/>
        <v>PO-101760</v>
      </c>
      <c r="O1761" t="str">
        <f t="shared" si="163"/>
        <v>Open</v>
      </c>
      <c r="P1761" t="str">
        <f t="shared" si="164"/>
        <v>WH-PUN</v>
      </c>
      <c r="Q1761" t="str">
        <f>VLOOKUP(C1761, Lookups!$A$2:$D$10, 2, FALSE())</f>
        <v>Global Networks</v>
      </c>
      <c r="R1761" t="str">
        <f>_xlfn.XLOOKUP(D1761, Lookups!$A$12:$A$51, Lookups!$C$12:$C$51, "Unknown")</f>
        <v>Networking</v>
      </c>
      <c r="S1761" t="str">
        <f>IF(ISBLANK(I1761), B1761+VLOOKUP(C1761, Lookups!$A$2:$D$10, 4, FALSE()), I1761)</f>
        <v>2026-12-13</v>
      </c>
      <c r="T1761" t="str">
        <f t="shared" si="165"/>
        <v/>
      </c>
      <c r="U1761" t="str">
        <f t="shared" si="166"/>
        <v>Open</v>
      </c>
      <c r="V1761">
        <f t="shared" si="167"/>
        <v>0</v>
      </c>
    </row>
    <row r="1762" spans="1:22" x14ac:dyDescent="0.45">
      <c r="A1762" t="s">
        <v>2609</v>
      </c>
      <c r="B1762" t="s">
        <v>885</v>
      </c>
      <c r="C1762" t="s">
        <v>36</v>
      </c>
      <c r="D1762" t="s">
        <v>90</v>
      </c>
      <c r="E1762" t="s">
        <v>15</v>
      </c>
      <c r="F1762">
        <v>94</v>
      </c>
      <c r="G1762">
        <v>81434</v>
      </c>
      <c r="H1762">
        <v>7654796</v>
      </c>
      <c r="I1762" t="s">
        <v>548</v>
      </c>
      <c r="J1762" t="s">
        <v>1415</v>
      </c>
      <c r="K1762">
        <v>94</v>
      </c>
      <c r="L1762">
        <v>0</v>
      </c>
      <c r="M1762" t="s">
        <v>115</v>
      </c>
      <c r="N1762" t="str">
        <f t="shared" si="162"/>
        <v>PO-101761</v>
      </c>
      <c r="O1762" t="str">
        <f t="shared" si="163"/>
        <v>Delivered</v>
      </c>
      <c r="P1762" t="str">
        <f t="shared" si="164"/>
        <v>WH-BOM</v>
      </c>
      <c r="Q1762" t="str">
        <f>VLOOKUP(C1762, Lookups!$A$2:$D$10, 2, FALSE())</f>
        <v>NextGen Hardware</v>
      </c>
      <c r="R1762" t="str">
        <f>_xlfn.XLOOKUP(D1762, Lookups!$A$12:$A$51, Lookups!$C$12:$C$51, "Unknown")</f>
        <v>Electronics</v>
      </c>
      <c r="S1762" t="str">
        <f>IF(ISBLANK(I1762), B1762+VLOOKUP(C1762, Lookups!$A$2:$D$10, 4, FALSE()), I1762)</f>
        <v>2026-01-08</v>
      </c>
      <c r="T1762">
        <f t="shared" si="165"/>
        <v>25</v>
      </c>
      <c r="U1762" t="str">
        <f t="shared" si="166"/>
        <v>Late</v>
      </c>
      <c r="V1762">
        <f t="shared" si="167"/>
        <v>0</v>
      </c>
    </row>
    <row r="1763" spans="1:22" x14ac:dyDescent="0.45">
      <c r="A1763" t="s">
        <v>2610</v>
      </c>
      <c r="B1763" t="s">
        <v>866</v>
      </c>
      <c r="C1763" t="s">
        <v>34</v>
      </c>
      <c r="D1763" t="s">
        <v>58</v>
      </c>
      <c r="E1763" t="s">
        <v>17</v>
      </c>
      <c r="F1763">
        <v>196</v>
      </c>
      <c r="G1763">
        <v>100302</v>
      </c>
      <c r="H1763">
        <v>19659192</v>
      </c>
      <c r="I1763" t="s">
        <v>280</v>
      </c>
      <c r="J1763" t="s">
        <v>280</v>
      </c>
      <c r="K1763">
        <v>196</v>
      </c>
      <c r="L1763">
        <v>0</v>
      </c>
      <c r="M1763" t="s">
        <v>115</v>
      </c>
      <c r="N1763" t="str">
        <f t="shared" si="162"/>
        <v>PO-101762</v>
      </c>
      <c r="O1763" t="str">
        <f t="shared" si="163"/>
        <v>Delivered</v>
      </c>
      <c r="P1763" t="str">
        <f t="shared" si="164"/>
        <v>WH-BLR</v>
      </c>
      <c r="Q1763" t="str">
        <f>VLOOKUP(C1763, Lookups!$A$2:$D$10, 2, FALSE())</f>
        <v>FastElectronics</v>
      </c>
      <c r="R1763" t="str">
        <f>_xlfn.XLOOKUP(D1763, Lookups!$A$12:$A$51, Lookups!$C$12:$C$51, "Unknown")</f>
        <v>Electronics</v>
      </c>
      <c r="S1763" t="str">
        <f>IF(ISBLANK(I1763), B1763+VLOOKUP(C1763, Lookups!$A$2:$D$10, 4, FALSE()), I1763)</f>
        <v>2026-10-08</v>
      </c>
      <c r="T1763">
        <f t="shared" si="165"/>
        <v>18</v>
      </c>
      <c r="U1763" t="str">
        <f t="shared" si="166"/>
        <v>On-Time</v>
      </c>
      <c r="V1763">
        <f t="shared" si="167"/>
        <v>0</v>
      </c>
    </row>
    <row r="1764" spans="1:22" x14ac:dyDescent="0.45">
      <c r="A1764" t="s">
        <v>2611</v>
      </c>
      <c r="B1764" t="s">
        <v>1187</v>
      </c>
      <c r="C1764" t="s">
        <v>36</v>
      </c>
      <c r="D1764" t="s">
        <v>71</v>
      </c>
      <c r="E1764" t="s">
        <v>16</v>
      </c>
      <c r="F1764">
        <v>53</v>
      </c>
      <c r="G1764">
        <v>65379</v>
      </c>
      <c r="H1764">
        <v>3465087</v>
      </c>
      <c r="I1764" t="s">
        <v>191</v>
      </c>
      <c r="J1764" t="s">
        <v>1300</v>
      </c>
      <c r="K1764">
        <v>53</v>
      </c>
      <c r="L1764">
        <v>0</v>
      </c>
      <c r="M1764" t="s">
        <v>115</v>
      </c>
      <c r="N1764" t="str">
        <f t="shared" si="162"/>
        <v>PO-101763</v>
      </c>
      <c r="O1764" t="str">
        <f t="shared" si="163"/>
        <v>Delivered</v>
      </c>
      <c r="P1764" t="str">
        <f t="shared" si="164"/>
        <v>WH-DEL</v>
      </c>
      <c r="Q1764" t="str">
        <f>VLOOKUP(C1764, Lookups!$A$2:$D$10, 2, FALSE())</f>
        <v>NextGen Hardware</v>
      </c>
      <c r="R1764" t="str">
        <f>_xlfn.XLOOKUP(D1764, Lookups!$A$12:$A$51, Lookups!$C$12:$C$51, "Unknown")</f>
        <v>Electronics</v>
      </c>
      <c r="S1764" t="str">
        <f>IF(ISBLANK(I1764), B1764+VLOOKUP(C1764, Lookups!$A$2:$D$10, 4, FALSE()), I1764)</f>
        <v>2025-07-25</v>
      </c>
      <c r="T1764">
        <f t="shared" si="165"/>
        <v>35</v>
      </c>
      <c r="U1764" t="str">
        <f t="shared" si="166"/>
        <v>Late</v>
      </c>
      <c r="V1764">
        <f t="shared" si="167"/>
        <v>0</v>
      </c>
    </row>
    <row r="1765" spans="1:22" x14ac:dyDescent="0.45">
      <c r="A1765" t="s">
        <v>2612</v>
      </c>
      <c r="B1765" t="s">
        <v>571</v>
      </c>
      <c r="C1765" t="s">
        <v>35</v>
      </c>
      <c r="D1765" t="s">
        <v>70</v>
      </c>
      <c r="E1765" t="s">
        <v>16</v>
      </c>
      <c r="F1765">
        <v>156</v>
      </c>
      <c r="G1765">
        <v>4287</v>
      </c>
      <c r="H1765">
        <v>668772</v>
      </c>
      <c r="I1765" t="s">
        <v>583</v>
      </c>
      <c r="J1765" t="s">
        <v>480</v>
      </c>
      <c r="K1765">
        <v>156</v>
      </c>
      <c r="L1765">
        <v>0</v>
      </c>
      <c r="M1765" t="s">
        <v>115</v>
      </c>
      <c r="N1765" t="str">
        <f t="shared" si="162"/>
        <v>PO-101764</v>
      </c>
      <c r="O1765" t="str">
        <f t="shared" si="163"/>
        <v>Delivered</v>
      </c>
      <c r="P1765" t="str">
        <f t="shared" si="164"/>
        <v>WH-DEL</v>
      </c>
      <c r="Q1765" t="str">
        <f>VLOOKUP(C1765, Lookups!$A$2:$D$10, 2, FALSE())</f>
        <v>Peripheral Source</v>
      </c>
      <c r="R1765" t="str">
        <f>_xlfn.XLOOKUP(D1765, Lookups!$A$12:$A$51, Lookups!$C$12:$C$51, "Unknown")</f>
        <v>Peripherals</v>
      </c>
      <c r="S1765" t="str">
        <f>IF(ISBLANK(I1765), B1765+VLOOKUP(C1765, Lookups!$A$2:$D$10, 4, FALSE()), I1765)</f>
        <v>2025-04-26</v>
      </c>
      <c r="T1765">
        <f t="shared" si="165"/>
        <v>11</v>
      </c>
      <c r="U1765" t="str">
        <f t="shared" si="166"/>
        <v>Late</v>
      </c>
      <c r="V1765">
        <f t="shared" si="167"/>
        <v>0</v>
      </c>
    </row>
    <row r="1766" spans="1:22" x14ac:dyDescent="0.45">
      <c r="A1766" t="s">
        <v>2613</v>
      </c>
      <c r="B1766" t="s">
        <v>889</v>
      </c>
      <c r="C1766" t="s">
        <v>30</v>
      </c>
      <c r="D1766" t="s">
        <v>52</v>
      </c>
      <c r="E1766" t="s">
        <v>15</v>
      </c>
      <c r="F1766">
        <v>65</v>
      </c>
      <c r="G1766">
        <v>59592</v>
      </c>
      <c r="H1766">
        <v>3873480</v>
      </c>
      <c r="I1766" t="s">
        <v>247</v>
      </c>
      <c r="J1766" t="s">
        <v>471</v>
      </c>
      <c r="K1766">
        <v>65</v>
      </c>
      <c r="L1766">
        <v>0</v>
      </c>
      <c r="M1766" t="s">
        <v>115</v>
      </c>
      <c r="N1766" t="str">
        <f t="shared" si="162"/>
        <v>PO-101765</v>
      </c>
      <c r="O1766" t="str">
        <f t="shared" si="163"/>
        <v>Delivered</v>
      </c>
      <c r="P1766" t="str">
        <f t="shared" si="164"/>
        <v>WH-BOM</v>
      </c>
      <c r="Q1766" t="str">
        <f>VLOOKUP(C1766, Lookups!$A$2:$D$10, 2, FALSE())</f>
        <v>TechSupply Corp</v>
      </c>
      <c r="R1766" t="str">
        <f>_xlfn.XLOOKUP(D1766, Lookups!$A$12:$A$51, Lookups!$C$12:$C$51, "Unknown")</f>
        <v>Electronics</v>
      </c>
      <c r="S1766" t="str">
        <f>IF(ISBLANK(I1766), B1766+VLOOKUP(C1766, Lookups!$A$2:$D$10, 4, FALSE()), I1766)</f>
        <v>2025-11-02</v>
      </c>
      <c r="T1766">
        <f t="shared" si="165"/>
        <v>15</v>
      </c>
      <c r="U1766" t="str">
        <f t="shared" si="166"/>
        <v>Late</v>
      </c>
      <c r="V1766">
        <f t="shared" si="167"/>
        <v>0</v>
      </c>
    </row>
    <row r="1767" spans="1:22" x14ac:dyDescent="0.45">
      <c r="A1767" t="s">
        <v>2614</v>
      </c>
      <c r="B1767" t="s">
        <v>334</v>
      </c>
      <c r="C1767" t="s">
        <v>33</v>
      </c>
      <c r="D1767" t="s">
        <v>89</v>
      </c>
      <c r="E1767" t="s">
        <v>16</v>
      </c>
      <c r="F1767">
        <v>158</v>
      </c>
      <c r="G1767">
        <v>11309</v>
      </c>
      <c r="H1767">
        <v>1786822</v>
      </c>
      <c r="I1767" t="s">
        <v>661</v>
      </c>
      <c r="J1767" t="s">
        <v>1211</v>
      </c>
      <c r="K1767">
        <v>158</v>
      </c>
      <c r="L1767">
        <v>0</v>
      </c>
      <c r="M1767" t="s">
        <v>115</v>
      </c>
      <c r="N1767" t="str">
        <f t="shared" si="162"/>
        <v>PO-101766</v>
      </c>
      <c r="O1767" t="str">
        <f t="shared" si="163"/>
        <v>Delivered</v>
      </c>
      <c r="P1767" t="str">
        <f t="shared" si="164"/>
        <v>WH-DEL</v>
      </c>
      <c r="Q1767" t="str">
        <f>VLOOKUP(C1767, Lookups!$A$2:$D$10, 2, FALSE())</f>
        <v>MegaFurnish</v>
      </c>
      <c r="R1767" t="str">
        <f>_xlfn.XLOOKUP(D1767, Lookups!$A$12:$A$51, Lookups!$C$12:$C$51, "Unknown")</f>
        <v>Office Furniture</v>
      </c>
      <c r="S1767" t="str">
        <f>IF(ISBLANK(I1767), B1767+VLOOKUP(C1767, Lookups!$A$2:$D$10, 4, FALSE()), I1767)</f>
        <v>2026-09-14</v>
      </c>
      <c r="T1767">
        <f t="shared" si="165"/>
        <v>45</v>
      </c>
      <c r="U1767" t="str">
        <f t="shared" si="166"/>
        <v>Late</v>
      </c>
      <c r="V1767">
        <f t="shared" si="167"/>
        <v>0</v>
      </c>
    </row>
    <row r="1768" spans="1:22" x14ac:dyDescent="0.45">
      <c r="A1768" t="s">
        <v>2615</v>
      </c>
      <c r="B1768" t="s">
        <v>667</v>
      </c>
      <c r="C1768" t="s">
        <v>30</v>
      </c>
      <c r="D1768" t="s">
        <v>59</v>
      </c>
      <c r="E1768" t="s">
        <v>16</v>
      </c>
      <c r="F1768">
        <v>220</v>
      </c>
      <c r="G1768">
        <v>48905</v>
      </c>
      <c r="H1768">
        <v>10759100</v>
      </c>
      <c r="I1768" t="s">
        <v>940</v>
      </c>
      <c r="J1768" t="s">
        <v>940</v>
      </c>
      <c r="K1768">
        <v>220</v>
      </c>
      <c r="L1768">
        <v>0</v>
      </c>
      <c r="M1768" t="s">
        <v>115</v>
      </c>
      <c r="N1768" t="str">
        <f t="shared" si="162"/>
        <v>PO-101767</v>
      </c>
      <c r="O1768" t="str">
        <f t="shared" si="163"/>
        <v>Delivered</v>
      </c>
      <c r="P1768" t="str">
        <f t="shared" si="164"/>
        <v>WH-DEL</v>
      </c>
      <c r="Q1768" t="str">
        <f>VLOOKUP(C1768, Lookups!$A$2:$D$10, 2, FALSE())</f>
        <v>TechSupply Corp</v>
      </c>
      <c r="R1768" t="str">
        <f>_xlfn.XLOOKUP(D1768, Lookups!$A$12:$A$51, Lookups!$C$12:$C$51, "Unknown")</f>
        <v>Electronics</v>
      </c>
      <c r="S1768" t="str">
        <f>IF(ISBLANK(I1768), B1768+VLOOKUP(C1768, Lookups!$A$2:$D$10, 4, FALSE()), I1768)</f>
        <v>2025-01-20</v>
      </c>
      <c r="T1768">
        <f t="shared" si="165"/>
        <v>14</v>
      </c>
      <c r="U1768" t="str">
        <f t="shared" si="166"/>
        <v>On-Time</v>
      </c>
      <c r="V1768">
        <f t="shared" si="167"/>
        <v>0</v>
      </c>
    </row>
    <row r="1769" spans="1:22" x14ac:dyDescent="0.45">
      <c r="A1769" t="s">
        <v>2616</v>
      </c>
      <c r="B1769" t="s">
        <v>327</v>
      </c>
      <c r="C1769" t="s">
        <v>36</v>
      </c>
      <c r="D1769" t="s">
        <v>55</v>
      </c>
      <c r="E1769" t="s">
        <v>17</v>
      </c>
      <c r="F1769">
        <v>189</v>
      </c>
      <c r="G1769">
        <v>58434</v>
      </c>
      <c r="H1769">
        <v>11044026</v>
      </c>
      <c r="I1769" t="s">
        <v>880</v>
      </c>
      <c r="J1769" t="s">
        <v>636</v>
      </c>
      <c r="K1769">
        <v>189</v>
      </c>
      <c r="L1769">
        <v>0</v>
      </c>
      <c r="M1769" t="s">
        <v>115</v>
      </c>
      <c r="N1769" t="str">
        <f t="shared" si="162"/>
        <v>PO-101768</v>
      </c>
      <c r="O1769" t="str">
        <f t="shared" si="163"/>
        <v>Delivered</v>
      </c>
      <c r="P1769" t="str">
        <f t="shared" si="164"/>
        <v>WH-BLR</v>
      </c>
      <c r="Q1769" t="str">
        <f>VLOOKUP(C1769, Lookups!$A$2:$D$10, 2, FALSE())</f>
        <v>NextGen Hardware</v>
      </c>
      <c r="R1769" t="str">
        <f>_xlfn.XLOOKUP(D1769, Lookups!$A$12:$A$51, Lookups!$C$12:$C$51, "Unknown")</f>
        <v>Electronics</v>
      </c>
      <c r="S1769" t="str">
        <f>IF(ISBLANK(I1769), B1769+VLOOKUP(C1769, Lookups!$A$2:$D$10, 4, FALSE()), I1769)</f>
        <v>2025-06-29</v>
      </c>
      <c r="T1769">
        <f t="shared" si="165"/>
        <v>25</v>
      </c>
      <c r="U1769" t="str">
        <f t="shared" si="166"/>
        <v>Late</v>
      </c>
      <c r="V1769">
        <f t="shared" si="167"/>
        <v>0</v>
      </c>
    </row>
    <row r="1770" spans="1:22" x14ac:dyDescent="0.45">
      <c r="A1770" t="s">
        <v>2617</v>
      </c>
      <c r="B1770" t="s">
        <v>196</v>
      </c>
      <c r="C1770" t="s">
        <v>31</v>
      </c>
      <c r="D1770" t="s">
        <v>56</v>
      </c>
      <c r="E1770" t="s">
        <v>16</v>
      </c>
      <c r="F1770">
        <v>128</v>
      </c>
      <c r="G1770">
        <v>39270</v>
      </c>
      <c r="H1770">
        <v>5026560</v>
      </c>
      <c r="I1770" t="s">
        <v>226</v>
      </c>
      <c r="J1770" t="s">
        <v>175</v>
      </c>
      <c r="K1770">
        <v>128</v>
      </c>
      <c r="L1770">
        <v>0</v>
      </c>
      <c r="M1770" t="s">
        <v>115</v>
      </c>
      <c r="N1770" t="str">
        <f t="shared" si="162"/>
        <v>PO-101769</v>
      </c>
      <c r="O1770" t="str">
        <f t="shared" si="163"/>
        <v>Delivered</v>
      </c>
      <c r="P1770" t="str">
        <f t="shared" si="164"/>
        <v>WH-DEL</v>
      </c>
      <c r="Q1770" t="str">
        <f>VLOOKUP(C1770, Lookups!$A$2:$D$10, 2, FALSE())</f>
        <v>Global Networks</v>
      </c>
      <c r="R1770" t="str">
        <f>_xlfn.XLOOKUP(D1770, Lookups!$A$12:$A$51, Lookups!$C$12:$C$51, "Unknown")</f>
        <v>Networking</v>
      </c>
      <c r="S1770" t="str">
        <f>IF(ISBLANK(I1770), B1770+VLOOKUP(C1770, Lookups!$A$2:$D$10, 4, FALSE()), I1770)</f>
        <v>2026-08-01</v>
      </c>
      <c r="T1770">
        <f t="shared" si="165"/>
        <v>17</v>
      </c>
      <c r="U1770" t="str">
        <f t="shared" si="166"/>
        <v>On-Time</v>
      </c>
      <c r="V1770">
        <f t="shared" si="167"/>
        <v>0</v>
      </c>
    </row>
    <row r="1771" spans="1:22" x14ac:dyDescent="0.45">
      <c r="A1771" t="s">
        <v>2618</v>
      </c>
      <c r="B1771" t="s">
        <v>954</v>
      </c>
      <c r="C1771" t="s">
        <v>35</v>
      </c>
      <c r="D1771" t="s">
        <v>72</v>
      </c>
      <c r="E1771" t="s">
        <v>15</v>
      </c>
      <c r="F1771">
        <v>243</v>
      </c>
      <c r="G1771">
        <v>7754</v>
      </c>
      <c r="H1771">
        <v>1884222</v>
      </c>
      <c r="I1771" t="s">
        <v>1148</v>
      </c>
      <c r="J1771" t="s">
        <v>811</v>
      </c>
      <c r="K1771">
        <v>243</v>
      </c>
      <c r="L1771">
        <v>0</v>
      </c>
      <c r="M1771" t="s">
        <v>115</v>
      </c>
      <c r="N1771" t="str">
        <f t="shared" si="162"/>
        <v>PO-101770</v>
      </c>
      <c r="O1771" t="str">
        <f t="shared" si="163"/>
        <v>Delivered</v>
      </c>
      <c r="P1771" t="str">
        <f t="shared" si="164"/>
        <v>WH-BOM</v>
      </c>
      <c r="Q1771" t="str">
        <f>VLOOKUP(C1771, Lookups!$A$2:$D$10, 2, FALSE())</f>
        <v>Peripheral Source</v>
      </c>
      <c r="R1771" t="str">
        <f>_xlfn.XLOOKUP(D1771, Lookups!$A$12:$A$51, Lookups!$C$12:$C$51, "Unknown")</f>
        <v>Peripherals</v>
      </c>
      <c r="S1771" t="str">
        <f>IF(ISBLANK(I1771), B1771+VLOOKUP(C1771, Lookups!$A$2:$D$10, 4, FALSE()), I1771)</f>
        <v>2026-11-26</v>
      </c>
      <c r="T1771">
        <f t="shared" si="165"/>
        <v>11</v>
      </c>
      <c r="U1771" t="str">
        <f t="shared" si="166"/>
        <v>Late</v>
      </c>
      <c r="V1771">
        <f t="shared" si="167"/>
        <v>0</v>
      </c>
    </row>
    <row r="1772" spans="1:22" x14ac:dyDescent="0.45">
      <c r="A1772" t="s">
        <v>2619</v>
      </c>
      <c r="B1772" t="s">
        <v>1596</v>
      </c>
      <c r="C1772" t="s">
        <v>31</v>
      </c>
      <c r="D1772" t="s">
        <v>64</v>
      </c>
      <c r="E1772" t="s">
        <v>16</v>
      </c>
      <c r="F1772">
        <v>194</v>
      </c>
      <c r="G1772">
        <v>36295</v>
      </c>
      <c r="H1772">
        <v>7041230</v>
      </c>
      <c r="I1772" t="s">
        <v>400</v>
      </c>
      <c r="J1772" t="s">
        <v>1776</v>
      </c>
      <c r="K1772">
        <v>109</v>
      </c>
      <c r="L1772">
        <v>0</v>
      </c>
      <c r="M1772" t="s">
        <v>115</v>
      </c>
      <c r="N1772" t="str">
        <f t="shared" si="162"/>
        <v>PO-101771</v>
      </c>
      <c r="O1772" t="str">
        <f t="shared" si="163"/>
        <v>Delivered</v>
      </c>
      <c r="P1772" t="str">
        <f t="shared" si="164"/>
        <v>WH-DEL</v>
      </c>
      <c r="Q1772" t="str">
        <f>VLOOKUP(C1772, Lookups!$A$2:$D$10, 2, FALSE())</f>
        <v>Global Networks</v>
      </c>
      <c r="R1772" t="str">
        <f>_xlfn.XLOOKUP(D1772, Lookups!$A$12:$A$51, Lookups!$C$12:$C$51, "Unknown")</f>
        <v>Networking</v>
      </c>
      <c r="S1772" t="str">
        <f>IF(ISBLANK(I1772), B1772+VLOOKUP(C1772, Lookups!$A$2:$D$10, 4, FALSE()), I1772)</f>
        <v>2025-12-08</v>
      </c>
      <c r="T1772">
        <f t="shared" si="165"/>
        <v>33</v>
      </c>
      <c r="U1772" t="str">
        <f t="shared" si="166"/>
        <v>Late</v>
      </c>
      <c r="V1772">
        <f t="shared" si="167"/>
        <v>0</v>
      </c>
    </row>
    <row r="1773" spans="1:22" x14ac:dyDescent="0.45">
      <c r="A1773" t="s">
        <v>2620</v>
      </c>
      <c r="B1773" t="s">
        <v>741</v>
      </c>
      <c r="C1773" t="s">
        <v>31</v>
      </c>
      <c r="D1773" t="s">
        <v>85</v>
      </c>
      <c r="E1773" t="s">
        <v>17</v>
      </c>
      <c r="F1773">
        <v>235</v>
      </c>
      <c r="G1773">
        <v>16501</v>
      </c>
      <c r="H1773">
        <v>3877735</v>
      </c>
      <c r="I1773" t="s">
        <v>1168</v>
      </c>
      <c r="J1773" t="s">
        <v>478</v>
      </c>
      <c r="K1773">
        <v>235</v>
      </c>
      <c r="L1773">
        <v>0</v>
      </c>
      <c r="M1773" t="s">
        <v>115</v>
      </c>
      <c r="N1773" t="str">
        <f t="shared" si="162"/>
        <v>PO-101772</v>
      </c>
      <c r="O1773" t="str">
        <f t="shared" si="163"/>
        <v>Delivered</v>
      </c>
      <c r="P1773" t="str">
        <f t="shared" si="164"/>
        <v>WH-BLR</v>
      </c>
      <c r="Q1773" t="str">
        <f>VLOOKUP(C1773, Lookups!$A$2:$D$10, 2, FALSE())</f>
        <v>Global Networks</v>
      </c>
      <c r="R1773" t="str">
        <f>_xlfn.XLOOKUP(D1773, Lookups!$A$12:$A$51, Lookups!$C$12:$C$51, "Unknown")</f>
        <v>Networking</v>
      </c>
      <c r="S1773" t="str">
        <f>IF(ISBLANK(I1773), B1773+VLOOKUP(C1773, Lookups!$A$2:$D$10, 4, FALSE()), I1773)</f>
        <v>2025-03-26</v>
      </c>
      <c r="T1773">
        <f t="shared" si="165"/>
        <v>24</v>
      </c>
      <c r="U1773" t="str">
        <f t="shared" si="166"/>
        <v>Late</v>
      </c>
      <c r="V1773">
        <f t="shared" si="167"/>
        <v>0</v>
      </c>
    </row>
    <row r="1774" spans="1:22" x14ac:dyDescent="0.45">
      <c r="A1774" t="s">
        <v>2621</v>
      </c>
      <c r="B1774" t="s">
        <v>908</v>
      </c>
      <c r="C1774" t="s">
        <v>36</v>
      </c>
      <c r="D1774" t="s">
        <v>62</v>
      </c>
      <c r="E1774" t="s">
        <v>16</v>
      </c>
      <c r="F1774">
        <v>84</v>
      </c>
      <c r="G1774">
        <v>48478</v>
      </c>
      <c r="H1774">
        <v>4072152</v>
      </c>
      <c r="I1774" t="s">
        <v>1065</v>
      </c>
      <c r="J1774" t="s">
        <v>141</v>
      </c>
      <c r="K1774">
        <v>84</v>
      </c>
      <c r="L1774">
        <v>0</v>
      </c>
      <c r="M1774" t="s">
        <v>115</v>
      </c>
      <c r="N1774" t="str">
        <f t="shared" si="162"/>
        <v>PO-101773</v>
      </c>
      <c r="O1774" t="str">
        <f t="shared" si="163"/>
        <v>Delivered</v>
      </c>
      <c r="P1774" t="str">
        <f t="shared" si="164"/>
        <v>WH-DEL</v>
      </c>
      <c r="Q1774" t="str">
        <f>VLOOKUP(C1774, Lookups!$A$2:$D$10, 2, FALSE())</f>
        <v>NextGen Hardware</v>
      </c>
      <c r="R1774" t="str">
        <f>_xlfn.XLOOKUP(D1774, Lookups!$A$12:$A$51, Lookups!$C$12:$C$51, "Unknown")</f>
        <v>Electronics</v>
      </c>
      <c r="S1774" t="str">
        <f>IF(ISBLANK(I1774), B1774+VLOOKUP(C1774, Lookups!$A$2:$D$10, 4, FALSE()), I1774)</f>
        <v>2026-07-25</v>
      </c>
      <c r="T1774">
        <f t="shared" si="165"/>
        <v>22</v>
      </c>
      <c r="U1774" t="str">
        <f t="shared" si="166"/>
        <v>On-Time</v>
      </c>
      <c r="V1774">
        <f t="shared" si="167"/>
        <v>0</v>
      </c>
    </row>
    <row r="1775" spans="1:22" x14ac:dyDescent="0.45">
      <c r="A1775" t="s">
        <v>2622</v>
      </c>
      <c r="B1775" t="s">
        <v>1019</v>
      </c>
      <c r="C1775" t="s">
        <v>30</v>
      </c>
      <c r="D1775" t="s">
        <v>61</v>
      </c>
      <c r="E1775" t="s">
        <v>17</v>
      </c>
      <c r="F1775">
        <v>111</v>
      </c>
      <c r="G1775">
        <v>111237</v>
      </c>
      <c r="H1775">
        <v>12347307</v>
      </c>
      <c r="I1775" t="s">
        <v>518</v>
      </c>
      <c r="J1775" t="s">
        <v>1281</v>
      </c>
      <c r="K1775">
        <v>111</v>
      </c>
      <c r="L1775">
        <v>0</v>
      </c>
      <c r="M1775" t="s">
        <v>115</v>
      </c>
      <c r="N1775" t="str">
        <f t="shared" si="162"/>
        <v>PO-101774</v>
      </c>
      <c r="O1775" t="str">
        <f t="shared" si="163"/>
        <v>Delivered</v>
      </c>
      <c r="P1775" t="str">
        <f t="shared" si="164"/>
        <v>WH-BLR</v>
      </c>
      <c r="Q1775" t="str">
        <f>VLOOKUP(C1775, Lookups!$A$2:$D$10, 2, FALSE())</f>
        <v>TechSupply Corp</v>
      </c>
      <c r="R1775" t="str">
        <f>_xlfn.XLOOKUP(D1775, Lookups!$A$12:$A$51, Lookups!$C$12:$C$51, "Unknown")</f>
        <v>Electronics</v>
      </c>
      <c r="S1775" t="str">
        <f>IF(ISBLANK(I1775), B1775+VLOOKUP(C1775, Lookups!$A$2:$D$10, 4, FALSE()), I1775)</f>
        <v>2025-05-23</v>
      </c>
      <c r="T1775">
        <f t="shared" si="165"/>
        <v>22</v>
      </c>
      <c r="U1775" t="str">
        <f t="shared" si="166"/>
        <v>Late</v>
      </c>
      <c r="V1775">
        <f t="shared" si="167"/>
        <v>0</v>
      </c>
    </row>
    <row r="1776" spans="1:22" x14ac:dyDescent="0.45">
      <c r="A1776" t="s">
        <v>2623</v>
      </c>
      <c r="B1776" t="s">
        <v>173</v>
      </c>
      <c r="C1776" t="s">
        <v>36</v>
      </c>
      <c r="D1776" t="s">
        <v>62</v>
      </c>
      <c r="E1776" t="s">
        <v>15</v>
      </c>
      <c r="F1776">
        <v>45</v>
      </c>
      <c r="G1776">
        <v>48478</v>
      </c>
      <c r="H1776">
        <v>2181510</v>
      </c>
      <c r="I1776" t="s">
        <v>978</v>
      </c>
      <c r="J1776" t="s">
        <v>1252</v>
      </c>
      <c r="K1776">
        <v>45</v>
      </c>
      <c r="L1776">
        <v>0</v>
      </c>
      <c r="M1776" t="s">
        <v>115</v>
      </c>
      <c r="N1776" t="str">
        <f t="shared" si="162"/>
        <v>PO-101775</v>
      </c>
      <c r="O1776" t="str">
        <f t="shared" si="163"/>
        <v>Delivered</v>
      </c>
      <c r="P1776" t="str">
        <f t="shared" si="164"/>
        <v>WH-BOM</v>
      </c>
      <c r="Q1776" t="str">
        <f>VLOOKUP(C1776, Lookups!$A$2:$D$10, 2, FALSE())</f>
        <v>NextGen Hardware</v>
      </c>
      <c r="R1776" t="str">
        <f>_xlfn.XLOOKUP(D1776, Lookups!$A$12:$A$51, Lookups!$C$12:$C$51, "Unknown")</f>
        <v>Electronics</v>
      </c>
      <c r="S1776" t="str">
        <f>IF(ISBLANK(I1776), B1776+VLOOKUP(C1776, Lookups!$A$2:$D$10, 4, FALSE()), I1776)</f>
        <v>2025-09-30</v>
      </c>
      <c r="T1776">
        <f t="shared" si="165"/>
        <v>25</v>
      </c>
      <c r="U1776" t="str">
        <f t="shared" si="166"/>
        <v>Late</v>
      </c>
      <c r="V1776">
        <f t="shared" si="167"/>
        <v>0</v>
      </c>
    </row>
    <row r="1777" spans="1:22" x14ac:dyDescent="0.45">
      <c r="A1777" t="s">
        <v>2624</v>
      </c>
      <c r="B1777" t="s">
        <v>1671</v>
      </c>
      <c r="C1777" t="s">
        <v>34</v>
      </c>
      <c r="D1777" t="s">
        <v>54</v>
      </c>
      <c r="E1777" t="s">
        <v>18</v>
      </c>
      <c r="F1777">
        <v>131</v>
      </c>
      <c r="G1777">
        <v>22314</v>
      </c>
      <c r="H1777">
        <v>2923134</v>
      </c>
      <c r="I1777" t="s">
        <v>367</v>
      </c>
      <c r="J1777" t="s">
        <v>366</v>
      </c>
      <c r="K1777">
        <v>131</v>
      </c>
      <c r="L1777">
        <v>0</v>
      </c>
      <c r="M1777" t="s">
        <v>115</v>
      </c>
      <c r="N1777" t="str">
        <f t="shared" si="162"/>
        <v>PO-101776</v>
      </c>
      <c r="O1777" t="str">
        <f t="shared" si="163"/>
        <v>Delivered</v>
      </c>
      <c r="P1777" t="str">
        <f t="shared" si="164"/>
        <v>WH-PUN</v>
      </c>
      <c r="Q1777" t="str">
        <f>VLOOKUP(C1777, Lookups!$A$2:$D$10, 2, FALSE())</f>
        <v>FastElectronics</v>
      </c>
      <c r="R1777" t="str">
        <f>_xlfn.XLOOKUP(D1777, Lookups!$A$12:$A$51, Lookups!$C$12:$C$51, "Unknown")</f>
        <v>Networking</v>
      </c>
      <c r="S1777" t="str">
        <f>IF(ISBLANK(I1777), B1777+VLOOKUP(C1777, Lookups!$A$2:$D$10, 4, FALSE()), I1777)</f>
        <v>2026-04-15</v>
      </c>
      <c r="T1777">
        <f t="shared" si="165"/>
        <v>19</v>
      </c>
      <c r="U1777" t="str">
        <f t="shared" si="166"/>
        <v>Late</v>
      </c>
      <c r="V1777">
        <f t="shared" si="167"/>
        <v>0</v>
      </c>
    </row>
    <row r="1778" spans="1:22" x14ac:dyDescent="0.45">
      <c r="A1778" t="s">
        <v>2625</v>
      </c>
      <c r="B1778" t="s">
        <v>585</v>
      </c>
      <c r="C1778" t="s">
        <v>33</v>
      </c>
      <c r="D1778" t="s">
        <v>89</v>
      </c>
      <c r="E1778" t="s">
        <v>18</v>
      </c>
      <c r="F1778">
        <v>173</v>
      </c>
      <c r="G1778">
        <v>11309</v>
      </c>
      <c r="H1778">
        <v>1956457</v>
      </c>
      <c r="I1778" t="s">
        <v>310</v>
      </c>
      <c r="J1778" t="s">
        <v>995</v>
      </c>
      <c r="K1778">
        <v>173</v>
      </c>
      <c r="L1778">
        <v>0</v>
      </c>
      <c r="M1778" t="s">
        <v>115</v>
      </c>
      <c r="N1778" t="str">
        <f t="shared" si="162"/>
        <v>PO-101777</v>
      </c>
      <c r="O1778" t="str">
        <f t="shared" si="163"/>
        <v>Delivered</v>
      </c>
      <c r="P1778" t="str">
        <f t="shared" si="164"/>
        <v>WH-PUN</v>
      </c>
      <c r="Q1778" t="str">
        <f>VLOOKUP(C1778, Lookups!$A$2:$D$10, 2, FALSE())</f>
        <v>MegaFurnish</v>
      </c>
      <c r="R1778" t="str">
        <f>_xlfn.XLOOKUP(D1778, Lookups!$A$12:$A$51, Lookups!$C$12:$C$51, "Unknown")</f>
        <v>Office Furniture</v>
      </c>
      <c r="S1778" t="str">
        <f>IF(ISBLANK(I1778), B1778+VLOOKUP(C1778, Lookups!$A$2:$D$10, 4, FALSE()), I1778)</f>
        <v>2025-08-21</v>
      </c>
      <c r="T1778">
        <f t="shared" si="165"/>
        <v>31</v>
      </c>
      <c r="U1778" t="str">
        <f t="shared" si="166"/>
        <v>Late</v>
      </c>
      <c r="V1778">
        <f t="shared" si="167"/>
        <v>0</v>
      </c>
    </row>
    <row r="1779" spans="1:22" x14ac:dyDescent="0.45">
      <c r="A1779" t="s">
        <v>2626</v>
      </c>
      <c r="B1779" t="s">
        <v>1005</v>
      </c>
      <c r="C1779" t="s">
        <v>36</v>
      </c>
      <c r="D1779" t="s">
        <v>55</v>
      </c>
      <c r="E1779" t="s">
        <v>18</v>
      </c>
      <c r="F1779">
        <v>134</v>
      </c>
      <c r="G1779">
        <v>58434</v>
      </c>
      <c r="H1779">
        <v>7830156</v>
      </c>
      <c r="I1779" t="s">
        <v>1574</v>
      </c>
      <c r="J1779" t="s">
        <v>1574</v>
      </c>
      <c r="K1779">
        <v>110</v>
      </c>
      <c r="L1779">
        <v>0</v>
      </c>
      <c r="M1779" t="s">
        <v>115</v>
      </c>
      <c r="N1779" t="str">
        <f t="shared" si="162"/>
        <v>PO-101778</v>
      </c>
      <c r="O1779" t="str">
        <f t="shared" si="163"/>
        <v>Delivered</v>
      </c>
      <c r="P1779" t="str">
        <f t="shared" si="164"/>
        <v>WH-PUN</v>
      </c>
      <c r="Q1779" t="str">
        <f>VLOOKUP(C1779, Lookups!$A$2:$D$10, 2, FALSE())</f>
        <v>NextGen Hardware</v>
      </c>
      <c r="R1779" t="str">
        <f>_xlfn.XLOOKUP(D1779, Lookups!$A$12:$A$51, Lookups!$C$12:$C$51, "Unknown")</f>
        <v>Electronics</v>
      </c>
      <c r="S1779" t="str">
        <f>IF(ISBLANK(I1779), B1779+VLOOKUP(C1779, Lookups!$A$2:$D$10, 4, FALSE()), I1779)</f>
        <v>2025-11-30</v>
      </c>
      <c r="T1779">
        <f t="shared" si="165"/>
        <v>24</v>
      </c>
      <c r="U1779" t="str">
        <f t="shared" si="166"/>
        <v>On-Time</v>
      </c>
      <c r="V1779">
        <f t="shared" si="167"/>
        <v>0</v>
      </c>
    </row>
    <row r="1780" spans="1:22" x14ac:dyDescent="0.45">
      <c r="A1780" t="s">
        <v>2627</v>
      </c>
      <c r="B1780" t="s">
        <v>1077</v>
      </c>
      <c r="C1780" t="s">
        <v>36</v>
      </c>
      <c r="D1780" t="s">
        <v>55</v>
      </c>
      <c r="E1780" t="s">
        <v>15</v>
      </c>
      <c r="F1780">
        <v>71</v>
      </c>
      <c r="G1780">
        <v>58434</v>
      </c>
      <c r="H1780">
        <v>4148814</v>
      </c>
      <c r="I1780" t="s">
        <v>464</v>
      </c>
      <c r="J1780" t="s">
        <v>464</v>
      </c>
      <c r="K1780">
        <v>71</v>
      </c>
      <c r="L1780">
        <v>0</v>
      </c>
      <c r="M1780" t="s">
        <v>115</v>
      </c>
      <c r="N1780" t="str">
        <f t="shared" si="162"/>
        <v>PO-101779</v>
      </c>
      <c r="O1780" t="str">
        <f t="shared" si="163"/>
        <v>Delivered</v>
      </c>
      <c r="P1780" t="str">
        <f t="shared" si="164"/>
        <v>WH-BOM</v>
      </c>
      <c r="Q1780" t="str">
        <f>VLOOKUP(C1780, Lookups!$A$2:$D$10, 2, FALSE())</f>
        <v>NextGen Hardware</v>
      </c>
      <c r="R1780" t="str">
        <f>_xlfn.XLOOKUP(D1780, Lookups!$A$12:$A$51, Lookups!$C$12:$C$51, "Unknown")</f>
        <v>Electronics</v>
      </c>
      <c r="S1780" t="str">
        <f>IF(ISBLANK(I1780), B1780+VLOOKUP(C1780, Lookups!$A$2:$D$10, 4, FALSE()), I1780)</f>
        <v>2025-11-20</v>
      </c>
      <c r="T1780">
        <f t="shared" si="165"/>
        <v>24</v>
      </c>
      <c r="U1780" t="str">
        <f t="shared" si="166"/>
        <v>On-Time</v>
      </c>
      <c r="V1780">
        <f t="shared" si="167"/>
        <v>0</v>
      </c>
    </row>
    <row r="1781" spans="1:22" x14ac:dyDescent="0.45">
      <c r="A1781" t="s">
        <v>2628</v>
      </c>
      <c r="B1781" t="s">
        <v>431</v>
      </c>
      <c r="C1781" t="s">
        <v>30</v>
      </c>
      <c r="D1781" t="s">
        <v>53</v>
      </c>
      <c r="E1781" t="s">
        <v>18</v>
      </c>
      <c r="F1781">
        <v>244</v>
      </c>
      <c r="G1781">
        <v>81048</v>
      </c>
      <c r="H1781">
        <v>19775712</v>
      </c>
      <c r="I1781" t="s">
        <v>1158</v>
      </c>
      <c r="J1781" t="s">
        <v>268</v>
      </c>
      <c r="K1781">
        <v>244</v>
      </c>
      <c r="L1781">
        <v>0</v>
      </c>
      <c r="M1781" t="s">
        <v>178</v>
      </c>
      <c r="N1781" t="str">
        <f t="shared" si="162"/>
        <v>PO-101780</v>
      </c>
      <c r="O1781" t="str">
        <f t="shared" si="163"/>
        <v>Delivered</v>
      </c>
      <c r="P1781" t="str">
        <f t="shared" si="164"/>
        <v>WH-PUN</v>
      </c>
      <c r="Q1781" t="str">
        <f>VLOOKUP(C1781, Lookups!$A$2:$D$10, 2, FALSE())</f>
        <v>TechSupply Corp</v>
      </c>
      <c r="R1781" t="str">
        <f>_xlfn.XLOOKUP(D1781, Lookups!$A$12:$A$51, Lookups!$C$12:$C$51, "Unknown")</f>
        <v>Electronics</v>
      </c>
      <c r="S1781" t="str">
        <f>IF(ISBLANK(I1781), B1781+VLOOKUP(C1781, Lookups!$A$2:$D$10, 4, FALSE()), I1781)</f>
        <v>2025-03-30</v>
      </c>
      <c r="T1781">
        <f t="shared" si="165"/>
        <v>28</v>
      </c>
      <c r="U1781" t="str">
        <f t="shared" si="166"/>
        <v>Late</v>
      </c>
      <c r="V1781">
        <f t="shared" si="167"/>
        <v>0</v>
      </c>
    </row>
    <row r="1782" spans="1:22" x14ac:dyDescent="0.45">
      <c r="A1782" t="s">
        <v>2629</v>
      </c>
      <c r="B1782" t="s">
        <v>1260</v>
      </c>
      <c r="C1782" t="s">
        <v>37</v>
      </c>
      <c r="D1782" t="s">
        <v>69</v>
      </c>
      <c r="E1782" t="s">
        <v>16</v>
      </c>
      <c r="F1782">
        <v>120</v>
      </c>
      <c r="G1782">
        <v>13231</v>
      </c>
      <c r="H1782">
        <v>1587720</v>
      </c>
      <c r="I1782" t="s">
        <v>1263</v>
      </c>
      <c r="J1782" t="s">
        <v>1263</v>
      </c>
      <c r="K1782">
        <v>120</v>
      </c>
      <c r="L1782">
        <v>0</v>
      </c>
      <c r="M1782" t="s">
        <v>115</v>
      </c>
      <c r="N1782" t="str">
        <f t="shared" si="162"/>
        <v>PO-101781</v>
      </c>
      <c r="O1782" t="str">
        <f t="shared" si="163"/>
        <v>Delivered</v>
      </c>
      <c r="P1782" t="str">
        <f t="shared" si="164"/>
        <v>WH-DEL</v>
      </c>
      <c r="Q1782" t="str">
        <f>VLOOKUP(C1782, Lookups!$A$2:$D$10, 2, FALSE())</f>
        <v>Premium Desks Ltd</v>
      </c>
      <c r="R1782" t="str">
        <f>_xlfn.XLOOKUP(D1782, Lookups!$A$12:$A$51, Lookups!$C$12:$C$51, "Unknown")</f>
        <v>Office Furniture</v>
      </c>
      <c r="S1782" t="str">
        <f>IF(ISBLANK(I1782), B1782+VLOOKUP(C1782, Lookups!$A$2:$D$10, 4, FALSE()), I1782)</f>
        <v>2025-12-31</v>
      </c>
      <c r="T1782">
        <f t="shared" si="165"/>
        <v>12</v>
      </c>
      <c r="U1782" t="str">
        <f t="shared" si="166"/>
        <v>On-Time</v>
      </c>
      <c r="V1782">
        <f t="shared" si="167"/>
        <v>0</v>
      </c>
    </row>
    <row r="1783" spans="1:22" x14ac:dyDescent="0.45">
      <c r="A1783" t="s">
        <v>2630</v>
      </c>
      <c r="B1783" t="s">
        <v>1386</v>
      </c>
      <c r="C1783" t="s">
        <v>33</v>
      </c>
      <c r="D1783" t="s">
        <v>89</v>
      </c>
      <c r="E1783" t="s">
        <v>16</v>
      </c>
      <c r="F1783">
        <v>161</v>
      </c>
      <c r="G1783">
        <v>11309</v>
      </c>
      <c r="H1783">
        <v>1820749</v>
      </c>
      <c r="I1783" t="s">
        <v>312</v>
      </c>
      <c r="J1783" t="s">
        <v>455</v>
      </c>
      <c r="K1783">
        <v>161</v>
      </c>
      <c r="L1783">
        <v>0</v>
      </c>
      <c r="M1783" t="s">
        <v>115</v>
      </c>
      <c r="N1783" t="str">
        <f t="shared" si="162"/>
        <v>PO-101782</v>
      </c>
      <c r="O1783" t="str">
        <f t="shared" si="163"/>
        <v>Delivered</v>
      </c>
      <c r="P1783" t="str">
        <f t="shared" si="164"/>
        <v>WH-DEL</v>
      </c>
      <c r="Q1783" t="str">
        <f>VLOOKUP(C1783, Lookups!$A$2:$D$10, 2, FALSE())</f>
        <v>MegaFurnish</v>
      </c>
      <c r="R1783" t="str">
        <f>_xlfn.XLOOKUP(D1783, Lookups!$A$12:$A$51, Lookups!$C$12:$C$51, "Unknown")</f>
        <v>Office Furniture</v>
      </c>
      <c r="S1783" t="str">
        <f>IF(ISBLANK(I1783), B1783+VLOOKUP(C1783, Lookups!$A$2:$D$10, 4, FALSE()), I1783)</f>
        <v>2026-07-29</v>
      </c>
      <c r="T1783">
        <f t="shared" si="165"/>
        <v>45</v>
      </c>
      <c r="U1783" t="str">
        <f t="shared" si="166"/>
        <v>Late</v>
      </c>
      <c r="V1783">
        <f t="shared" si="167"/>
        <v>0</v>
      </c>
    </row>
    <row r="1784" spans="1:22" x14ac:dyDescent="0.45">
      <c r="A1784" t="s">
        <v>2631</v>
      </c>
      <c r="B1784" t="s">
        <v>236</v>
      </c>
      <c r="C1784" t="s">
        <v>33</v>
      </c>
      <c r="D1784" t="s">
        <v>89</v>
      </c>
      <c r="E1784" t="s">
        <v>17</v>
      </c>
      <c r="F1784">
        <v>189</v>
      </c>
      <c r="G1784">
        <v>11309</v>
      </c>
      <c r="H1784">
        <v>2137401</v>
      </c>
      <c r="I1784" t="s">
        <v>356</v>
      </c>
      <c r="J1784" t="s">
        <v>318</v>
      </c>
      <c r="K1784">
        <v>189</v>
      </c>
      <c r="L1784">
        <v>0</v>
      </c>
      <c r="M1784" t="s">
        <v>115</v>
      </c>
      <c r="N1784" t="str">
        <f t="shared" si="162"/>
        <v>PO-101783</v>
      </c>
      <c r="O1784" t="str">
        <f t="shared" si="163"/>
        <v>Delivered</v>
      </c>
      <c r="P1784" t="str">
        <f t="shared" si="164"/>
        <v>WH-BLR</v>
      </c>
      <c r="Q1784" t="str">
        <f>VLOOKUP(C1784, Lookups!$A$2:$D$10, 2, FALSE())</f>
        <v>MegaFurnish</v>
      </c>
      <c r="R1784" t="str">
        <f>_xlfn.XLOOKUP(D1784, Lookups!$A$12:$A$51, Lookups!$C$12:$C$51, "Unknown")</f>
        <v>Office Furniture</v>
      </c>
      <c r="S1784" t="str">
        <f>IF(ISBLANK(I1784), B1784+VLOOKUP(C1784, Lookups!$A$2:$D$10, 4, FALSE()), I1784)</f>
        <v>2025-09-27</v>
      </c>
      <c r="T1784">
        <f t="shared" si="165"/>
        <v>26</v>
      </c>
      <c r="U1784" t="str">
        <f t="shared" si="166"/>
        <v>On-Time</v>
      </c>
      <c r="V1784">
        <f t="shared" si="167"/>
        <v>0</v>
      </c>
    </row>
    <row r="1785" spans="1:22" x14ac:dyDescent="0.45">
      <c r="A1785" t="s">
        <v>2632</v>
      </c>
      <c r="B1785" t="s">
        <v>703</v>
      </c>
      <c r="C1785" t="s">
        <v>30</v>
      </c>
      <c r="D1785" t="s">
        <v>88</v>
      </c>
      <c r="E1785" t="s">
        <v>16</v>
      </c>
      <c r="F1785">
        <v>242</v>
      </c>
      <c r="G1785">
        <v>75512</v>
      </c>
      <c r="H1785">
        <v>18273904</v>
      </c>
      <c r="I1785" t="s">
        <v>882</v>
      </c>
      <c r="J1785" t="s">
        <v>882</v>
      </c>
      <c r="K1785">
        <v>242</v>
      </c>
      <c r="L1785">
        <v>0</v>
      </c>
      <c r="M1785" t="s">
        <v>927</v>
      </c>
      <c r="N1785" t="str">
        <f t="shared" si="162"/>
        <v>PO-101784</v>
      </c>
      <c r="O1785" t="str">
        <f t="shared" si="163"/>
        <v>Delivered</v>
      </c>
      <c r="P1785" t="str">
        <f t="shared" si="164"/>
        <v>WH-DEL</v>
      </c>
      <c r="Q1785" t="str">
        <f>VLOOKUP(C1785, Lookups!$A$2:$D$10, 2, FALSE())</f>
        <v>TechSupply Corp</v>
      </c>
      <c r="R1785" t="str">
        <f>_xlfn.XLOOKUP(D1785, Lookups!$A$12:$A$51, Lookups!$C$12:$C$51, "Unknown")</f>
        <v>Electronics</v>
      </c>
      <c r="S1785" t="str">
        <f>IF(ISBLANK(I1785), B1785+VLOOKUP(C1785, Lookups!$A$2:$D$10, 4, FALSE()), I1785)</f>
        <v>2026-06-22</v>
      </c>
      <c r="T1785">
        <f t="shared" si="165"/>
        <v>14</v>
      </c>
      <c r="U1785" t="str">
        <f t="shared" si="166"/>
        <v>On-Time</v>
      </c>
      <c r="V1785">
        <f t="shared" si="167"/>
        <v>0</v>
      </c>
    </row>
    <row r="1786" spans="1:22" x14ac:dyDescent="0.45">
      <c r="A1786" t="s">
        <v>2633</v>
      </c>
      <c r="B1786" t="s">
        <v>366</v>
      </c>
      <c r="C1786" t="s">
        <v>36</v>
      </c>
      <c r="D1786" t="s">
        <v>87</v>
      </c>
      <c r="E1786" t="s">
        <v>18</v>
      </c>
      <c r="F1786">
        <v>142</v>
      </c>
      <c r="G1786">
        <v>82930</v>
      </c>
      <c r="H1786">
        <v>11776060</v>
      </c>
      <c r="I1786" t="s">
        <v>900</v>
      </c>
      <c r="J1786" t="s">
        <v>1405</v>
      </c>
      <c r="K1786">
        <v>142</v>
      </c>
      <c r="L1786">
        <v>0</v>
      </c>
      <c r="M1786" t="s">
        <v>115</v>
      </c>
      <c r="N1786" t="str">
        <f t="shared" si="162"/>
        <v>PO-101785</v>
      </c>
      <c r="O1786" t="str">
        <f t="shared" si="163"/>
        <v>Delivered</v>
      </c>
      <c r="P1786" t="str">
        <f t="shared" si="164"/>
        <v>WH-PUN</v>
      </c>
      <c r="Q1786" t="str">
        <f>VLOOKUP(C1786, Lookups!$A$2:$D$10, 2, FALSE())</f>
        <v>NextGen Hardware</v>
      </c>
      <c r="R1786" t="str">
        <f>_xlfn.XLOOKUP(D1786, Lookups!$A$12:$A$51, Lookups!$C$12:$C$51, "Unknown")</f>
        <v>Electronics</v>
      </c>
      <c r="S1786" t="str">
        <f>IF(ISBLANK(I1786), B1786+VLOOKUP(C1786, Lookups!$A$2:$D$10, 4, FALSE()), I1786)</f>
        <v>2026-05-10</v>
      </c>
      <c r="T1786">
        <f t="shared" si="165"/>
        <v>37</v>
      </c>
      <c r="U1786" t="str">
        <f t="shared" si="166"/>
        <v>Late</v>
      </c>
      <c r="V1786">
        <f t="shared" si="167"/>
        <v>0</v>
      </c>
    </row>
    <row r="1787" spans="1:22" x14ac:dyDescent="0.45">
      <c r="A1787" t="s">
        <v>2634</v>
      </c>
      <c r="B1787" t="s">
        <v>692</v>
      </c>
      <c r="C1787" t="s">
        <v>31</v>
      </c>
      <c r="D1787" t="s">
        <v>66</v>
      </c>
      <c r="E1787" t="s">
        <v>17</v>
      </c>
      <c r="F1787">
        <v>241</v>
      </c>
      <c r="G1787">
        <v>29719</v>
      </c>
      <c r="H1787">
        <v>7162279</v>
      </c>
      <c r="I1787" t="s">
        <v>674</v>
      </c>
      <c r="J1787" t="s">
        <v>674</v>
      </c>
      <c r="K1787">
        <v>198</v>
      </c>
      <c r="L1787">
        <v>0</v>
      </c>
      <c r="M1787" t="s">
        <v>115</v>
      </c>
      <c r="N1787" t="str">
        <f t="shared" si="162"/>
        <v>PO-101786</v>
      </c>
      <c r="O1787" t="str">
        <f t="shared" si="163"/>
        <v>Delivered</v>
      </c>
      <c r="P1787" t="str">
        <f t="shared" si="164"/>
        <v>WH-BLR</v>
      </c>
      <c r="Q1787" t="str">
        <f>VLOOKUP(C1787, Lookups!$A$2:$D$10, 2, FALSE())</f>
        <v>Global Networks</v>
      </c>
      <c r="R1787" t="str">
        <f>_xlfn.XLOOKUP(D1787, Lookups!$A$12:$A$51, Lookups!$C$12:$C$51, "Unknown")</f>
        <v>Networking</v>
      </c>
      <c r="S1787" t="str">
        <f>IF(ISBLANK(I1787), B1787+VLOOKUP(C1787, Lookups!$A$2:$D$10, 4, FALSE()), I1787)</f>
        <v>2026-11-19</v>
      </c>
      <c r="T1787">
        <f t="shared" si="165"/>
        <v>21</v>
      </c>
      <c r="U1787" t="str">
        <f t="shared" si="166"/>
        <v>On-Time</v>
      </c>
      <c r="V1787">
        <f t="shared" si="167"/>
        <v>0</v>
      </c>
    </row>
    <row r="1788" spans="1:22" x14ac:dyDescent="0.45">
      <c r="A1788" t="s">
        <v>2635</v>
      </c>
      <c r="B1788" t="s">
        <v>803</v>
      </c>
      <c r="C1788" t="s">
        <v>32</v>
      </c>
      <c r="D1788" t="s">
        <v>67</v>
      </c>
      <c r="E1788" t="s">
        <v>15</v>
      </c>
      <c r="F1788">
        <v>220</v>
      </c>
      <c r="G1788">
        <v>1553</v>
      </c>
      <c r="H1788">
        <v>341660</v>
      </c>
      <c r="I1788" t="s">
        <v>348</v>
      </c>
      <c r="J1788" t="s">
        <v>1271</v>
      </c>
      <c r="K1788">
        <v>220</v>
      </c>
      <c r="L1788">
        <v>0</v>
      </c>
      <c r="M1788" t="s">
        <v>115</v>
      </c>
      <c r="N1788" t="str">
        <f t="shared" si="162"/>
        <v>PO-101787</v>
      </c>
      <c r="O1788" t="str">
        <f t="shared" si="163"/>
        <v>Delivered</v>
      </c>
      <c r="P1788" t="str">
        <f t="shared" si="164"/>
        <v>WH-BOM</v>
      </c>
      <c r="Q1788" t="str">
        <f>VLOOKUP(C1788, Lookups!$A$2:$D$10, 2, FALSE())</f>
        <v>OfficeDepot Pro</v>
      </c>
      <c r="R1788" t="str">
        <f>_xlfn.XLOOKUP(D1788, Lookups!$A$12:$A$51, Lookups!$C$12:$C$51, "Unknown")</f>
        <v>Peripherals</v>
      </c>
      <c r="S1788" t="str">
        <f>IF(ISBLANK(I1788), B1788+VLOOKUP(C1788, Lookups!$A$2:$D$10, 4, FALSE()), I1788)</f>
        <v>2026-08-23</v>
      </c>
      <c r="T1788">
        <f t="shared" si="165"/>
        <v>15</v>
      </c>
      <c r="U1788" t="str">
        <f t="shared" si="166"/>
        <v>Late</v>
      </c>
      <c r="V1788">
        <f t="shared" si="167"/>
        <v>0</v>
      </c>
    </row>
    <row r="1789" spans="1:22" x14ac:dyDescent="0.45">
      <c r="A1789" t="s">
        <v>2636</v>
      </c>
      <c r="B1789" t="s">
        <v>693</v>
      </c>
      <c r="C1789" t="s">
        <v>35</v>
      </c>
      <c r="D1789" t="s">
        <v>57</v>
      </c>
      <c r="E1789" t="s">
        <v>16</v>
      </c>
      <c r="F1789">
        <v>91</v>
      </c>
      <c r="G1789">
        <v>2212</v>
      </c>
      <c r="H1789">
        <v>201292</v>
      </c>
      <c r="I1789" t="s">
        <v>1359</v>
      </c>
      <c r="J1789" t="s">
        <v>1170</v>
      </c>
      <c r="K1789">
        <v>91</v>
      </c>
      <c r="L1789">
        <v>0</v>
      </c>
      <c r="M1789" t="s">
        <v>115</v>
      </c>
      <c r="N1789" t="str">
        <f t="shared" si="162"/>
        <v>PO-101788</v>
      </c>
      <c r="O1789" t="str">
        <f t="shared" si="163"/>
        <v>Delivered</v>
      </c>
      <c r="P1789" t="str">
        <f t="shared" si="164"/>
        <v>WH-DEL</v>
      </c>
      <c r="Q1789" t="str">
        <f>VLOOKUP(C1789, Lookups!$A$2:$D$10, 2, FALSE())</f>
        <v>Peripheral Source</v>
      </c>
      <c r="R1789" t="str">
        <f>_xlfn.XLOOKUP(D1789, Lookups!$A$12:$A$51, Lookups!$C$12:$C$51, "Unknown")</f>
        <v>Peripherals</v>
      </c>
      <c r="S1789" t="str">
        <f>IF(ISBLANK(I1789), B1789+VLOOKUP(C1789, Lookups!$A$2:$D$10, 4, FALSE()), I1789)</f>
        <v>2026-12-02</v>
      </c>
      <c r="T1789">
        <f t="shared" si="165"/>
        <v>11</v>
      </c>
      <c r="U1789" t="str">
        <f t="shared" si="166"/>
        <v>Late</v>
      </c>
      <c r="V1789">
        <f t="shared" si="167"/>
        <v>0</v>
      </c>
    </row>
    <row r="1790" spans="1:22" x14ac:dyDescent="0.45">
      <c r="A1790" t="s">
        <v>2637</v>
      </c>
      <c r="B1790" t="s">
        <v>1822</v>
      </c>
      <c r="C1790" t="s">
        <v>30</v>
      </c>
      <c r="D1790" t="s">
        <v>52</v>
      </c>
      <c r="E1790" t="s">
        <v>18</v>
      </c>
      <c r="F1790">
        <v>132</v>
      </c>
      <c r="G1790">
        <v>59592</v>
      </c>
      <c r="H1790">
        <v>7866144</v>
      </c>
      <c r="I1790" t="s">
        <v>1024</v>
      </c>
      <c r="J1790" t="s">
        <v>1126</v>
      </c>
      <c r="K1790">
        <v>132</v>
      </c>
      <c r="L1790">
        <v>0</v>
      </c>
      <c r="M1790" t="s">
        <v>115</v>
      </c>
      <c r="N1790" t="str">
        <f t="shared" si="162"/>
        <v>PO-101789</v>
      </c>
      <c r="O1790" t="str">
        <f t="shared" si="163"/>
        <v>Delivered</v>
      </c>
      <c r="P1790" t="str">
        <f t="shared" si="164"/>
        <v>WH-PUN</v>
      </c>
      <c r="Q1790" t="str">
        <f>VLOOKUP(C1790, Lookups!$A$2:$D$10, 2, FALSE())</f>
        <v>TechSupply Corp</v>
      </c>
      <c r="R1790" t="str">
        <f>_xlfn.XLOOKUP(D1790, Lookups!$A$12:$A$51, Lookups!$C$12:$C$51, "Unknown")</f>
        <v>Electronics</v>
      </c>
      <c r="S1790" t="str">
        <f>IF(ISBLANK(I1790), B1790+VLOOKUP(C1790, Lookups!$A$2:$D$10, 4, FALSE()), I1790)</f>
        <v>2026-11-17</v>
      </c>
      <c r="T1790">
        <f t="shared" si="165"/>
        <v>15</v>
      </c>
      <c r="U1790" t="str">
        <f t="shared" si="166"/>
        <v>Late</v>
      </c>
      <c r="V1790">
        <f t="shared" si="167"/>
        <v>0</v>
      </c>
    </row>
    <row r="1791" spans="1:22" x14ac:dyDescent="0.45">
      <c r="A1791" t="s">
        <v>2638</v>
      </c>
      <c r="B1791" t="s">
        <v>795</v>
      </c>
      <c r="C1791" t="s">
        <v>35</v>
      </c>
      <c r="D1791" t="s">
        <v>91</v>
      </c>
      <c r="E1791" t="s">
        <v>18</v>
      </c>
      <c r="F1791">
        <v>60</v>
      </c>
      <c r="G1791">
        <v>6707</v>
      </c>
      <c r="H1791">
        <v>402420</v>
      </c>
      <c r="I1791" t="s">
        <v>1519</v>
      </c>
      <c r="J1791" t="s">
        <v>1428</v>
      </c>
      <c r="K1791">
        <v>60</v>
      </c>
      <c r="L1791">
        <v>0</v>
      </c>
      <c r="M1791" t="s">
        <v>115</v>
      </c>
      <c r="N1791" t="str">
        <f t="shared" si="162"/>
        <v>PO-101790</v>
      </c>
      <c r="O1791" t="str">
        <f t="shared" si="163"/>
        <v>Delivered</v>
      </c>
      <c r="P1791" t="str">
        <f t="shared" si="164"/>
        <v>WH-PUN</v>
      </c>
      <c r="Q1791" t="str">
        <f>VLOOKUP(C1791, Lookups!$A$2:$D$10, 2, FALSE())</f>
        <v>Peripheral Source</v>
      </c>
      <c r="R1791" t="str">
        <f>_xlfn.XLOOKUP(D1791, Lookups!$A$12:$A$51, Lookups!$C$12:$C$51, "Unknown")</f>
        <v>Peripherals</v>
      </c>
      <c r="S1791" t="str">
        <f>IF(ISBLANK(I1791), B1791+VLOOKUP(C1791, Lookups!$A$2:$D$10, 4, FALSE()), I1791)</f>
        <v>2026-09-27</v>
      </c>
      <c r="T1791">
        <f t="shared" si="165"/>
        <v>11</v>
      </c>
      <c r="U1791" t="str">
        <f t="shared" si="166"/>
        <v>Late</v>
      </c>
      <c r="V1791">
        <f t="shared" si="167"/>
        <v>0</v>
      </c>
    </row>
    <row r="1792" spans="1:22" x14ac:dyDescent="0.45">
      <c r="A1792" t="s">
        <v>2639</v>
      </c>
      <c r="B1792" t="s">
        <v>222</v>
      </c>
      <c r="C1792" t="s">
        <v>35</v>
      </c>
      <c r="D1792" t="s">
        <v>60</v>
      </c>
      <c r="E1792" t="s">
        <v>15</v>
      </c>
      <c r="F1792">
        <v>70</v>
      </c>
      <c r="G1792">
        <v>3291</v>
      </c>
      <c r="H1792">
        <v>230370</v>
      </c>
      <c r="I1792" t="s">
        <v>1496</v>
      </c>
      <c r="J1792" t="s">
        <v>1496</v>
      </c>
      <c r="K1792">
        <v>70</v>
      </c>
      <c r="L1792">
        <v>0</v>
      </c>
      <c r="M1792" t="s">
        <v>115</v>
      </c>
      <c r="N1792" t="str">
        <f t="shared" si="162"/>
        <v>PO-101791</v>
      </c>
      <c r="O1792" t="str">
        <f t="shared" si="163"/>
        <v>Delivered</v>
      </c>
      <c r="P1792" t="str">
        <f t="shared" si="164"/>
        <v>WH-BOM</v>
      </c>
      <c r="Q1792" t="str">
        <f>VLOOKUP(C1792, Lookups!$A$2:$D$10, 2, FALSE())</f>
        <v>Peripheral Source</v>
      </c>
      <c r="R1792" t="str">
        <f>_xlfn.XLOOKUP(D1792, Lookups!$A$12:$A$51, Lookups!$C$12:$C$51, "Unknown")</f>
        <v>Peripherals</v>
      </c>
      <c r="S1792" t="str">
        <f>IF(ISBLANK(I1792), B1792+VLOOKUP(C1792, Lookups!$A$2:$D$10, 4, FALSE()), I1792)</f>
        <v>2026-03-11</v>
      </c>
      <c r="T1792">
        <f t="shared" si="165"/>
        <v>10</v>
      </c>
      <c r="U1792" t="str">
        <f t="shared" si="166"/>
        <v>On-Time</v>
      </c>
      <c r="V1792">
        <f t="shared" si="167"/>
        <v>0</v>
      </c>
    </row>
    <row r="1793" spans="1:22" x14ac:dyDescent="0.45">
      <c r="A1793" t="s">
        <v>2640</v>
      </c>
      <c r="B1793" t="s">
        <v>537</v>
      </c>
      <c r="C1793" t="s">
        <v>31</v>
      </c>
      <c r="D1793" t="s">
        <v>56</v>
      </c>
      <c r="E1793" t="s">
        <v>17</v>
      </c>
      <c r="F1793">
        <v>151</v>
      </c>
      <c r="G1793">
        <v>39270</v>
      </c>
      <c r="H1793">
        <v>5929770</v>
      </c>
      <c r="I1793" t="s">
        <v>538</v>
      </c>
      <c r="J1793" t="s">
        <v>1080</v>
      </c>
      <c r="K1793">
        <v>151</v>
      </c>
      <c r="L1793">
        <v>0</v>
      </c>
      <c r="M1793" t="s">
        <v>115</v>
      </c>
      <c r="N1793" t="str">
        <f t="shared" si="162"/>
        <v>PO-101792</v>
      </c>
      <c r="O1793" t="str">
        <f t="shared" si="163"/>
        <v>Delivered</v>
      </c>
      <c r="P1793" t="str">
        <f t="shared" si="164"/>
        <v>WH-BLR</v>
      </c>
      <c r="Q1793" t="str">
        <f>VLOOKUP(C1793, Lookups!$A$2:$D$10, 2, FALSE())</f>
        <v>Global Networks</v>
      </c>
      <c r="R1793" t="str">
        <f>_xlfn.XLOOKUP(D1793, Lookups!$A$12:$A$51, Lookups!$C$12:$C$51, "Unknown")</f>
        <v>Networking</v>
      </c>
      <c r="S1793" t="str">
        <f>IF(ISBLANK(I1793), B1793+VLOOKUP(C1793, Lookups!$A$2:$D$10, 4, FALSE()), I1793)</f>
        <v>2026-01-24</v>
      </c>
      <c r="T1793">
        <f t="shared" si="165"/>
        <v>22</v>
      </c>
      <c r="U1793" t="str">
        <f t="shared" si="166"/>
        <v>Late</v>
      </c>
      <c r="V1793">
        <f t="shared" si="167"/>
        <v>0</v>
      </c>
    </row>
    <row r="1794" spans="1:22" x14ac:dyDescent="0.45">
      <c r="A1794" t="s">
        <v>2641</v>
      </c>
      <c r="B1794" t="s">
        <v>261</v>
      </c>
      <c r="C1794" t="s">
        <v>33</v>
      </c>
      <c r="D1794" t="s">
        <v>89</v>
      </c>
      <c r="E1794" t="s">
        <v>17</v>
      </c>
      <c r="F1794">
        <v>96</v>
      </c>
      <c r="G1794">
        <v>11309</v>
      </c>
      <c r="H1794">
        <v>1085664</v>
      </c>
      <c r="I1794" t="s">
        <v>220</v>
      </c>
      <c r="J1794" t="s">
        <v>222</v>
      </c>
      <c r="K1794">
        <v>96</v>
      </c>
      <c r="L1794">
        <v>0</v>
      </c>
      <c r="M1794" t="s">
        <v>115</v>
      </c>
      <c r="N1794" t="str">
        <f t="shared" ref="N1794:N1857" si="168">TRIM(A1794)</f>
        <v>PO-101793</v>
      </c>
      <c r="O1794" t="str">
        <f t="shared" ref="O1794:O1857" si="169">PROPER(TRIM(M1794))</f>
        <v>Delivered</v>
      </c>
      <c r="P1794" t="str">
        <f t="shared" ref="P1794:P1857" si="170">TRIM(E1794)</f>
        <v>WH-BLR</v>
      </c>
      <c r="Q1794" t="str">
        <f>VLOOKUP(C1794, Lookups!$A$2:$D$10, 2, FALSE())</f>
        <v>MegaFurnish</v>
      </c>
      <c r="R1794" t="str">
        <f>_xlfn.XLOOKUP(D1794, Lookups!$A$12:$A$51, Lookups!$C$12:$C$51, "Unknown")</f>
        <v>Office Furniture</v>
      </c>
      <c r="S1794" t="str">
        <f>IF(ISBLANK(I1794), B1794+VLOOKUP(C1794, Lookups!$A$2:$D$10, 4, FALSE()), I1794)</f>
        <v>2026-02-14</v>
      </c>
      <c r="T1794">
        <f t="shared" ref="T1794:T1857" si="171">IF(ISBLANK(J1794), "", J1794-B1794)</f>
        <v>45</v>
      </c>
      <c r="U1794" t="str">
        <f t="shared" ref="U1794:U1857" si="172">IF(O1794="Open", "Open", IF(J1794&gt;S1794, "Late", "On-Time"))</f>
        <v>Late</v>
      </c>
      <c r="V1794">
        <f t="shared" ref="V1794:V1857" si="173">IF(K1794&gt;0, L1794/K1794, 0)</f>
        <v>0</v>
      </c>
    </row>
    <row r="1795" spans="1:22" x14ac:dyDescent="0.45">
      <c r="A1795" t="s">
        <v>2642</v>
      </c>
      <c r="B1795" t="s">
        <v>613</v>
      </c>
      <c r="C1795" t="s">
        <v>35</v>
      </c>
      <c r="D1795" t="s">
        <v>72</v>
      </c>
      <c r="E1795" t="s">
        <v>15</v>
      </c>
      <c r="F1795">
        <v>99</v>
      </c>
      <c r="G1795">
        <v>7754</v>
      </c>
      <c r="H1795">
        <v>767646</v>
      </c>
      <c r="I1795" t="s">
        <v>266</v>
      </c>
      <c r="J1795" t="s">
        <v>379</v>
      </c>
      <c r="K1795">
        <v>99</v>
      </c>
      <c r="L1795">
        <v>0</v>
      </c>
      <c r="M1795" t="s">
        <v>115</v>
      </c>
      <c r="N1795" t="str">
        <f t="shared" si="168"/>
        <v>PO-101794</v>
      </c>
      <c r="O1795" t="str">
        <f t="shared" si="169"/>
        <v>Delivered</v>
      </c>
      <c r="P1795" t="str">
        <f t="shared" si="170"/>
        <v>WH-BOM</v>
      </c>
      <c r="Q1795" t="str">
        <f>VLOOKUP(C1795, Lookups!$A$2:$D$10, 2, FALSE())</f>
        <v>Peripheral Source</v>
      </c>
      <c r="R1795" t="str">
        <f>_xlfn.XLOOKUP(D1795, Lookups!$A$12:$A$51, Lookups!$C$12:$C$51, "Unknown")</f>
        <v>Peripherals</v>
      </c>
      <c r="S1795" t="str">
        <f>IF(ISBLANK(I1795), B1795+VLOOKUP(C1795, Lookups!$A$2:$D$10, 4, FALSE()), I1795)</f>
        <v>2025-02-15</v>
      </c>
      <c r="T1795">
        <f t="shared" si="171"/>
        <v>11</v>
      </c>
      <c r="U1795" t="str">
        <f t="shared" si="172"/>
        <v>Late</v>
      </c>
      <c r="V1795">
        <f t="shared" si="173"/>
        <v>0</v>
      </c>
    </row>
    <row r="1796" spans="1:22" x14ac:dyDescent="0.45">
      <c r="A1796" t="s">
        <v>2643</v>
      </c>
      <c r="B1796" t="s">
        <v>960</v>
      </c>
      <c r="C1796" t="s">
        <v>34</v>
      </c>
      <c r="D1796" t="s">
        <v>58</v>
      </c>
      <c r="E1796" t="s">
        <v>15</v>
      </c>
      <c r="F1796">
        <v>162</v>
      </c>
      <c r="G1796">
        <v>100302</v>
      </c>
      <c r="H1796">
        <v>16248924</v>
      </c>
      <c r="I1796" t="s">
        <v>506</v>
      </c>
      <c r="J1796" t="s">
        <v>277</v>
      </c>
      <c r="K1796">
        <v>162</v>
      </c>
      <c r="L1796">
        <v>0</v>
      </c>
      <c r="M1796" t="s">
        <v>115</v>
      </c>
      <c r="N1796" t="str">
        <f t="shared" si="168"/>
        <v>PO-101795</v>
      </c>
      <c r="O1796" t="str">
        <f t="shared" si="169"/>
        <v>Delivered</v>
      </c>
      <c r="P1796" t="str">
        <f t="shared" si="170"/>
        <v>WH-BOM</v>
      </c>
      <c r="Q1796" t="str">
        <f>VLOOKUP(C1796, Lookups!$A$2:$D$10, 2, FALSE())</f>
        <v>FastElectronics</v>
      </c>
      <c r="R1796" t="str">
        <f>_xlfn.XLOOKUP(D1796, Lookups!$A$12:$A$51, Lookups!$C$12:$C$51, "Unknown")</f>
        <v>Electronics</v>
      </c>
      <c r="S1796" t="str">
        <f>IF(ISBLANK(I1796), B1796+VLOOKUP(C1796, Lookups!$A$2:$D$10, 4, FALSE()), I1796)</f>
        <v>2025-05-11</v>
      </c>
      <c r="T1796">
        <f t="shared" si="171"/>
        <v>19</v>
      </c>
      <c r="U1796" t="str">
        <f t="shared" si="172"/>
        <v>Late</v>
      </c>
      <c r="V1796">
        <f t="shared" si="173"/>
        <v>0</v>
      </c>
    </row>
    <row r="1797" spans="1:22" x14ac:dyDescent="0.45">
      <c r="A1797" t="s">
        <v>2644</v>
      </c>
      <c r="B1797" t="s">
        <v>700</v>
      </c>
      <c r="C1797" t="s">
        <v>31</v>
      </c>
      <c r="D1797" t="s">
        <v>66</v>
      </c>
      <c r="E1797" t="s">
        <v>18</v>
      </c>
      <c r="F1797">
        <v>203</v>
      </c>
      <c r="G1797">
        <v>29719</v>
      </c>
      <c r="H1797">
        <v>6032957</v>
      </c>
      <c r="I1797" t="s">
        <v>389</v>
      </c>
      <c r="J1797" t="s">
        <v>389</v>
      </c>
      <c r="K1797">
        <v>203</v>
      </c>
      <c r="L1797">
        <v>0</v>
      </c>
      <c r="M1797" t="s">
        <v>115</v>
      </c>
      <c r="N1797" t="str">
        <f t="shared" si="168"/>
        <v>PO-101796</v>
      </c>
      <c r="O1797" t="str">
        <f t="shared" si="169"/>
        <v>Delivered</v>
      </c>
      <c r="P1797" t="str">
        <f t="shared" si="170"/>
        <v>WH-PUN</v>
      </c>
      <c r="Q1797" t="str">
        <f>VLOOKUP(C1797, Lookups!$A$2:$D$10, 2, FALSE())</f>
        <v>Global Networks</v>
      </c>
      <c r="R1797" t="str">
        <f>_xlfn.XLOOKUP(D1797, Lookups!$A$12:$A$51, Lookups!$C$12:$C$51, "Unknown")</f>
        <v>Networking</v>
      </c>
      <c r="S1797" t="str">
        <f>IF(ISBLANK(I1797), B1797+VLOOKUP(C1797, Lookups!$A$2:$D$10, 4, FALSE()), I1797)</f>
        <v>2026-04-06</v>
      </c>
      <c r="T1797">
        <f t="shared" si="171"/>
        <v>21</v>
      </c>
      <c r="U1797" t="str">
        <f t="shared" si="172"/>
        <v>On-Time</v>
      </c>
      <c r="V1797">
        <f t="shared" si="173"/>
        <v>0</v>
      </c>
    </row>
    <row r="1798" spans="1:22" x14ac:dyDescent="0.45">
      <c r="A1798" t="s">
        <v>2645</v>
      </c>
      <c r="B1798" t="s">
        <v>1544</v>
      </c>
      <c r="C1798" t="s">
        <v>34</v>
      </c>
      <c r="D1798" t="s">
        <v>68</v>
      </c>
      <c r="E1798" t="s">
        <v>15</v>
      </c>
      <c r="F1798">
        <v>135</v>
      </c>
      <c r="G1798">
        <v>41405</v>
      </c>
      <c r="H1798">
        <v>5589675</v>
      </c>
      <c r="I1798" t="s">
        <v>764</v>
      </c>
      <c r="J1798" t="s">
        <v>764</v>
      </c>
      <c r="K1798">
        <v>135</v>
      </c>
      <c r="L1798">
        <v>0</v>
      </c>
      <c r="M1798" t="s">
        <v>115</v>
      </c>
      <c r="N1798" t="str">
        <f t="shared" si="168"/>
        <v>PO-101797</v>
      </c>
      <c r="O1798" t="str">
        <f t="shared" si="169"/>
        <v>Delivered</v>
      </c>
      <c r="P1798" t="str">
        <f t="shared" si="170"/>
        <v>WH-BOM</v>
      </c>
      <c r="Q1798" t="str">
        <f>VLOOKUP(C1798, Lookups!$A$2:$D$10, 2, FALSE())</f>
        <v>FastElectronics</v>
      </c>
      <c r="R1798" t="str">
        <f>_xlfn.XLOOKUP(D1798, Lookups!$A$12:$A$51, Lookups!$C$12:$C$51, "Unknown")</f>
        <v>Networking</v>
      </c>
      <c r="S1798" t="str">
        <f>IF(ISBLANK(I1798), B1798+VLOOKUP(C1798, Lookups!$A$2:$D$10, 4, FALSE()), I1798)</f>
        <v>2025-02-19</v>
      </c>
      <c r="T1798">
        <f t="shared" si="171"/>
        <v>18</v>
      </c>
      <c r="U1798" t="str">
        <f t="shared" si="172"/>
        <v>On-Time</v>
      </c>
      <c r="V1798">
        <f t="shared" si="173"/>
        <v>0</v>
      </c>
    </row>
    <row r="1799" spans="1:22" x14ac:dyDescent="0.45">
      <c r="A1799" t="s">
        <v>2646</v>
      </c>
      <c r="B1799" t="s">
        <v>1354</v>
      </c>
      <c r="C1799" t="s">
        <v>37</v>
      </c>
      <c r="D1799" t="s">
        <v>83</v>
      </c>
      <c r="E1799" t="s">
        <v>18</v>
      </c>
      <c r="F1799">
        <v>232</v>
      </c>
      <c r="G1799">
        <v>19850</v>
      </c>
      <c r="H1799">
        <v>4605200</v>
      </c>
      <c r="I1799" t="s">
        <v>387</v>
      </c>
      <c r="J1799" t="s">
        <v>387</v>
      </c>
      <c r="K1799">
        <v>232</v>
      </c>
      <c r="L1799">
        <v>0</v>
      </c>
      <c r="M1799" t="s">
        <v>115</v>
      </c>
      <c r="N1799" t="str">
        <f t="shared" si="168"/>
        <v>PO-101798</v>
      </c>
      <c r="O1799" t="str">
        <f t="shared" si="169"/>
        <v>Delivered</v>
      </c>
      <c r="P1799" t="str">
        <f t="shared" si="170"/>
        <v>WH-PUN</v>
      </c>
      <c r="Q1799" t="str">
        <f>VLOOKUP(C1799, Lookups!$A$2:$D$10, 2, FALSE())</f>
        <v>Premium Desks Ltd</v>
      </c>
      <c r="R1799" t="str">
        <f>_xlfn.XLOOKUP(D1799, Lookups!$A$12:$A$51, Lookups!$C$12:$C$51, "Unknown")</f>
        <v>Office Furniture</v>
      </c>
      <c r="S1799" t="str">
        <f>IF(ISBLANK(I1799), B1799+VLOOKUP(C1799, Lookups!$A$2:$D$10, 4, FALSE()), I1799)</f>
        <v>2026-03-18</v>
      </c>
      <c r="T1799">
        <f t="shared" si="171"/>
        <v>12</v>
      </c>
      <c r="U1799" t="str">
        <f t="shared" si="172"/>
        <v>On-Time</v>
      </c>
      <c r="V1799">
        <f t="shared" si="173"/>
        <v>0</v>
      </c>
    </row>
    <row r="1800" spans="1:22" x14ac:dyDescent="0.45">
      <c r="A1800" t="s">
        <v>2647</v>
      </c>
      <c r="B1800" t="s">
        <v>1148</v>
      </c>
      <c r="C1800" t="s">
        <v>36</v>
      </c>
      <c r="D1800" t="s">
        <v>63</v>
      </c>
      <c r="E1800" t="s">
        <v>16</v>
      </c>
      <c r="F1800">
        <v>172</v>
      </c>
      <c r="G1800">
        <v>71062</v>
      </c>
      <c r="H1800">
        <v>12222664</v>
      </c>
      <c r="I1800" t="s">
        <v>1983</v>
      </c>
      <c r="K1800">
        <v>0</v>
      </c>
      <c r="L1800">
        <v>0</v>
      </c>
      <c r="M1800" t="s">
        <v>297</v>
      </c>
      <c r="N1800" t="str">
        <f t="shared" si="168"/>
        <v>PO-101799</v>
      </c>
      <c r="O1800" t="str">
        <f t="shared" si="169"/>
        <v>Open</v>
      </c>
      <c r="P1800" t="str">
        <f t="shared" si="170"/>
        <v>WH-DEL</v>
      </c>
      <c r="Q1800" t="str">
        <f>VLOOKUP(C1800, Lookups!$A$2:$D$10, 2, FALSE())</f>
        <v>NextGen Hardware</v>
      </c>
      <c r="R1800" t="str">
        <f>_xlfn.XLOOKUP(D1800, Lookups!$A$12:$A$51, Lookups!$C$12:$C$51, "Unknown")</f>
        <v>Electronics</v>
      </c>
      <c r="S1800" t="str">
        <f>IF(ISBLANK(I1800), B1800+VLOOKUP(C1800, Lookups!$A$2:$D$10, 4, FALSE()), I1800)</f>
        <v>2026-12-20</v>
      </c>
      <c r="T1800" t="str">
        <f t="shared" si="171"/>
        <v/>
      </c>
      <c r="U1800" t="str">
        <f t="shared" si="172"/>
        <v>Open</v>
      </c>
      <c r="V1800">
        <f t="shared" si="173"/>
        <v>0</v>
      </c>
    </row>
    <row r="1801" spans="1:22" x14ac:dyDescent="0.45">
      <c r="A1801" t="s">
        <v>2648</v>
      </c>
      <c r="B1801" t="s">
        <v>516</v>
      </c>
      <c r="C1801" t="s">
        <v>34</v>
      </c>
      <c r="D1801" t="s">
        <v>80</v>
      </c>
      <c r="E1801" t="s">
        <v>15</v>
      </c>
      <c r="F1801">
        <v>237</v>
      </c>
      <c r="G1801">
        <v>19090</v>
      </c>
      <c r="H1801">
        <v>4524330</v>
      </c>
      <c r="I1801" t="s">
        <v>505</v>
      </c>
      <c r="J1801" t="s">
        <v>505</v>
      </c>
      <c r="K1801">
        <v>237</v>
      </c>
      <c r="L1801">
        <v>0</v>
      </c>
      <c r="M1801" t="s">
        <v>115</v>
      </c>
      <c r="N1801" t="str">
        <f t="shared" si="168"/>
        <v>PO-101800</v>
      </c>
      <c r="O1801" t="str">
        <f t="shared" si="169"/>
        <v>Delivered</v>
      </c>
      <c r="P1801" t="str">
        <f t="shared" si="170"/>
        <v>WH-BOM</v>
      </c>
      <c r="Q1801" t="str">
        <f>VLOOKUP(C1801, Lookups!$A$2:$D$10, 2, FALSE())</f>
        <v>FastElectronics</v>
      </c>
      <c r="R1801" t="str">
        <f>_xlfn.XLOOKUP(D1801, Lookups!$A$12:$A$51, Lookups!$C$12:$C$51, "Unknown")</f>
        <v>Networking</v>
      </c>
      <c r="S1801" t="str">
        <f>IF(ISBLANK(I1801), B1801+VLOOKUP(C1801, Lookups!$A$2:$D$10, 4, FALSE()), I1801)</f>
        <v>2025-04-11</v>
      </c>
      <c r="T1801">
        <f t="shared" si="171"/>
        <v>18</v>
      </c>
      <c r="U1801" t="str">
        <f t="shared" si="172"/>
        <v>On-Time</v>
      </c>
      <c r="V1801">
        <f t="shared" si="173"/>
        <v>0</v>
      </c>
    </row>
    <row r="1802" spans="1:22" x14ac:dyDescent="0.45">
      <c r="A1802" t="s">
        <v>2649</v>
      </c>
      <c r="B1802" t="s">
        <v>693</v>
      </c>
      <c r="C1802" t="s">
        <v>34</v>
      </c>
      <c r="D1802" t="s">
        <v>80</v>
      </c>
      <c r="E1802" t="s">
        <v>17</v>
      </c>
      <c r="F1802">
        <v>234</v>
      </c>
      <c r="G1802">
        <v>19090</v>
      </c>
      <c r="H1802">
        <v>4467060</v>
      </c>
      <c r="I1802" t="s">
        <v>766</v>
      </c>
      <c r="K1802">
        <v>0</v>
      </c>
      <c r="L1802">
        <v>0</v>
      </c>
      <c r="M1802" t="s">
        <v>297</v>
      </c>
      <c r="N1802" t="str">
        <f t="shared" si="168"/>
        <v>PO-101801</v>
      </c>
      <c r="O1802" t="str">
        <f t="shared" si="169"/>
        <v>Open</v>
      </c>
      <c r="P1802" t="str">
        <f t="shared" si="170"/>
        <v>WH-BLR</v>
      </c>
      <c r="Q1802" t="str">
        <f>VLOOKUP(C1802, Lookups!$A$2:$D$10, 2, FALSE())</f>
        <v>FastElectronics</v>
      </c>
      <c r="R1802" t="str">
        <f>_xlfn.XLOOKUP(D1802, Lookups!$A$12:$A$51, Lookups!$C$12:$C$51, "Unknown")</f>
        <v>Networking</v>
      </c>
      <c r="S1802" t="str">
        <f>IF(ISBLANK(I1802), B1802+VLOOKUP(C1802, Lookups!$A$2:$D$10, 4, FALSE()), I1802)</f>
        <v>2026-12-10</v>
      </c>
      <c r="T1802" t="str">
        <f t="shared" si="171"/>
        <v/>
      </c>
      <c r="U1802" t="str">
        <f t="shared" si="172"/>
        <v>Open</v>
      </c>
      <c r="V1802">
        <f t="shared" si="173"/>
        <v>0</v>
      </c>
    </row>
    <row r="1803" spans="1:22" x14ac:dyDescent="0.45">
      <c r="A1803" t="s">
        <v>2650</v>
      </c>
      <c r="B1803" t="s">
        <v>240</v>
      </c>
      <c r="C1803" t="s">
        <v>34</v>
      </c>
      <c r="D1803" t="s">
        <v>80</v>
      </c>
      <c r="E1803" t="s">
        <v>17</v>
      </c>
      <c r="F1803">
        <v>158</v>
      </c>
      <c r="G1803">
        <v>19090</v>
      </c>
      <c r="H1803">
        <v>3016220</v>
      </c>
      <c r="I1803" t="s">
        <v>425</v>
      </c>
      <c r="J1803" t="s">
        <v>1133</v>
      </c>
      <c r="K1803">
        <v>158</v>
      </c>
      <c r="L1803">
        <v>0</v>
      </c>
      <c r="M1803" t="s">
        <v>115</v>
      </c>
      <c r="N1803" t="str">
        <f t="shared" si="168"/>
        <v>PO-101802</v>
      </c>
      <c r="O1803" t="str">
        <f t="shared" si="169"/>
        <v>Delivered</v>
      </c>
      <c r="P1803" t="str">
        <f t="shared" si="170"/>
        <v>WH-BLR</v>
      </c>
      <c r="Q1803" t="str">
        <f>VLOOKUP(C1803, Lookups!$A$2:$D$10, 2, FALSE())</f>
        <v>FastElectronics</v>
      </c>
      <c r="R1803" t="str">
        <f>_xlfn.XLOOKUP(D1803, Lookups!$A$12:$A$51, Lookups!$C$12:$C$51, "Unknown")</f>
        <v>Networking</v>
      </c>
      <c r="S1803" t="str">
        <f>IF(ISBLANK(I1803), B1803+VLOOKUP(C1803, Lookups!$A$2:$D$10, 4, FALSE()), I1803)</f>
        <v>2025-07-03</v>
      </c>
      <c r="T1803">
        <f t="shared" si="171"/>
        <v>19</v>
      </c>
      <c r="U1803" t="str">
        <f t="shared" si="172"/>
        <v>Late</v>
      </c>
      <c r="V1803">
        <f t="shared" si="173"/>
        <v>0</v>
      </c>
    </row>
    <row r="1804" spans="1:22" x14ac:dyDescent="0.45">
      <c r="A1804" t="s">
        <v>2651</v>
      </c>
      <c r="B1804" t="s">
        <v>1737</v>
      </c>
      <c r="C1804" t="s">
        <v>36</v>
      </c>
      <c r="D1804" t="s">
        <v>71</v>
      </c>
      <c r="E1804" t="s">
        <v>16</v>
      </c>
      <c r="F1804">
        <v>71</v>
      </c>
      <c r="G1804">
        <v>65379</v>
      </c>
      <c r="H1804">
        <v>4641909</v>
      </c>
      <c r="I1804" t="s">
        <v>352</v>
      </c>
      <c r="J1804" t="s">
        <v>352</v>
      </c>
      <c r="K1804">
        <v>71</v>
      </c>
      <c r="L1804">
        <v>0</v>
      </c>
      <c r="M1804" t="s">
        <v>115</v>
      </c>
      <c r="N1804" t="str">
        <f t="shared" si="168"/>
        <v>PO-101803</v>
      </c>
      <c r="O1804" t="str">
        <f t="shared" si="169"/>
        <v>Delivered</v>
      </c>
      <c r="P1804" t="str">
        <f t="shared" si="170"/>
        <v>WH-DEL</v>
      </c>
      <c r="Q1804" t="str">
        <f>VLOOKUP(C1804, Lookups!$A$2:$D$10, 2, FALSE())</f>
        <v>NextGen Hardware</v>
      </c>
      <c r="R1804" t="str">
        <f>_xlfn.XLOOKUP(D1804, Lookups!$A$12:$A$51, Lookups!$C$12:$C$51, "Unknown")</f>
        <v>Electronics</v>
      </c>
      <c r="S1804" t="str">
        <f>IF(ISBLANK(I1804), B1804+VLOOKUP(C1804, Lookups!$A$2:$D$10, 4, FALSE()), I1804)</f>
        <v>2025-04-24</v>
      </c>
      <c r="T1804">
        <f t="shared" si="171"/>
        <v>24</v>
      </c>
      <c r="U1804" t="str">
        <f t="shared" si="172"/>
        <v>On-Time</v>
      </c>
      <c r="V1804">
        <f t="shared" si="173"/>
        <v>0</v>
      </c>
    </row>
    <row r="1805" spans="1:22" x14ac:dyDescent="0.45">
      <c r="A1805" t="s">
        <v>2652</v>
      </c>
      <c r="B1805" t="s">
        <v>374</v>
      </c>
      <c r="C1805" t="s">
        <v>31</v>
      </c>
      <c r="D1805" t="s">
        <v>77</v>
      </c>
      <c r="E1805" t="s">
        <v>16</v>
      </c>
      <c r="F1805">
        <v>71</v>
      </c>
      <c r="G1805">
        <v>23667</v>
      </c>
      <c r="H1805">
        <v>1680357</v>
      </c>
      <c r="I1805" t="s">
        <v>288</v>
      </c>
      <c r="J1805" t="s">
        <v>1386</v>
      </c>
      <c r="K1805">
        <v>71</v>
      </c>
      <c r="L1805">
        <v>0</v>
      </c>
      <c r="M1805" t="s">
        <v>115</v>
      </c>
      <c r="N1805" t="str">
        <f t="shared" si="168"/>
        <v>PO-101804</v>
      </c>
      <c r="O1805" t="str">
        <f t="shared" si="169"/>
        <v>Delivered</v>
      </c>
      <c r="P1805" t="str">
        <f t="shared" si="170"/>
        <v>WH-DEL</v>
      </c>
      <c r="Q1805" t="str">
        <f>VLOOKUP(C1805, Lookups!$A$2:$D$10, 2, FALSE())</f>
        <v>Global Networks</v>
      </c>
      <c r="R1805" t="str">
        <f>_xlfn.XLOOKUP(D1805, Lookups!$A$12:$A$51, Lookups!$C$12:$C$51, "Unknown")</f>
        <v>Networking</v>
      </c>
      <c r="S1805" t="str">
        <f>IF(ISBLANK(I1805), B1805+VLOOKUP(C1805, Lookups!$A$2:$D$10, 4, FALSE()), I1805)</f>
        <v>2026-06-21</v>
      </c>
      <c r="T1805">
        <f t="shared" si="171"/>
        <v>29</v>
      </c>
      <c r="U1805" t="str">
        <f t="shared" si="172"/>
        <v>Late</v>
      </c>
      <c r="V1805">
        <f t="shared" si="173"/>
        <v>0</v>
      </c>
    </row>
    <row r="1806" spans="1:22" x14ac:dyDescent="0.45">
      <c r="A1806" t="s">
        <v>2653</v>
      </c>
      <c r="B1806" t="s">
        <v>713</v>
      </c>
      <c r="C1806" t="s">
        <v>34</v>
      </c>
      <c r="D1806" t="s">
        <v>68</v>
      </c>
      <c r="E1806" t="s">
        <v>15</v>
      </c>
      <c r="F1806">
        <v>16</v>
      </c>
      <c r="G1806">
        <v>41405</v>
      </c>
      <c r="H1806">
        <v>662480</v>
      </c>
      <c r="I1806" t="s">
        <v>657</v>
      </c>
      <c r="J1806" t="s">
        <v>657</v>
      </c>
      <c r="K1806">
        <v>16</v>
      </c>
      <c r="L1806">
        <v>2</v>
      </c>
      <c r="M1806" t="s">
        <v>115</v>
      </c>
      <c r="N1806" t="str">
        <f t="shared" si="168"/>
        <v>PO-101805</v>
      </c>
      <c r="O1806" t="str">
        <f t="shared" si="169"/>
        <v>Delivered</v>
      </c>
      <c r="P1806" t="str">
        <f t="shared" si="170"/>
        <v>WH-BOM</v>
      </c>
      <c r="Q1806" t="str">
        <f>VLOOKUP(C1806, Lookups!$A$2:$D$10, 2, FALSE())</f>
        <v>FastElectronics</v>
      </c>
      <c r="R1806" t="str">
        <f>_xlfn.XLOOKUP(D1806, Lookups!$A$12:$A$51, Lookups!$C$12:$C$51, "Unknown")</f>
        <v>Networking</v>
      </c>
      <c r="S1806" t="str">
        <f>IF(ISBLANK(I1806), B1806+VLOOKUP(C1806, Lookups!$A$2:$D$10, 4, FALSE()), I1806)</f>
        <v>2026-09-06</v>
      </c>
      <c r="T1806">
        <f t="shared" si="171"/>
        <v>18</v>
      </c>
      <c r="U1806" t="str">
        <f t="shared" si="172"/>
        <v>On-Time</v>
      </c>
      <c r="V1806">
        <f t="shared" si="173"/>
        <v>0.125</v>
      </c>
    </row>
    <row r="1807" spans="1:22" x14ac:dyDescent="0.45">
      <c r="A1807" t="s">
        <v>2654</v>
      </c>
      <c r="B1807" t="s">
        <v>898</v>
      </c>
      <c r="C1807" t="s">
        <v>36</v>
      </c>
      <c r="D1807" t="s">
        <v>87</v>
      </c>
      <c r="E1807" t="s">
        <v>17</v>
      </c>
      <c r="F1807">
        <v>193</v>
      </c>
      <c r="G1807">
        <v>82930</v>
      </c>
      <c r="H1807">
        <v>16005490</v>
      </c>
      <c r="I1807" t="s">
        <v>777</v>
      </c>
      <c r="J1807" t="s">
        <v>638</v>
      </c>
      <c r="K1807">
        <v>193</v>
      </c>
      <c r="L1807">
        <v>0</v>
      </c>
      <c r="M1807" t="s">
        <v>115</v>
      </c>
      <c r="N1807" t="str">
        <f t="shared" si="168"/>
        <v>PO-101806</v>
      </c>
      <c r="O1807" t="str">
        <f t="shared" si="169"/>
        <v>Delivered</v>
      </c>
      <c r="P1807" t="str">
        <f t="shared" si="170"/>
        <v>WH-BLR</v>
      </c>
      <c r="Q1807" t="str">
        <f>VLOOKUP(C1807, Lookups!$A$2:$D$10, 2, FALSE())</f>
        <v>NextGen Hardware</v>
      </c>
      <c r="R1807" t="str">
        <f>_xlfn.XLOOKUP(D1807, Lookups!$A$12:$A$51, Lookups!$C$12:$C$51, "Unknown")</f>
        <v>Electronics</v>
      </c>
      <c r="S1807" t="str">
        <f>IF(ISBLANK(I1807), B1807+VLOOKUP(C1807, Lookups!$A$2:$D$10, 4, FALSE()), I1807)</f>
        <v>2025-11-25</v>
      </c>
      <c r="T1807">
        <f t="shared" si="171"/>
        <v>26</v>
      </c>
      <c r="U1807" t="str">
        <f t="shared" si="172"/>
        <v>Late</v>
      </c>
      <c r="V1807">
        <f t="shared" si="173"/>
        <v>0</v>
      </c>
    </row>
    <row r="1808" spans="1:22" x14ac:dyDescent="0.45">
      <c r="A1808" t="s">
        <v>2655</v>
      </c>
      <c r="B1808" t="s">
        <v>1314</v>
      </c>
      <c r="C1808" t="s">
        <v>30</v>
      </c>
      <c r="D1808" t="s">
        <v>61</v>
      </c>
      <c r="E1808" t="s">
        <v>17</v>
      </c>
      <c r="F1808">
        <v>29</v>
      </c>
      <c r="G1808">
        <v>111237</v>
      </c>
      <c r="H1808">
        <v>3225873</v>
      </c>
      <c r="I1808" t="s">
        <v>1177</v>
      </c>
      <c r="J1808" t="s">
        <v>1177</v>
      </c>
      <c r="K1808">
        <v>29</v>
      </c>
      <c r="L1808">
        <v>0</v>
      </c>
      <c r="M1808" t="s">
        <v>115</v>
      </c>
      <c r="N1808" t="str">
        <f t="shared" si="168"/>
        <v>PO-101807</v>
      </c>
      <c r="O1808" t="str">
        <f t="shared" si="169"/>
        <v>Delivered</v>
      </c>
      <c r="P1808" t="str">
        <f t="shared" si="170"/>
        <v>WH-BLR</v>
      </c>
      <c r="Q1808" t="str">
        <f>VLOOKUP(C1808, Lookups!$A$2:$D$10, 2, FALSE())</f>
        <v>TechSupply Corp</v>
      </c>
      <c r="R1808" t="str">
        <f>_xlfn.XLOOKUP(D1808, Lookups!$A$12:$A$51, Lookups!$C$12:$C$51, "Unknown")</f>
        <v>Electronics</v>
      </c>
      <c r="S1808" t="str">
        <f>IF(ISBLANK(I1808), B1808+VLOOKUP(C1808, Lookups!$A$2:$D$10, 4, FALSE()), I1808)</f>
        <v>2026-06-11</v>
      </c>
      <c r="T1808">
        <f t="shared" si="171"/>
        <v>14</v>
      </c>
      <c r="U1808" t="str">
        <f t="shared" si="172"/>
        <v>On-Time</v>
      </c>
      <c r="V1808">
        <f t="shared" si="173"/>
        <v>0</v>
      </c>
    </row>
    <row r="1809" spans="1:22" x14ac:dyDescent="0.45">
      <c r="A1809" t="s">
        <v>2656</v>
      </c>
      <c r="B1809" t="s">
        <v>1551</v>
      </c>
      <c r="C1809" t="s">
        <v>31</v>
      </c>
      <c r="D1809" t="s">
        <v>85</v>
      </c>
      <c r="E1809" t="s">
        <v>17</v>
      </c>
      <c r="F1809">
        <v>118</v>
      </c>
      <c r="G1809">
        <v>16501</v>
      </c>
      <c r="H1809">
        <v>1947118</v>
      </c>
      <c r="I1809" t="s">
        <v>731</v>
      </c>
      <c r="J1809" t="s">
        <v>210</v>
      </c>
      <c r="K1809">
        <v>118</v>
      </c>
      <c r="L1809">
        <v>0</v>
      </c>
      <c r="M1809" t="s">
        <v>115</v>
      </c>
      <c r="N1809" t="str">
        <f t="shared" si="168"/>
        <v>PO-101808</v>
      </c>
      <c r="O1809" t="str">
        <f t="shared" si="169"/>
        <v>Delivered</v>
      </c>
      <c r="P1809" t="str">
        <f t="shared" si="170"/>
        <v>WH-BLR</v>
      </c>
      <c r="Q1809" t="str">
        <f>VLOOKUP(C1809, Lookups!$A$2:$D$10, 2, FALSE())</f>
        <v>Global Networks</v>
      </c>
      <c r="R1809" t="str">
        <f>_xlfn.XLOOKUP(D1809, Lookups!$A$12:$A$51, Lookups!$C$12:$C$51, "Unknown")</f>
        <v>Networking</v>
      </c>
      <c r="S1809" t="str">
        <f>IF(ISBLANK(I1809), B1809+VLOOKUP(C1809, Lookups!$A$2:$D$10, 4, FALSE()), I1809)</f>
        <v>2025-06-08</v>
      </c>
      <c r="T1809">
        <f t="shared" si="171"/>
        <v>33</v>
      </c>
      <c r="U1809" t="str">
        <f t="shared" si="172"/>
        <v>Late</v>
      </c>
      <c r="V1809">
        <f t="shared" si="173"/>
        <v>0</v>
      </c>
    </row>
    <row r="1810" spans="1:22" x14ac:dyDescent="0.45">
      <c r="A1810" t="s">
        <v>2657</v>
      </c>
      <c r="B1810" t="s">
        <v>181</v>
      </c>
      <c r="C1810" t="s">
        <v>31</v>
      </c>
      <c r="D1810" t="s">
        <v>64</v>
      </c>
      <c r="E1810" t="s">
        <v>16</v>
      </c>
      <c r="F1810">
        <v>204</v>
      </c>
      <c r="G1810">
        <v>36295</v>
      </c>
      <c r="H1810">
        <v>7404180</v>
      </c>
      <c r="I1810" t="s">
        <v>922</v>
      </c>
      <c r="J1810" t="s">
        <v>737</v>
      </c>
      <c r="K1810">
        <v>204</v>
      </c>
      <c r="L1810">
        <v>0</v>
      </c>
      <c r="M1810" t="s">
        <v>115</v>
      </c>
      <c r="N1810" t="str">
        <f t="shared" si="168"/>
        <v>PO-101809</v>
      </c>
      <c r="O1810" t="str">
        <f t="shared" si="169"/>
        <v>Delivered</v>
      </c>
      <c r="P1810" t="str">
        <f t="shared" si="170"/>
        <v>WH-DEL</v>
      </c>
      <c r="Q1810" t="str">
        <f>VLOOKUP(C1810, Lookups!$A$2:$D$10, 2, FALSE())</f>
        <v>Global Networks</v>
      </c>
      <c r="R1810" t="str">
        <f>_xlfn.XLOOKUP(D1810, Lookups!$A$12:$A$51, Lookups!$C$12:$C$51, "Unknown")</f>
        <v>Networking</v>
      </c>
      <c r="S1810" t="str">
        <f>IF(ISBLANK(I1810), B1810+VLOOKUP(C1810, Lookups!$A$2:$D$10, 4, FALSE()), I1810)</f>
        <v>2026-11-09</v>
      </c>
      <c r="T1810">
        <f t="shared" si="171"/>
        <v>32</v>
      </c>
      <c r="U1810" t="str">
        <f t="shared" si="172"/>
        <v>Late</v>
      </c>
      <c r="V1810">
        <f t="shared" si="173"/>
        <v>0</v>
      </c>
    </row>
    <row r="1811" spans="1:22" x14ac:dyDescent="0.45">
      <c r="A1811" t="s">
        <v>2658</v>
      </c>
      <c r="B1811" t="s">
        <v>696</v>
      </c>
      <c r="C1811" t="s">
        <v>35</v>
      </c>
      <c r="D1811" t="s">
        <v>65</v>
      </c>
      <c r="E1811" t="s">
        <v>16</v>
      </c>
      <c r="F1811">
        <v>15</v>
      </c>
      <c r="G1811">
        <v>4936</v>
      </c>
      <c r="H1811">
        <v>74040</v>
      </c>
      <c r="I1811" t="s">
        <v>697</v>
      </c>
      <c r="J1811" t="s">
        <v>466</v>
      </c>
      <c r="K1811">
        <v>15</v>
      </c>
      <c r="L1811">
        <v>0</v>
      </c>
      <c r="M1811" t="s">
        <v>115</v>
      </c>
      <c r="N1811" t="str">
        <f t="shared" si="168"/>
        <v>PO-101810</v>
      </c>
      <c r="O1811" t="str">
        <f t="shared" si="169"/>
        <v>Delivered</v>
      </c>
      <c r="P1811" t="str">
        <f t="shared" si="170"/>
        <v>WH-DEL</v>
      </c>
      <c r="Q1811" t="str">
        <f>VLOOKUP(C1811, Lookups!$A$2:$D$10, 2, FALSE())</f>
        <v>Peripheral Source</v>
      </c>
      <c r="R1811" t="str">
        <f>_xlfn.XLOOKUP(D1811, Lookups!$A$12:$A$51, Lookups!$C$12:$C$51, "Unknown")</f>
        <v>Peripherals</v>
      </c>
      <c r="S1811" t="str">
        <f>IF(ISBLANK(I1811), B1811+VLOOKUP(C1811, Lookups!$A$2:$D$10, 4, FALSE()), I1811)</f>
        <v>2025-01-22</v>
      </c>
      <c r="T1811">
        <f t="shared" si="171"/>
        <v>11</v>
      </c>
      <c r="U1811" t="str">
        <f t="shared" si="172"/>
        <v>Late</v>
      </c>
      <c r="V1811">
        <f t="shared" si="173"/>
        <v>0</v>
      </c>
    </row>
    <row r="1812" spans="1:22" x14ac:dyDescent="0.45">
      <c r="A1812" t="s">
        <v>2659</v>
      </c>
      <c r="B1812" t="s">
        <v>739</v>
      </c>
      <c r="C1812" t="s">
        <v>36</v>
      </c>
      <c r="D1812" t="s">
        <v>71</v>
      </c>
      <c r="E1812" t="s">
        <v>17</v>
      </c>
      <c r="F1812">
        <v>43</v>
      </c>
      <c r="G1812">
        <v>65379</v>
      </c>
      <c r="H1812">
        <v>2811297</v>
      </c>
      <c r="I1812" t="s">
        <v>995</v>
      </c>
      <c r="J1812" t="s">
        <v>274</v>
      </c>
      <c r="K1812">
        <v>43</v>
      </c>
      <c r="L1812">
        <v>0</v>
      </c>
      <c r="M1812" t="s">
        <v>115</v>
      </c>
      <c r="N1812" t="str">
        <f t="shared" si="168"/>
        <v>PO-101811</v>
      </c>
      <c r="O1812" t="str">
        <f t="shared" si="169"/>
        <v>Delivered</v>
      </c>
      <c r="P1812" t="str">
        <f t="shared" si="170"/>
        <v>WH-BLR</v>
      </c>
      <c r="Q1812" t="str">
        <f>VLOOKUP(C1812, Lookups!$A$2:$D$10, 2, FALSE())</f>
        <v>NextGen Hardware</v>
      </c>
      <c r="R1812" t="str">
        <f>_xlfn.XLOOKUP(D1812, Lookups!$A$12:$A$51, Lookups!$C$12:$C$51, "Unknown")</f>
        <v>Electronics</v>
      </c>
      <c r="S1812" t="str">
        <f>IF(ISBLANK(I1812), B1812+VLOOKUP(C1812, Lookups!$A$2:$D$10, 4, FALSE()), I1812)</f>
        <v>2025-08-22</v>
      </c>
      <c r="T1812">
        <f t="shared" si="171"/>
        <v>32</v>
      </c>
      <c r="U1812" t="str">
        <f t="shared" si="172"/>
        <v>Late</v>
      </c>
      <c r="V1812">
        <f t="shared" si="173"/>
        <v>0</v>
      </c>
    </row>
    <row r="1813" spans="1:22" x14ac:dyDescent="0.45">
      <c r="A1813" t="s">
        <v>2660</v>
      </c>
      <c r="B1813" t="s">
        <v>697</v>
      </c>
      <c r="C1813" t="s">
        <v>35</v>
      </c>
      <c r="D1813" t="s">
        <v>70</v>
      </c>
      <c r="E1813" t="s">
        <v>18</v>
      </c>
      <c r="F1813">
        <v>10</v>
      </c>
      <c r="G1813">
        <v>4287</v>
      </c>
      <c r="H1813">
        <v>42870</v>
      </c>
      <c r="I1813" t="s">
        <v>1544</v>
      </c>
      <c r="J1813" t="s">
        <v>438</v>
      </c>
      <c r="K1813">
        <v>10</v>
      </c>
      <c r="L1813">
        <v>0</v>
      </c>
      <c r="M1813" t="s">
        <v>115</v>
      </c>
      <c r="N1813" t="str">
        <f t="shared" si="168"/>
        <v>PO-101812</v>
      </c>
      <c r="O1813" t="str">
        <f t="shared" si="169"/>
        <v>Delivered</v>
      </c>
      <c r="P1813" t="str">
        <f t="shared" si="170"/>
        <v>WH-PUN</v>
      </c>
      <c r="Q1813" t="str">
        <f>VLOOKUP(C1813, Lookups!$A$2:$D$10, 2, FALSE())</f>
        <v>Peripheral Source</v>
      </c>
      <c r="R1813" t="str">
        <f>_xlfn.XLOOKUP(D1813, Lookups!$A$12:$A$51, Lookups!$C$12:$C$51, "Unknown")</f>
        <v>Peripherals</v>
      </c>
      <c r="S1813" t="str">
        <f>IF(ISBLANK(I1813), B1813+VLOOKUP(C1813, Lookups!$A$2:$D$10, 4, FALSE()), I1813)</f>
        <v>2025-02-01</v>
      </c>
      <c r="T1813">
        <f t="shared" si="171"/>
        <v>22</v>
      </c>
      <c r="U1813" t="str">
        <f t="shared" si="172"/>
        <v>Late</v>
      </c>
      <c r="V1813">
        <f t="shared" si="173"/>
        <v>0</v>
      </c>
    </row>
    <row r="1814" spans="1:22" x14ac:dyDescent="0.45">
      <c r="A1814" t="s">
        <v>2661</v>
      </c>
      <c r="B1814" t="s">
        <v>393</v>
      </c>
      <c r="C1814" t="s">
        <v>34</v>
      </c>
      <c r="D1814" t="s">
        <v>73</v>
      </c>
      <c r="E1814" t="s">
        <v>17</v>
      </c>
      <c r="F1814">
        <v>95</v>
      </c>
      <c r="G1814">
        <v>58396</v>
      </c>
      <c r="H1814">
        <v>5547620</v>
      </c>
      <c r="I1814" t="s">
        <v>394</v>
      </c>
      <c r="J1814" t="s">
        <v>1783</v>
      </c>
      <c r="K1814">
        <v>95</v>
      </c>
      <c r="L1814">
        <v>0</v>
      </c>
      <c r="M1814" t="s">
        <v>115</v>
      </c>
      <c r="N1814" t="str">
        <f t="shared" si="168"/>
        <v>PO-101813</v>
      </c>
      <c r="O1814" t="str">
        <f t="shared" si="169"/>
        <v>Delivered</v>
      </c>
      <c r="P1814" t="str">
        <f t="shared" si="170"/>
        <v>WH-BLR</v>
      </c>
      <c r="Q1814" t="str">
        <f>VLOOKUP(C1814, Lookups!$A$2:$D$10, 2, FALSE())</f>
        <v>FastElectronics</v>
      </c>
      <c r="R1814" t="str">
        <f>_xlfn.XLOOKUP(D1814, Lookups!$A$12:$A$51, Lookups!$C$12:$C$51, "Unknown")</f>
        <v>Electronics</v>
      </c>
      <c r="S1814" t="str">
        <f>IF(ISBLANK(I1814), B1814+VLOOKUP(C1814, Lookups!$A$2:$D$10, 4, FALSE()), I1814)</f>
        <v>2025-09-16</v>
      </c>
      <c r="T1814">
        <f t="shared" si="171"/>
        <v>19</v>
      </c>
      <c r="U1814" t="str">
        <f t="shared" si="172"/>
        <v>Late</v>
      </c>
      <c r="V1814">
        <f t="shared" si="173"/>
        <v>0</v>
      </c>
    </row>
    <row r="1815" spans="1:22" x14ac:dyDescent="0.45">
      <c r="A1815" t="s">
        <v>2662</v>
      </c>
      <c r="B1815" t="s">
        <v>688</v>
      </c>
      <c r="C1815" t="s">
        <v>30</v>
      </c>
      <c r="D1815" t="s">
        <v>61</v>
      </c>
      <c r="E1815" t="s">
        <v>16</v>
      </c>
      <c r="F1815">
        <v>183</v>
      </c>
      <c r="G1815">
        <v>111237</v>
      </c>
      <c r="H1815">
        <v>20356371</v>
      </c>
      <c r="I1815" t="s">
        <v>1780</v>
      </c>
      <c r="J1815" t="s">
        <v>1048</v>
      </c>
      <c r="K1815">
        <v>183</v>
      </c>
      <c r="L1815">
        <v>0</v>
      </c>
      <c r="M1815" t="s">
        <v>115</v>
      </c>
      <c r="N1815" t="str">
        <f t="shared" si="168"/>
        <v>PO-101814</v>
      </c>
      <c r="O1815" t="str">
        <f t="shared" si="169"/>
        <v>Delivered</v>
      </c>
      <c r="P1815" t="str">
        <f t="shared" si="170"/>
        <v>WH-DEL</v>
      </c>
      <c r="Q1815" t="str">
        <f>VLOOKUP(C1815, Lookups!$A$2:$D$10, 2, FALSE())</f>
        <v>TechSupply Corp</v>
      </c>
      <c r="R1815" t="str">
        <f>_xlfn.XLOOKUP(D1815, Lookups!$A$12:$A$51, Lookups!$C$12:$C$51, "Unknown")</f>
        <v>Electronics</v>
      </c>
      <c r="S1815" t="str">
        <f>IF(ISBLANK(I1815), B1815+VLOOKUP(C1815, Lookups!$A$2:$D$10, 4, FALSE()), I1815)</f>
        <v>2026-05-13</v>
      </c>
      <c r="T1815">
        <f t="shared" si="171"/>
        <v>15</v>
      </c>
      <c r="U1815" t="str">
        <f t="shared" si="172"/>
        <v>Late</v>
      </c>
      <c r="V1815">
        <f t="shared" si="173"/>
        <v>0</v>
      </c>
    </row>
    <row r="1816" spans="1:22" x14ac:dyDescent="0.45">
      <c r="A1816" t="s">
        <v>2663</v>
      </c>
      <c r="B1816" t="s">
        <v>383</v>
      </c>
      <c r="C1816" t="s">
        <v>34</v>
      </c>
      <c r="D1816" t="s">
        <v>81</v>
      </c>
      <c r="E1816" t="s">
        <v>16</v>
      </c>
      <c r="F1816">
        <v>178</v>
      </c>
      <c r="G1816">
        <v>55328</v>
      </c>
      <c r="H1816">
        <v>9848384</v>
      </c>
      <c r="I1816" t="s">
        <v>826</v>
      </c>
      <c r="J1816" t="s">
        <v>2664</v>
      </c>
      <c r="K1816">
        <v>155</v>
      </c>
      <c r="L1816">
        <v>0</v>
      </c>
      <c r="M1816" t="s">
        <v>115</v>
      </c>
      <c r="N1816" t="str">
        <f t="shared" si="168"/>
        <v>PO-101815</v>
      </c>
      <c r="O1816" t="str">
        <f t="shared" si="169"/>
        <v>Delivered</v>
      </c>
      <c r="P1816" t="str">
        <f t="shared" si="170"/>
        <v>WH-DEL</v>
      </c>
      <c r="Q1816" t="str">
        <f>VLOOKUP(C1816, Lookups!$A$2:$D$10, 2, FALSE())</f>
        <v>FastElectronics</v>
      </c>
      <c r="R1816" t="str">
        <f>_xlfn.XLOOKUP(D1816, Lookups!$A$12:$A$51, Lookups!$C$12:$C$51, "Unknown")</f>
        <v>Electronics</v>
      </c>
      <c r="S1816" t="str">
        <f>IF(ISBLANK(I1816), B1816+VLOOKUP(C1816, Lookups!$A$2:$D$10, 4, FALSE()), I1816)</f>
        <v>2026-12-29</v>
      </c>
      <c r="T1816">
        <f t="shared" si="171"/>
        <v>26</v>
      </c>
      <c r="U1816" t="str">
        <f t="shared" si="172"/>
        <v>Late</v>
      </c>
      <c r="V1816">
        <f t="shared" si="173"/>
        <v>0</v>
      </c>
    </row>
    <row r="1817" spans="1:22" x14ac:dyDescent="0.45">
      <c r="A1817" t="s">
        <v>2665</v>
      </c>
      <c r="B1817" t="s">
        <v>794</v>
      </c>
      <c r="C1817" t="s">
        <v>36</v>
      </c>
      <c r="D1817" t="s">
        <v>87</v>
      </c>
      <c r="E1817" t="s">
        <v>18</v>
      </c>
      <c r="F1817">
        <v>193</v>
      </c>
      <c r="G1817">
        <v>82930</v>
      </c>
      <c r="H1817">
        <v>16005490</v>
      </c>
      <c r="I1817" t="s">
        <v>659</v>
      </c>
      <c r="J1817" t="s">
        <v>1338</v>
      </c>
      <c r="K1817">
        <v>193</v>
      </c>
      <c r="L1817">
        <v>0</v>
      </c>
      <c r="M1817" t="s">
        <v>115</v>
      </c>
      <c r="N1817" t="str">
        <f t="shared" si="168"/>
        <v>PO-101816</v>
      </c>
      <c r="O1817" t="str">
        <f t="shared" si="169"/>
        <v>Delivered</v>
      </c>
      <c r="P1817" t="str">
        <f t="shared" si="170"/>
        <v>WH-PUN</v>
      </c>
      <c r="Q1817" t="str">
        <f>VLOOKUP(C1817, Lookups!$A$2:$D$10, 2, FALSE())</f>
        <v>NextGen Hardware</v>
      </c>
      <c r="R1817" t="str">
        <f>_xlfn.XLOOKUP(D1817, Lookups!$A$12:$A$51, Lookups!$C$12:$C$51, "Unknown")</f>
        <v>Electronics</v>
      </c>
      <c r="S1817" t="str">
        <f>IF(ISBLANK(I1817), B1817+VLOOKUP(C1817, Lookups!$A$2:$D$10, 4, FALSE()), I1817)</f>
        <v>2026-10-01</v>
      </c>
      <c r="T1817">
        <f t="shared" si="171"/>
        <v>25</v>
      </c>
      <c r="U1817" t="str">
        <f t="shared" si="172"/>
        <v>Late</v>
      </c>
      <c r="V1817">
        <f t="shared" si="173"/>
        <v>0</v>
      </c>
    </row>
    <row r="1818" spans="1:22" x14ac:dyDescent="0.45">
      <c r="A1818" t="s">
        <v>2666</v>
      </c>
      <c r="B1818" t="s">
        <v>388</v>
      </c>
      <c r="C1818" t="s">
        <v>35</v>
      </c>
      <c r="D1818" t="s">
        <v>75</v>
      </c>
      <c r="E1818" t="s">
        <v>15</v>
      </c>
      <c r="F1818">
        <v>65</v>
      </c>
      <c r="G1818">
        <v>4440</v>
      </c>
      <c r="H1818">
        <v>288600</v>
      </c>
      <c r="I1818" t="s">
        <v>323</v>
      </c>
      <c r="J1818" t="s">
        <v>338</v>
      </c>
      <c r="K1818">
        <v>65</v>
      </c>
      <c r="L1818">
        <v>0</v>
      </c>
      <c r="M1818" t="s">
        <v>115</v>
      </c>
      <c r="N1818" t="str">
        <f t="shared" si="168"/>
        <v>PO-101817</v>
      </c>
      <c r="O1818" t="str">
        <f t="shared" si="169"/>
        <v>Delivered</v>
      </c>
      <c r="P1818" t="str">
        <f t="shared" si="170"/>
        <v>WH-BOM</v>
      </c>
      <c r="Q1818" t="str">
        <f>VLOOKUP(C1818, Lookups!$A$2:$D$10, 2, FALSE())</f>
        <v>Peripheral Source</v>
      </c>
      <c r="R1818" t="str">
        <f>_xlfn.XLOOKUP(D1818, Lookups!$A$12:$A$51, Lookups!$C$12:$C$51, "Unknown")</f>
        <v>Peripherals</v>
      </c>
      <c r="S1818" t="str">
        <f>IF(ISBLANK(I1818), B1818+VLOOKUP(C1818, Lookups!$A$2:$D$10, 4, FALSE()), I1818)</f>
        <v>2026-04-04</v>
      </c>
      <c r="T1818">
        <f t="shared" si="171"/>
        <v>11</v>
      </c>
      <c r="U1818" t="str">
        <f t="shared" si="172"/>
        <v>Late</v>
      </c>
      <c r="V1818">
        <f t="shared" si="173"/>
        <v>0</v>
      </c>
    </row>
    <row r="1819" spans="1:22" x14ac:dyDescent="0.45">
      <c r="A1819" t="s">
        <v>2667</v>
      </c>
      <c r="B1819" t="s">
        <v>1461</v>
      </c>
      <c r="C1819" t="s">
        <v>36</v>
      </c>
      <c r="D1819" t="s">
        <v>90</v>
      </c>
      <c r="E1819" t="s">
        <v>15</v>
      </c>
      <c r="F1819">
        <v>146</v>
      </c>
      <c r="G1819">
        <v>81434</v>
      </c>
      <c r="H1819">
        <v>11889364</v>
      </c>
      <c r="I1819" t="s">
        <v>598</v>
      </c>
      <c r="J1819" t="s">
        <v>598</v>
      </c>
      <c r="K1819">
        <v>146</v>
      </c>
      <c r="L1819">
        <v>0</v>
      </c>
      <c r="M1819" t="s">
        <v>115</v>
      </c>
      <c r="N1819" t="str">
        <f t="shared" si="168"/>
        <v>PO-101818</v>
      </c>
      <c r="O1819" t="str">
        <f t="shared" si="169"/>
        <v>Delivered</v>
      </c>
      <c r="P1819" t="str">
        <f t="shared" si="170"/>
        <v>WH-BOM</v>
      </c>
      <c r="Q1819" t="str">
        <f>VLOOKUP(C1819, Lookups!$A$2:$D$10, 2, FALSE())</f>
        <v>NextGen Hardware</v>
      </c>
      <c r="R1819" t="str">
        <f>_xlfn.XLOOKUP(D1819, Lookups!$A$12:$A$51, Lookups!$C$12:$C$51, "Unknown")</f>
        <v>Electronics</v>
      </c>
      <c r="S1819" t="str">
        <f>IF(ISBLANK(I1819), B1819+VLOOKUP(C1819, Lookups!$A$2:$D$10, 4, FALSE()), I1819)</f>
        <v>2025-08-31</v>
      </c>
      <c r="T1819">
        <f t="shared" si="171"/>
        <v>24</v>
      </c>
      <c r="U1819" t="str">
        <f t="shared" si="172"/>
        <v>On-Time</v>
      </c>
      <c r="V1819">
        <f t="shared" si="173"/>
        <v>0</v>
      </c>
    </row>
    <row r="1820" spans="1:22" x14ac:dyDescent="0.45">
      <c r="A1820" t="s">
        <v>2668</v>
      </c>
      <c r="B1820" t="s">
        <v>239</v>
      </c>
      <c r="C1820" t="s">
        <v>34</v>
      </c>
      <c r="D1820" t="s">
        <v>54</v>
      </c>
      <c r="E1820" t="s">
        <v>17</v>
      </c>
      <c r="F1820">
        <v>139</v>
      </c>
      <c r="G1820">
        <v>22314</v>
      </c>
      <c r="H1820">
        <v>3101646</v>
      </c>
      <c r="I1820" t="s">
        <v>1442</v>
      </c>
      <c r="J1820" t="s">
        <v>1442</v>
      </c>
      <c r="K1820">
        <v>139</v>
      </c>
      <c r="L1820">
        <v>0</v>
      </c>
      <c r="M1820" t="s">
        <v>115</v>
      </c>
      <c r="N1820" t="str">
        <f t="shared" si="168"/>
        <v>PO-101819</v>
      </c>
      <c r="O1820" t="str">
        <f t="shared" si="169"/>
        <v>Delivered</v>
      </c>
      <c r="P1820" t="str">
        <f t="shared" si="170"/>
        <v>WH-BLR</v>
      </c>
      <c r="Q1820" t="str">
        <f>VLOOKUP(C1820, Lookups!$A$2:$D$10, 2, FALSE())</f>
        <v>FastElectronics</v>
      </c>
      <c r="R1820" t="str">
        <f>_xlfn.XLOOKUP(D1820, Lookups!$A$12:$A$51, Lookups!$C$12:$C$51, "Unknown")</f>
        <v>Networking</v>
      </c>
      <c r="S1820" t="str">
        <f>IF(ISBLANK(I1820), B1820+VLOOKUP(C1820, Lookups!$A$2:$D$10, 4, FALSE()), I1820)</f>
        <v>2025-07-02</v>
      </c>
      <c r="T1820">
        <f t="shared" si="171"/>
        <v>18</v>
      </c>
      <c r="U1820" t="str">
        <f t="shared" si="172"/>
        <v>On-Time</v>
      </c>
      <c r="V1820">
        <f t="shared" si="173"/>
        <v>0</v>
      </c>
    </row>
    <row r="1821" spans="1:22" x14ac:dyDescent="0.45">
      <c r="A1821" t="s">
        <v>2669</v>
      </c>
      <c r="B1821" t="s">
        <v>394</v>
      </c>
      <c r="C1821" t="s">
        <v>35</v>
      </c>
      <c r="D1821" t="s">
        <v>72</v>
      </c>
      <c r="E1821" t="s">
        <v>17</v>
      </c>
      <c r="F1821">
        <v>199</v>
      </c>
      <c r="G1821">
        <v>7754</v>
      </c>
      <c r="H1821">
        <v>1543046</v>
      </c>
      <c r="I1821" t="s">
        <v>138</v>
      </c>
      <c r="J1821" t="s">
        <v>138</v>
      </c>
      <c r="K1821">
        <v>199</v>
      </c>
      <c r="L1821">
        <v>0</v>
      </c>
      <c r="M1821" t="s">
        <v>115</v>
      </c>
      <c r="N1821" t="str">
        <f t="shared" si="168"/>
        <v>PO-101820</v>
      </c>
      <c r="O1821" t="str">
        <f t="shared" si="169"/>
        <v>Delivered</v>
      </c>
      <c r="P1821" t="str">
        <f t="shared" si="170"/>
        <v>WH-BLR</v>
      </c>
      <c r="Q1821" t="str">
        <f>VLOOKUP(C1821, Lookups!$A$2:$D$10, 2, FALSE())</f>
        <v>Peripheral Source</v>
      </c>
      <c r="R1821" t="str">
        <f>_xlfn.XLOOKUP(D1821, Lookups!$A$12:$A$51, Lookups!$C$12:$C$51, "Unknown")</f>
        <v>Peripherals</v>
      </c>
      <c r="S1821" t="str">
        <f>IF(ISBLANK(I1821), B1821+VLOOKUP(C1821, Lookups!$A$2:$D$10, 4, FALSE()), I1821)</f>
        <v>2025-09-26</v>
      </c>
      <c r="T1821">
        <f t="shared" si="171"/>
        <v>10</v>
      </c>
      <c r="U1821" t="str">
        <f t="shared" si="172"/>
        <v>On-Time</v>
      </c>
      <c r="V1821">
        <f t="shared" si="173"/>
        <v>0</v>
      </c>
    </row>
    <row r="1822" spans="1:22" x14ac:dyDescent="0.45">
      <c r="A1822" t="s">
        <v>2670</v>
      </c>
      <c r="B1822" t="s">
        <v>292</v>
      </c>
      <c r="C1822" t="s">
        <v>37</v>
      </c>
      <c r="D1822" t="s">
        <v>69</v>
      </c>
      <c r="E1822" t="s">
        <v>15</v>
      </c>
      <c r="F1822">
        <v>147</v>
      </c>
      <c r="G1822">
        <v>13231</v>
      </c>
      <c r="H1822">
        <v>1944957</v>
      </c>
      <c r="I1822" t="s">
        <v>393</v>
      </c>
      <c r="J1822" t="s">
        <v>393</v>
      </c>
      <c r="K1822">
        <v>147</v>
      </c>
      <c r="L1822">
        <v>0</v>
      </c>
      <c r="M1822" t="s">
        <v>115</v>
      </c>
      <c r="N1822" t="str">
        <f t="shared" si="168"/>
        <v>PO-101821</v>
      </c>
      <c r="O1822" t="str">
        <f t="shared" si="169"/>
        <v>Delivered</v>
      </c>
      <c r="P1822" t="str">
        <f t="shared" si="170"/>
        <v>WH-BOM</v>
      </c>
      <c r="Q1822" t="str">
        <f>VLOOKUP(C1822, Lookups!$A$2:$D$10, 2, FALSE())</f>
        <v>Premium Desks Ltd</v>
      </c>
      <c r="R1822" t="str">
        <f>_xlfn.XLOOKUP(D1822, Lookups!$A$12:$A$51, Lookups!$C$12:$C$51, "Unknown")</f>
        <v>Office Furniture</v>
      </c>
      <c r="S1822" t="str">
        <f>IF(ISBLANK(I1822), B1822+VLOOKUP(C1822, Lookups!$A$2:$D$10, 4, FALSE()), I1822)</f>
        <v>2025-08-29</v>
      </c>
      <c r="T1822">
        <f t="shared" si="171"/>
        <v>12</v>
      </c>
      <c r="U1822" t="str">
        <f t="shared" si="172"/>
        <v>On-Time</v>
      </c>
      <c r="V1822">
        <f t="shared" si="173"/>
        <v>0</v>
      </c>
    </row>
    <row r="1823" spans="1:22" x14ac:dyDescent="0.45">
      <c r="A1823" t="s">
        <v>2671</v>
      </c>
      <c r="B1823" t="s">
        <v>158</v>
      </c>
      <c r="C1823" t="s">
        <v>31</v>
      </c>
      <c r="D1823" t="s">
        <v>77</v>
      </c>
      <c r="E1823" t="s">
        <v>17</v>
      </c>
      <c r="F1823">
        <v>196</v>
      </c>
      <c r="G1823">
        <v>23667</v>
      </c>
      <c r="H1823">
        <v>4638732</v>
      </c>
      <c r="I1823" t="s">
        <v>1148</v>
      </c>
      <c r="J1823" t="s">
        <v>1148</v>
      </c>
      <c r="K1823">
        <v>196</v>
      </c>
      <c r="L1823">
        <v>0</v>
      </c>
      <c r="M1823" t="s">
        <v>115</v>
      </c>
      <c r="N1823" t="str">
        <f t="shared" si="168"/>
        <v>PO-101822</v>
      </c>
      <c r="O1823" t="str">
        <f t="shared" si="169"/>
        <v>Delivered</v>
      </c>
      <c r="P1823" t="str">
        <f t="shared" si="170"/>
        <v>WH-BLR</v>
      </c>
      <c r="Q1823" t="str">
        <f>VLOOKUP(C1823, Lookups!$A$2:$D$10, 2, FALSE())</f>
        <v>Global Networks</v>
      </c>
      <c r="R1823" t="str">
        <f>_xlfn.XLOOKUP(D1823, Lookups!$A$12:$A$51, Lookups!$C$12:$C$51, "Unknown")</f>
        <v>Networking</v>
      </c>
      <c r="S1823" t="str">
        <f>IF(ISBLANK(I1823), B1823+VLOOKUP(C1823, Lookups!$A$2:$D$10, 4, FALSE()), I1823)</f>
        <v>2026-11-26</v>
      </c>
      <c r="T1823">
        <f t="shared" si="171"/>
        <v>21</v>
      </c>
      <c r="U1823" t="str">
        <f t="shared" si="172"/>
        <v>On-Time</v>
      </c>
      <c r="V1823">
        <f t="shared" si="173"/>
        <v>0</v>
      </c>
    </row>
    <row r="1824" spans="1:22" x14ac:dyDescent="0.45">
      <c r="A1824" t="s">
        <v>2672</v>
      </c>
      <c r="B1824" t="s">
        <v>753</v>
      </c>
      <c r="C1824" t="s">
        <v>37</v>
      </c>
      <c r="D1824" t="s">
        <v>83</v>
      </c>
      <c r="E1824" t="s">
        <v>17</v>
      </c>
      <c r="F1824">
        <v>140</v>
      </c>
      <c r="G1824">
        <v>19850</v>
      </c>
      <c r="H1824">
        <v>2779000</v>
      </c>
      <c r="I1824" t="s">
        <v>917</v>
      </c>
      <c r="J1824" t="s">
        <v>917</v>
      </c>
      <c r="K1824">
        <v>140</v>
      </c>
      <c r="L1824">
        <v>0</v>
      </c>
      <c r="M1824" t="s">
        <v>115</v>
      </c>
      <c r="N1824" t="str">
        <f t="shared" si="168"/>
        <v>PO-101823</v>
      </c>
      <c r="O1824" t="str">
        <f t="shared" si="169"/>
        <v>Delivered</v>
      </c>
      <c r="P1824" t="str">
        <f t="shared" si="170"/>
        <v>WH-BLR</v>
      </c>
      <c r="Q1824" t="str">
        <f>VLOOKUP(C1824, Lookups!$A$2:$D$10, 2, FALSE())</f>
        <v>Premium Desks Ltd</v>
      </c>
      <c r="R1824" t="str">
        <f>_xlfn.XLOOKUP(D1824, Lookups!$A$12:$A$51, Lookups!$C$12:$C$51, "Unknown")</f>
        <v>Office Furniture</v>
      </c>
      <c r="S1824" t="str">
        <f>IF(ISBLANK(I1824), B1824+VLOOKUP(C1824, Lookups!$A$2:$D$10, 4, FALSE()), I1824)</f>
        <v>2026-01-04</v>
      </c>
      <c r="T1824">
        <f t="shared" si="171"/>
        <v>12</v>
      </c>
      <c r="U1824" t="str">
        <f t="shared" si="172"/>
        <v>On-Time</v>
      </c>
      <c r="V1824">
        <f t="shared" si="173"/>
        <v>0</v>
      </c>
    </row>
    <row r="1825" spans="1:22" x14ac:dyDescent="0.45">
      <c r="A1825" t="s">
        <v>2673</v>
      </c>
      <c r="B1825" t="s">
        <v>527</v>
      </c>
      <c r="C1825" t="s">
        <v>35</v>
      </c>
      <c r="D1825" t="s">
        <v>72</v>
      </c>
      <c r="E1825" t="s">
        <v>16</v>
      </c>
      <c r="F1825">
        <v>179</v>
      </c>
      <c r="G1825">
        <v>7754</v>
      </c>
      <c r="H1825">
        <v>1387966</v>
      </c>
      <c r="I1825" t="s">
        <v>428</v>
      </c>
      <c r="J1825" t="s">
        <v>428</v>
      </c>
      <c r="K1825">
        <v>124</v>
      </c>
      <c r="L1825">
        <v>0</v>
      </c>
      <c r="M1825" t="s">
        <v>115</v>
      </c>
      <c r="N1825" t="str">
        <f t="shared" si="168"/>
        <v>PO-101824</v>
      </c>
      <c r="O1825" t="str">
        <f t="shared" si="169"/>
        <v>Delivered</v>
      </c>
      <c r="P1825" t="str">
        <f t="shared" si="170"/>
        <v>WH-DEL</v>
      </c>
      <c r="Q1825" t="str">
        <f>VLOOKUP(C1825, Lookups!$A$2:$D$10, 2, FALSE())</f>
        <v>Peripheral Source</v>
      </c>
      <c r="R1825" t="str">
        <f>_xlfn.XLOOKUP(D1825, Lookups!$A$12:$A$51, Lookups!$C$12:$C$51, "Unknown")</f>
        <v>Peripherals</v>
      </c>
      <c r="S1825" t="str">
        <f>IF(ISBLANK(I1825), B1825+VLOOKUP(C1825, Lookups!$A$2:$D$10, 4, FALSE()), I1825)</f>
        <v>2026-07-17</v>
      </c>
      <c r="T1825">
        <f t="shared" si="171"/>
        <v>10</v>
      </c>
      <c r="U1825" t="str">
        <f t="shared" si="172"/>
        <v>On-Time</v>
      </c>
      <c r="V1825">
        <f t="shared" si="173"/>
        <v>0</v>
      </c>
    </row>
    <row r="1826" spans="1:22" x14ac:dyDescent="0.45">
      <c r="A1826" t="s">
        <v>2674</v>
      </c>
      <c r="B1826" t="s">
        <v>493</v>
      </c>
      <c r="C1826" t="s">
        <v>31</v>
      </c>
      <c r="D1826" t="s">
        <v>64</v>
      </c>
      <c r="E1826" t="s">
        <v>16</v>
      </c>
      <c r="F1826">
        <v>159</v>
      </c>
      <c r="G1826">
        <v>36295</v>
      </c>
      <c r="H1826">
        <v>5770905</v>
      </c>
      <c r="I1826" t="s">
        <v>1211</v>
      </c>
      <c r="J1826" t="s">
        <v>869</v>
      </c>
      <c r="K1826">
        <v>159</v>
      </c>
      <c r="L1826">
        <v>0</v>
      </c>
      <c r="M1826" t="s">
        <v>115</v>
      </c>
      <c r="N1826" t="str">
        <f t="shared" si="168"/>
        <v>PO-101825</v>
      </c>
      <c r="O1826" t="str">
        <f t="shared" si="169"/>
        <v>Delivered</v>
      </c>
      <c r="P1826" t="str">
        <f t="shared" si="170"/>
        <v>WH-DEL</v>
      </c>
      <c r="Q1826" t="str">
        <f>VLOOKUP(C1826, Lookups!$A$2:$D$10, 2, FALSE())</f>
        <v>Global Networks</v>
      </c>
      <c r="R1826" t="str">
        <f>_xlfn.XLOOKUP(D1826, Lookups!$A$12:$A$51, Lookups!$C$12:$C$51, "Unknown")</f>
        <v>Networking</v>
      </c>
      <c r="S1826" t="str">
        <f>IF(ISBLANK(I1826), B1826+VLOOKUP(C1826, Lookups!$A$2:$D$10, 4, FALSE()), I1826)</f>
        <v>2026-09-29</v>
      </c>
      <c r="T1826">
        <f t="shared" si="171"/>
        <v>17</v>
      </c>
      <c r="U1826" t="str">
        <f t="shared" si="172"/>
        <v>On-Time</v>
      </c>
      <c r="V1826">
        <f t="shared" si="173"/>
        <v>0</v>
      </c>
    </row>
    <row r="1827" spans="1:22" x14ac:dyDescent="0.45">
      <c r="A1827" t="s">
        <v>2675</v>
      </c>
      <c r="B1827" t="s">
        <v>1544</v>
      </c>
      <c r="C1827" t="s">
        <v>37</v>
      </c>
      <c r="D1827" t="s">
        <v>78</v>
      </c>
      <c r="E1827" t="s">
        <v>16</v>
      </c>
      <c r="F1827">
        <v>142</v>
      </c>
      <c r="G1827">
        <v>9423</v>
      </c>
      <c r="H1827">
        <v>1338066</v>
      </c>
      <c r="I1827" t="s">
        <v>438</v>
      </c>
      <c r="J1827" t="s">
        <v>265</v>
      </c>
      <c r="K1827">
        <v>142</v>
      </c>
      <c r="L1827">
        <v>2</v>
      </c>
      <c r="M1827" t="s">
        <v>115</v>
      </c>
      <c r="N1827" t="str">
        <f t="shared" si="168"/>
        <v>PO-101826</v>
      </c>
      <c r="O1827" t="str">
        <f t="shared" si="169"/>
        <v>Delivered</v>
      </c>
      <c r="P1827" t="str">
        <f t="shared" si="170"/>
        <v>WH-DEL</v>
      </c>
      <c r="Q1827" t="str">
        <f>VLOOKUP(C1827, Lookups!$A$2:$D$10, 2, FALSE())</f>
        <v>Premium Desks Ltd</v>
      </c>
      <c r="R1827" t="str">
        <f>_xlfn.XLOOKUP(D1827, Lookups!$A$12:$A$51, Lookups!$C$12:$C$51, "Unknown")</f>
        <v>Office Furniture</v>
      </c>
      <c r="S1827" t="str">
        <f>IF(ISBLANK(I1827), B1827+VLOOKUP(C1827, Lookups!$A$2:$D$10, 4, FALSE()), I1827)</f>
        <v>2025-02-13</v>
      </c>
      <c r="T1827">
        <f t="shared" si="171"/>
        <v>13</v>
      </c>
      <c r="U1827" t="str">
        <f t="shared" si="172"/>
        <v>Late</v>
      </c>
      <c r="V1827">
        <f t="shared" si="173"/>
        <v>1.4084507042253521E-2</v>
      </c>
    </row>
    <row r="1828" spans="1:22" x14ac:dyDescent="0.45">
      <c r="A1828" t="s">
        <v>2676</v>
      </c>
      <c r="B1828" t="s">
        <v>1058</v>
      </c>
      <c r="C1828" t="s">
        <v>31</v>
      </c>
      <c r="D1828" t="s">
        <v>56</v>
      </c>
      <c r="E1828" t="s">
        <v>17</v>
      </c>
      <c r="F1828">
        <v>60</v>
      </c>
      <c r="G1828">
        <v>39270</v>
      </c>
      <c r="H1828">
        <v>2356200</v>
      </c>
      <c r="I1828" t="s">
        <v>1463</v>
      </c>
      <c r="J1828" t="s">
        <v>415</v>
      </c>
      <c r="K1828">
        <v>60</v>
      </c>
      <c r="L1828">
        <v>0</v>
      </c>
      <c r="M1828" t="s">
        <v>115</v>
      </c>
      <c r="N1828" t="str">
        <f t="shared" si="168"/>
        <v>PO-101827</v>
      </c>
      <c r="O1828" t="str">
        <f t="shared" si="169"/>
        <v>Delivered</v>
      </c>
      <c r="P1828" t="str">
        <f t="shared" si="170"/>
        <v>WH-BLR</v>
      </c>
      <c r="Q1828" t="str">
        <f>VLOOKUP(C1828, Lookups!$A$2:$D$10, 2, FALSE())</f>
        <v>Global Networks</v>
      </c>
      <c r="R1828" t="str">
        <f>_xlfn.XLOOKUP(D1828, Lookups!$A$12:$A$51, Lookups!$C$12:$C$51, "Unknown")</f>
        <v>Networking</v>
      </c>
      <c r="S1828" t="str">
        <f>IF(ISBLANK(I1828), B1828+VLOOKUP(C1828, Lookups!$A$2:$D$10, 4, FALSE()), I1828)</f>
        <v>2026-05-16</v>
      </c>
      <c r="T1828">
        <f t="shared" si="171"/>
        <v>22</v>
      </c>
      <c r="U1828" t="str">
        <f t="shared" si="172"/>
        <v>Late</v>
      </c>
      <c r="V1828">
        <f t="shared" si="173"/>
        <v>0</v>
      </c>
    </row>
    <row r="1829" spans="1:22" x14ac:dyDescent="0.45">
      <c r="A1829" t="s">
        <v>2677</v>
      </c>
      <c r="B1829" t="s">
        <v>859</v>
      </c>
      <c r="C1829" t="s">
        <v>34</v>
      </c>
      <c r="D1829" t="s">
        <v>74</v>
      </c>
      <c r="E1829" t="s">
        <v>17</v>
      </c>
      <c r="F1829">
        <v>194</v>
      </c>
      <c r="G1829">
        <v>94797</v>
      </c>
      <c r="H1829">
        <v>18390618</v>
      </c>
      <c r="I1829" t="s">
        <v>548</v>
      </c>
      <c r="J1829" t="s">
        <v>548</v>
      </c>
      <c r="K1829">
        <v>194</v>
      </c>
      <c r="L1829">
        <v>0</v>
      </c>
      <c r="M1829" t="s">
        <v>115</v>
      </c>
      <c r="N1829" t="str">
        <f t="shared" si="168"/>
        <v>PO-101828</v>
      </c>
      <c r="O1829" t="str">
        <f t="shared" si="169"/>
        <v>Delivered</v>
      </c>
      <c r="P1829" t="str">
        <f t="shared" si="170"/>
        <v>WH-BLR</v>
      </c>
      <c r="Q1829" t="str">
        <f>VLOOKUP(C1829, Lookups!$A$2:$D$10, 2, FALSE())</f>
        <v>FastElectronics</v>
      </c>
      <c r="R1829" t="str">
        <f>_xlfn.XLOOKUP(D1829, Lookups!$A$12:$A$51, Lookups!$C$12:$C$51, "Unknown")</f>
        <v>Electronics</v>
      </c>
      <c r="S1829" t="str">
        <f>IF(ISBLANK(I1829), B1829+VLOOKUP(C1829, Lookups!$A$2:$D$10, 4, FALSE()), I1829)</f>
        <v>2026-01-08</v>
      </c>
      <c r="T1829">
        <f t="shared" si="171"/>
        <v>18</v>
      </c>
      <c r="U1829" t="str">
        <f t="shared" si="172"/>
        <v>On-Time</v>
      </c>
      <c r="V1829">
        <f t="shared" si="173"/>
        <v>0</v>
      </c>
    </row>
    <row r="1830" spans="1:22" x14ac:dyDescent="0.45">
      <c r="A1830" t="s">
        <v>2678</v>
      </c>
      <c r="B1830" t="s">
        <v>258</v>
      </c>
      <c r="C1830" t="s">
        <v>34</v>
      </c>
      <c r="D1830" t="s">
        <v>80</v>
      </c>
      <c r="E1830" t="s">
        <v>18</v>
      </c>
      <c r="F1830">
        <v>126</v>
      </c>
      <c r="G1830">
        <v>19090</v>
      </c>
      <c r="H1830">
        <v>2405340</v>
      </c>
      <c r="I1830" t="s">
        <v>565</v>
      </c>
      <c r="J1830" t="s">
        <v>565</v>
      </c>
      <c r="K1830">
        <v>126</v>
      </c>
      <c r="L1830">
        <v>0</v>
      </c>
      <c r="M1830" t="s">
        <v>115</v>
      </c>
      <c r="N1830" t="str">
        <f t="shared" si="168"/>
        <v>PO-101829</v>
      </c>
      <c r="O1830" t="str">
        <f t="shared" si="169"/>
        <v>Delivered</v>
      </c>
      <c r="P1830" t="str">
        <f t="shared" si="170"/>
        <v>WH-PUN</v>
      </c>
      <c r="Q1830" t="str">
        <f>VLOOKUP(C1830, Lookups!$A$2:$D$10, 2, FALSE())</f>
        <v>FastElectronics</v>
      </c>
      <c r="R1830" t="str">
        <f>_xlfn.XLOOKUP(D1830, Lookups!$A$12:$A$51, Lookups!$C$12:$C$51, "Unknown")</f>
        <v>Networking</v>
      </c>
      <c r="S1830" t="str">
        <f>IF(ISBLANK(I1830), B1830+VLOOKUP(C1830, Lookups!$A$2:$D$10, 4, FALSE()), I1830)</f>
        <v>2025-02-24</v>
      </c>
      <c r="T1830">
        <f t="shared" si="171"/>
        <v>18</v>
      </c>
      <c r="U1830" t="str">
        <f t="shared" si="172"/>
        <v>On-Time</v>
      </c>
      <c r="V1830">
        <f t="shared" si="173"/>
        <v>0</v>
      </c>
    </row>
    <row r="1831" spans="1:22" x14ac:dyDescent="0.45">
      <c r="A1831" t="s">
        <v>2679</v>
      </c>
      <c r="B1831" t="s">
        <v>806</v>
      </c>
      <c r="C1831" t="s">
        <v>34</v>
      </c>
      <c r="D1831" t="s">
        <v>58</v>
      </c>
      <c r="E1831" t="s">
        <v>15</v>
      </c>
      <c r="F1831">
        <v>199</v>
      </c>
      <c r="G1831">
        <v>100302</v>
      </c>
      <c r="H1831">
        <v>19960098</v>
      </c>
      <c r="I1831" t="s">
        <v>328</v>
      </c>
      <c r="J1831" t="s">
        <v>210</v>
      </c>
      <c r="K1831">
        <v>199</v>
      </c>
      <c r="L1831">
        <v>0</v>
      </c>
      <c r="M1831" t="s">
        <v>115</v>
      </c>
      <c r="N1831" t="str">
        <f t="shared" si="168"/>
        <v>PO-101830</v>
      </c>
      <c r="O1831" t="str">
        <f t="shared" si="169"/>
        <v>Delivered</v>
      </c>
      <c r="P1831" t="str">
        <f t="shared" si="170"/>
        <v>WH-BOM</v>
      </c>
      <c r="Q1831" t="str">
        <f>VLOOKUP(C1831, Lookups!$A$2:$D$10, 2, FALSE())</f>
        <v>FastElectronics</v>
      </c>
      <c r="R1831" t="str">
        <f>_xlfn.XLOOKUP(D1831, Lookups!$A$12:$A$51, Lookups!$C$12:$C$51, "Unknown")</f>
        <v>Electronics</v>
      </c>
      <c r="S1831" t="str">
        <f>IF(ISBLANK(I1831), B1831+VLOOKUP(C1831, Lookups!$A$2:$D$10, 4, FALSE()), I1831)</f>
        <v>2025-06-06</v>
      </c>
      <c r="T1831">
        <f t="shared" si="171"/>
        <v>32</v>
      </c>
      <c r="U1831" t="str">
        <f t="shared" si="172"/>
        <v>Late</v>
      </c>
      <c r="V1831">
        <f t="shared" si="173"/>
        <v>0</v>
      </c>
    </row>
    <row r="1832" spans="1:22" x14ac:dyDescent="0.45">
      <c r="A1832" t="s">
        <v>2680</v>
      </c>
      <c r="B1832" t="s">
        <v>244</v>
      </c>
      <c r="C1832" t="s">
        <v>30</v>
      </c>
      <c r="D1832" t="s">
        <v>53</v>
      </c>
      <c r="E1832" t="s">
        <v>17</v>
      </c>
      <c r="F1832">
        <v>136</v>
      </c>
      <c r="G1832">
        <v>81048</v>
      </c>
      <c r="H1832">
        <v>11022528</v>
      </c>
      <c r="I1832" t="s">
        <v>404</v>
      </c>
      <c r="J1832" t="s">
        <v>404</v>
      </c>
      <c r="K1832">
        <v>136</v>
      </c>
      <c r="L1832">
        <v>0</v>
      </c>
      <c r="M1832" t="s">
        <v>115</v>
      </c>
      <c r="N1832" t="str">
        <f t="shared" si="168"/>
        <v>PO-101831</v>
      </c>
      <c r="O1832" t="str">
        <f t="shared" si="169"/>
        <v>Delivered</v>
      </c>
      <c r="P1832" t="str">
        <f t="shared" si="170"/>
        <v>WH-BLR</v>
      </c>
      <c r="Q1832" t="str">
        <f>VLOOKUP(C1832, Lookups!$A$2:$D$10, 2, FALSE())</f>
        <v>TechSupply Corp</v>
      </c>
      <c r="R1832" t="str">
        <f>_xlfn.XLOOKUP(D1832, Lookups!$A$12:$A$51, Lookups!$C$12:$C$51, "Unknown")</f>
        <v>Electronics</v>
      </c>
      <c r="S1832" t="str">
        <f>IF(ISBLANK(I1832), B1832+VLOOKUP(C1832, Lookups!$A$2:$D$10, 4, FALSE()), I1832)</f>
        <v>2025-10-25</v>
      </c>
      <c r="T1832">
        <f t="shared" si="171"/>
        <v>14</v>
      </c>
      <c r="U1832" t="str">
        <f t="shared" si="172"/>
        <v>On-Time</v>
      </c>
      <c r="V1832">
        <f t="shared" si="173"/>
        <v>0</v>
      </c>
    </row>
    <row r="1833" spans="1:22" x14ac:dyDescent="0.45">
      <c r="A1833" t="s">
        <v>2681</v>
      </c>
      <c r="B1833" t="s">
        <v>155</v>
      </c>
      <c r="C1833" t="s">
        <v>31</v>
      </c>
      <c r="D1833" t="s">
        <v>77</v>
      </c>
      <c r="E1833" t="s">
        <v>15</v>
      </c>
      <c r="F1833">
        <v>186</v>
      </c>
      <c r="G1833">
        <v>23667</v>
      </c>
      <c r="H1833">
        <v>4402062</v>
      </c>
      <c r="I1833" t="s">
        <v>464</v>
      </c>
      <c r="J1833" t="s">
        <v>1075</v>
      </c>
      <c r="K1833">
        <v>186</v>
      </c>
      <c r="L1833">
        <v>9</v>
      </c>
      <c r="M1833" t="s">
        <v>115</v>
      </c>
      <c r="N1833" t="str">
        <f t="shared" si="168"/>
        <v>PO-101832</v>
      </c>
      <c r="O1833" t="str">
        <f t="shared" si="169"/>
        <v>Delivered</v>
      </c>
      <c r="P1833" t="str">
        <f t="shared" si="170"/>
        <v>WH-BOM</v>
      </c>
      <c r="Q1833" t="str">
        <f>VLOOKUP(C1833, Lookups!$A$2:$D$10, 2, FALSE())</f>
        <v>Global Networks</v>
      </c>
      <c r="R1833" t="str">
        <f>_xlfn.XLOOKUP(D1833, Lookups!$A$12:$A$51, Lookups!$C$12:$C$51, "Unknown")</f>
        <v>Networking</v>
      </c>
      <c r="S1833" t="str">
        <f>IF(ISBLANK(I1833), B1833+VLOOKUP(C1833, Lookups!$A$2:$D$10, 4, FALSE()), I1833)</f>
        <v>2025-11-20</v>
      </c>
      <c r="T1833">
        <f t="shared" si="171"/>
        <v>22</v>
      </c>
      <c r="U1833" t="str">
        <f t="shared" si="172"/>
        <v>Late</v>
      </c>
      <c r="V1833">
        <f t="shared" si="173"/>
        <v>4.8387096774193547E-2</v>
      </c>
    </row>
    <row r="1834" spans="1:22" x14ac:dyDescent="0.45">
      <c r="A1834" t="s">
        <v>2682</v>
      </c>
      <c r="B1834" t="s">
        <v>910</v>
      </c>
      <c r="C1834" t="s">
        <v>30</v>
      </c>
      <c r="D1834" t="s">
        <v>53</v>
      </c>
      <c r="E1834" t="s">
        <v>17</v>
      </c>
      <c r="F1834">
        <v>151</v>
      </c>
      <c r="G1834">
        <v>81048</v>
      </c>
      <c r="H1834">
        <v>12238248</v>
      </c>
      <c r="I1834" t="s">
        <v>1082</v>
      </c>
      <c r="J1834" t="s">
        <v>960</v>
      </c>
      <c r="K1834">
        <v>128</v>
      </c>
      <c r="L1834">
        <v>0</v>
      </c>
      <c r="M1834" t="s">
        <v>115</v>
      </c>
      <c r="N1834" t="str">
        <f t="shared" si="168"/>
        <v>PO-101833</v>
      </c>
      <c r="O1834" t="str">
        <f t="shared" si="169"/>
        <v>Delivered</v>
      </c>
      <c r="P1834" t="str">
        <f t="shared" si="170"/>
        <v>WH-BLR</v>
      </c>
      <c r="Q1834" t="str">
        <f>VLOOKUP(C1834, Lookups!$A$2:$D$10, 2, FALSE())</f>
        <v>TechSupply Corp</v>
      </c>
      <c r="R1834" t="str">
        <f>_xlfn.XLOOKUP(D1834, Lookups!$A$12:$A$51, Lookups!$C$12:$C$51, "Unknown")</f>
        <v>Electronics</v>
      </c>
      <c r="S1834" t="str">
        <f>IF(ISBLANK(I1834), B1834+VLOOKUP(C1834, Lookups!$A$2:$D$10, 4, FALSE()), I1834)</f>
        <v>2025-04-22</v>
      </c>
      <c r="T1834">
        <f t="shared" si="171"/>
        <v>15</v>
      </c>
      <c r="U1834" t="str">
        <f t="shared" si="172"/>
        <v>Late</v>
      </c>
      <c r="V1834">
        <f t="shared" si="173"/>
        <v>0</v>
      </c>
    </row>
    <row r="1835" spans="1:22" x14ac:dyDescent="0.45">
      <c r="A1835" t="s">
        <v>2683</v>
      </c>
      <c r="B1835" t="s">
        <v>153</v>
      </c>
      <c r="C1835" t="s">
        <v>30</v>
      </c>
      <c r="D1835" t="s">
        <v>61</v>
      </c>
      <c r="E1835" t="s">
        <v>18</v>
      </c>
      <c r="F1835">
        <v>42</v>
      </c>
      <c r="G1835">
        <v>111237</v>
      </c>
      <c r="H1835">
        <v>4671954</v>
      </c>
      <c r="I1835" t="s">
        <v>246</v>
      </c>
      <c r="J1835" t="s">
        <v>200</v>
      </c>
      <c r="K1835">
        <v>42</v>
      </c>
      <c r="L1835">
        <v>0</v>
      </c>
      <c r="M1835" t="s">
        <v>115</v>
      </c>
      <c r="N1835" t="str">
        <f t="shared" si="168"/>
        <v>PO-101834</v>
      </c>
      <c r="O1835" t="str">
        <f t="shared" si="169"/>
        <v>Delivered</v>
      </c>
      <c r="P1835" t="str">
        <f t="shared" si="170"/>
        <v>WH-PUN</v>
      </c>
      <c r="Q1835" t="str">
        <f>VLOOKUP(C1835, Lookups!$A$2:$D$10, 2, FALSE())</f>
        <v>TechSupply Corp</v>
      </c>
      <c r="R1835" t="str">
        <f>_xlfn.XLOOKUP(D1835, Lookups!$A$12:$A$51, Lookups!$C$12:$C$51, "Unknown")</f>
        <v>Electronics</v>
      </c>
      <c r="S1835" t="str">
        <f>IF(ISBLANK(I1835), B1835+VLOOKUP(C1835, Lookups!$A$2:$D$10, 4, FALSE()), I1835)</f>
        <v>2025-10-21</v>
      </c>
      <c r="T1835">
        <f t="shared" si="171"/>
        <v>15</v>
      </c>
      <c r="U1835" t="str">
        <f t="shared" si="172"/>
        <v>Late</v>
      </c>
      <c r="V1835">
        <f t="shared" si="173"/>
        <v>0</v>
      </c>
    </row>
    <row r="1836" spans="1:22" x14ac:dyDescent="0.45">
      <c r="A1836" t="s">
        <v>2684</v>
      </c>
      <c r="B1836" t="s">
        <v>286</v>
      </c>
      <c r="C1836" t="s">
        <v>34</v>
      </c>
      <c r="D1836" t="s">
        <v>68</v>
      </c>
      <c r="E1836" t="s">
        <v>18</v>
      </c>
      <c r="F1836">
        <v>130</v>
      </c>
      <c r="G1836">
        <v>41405</v>
      </c>
      <c r="H1836">
        <v>5382650</v>
      </c>
      <c r="I1836" t="s">
        <v>300</v>
      </c>
      <c r="J1836" t="s">
        <v>499</v>
      </c>
      <c r="K1836">
        <v>80</v>
      </c>
      <c r="L1836">
        <v>0</v>
      </c>
      <c r="M1836" t="s">
        <v>115</v>
      </c>
      <c r="N1836" t="str">
        <f t="shared" si="168"/>
        <v>PO-101835</v>
      </c>
      <c r="O1836" t="str">
        <f t="shared" si="169"/>
        <v>Delivered</v>
      </c>
      <c r="P1836" t="str">
        <f t="shared" si="170"/>
        <v>WH-PUN</v>
      </c>
      <c r="Q1836" t="str">
        <f>VLOOKUP(C1836, Lookups!$A$2:$D$10, 2, FALSE())</f>
        <v>FastElectronics</v>
      </c>
      <c r="R1836" t="str">
        <f>_xlfn.XLOOKUP(D1836, Lookups!$A$12:$A$51, Lookups!$C$12:$C$51, "Unknown")</f>
        <v>Networking</v>
      </c>
      <c r="S1836" t="str">
        <f>IF(ISBLANK(I1836), B1836+VLOOKUP(C1836, Lookups!$A$2:$D$10, 4, FALSE()), I1836)</f>
        <v>2025-03-20</v>
      </c>
      <c r="T1836">
        <f t="shared" si="171"/>
        <v>32</v>
      </c>
      <c r="U1836" t="str">
        <f t="shared" si="172"/>
        <v>Late</v>
      </c>
      <c r="V1836">
        <f t="shared" si="173"/>
        <v>0</v>
      </c>
    </row>
    <row r="1837" spans="1:22" x14ac:dyDescent="0.45">
      <c r="A1837" t="s">
        <v>2685</v>
      </c>
      <c r="B1837" t="s">
        <v>217</v>
      </c>
      <c r="C1837" t="s">
        <v>30</v>
      </c>
      <c r="D1837" t="s">
        <v>52</v>
      </c>
      <c r="E1837" t="s">
        <v>16</v>
      </c>
      <c r="F1837">
        <v>72</v>
      </c>
      <c r="G1837">
        <v>59592</v>
      </c>
      <c r="H1837">
        <v>4290624</v>
      </c>
      <c r="I1837" t="s">
        <v>1095</v>
      </c>
      <c r="J1837" t="s">
        <v>1463</v>
      </c>
      <c r="K1837">
        <v>72</v>
      </c>
      <c r="L1837">
        <v>0</v>
      </c>
      <c r="M1837" t="s">
        <v>115</v>
      </c>
      <c r="N1837" t="str">
        <f t="shared" si="168"/>
        <v>PO-101836</v>
      </c>
      <c r="O1837" t="str">
        <f t="shared" si="169"/>
        <v>Delivered</v>
      </c>
      <c r="P1837" t="str">
        <f t="shared" si="170"/>
        <v>WH-DEL</v>
      </c>
      <c r="Q1837" t="str">
        <f>VLOOKUP(C1837, Lookups!$A$2:$D$10, 2, FALSE())</f>
        <v>TechSupply Corp</v>
      </c>
      <c r="R1837" t="str">
        <f>_xlfn.XLOOKUP(D1837, Lookups!$A$12:$A$51, Lookups!$C$12:$C$51, "Unknown")</f>
        <v>Electronics</v>
      </c>
      <c r="S1837" t="str">
        <f>IF(ISBLANK(I1837), B1837+VLOOKUP(C1837, Lookups!$A$2:$D$10, 4, FALSE()), I1837)</f>
        <v>2026-05-07</v>
      </c>
      <c r="T1837">
        <f t="shared" si="171"/>
        <v>23</v>
      </c>
      <c r="U1837" t="str">
        <f t="shared" si="172"/>
        <v>Late</v>
      </c>
      <c r="V1837">
        <f t="shared" si="173"/>
        <v>0</v>
      </c>
    </row>
    <row r="1838" spans="1:22" x14ac:dyDescent="0.45">
      <c r="A1838" t="s">
        <v>2686</v>
      </c>
      <c r="B1838" t="s">
        <v>615</v>
      </c>
      <c r="C1838" t="s">
        <v>35</v>
      </c>
      <c r="D1838" t="s">
        <v>70</v>
      </c>
      <c r="E1838" t="s">
        <v>16</v>
      </c>
      <c r="F1838">
        <v>211</v>
      </c>
      <c r="G1838">
        <v>4287</v>
      </c>
      <c r="H1838">
        <v>904557</v>
      </c>
      <c r="I1838" t="s">
        <v>1024</v>
      </c>
      <c r="J1838" t="s">
        <v>1126</v>
      </c>
      <c r="K1838">
        <v>211</v>
      </c>
      <c r="L1838">
        <v>0</v>
      </c>
      <c r="M1838" t="s">
        <v>115</v>
      </c>
      <c r="N1838" t="str">
        <f t="shared" si="168"/>
        <v>PO-101837</v>
      </c>
      <c r="O1838" t="str">
        <f t="shared" si="169"/>
        <v>Delivered</v>
      </c>
      <c r="P1838" t="str">
        <f t="shared" si="170"/>
        <v>WH-DEL</v>
      </c>
      <c r="Q1838" t="str">
        <f>VLOOKUP(C1838, Lookups!$A$2:$D$10, 2, FALSE())</f>
        <v>Peripheral Source</v>
      </c>
      <c r="R1838" t="str">
        <f>_xlfn.XLOOKUP(D1838, Lookups!$A$12:$A$51, Lookups!$C$12:$C$51, "Unknown")</f>
        <v>Peripherals</v>
      </c>
      <c r="S1838" t="str">
        <f>IF(ISBLANK(I1838), B1838+VLOOKUP(C1838, Lookups!$A$2:$D$10, 4, FALSE()), I1838)</f>
        <v>2026-11-17</v>
      </c>
      <c r="T1838">
        <f t="shared" si="171"/>
        <v>11</v>
      </c>
      <c r="U1838" t="str">
        <f t="shared" si="172"/>
        <v>Late</v>
      </c>
      <c r="V1838">
        <f t="shared" si="173"/>
        <v>0</v>
      </c>
    </row>
    <row r="1839" spans="1:22" x14ac:dyDescent="0.45">
      <c r="A1839" t="s">
        <v>2687</v>
      </c>
      <c r="B1839" t="s">
        <v>358</v>
      </c>
      <c r="C1839" t="s">
        <v>37</v>
      </c>
      <c r="D1839" t="s">
        <v>79</v>
      </c>
      <c r="E1839" t="s">
        <v>18</v>
      </c>
      <c r="F1839">
        <v>178</v>
      </c>
      <c r="G1839">
        <v>23054</v>
      </c>
      <c r="H1839">
        <v>4103612</v>
      </c>
      <c r="I1839" t="s">
        <v>127</v>
      </c>
      <c r="J1839" t="s">
        <v>127</v>
      </c>
      <c r="K1839">
        <v>178</v>
      </c>
      <c r="L1839">
        <v>0</v>
      </c>
      <c r="M1839" t="s">
        <v>115</v>
      </c>
      <c r="N1839" t="str">
        <f t="shared" si="168"/>
        <v>PO-101838</v>
      </c>
      <c r="O1839" t="str">
        <f t="shared" si="169"/>
        <v>Delivered</v>
      </c>
      <c r="P1839" t="str">
        <f t="shared" si="170"/>
        <v>WH-PUN</v>
      </c>
      <c r="Q1839" t="str">
        <f>VLOOKUP(C1839, Lookups!$A$2:$D$10, 2, FALSE())</f>
        <v>Premium Desks Ltd</v>
      </c>
      <c r="R1839" t="str">
        <f>_xlfn.XLOOKUP(D1839, Lookups!$A$12:$A$51, Lookups!$C$12:$C$51, "Unknown")</f>
        <v>Office Furniture</v>
      </c>
      <c r="S1839" t="str">
        <f>IF(ISBLANK(I1839), B1839+VLOOKUP(C1839, Lookups!$A$2:$D$10, 4, FALSE()), I1839)</f>
        <v>2026-02-02</v>
      </c>
      <c r="T1839">
        <f t="shared" si="171"/>
        <v>12</v>
      </c>
      <c r="U1839" t="str">
        <f t="shared" si="172"/>
        <v>On-Time</v>
      </c>
      <c r="V1839">
        <f t="shared" si="173"/>
        <v>0</v>
      </c>
    </row>
    <row r="1840" spans="1:22" x14ac:dyDescent="0.45">
      <c r="A1840" t="s">
        <v>2688</v>
      </c>
      <c r="B1840" t="s">
        <v>186</v>
      </c>
      <c r="C1840" t="s">
        <v>34</v>
      </c>
      <c r="D1840" t="s">
        <v>68</v>
      </c>
      <c r="E1840" t="s">
        <v>16</v>
      </c>
      <c r="F1840">
        <v>141</v>
      </c>
      <c r="G1840">
        <v>41405</v>
      </c>
      <c r="H1840">
        <v>5838105</v>
      </c>
      <c r="I1840" t="s">
        <v>1736</v>
      </c>
      <c r="J1840" t="s">
        <v>497</v>
      </c>
      <c r="K1840">
        <v>141</v>
      </c>
      <c r="L1840">
        <v>0</v>
      </c>
      <c r="M1840" t="s">
        <v>115</v>
      </c>
      <c r="N1840" t="str">
        <f t="shared" si="168"/>
        <v>PO-101839</v>
      </c>
      <c r="O1840" t="str">
        <f t="shared" si="169"/>
        <v>Delivered</v>
      </c>
      <c r="P1840" t="str">
        <f t="shared" si="170"/>
        <v>WH-DEL</v>
      </c>
      <c r="Q1840" t="str">
        <f>VLOOKUP(C1840, Lookups!$A$2:$D$10, 2, FALSE())</f>
        <v>FastElectronics</v>
      </c>
      <c r="R1840" t="str">
        <f>_xlfn.XLOOKUP(D1840, Lookups!$A$12:$A$51, Lookups!$C$12:$C$51, "Unknown")</f>
        <v>Networking</v>
      </c>
      <c r="S1840" t="str">
        <f>IF(ISBLANK(I1840), B1840+VLOOKUP(C1840, Lookups!$A$2:$D$10, 4, FALSE()), I1840)</f>
        <v>2025-03-18</v>
      </c>
      <c r="T1840">
        <f t="shared" si="171"/>
        <v>19</v>
      </c>
      <c r="U1840" t="str">
        <f t="shared" si="172"/>
        <v>Late</v>
      </c>
      <c r="V1840">
        <f t="shared" si="173"/>
        <v>0</v>
      </c>
    </row>
    <row r="1841" spans="1:22" x14ac:dyDescent="0.45">
      <c r="A1841" t="s">
        <v>2689</v>
      </c>
      <c r="B1841" t="s">
        <v>1314</v>
      </c>
      <c r="C1841" t="s">
        <v>33</v>
      </c>
      <c r="D1841" t="s">
        <v>89</v>
      </c>
      <c r="E1841" t="s">
        <v>16</v>
      </c>
      <c r="F1841">
        <v>76</v>
      </c>
      <c r="G1841">
        <v>11309</v>
      </c>
      <c r="H1841">
        <v>859484</v>
      </c>
      <c r="I1841" t="s">
        <v>631</v>
      </c>
      <c r="J1841" t="s">
        <v>631</v>
      </c>
      <c r="K1841">
        <v>76</v>
      </c>
      <c r="L1841">
        <v>9</v>
      </c>
      <c r="M1841" t="s">
        <v>115</v>
      </c>
      <c r="N1841" t="str">
        <f t="shared" si="168"/>
        <v>PO-101840</v>
      </c>
      <c r="O1841" t="str">
        <f t="shared" si="169"/>
        <v>Delivered</v>
      </c>
      <c r="P1841" t="str">
        <f t="shared" si="170"/>
        <v>WH-DEL</v>
      </c>
      <c r="Q1841" t="str">
        <f>VLOOKUP(C1841, Lookups!$A$2:$D$10, 2, FALSE())</f>
        <v>MegaFurnish</v>
      </c>
      <c r="R1841" t="str">
        <f>_xlfn.XLOOKUP(D1841, Lookups!$A$12:$A$51, Lookups!$C$12:$C$51, "Unknown")</f>
        <v>Office Furniture</v>
      </c>
      <c r="S1841" t="str">
        <f>IF(ISBLANK(I1841), B1841+VLOOKUP(C1841, Lookups!$A$2:$D$10, 4, FALSE()), I1841)</f>
        <v>2026-06-27</v>
      </c>
      <c r="T1841">
        <f t="shared" si="171"/>
        <v>30</v>
      </c>
      <c r="U1841" t="str">
        <f t="shared" si="172"/>
        <v>On-Time</v>
      </c>
      <c r="V1841">
        <f t="shared" si="173"/>
        <v>0.11842105263157894</v>
      </c>
    </row>
    <row r="1842" spans="1:22" x14ac:dyDescent="0.45">
      <c r="A1842" t="s">
        <v>2690</v>
      </c>
      <c r="B1842" t="s">
        <v>354</v>
      </c>
      <c r="C1842" t="s">
        <v>34</v>
      </c>
      <c r="D1842" t="s">
        <v>58</v>
      </c>
      <c r="E1842" t="s">
        <v>16</v>
      </c>
      <c r="F1842">
        <v>25</v>
      </c>
      <c r="G1842">
        <v>100302</v>
      </c>
      <c r="H1842">
        <v>2507550</v>
      </c>
      <c r="I1842" t="s">
        <v>518</v>
      </c>
      <c r="J1842" t="s">
        <v>1281</v>
      </c>
      <c r="K1842">
        <v>25</v>
      </c>
      <c r="L1842">
        <v>0</v>
      </c>
      <c r="M1842" t="s">
        <v>115</v>
      </c>
      <c r="N1842" t="str">
        <f t="shared" si="168"/>
        <v>PO-101841</v>
      </c>
      <c r="O1842" t="str">
        <f t="shared" si="169"/>
        <v>Delivered</v>
      </c>
      <c r="P1842" t="str">
        <f t="shared" si="170"/>
        <v>WH-DEL</v>
      </c>
      <c r="Q1842" t="str">
        <f>VLOOKUP(C1842, Lookups!$A$2:$D$10, 2, FALSE())</f>
        <v>FastElectronics</v>
      </c>
      <c r="R1842" t="str">
        <f>_xlfn.XLOOKUP(D1842, Lookups!$A$12:$A$51, Lookups!$C$12:$C$51, "Unknown")</f>
        <v>Electronics</v>
      </c>
      <c r="S1842" t="str">
        <f>IF(ISBLANK(I1842), B1842+VLOOKUP(C1842, Lookups!$A$2:$D$10, 4, FALSE()), I1842)</f>
        <v>2025-05-23</v>
      </c>
      <c r="T1842">
        <f t="shared" si="171"/>
        <v>26</v>
      </c>
      <c r="U1842" t="str">
        <f t="shared" si="172"/>
        <v>Late</v>
      </c>
      <c r="V1842">
        <f t="shared" si="173"/>
        <v>0</v>
      </c>
    </row>
    <row r="1843" spans="1:22" x14ac:dyDescent="0.45">
      <c r="A1843" t="s">
        <v>2691</v>
      </c>
      <c r="B1843" t="s">
        <v>168</v>
      </c>
      <c r="C1843" t="s">
        <v>32</v>
      </c>
      <c r="D1843" t="s">
        <v>67</v>
      </c>
      <c r="E1843" t="s">
        <v>15</v>
      </c>
      <c r="F1843">
        <v>218</v>
      </c>
      <c r="G1843">
        <v>1553</v>
      </c>
      <c r="H1843">
        <v>338554</v>
      </c>
      <c r="I1843" t="s">
        <v>1593</v>
      </c>
      <c r="J1843" t="s">
        <v>993</v>
      </c>
      <c r="K1843">
        <v>218</v>
      </c>
      <c r="L1843">
        <v>0</v>
      </c>
      <c r="M1843" t="s">
        <v>115</v>
      </c>
      <c r="N1843" t="str">
        <f t="shared" si="168"/>
        <v>PO-101842</v>
      </c>
      <c r="O1843" t="str">
        <f t="shared" si="169"/>
        <v>Delivered</v>
      </c>
      <c r="P1843" t="str">
        <f t="shared" si="170"/>
        <v>WH-BOM</v>
      </c>
      <c r="Q1843" t="str">
        <f>VLOOKUP(C1843, Lookups!$A$2:$D$10, 2, FALSE())</f>
        <v>OfficeDepot Pro</v>
      </c>
      <c r="R1843" t="str">
        <f>_xlfn.XLOOKUP(D1843, Lookups!$A$12:$A$51, Lookups!$C$12:$C$51, "Unknown")</f>
        <v>Peripherals</v>
      </c>
      <c r="S1843" t="str">
        <f>IF(ISBLANK(I1843), B1843+VLOOKUP(C1843, Lookups!$A$2:$D$10, 4, FALSE()), I1843)</f>
        <v>2025-05-27</v>
      </c>
      <c r="T1843">
        <f t="shared" si="171"/>
        <v>8</v>
      </c>
      <c r="U1843" t="str">
        <f t="shared" si="172"/>
        <v>Late</v>
      </c>
      <c r="V1843">
        <f t="shared" si="173"/>
        <v>0</v>
      </c>
    </row>
    <row r="1844" spans="1:22" x14ac:dyDescent="0.45">
      <c r="A1844" t="s">
        <v>2692</v>
      </c>
      <c r="B1844" t="s">
        <v>1165</v>
      </c>
      <c r="C1844" t="s">
        <v>32</v>
      </c>
      <c r="D1844" t="s">
        <v>84</v>
      </c>
      <c r="E1844" t="s">
        <v>15</v>
      </c>
      <c r="F1844">
        <v>52</v>
      </c>
      <c r="G1844">
        <v>7271</v>
      </c>
      <c r="H1844">
        <v>378092</v>
      </c>
      <c r="I1844" t="s">
        <v>1377</v>
      </c>
      <c r="J1844" t="s">
        <v>1377</v>
      </c>
      <c r="K1844">
        <v>52</v>
      </c>
      <c r="L1844">
        <v>0</v>
      </c>
      <c r="M1844" t="s">
        <v>115</v>
      </c>
      <c r="N1844" t="str">
        <f t="shared" si="168"/>
        <v>PO-101843</v>
      </c>
      <c r="O1844" t="str">
        <f t="shared" si="169"/>
        <v>Delivered</v>
      </c>
      <c r="P1844" t="str">
        <f t="shared" si="170"/>
        <v>WH-BOM</v>
      </c>
      <c r="Q1844" t="str">
        <f>VLOOKUP(C1844, Lookups!$A$2:$D$10, 2, FALSE())</f>
        <v>OfficeDepot Pro</v>
      </c>
      <c r="R1844" t="str">
        <f>_xlfn.XLOOKUP(D1844, Lookups!$A$12:$A$51, Lookups!$C$12:$C$51, "Unknown")</f>
        <v>Peripherals</v>
      </c>
      <c r="S1844" t="str">
        <f>IF(ISBLANK(I1844), B1844+VLOOKUP(C1844, Lookups!$A$2:$D$10, 4, FALSE()), I1844)</f>
        <v>2025-04-17</v>
      </c>
      <c r="T1844">
        <f t="shared" si="171"/>
        <v>7</v>
      </c>
      <c r="U1844" t="str">
        <f t="shared" si="172"/>
        <v>On-Time</v>
      </c>
      <c r="V1844">
        <f t="shared" si="173"/>
        <v>0</v>
      </c>
    </row>
    <row r="1845" spans="1:22" x14ac:dyDescent="0.45">
      <c r="A1845" t="s">
        <v>2693</v>
      </c>
      <c r="B1845" t="s">
        <v>466</v>
      </c>
      <c r="C1845" t="s">
        <v>32</v>
      </c>
      <c r="D1845" t="s">
        <v>67</v>
      </c>
      <c r="E1845" t="s">
        <v>17</v>
      </c>
      <c r="F1845">
        <v>71</v>
      </c>
      <c r="G1845">
        <v>1553</v>
      </c>
      <c r="H1845">
        <v>110263</v>
      </c>
      <c r="I1845" t="s">
        <v>1051</v>
      </c>
      <c r="J1845" t="s">
        <v>264</v>
      </c>
      <c r="K1845">
        <v>71</v>
      </c>
      <c r="L1845">
        <v>0</v>
      </c>
      <c r="M1845" t="s">
        <v>115</v>
      </c>
      <c r="N1845" t="str">
        <f t="shared" si="168"/>
        <v>PO-101844</v>
      </c>
      <c r="O1845" t="str">
        <f t="shared" si="169"/>
        <v>Delivered</v>
      </c>
      <c r="P1845" t="str">
        <f t="shared" si="170"/>
        <v>WH-BLR</v>
      </c>
      <c r="Q1845" t="str">
        <f>VLOOKUP(C1845, Lookups!$A$2:$D$10, 2, FALSE())</f>
        <v>OfficeDepot Pro</v>
      </c>
      <c r="R1845" t="str">
        <f>_xlfn.XLOOKUP(D1845, Lookups!$A$12:$A$51, Lookups!$C$12:$C$51, "Unknown")</f>
        <v>Peripherals</v>
      </c>
      <c r="S1845" t="str">
        <f>IF(ISBLANK(I1845), B1845+VLOOKUP(C1845, Lookups!$A$2:$D$10, 4, FALSE()), I1845)</f>
        <v>2025-01-30</v>
      </c>
      <c r="T1845">
        <f t="shared" si="171"/>
        <v>8</v>
      </c>
      <c r="U1845" t="str">
        <f t="shared" si="172"/>
        <v>Late</v>
      </c>
      <c r="V1845">
        <f t="shared" si="173"/>
        <v>0</v>
      </c>
    </row>
    <row r="1846" spans="1:22" x14ac:dyDescent="0.45">
      <c r="A1846" t="s">
        <v>2694</v>
      </c>
      <c r="B1846" t="s">
        <v>731</v>
      </c>
      <c r="C1846" t="s">
        <v>34</v>
      </c>
      <c r="D1846" t="s">
        <v>74</v>
      </c>
      <c r="E1846" t="s">
        <v>18</v>
      </c>
      <c r="F1846">
        <v>216</v>
      </c>
      <c r="G1846">
        <v>94797</v>
      </c>
      <c r="H1846">
        <v>20476152</v>
      </c>
      <c r="I1846" t="s">
        <v>487</v>
      </c>
      <c r="J1846" t="s">
        <v>214</v>
      </c>
      <c r="K1846">
        <v>212</v>
      </c>
      <c r="L1846">
        <v>0</v>
      </c>
      <c r="M1846" t="s">
        <v>115</v>
      </c>
      <c r="N1846" t="str">
        <f t="shared" si="168"/>
        <v>PO-101845</v>
      </c>
      <c r="O1846" t="str">
        <f t="shared" si="169"/>
        <v>Delivered</v>
      </c>
      <c r="P1846" t="str">
        <f t="shared" si="170"/>
        <v>WH-PUN</v>
      </c>
      <c r="Q1846" t="str">
        <f>VLOOKUP(C1846, Lookups!$A$2:$D$10, 2, FALSE())</f>
        <v>FastElectronics</v>
      </c>
      <c r="R1846" t="str">
        <f>_xlfn.XLOOKUP(D1846, Lookups!$A$12:$A$51, Lookups!$C$12:$C$51, "Unknown")</f>
        <v>Electronics</v>
      </c>
      <c r="S1846" t="str">
        <f>IF(ISBLANK(I1846), B1846+VLOOKUP(C1846, Lookups!$A$2:$D$10, 4, FALSE()), I1846)</f>
        <v>2025-06-26</v>
      </c>
      <c r="T1846">
        <f t="shared" si="171"/>
        <v>19</v>
      </c>
      <c r="U1846" t="str">
        <f t="shared" si="172"/>
        <v>Late</v>
      </c>
      <c r="V1846">
        <f t="shared" si="173"/>
        <v>0</v>
      </c>
    </row>
    <row r="1847" spans="1:22" x14ac:dyDescent="0.45">
      <c r="A1847" t="s">
        <v>2695</v>
      </c>
      <c r="B1847" t="s">
        <v>824</v>
      </c>
      <c r="C1847" t="s">
        <v>34</v>
      </c>
      <c r="D1847" t="s">
        <v>73</v>
      </c>
      <c r="E1847" t="s">
        <v>16</v>
      </c>
      <c r="F1847">
        <v>107</v>
      </c>
      <c r="G1847">
        <v>58396</v>
      </c>
      <c r="H1847">
        <v>6248372</v>
      </c>
      <c r="I1847" t="s">
        <v>1683</v>
      </c>
      <c r="J1847" t="s">
        <v>825</v>
      </c>
      <c r="K1847">
        <v>107</v>
      </c>
      <c r="L1847">
        <v>0</v>
      </c>
      <c r="M1847" t="s">
        <v>115</v>
      </c>
      <c r="N1847" t="str">
        <f t="shared" si="168"/>
        <v>PO-101846</v>
      </c>
      <c r="O1847" t="str">
        <f t="shared" si="169"/>
        <v>Delivered</v>
      </c>
      <c r="P1847" t="str">
        <f t="shared" si="170"/>
        <v>WH-DEL</v>
      </c>
      <c r="Q1847" t="str">
        <f>VLOOKUP(C1847, Lookups!$A$2:$D$10, 2, FALSE())</f>
        <v>FastElectronics</v>
      </c>
      <c r="R1847" t="str">
        <f>_xlfn.XLOOKUP(D1847, Lookups!$A$12:$A$51, Lookups!$C$12:$C$51, "Unknown")</f>
        <v>Electronics</v>
      </c>
      <c r="S1847" t="str">
        <f>IF(ISBLANK(I1847), B1847+VLOOKUP(C1847, Lookups!$A$2:$D$10, 4, FALSE()), I1847)</f>
        <v>2026-12-25</v>
      </c>
      <c r="T1847">
        <f t="shared" si="171"/>
        <v>21</v>
      </c>
      <c r="U1847" t="str">
        <f t="shared" si="172"/>
        <v>Late</v>
      </c>
      <c r="V1847">
        <f t="shared" si="173"/>
        <v>0</v>
      </c>
    </row>
    <row r="1848" spans="1:22" x14ac:dyDescent="0.45">
      <c r="A1848" t="s">
        <v>2696</v>
      </c>
      <c r="B1848" t="s">
        <v>431</v>
      </c>
      <c r="C1848" t="s">
        <v>34</v>
      </c>
      <c r="D1848" t="s">
        <v>73</v>
      </c>
      <c r="E1848" t="s">
        <v>17</v>
      </c>
      <c r="F1848">
        <v>37</v>
      </c>
      <c r="G1848">
        <v>58396</v>
      </c>
      <c r="H1848">
        <v>2160652</v>
      </c>
      <c r="I1848" t="s">
        <v>499</v>
      </c>
      <c r="J1848" t="s">
        <v>499</v>
      </c>
      <c r="K1848">
        <v>37</v>
      </c>
      <c r="L1848">
        <v>0</v>
      </c>
      <c r="M1848" t="s">
        <v>115</v>
      </c>
      <c r="N1848" t="str">
        <f t="shared" si="168"/>
        <v>PO-101847</v>
      </c>
      <c r="O1848" t="str">
        <f t="shared" si="169"/>
        <v>Delivered</v>
      </c>
      <c r="P1848" t="str">
        <f t="shared" si="170"/>
        <v>WH-BLR</v>
      </c>
      <c r="Q1848" t="str">
        <f>VLOOKUP(C1848, Lookups!$A$2:$D$10, 2, FALSE())</f>
        <v>FastElectronics</v>
      </c>
      <c r="R1848" t="str">
        <f>_xlfn.XLOOKUP(D1848, Lookups!$A$12:$A$51, Lookups!$C$12:$C$51, "Unknown")</f>
        <v>Electronics</v>
      </c>
      <c r="S1848" t="str">
        <f>IF(ISBLANK(I1848), B1848+VLOOKUP(C1848, Lookups!$A$2:$D$10, 4, FALSE()), I1848)</f>
        <v>2025-04-03</v>
      </c>
      <c r="T1848">
        <f t="shared" si="171"/>
        <v>18</v>
      </c>
      <c r="U1848" t="str">
        <f t="shared" si="172"/>
        <v>On-Time</v>
      </c>
      <c r="V1848">
        <f t="shared" si="173"/>
        <v>0</v>
      </c>
    </row>
    <row r="1849" spans="1:22" x14ac:dyDescent="0.45">
      <c r="A1849" t="s">
        <v>2697</v>
      </c>
      <c r="B1849" t="s">
        <v>489</v>
      </c>
      <c r="C1849" t="s">
        <v>35</v>
      </c>
      <c r="D1849" t="s">
        <v>60</v>
      </c>
      <c r="E1849" t="s">
        <v>15</v>
      </c>
      <c r="F1849">
        <v>107</v>
      </c>
      <c r="G1849">
        <v>3291</v>
      </c>
      <c r="H1849">
        <v>352137</v>
      </c>
      <c r="I1849" t="s">
        <v>782</v>
      </c>
      <c r="J1849" t="s">
        <v>564</v>
      </c>
      <c r="K1849">
        <v>107</v>
      </c>
      <c r="L1849">
        <v>0</v>
      </c>
      <c r="M1849" t="s">
        <v>115</v>
      </c>
      <c r="N1849" t="str">
        <f t="shared" si="168"/>
        <v>PO-101848</v>
      </c>
      <c r="O1849" t="str">
        <f t="shared" si="169"/>
        <v>Delivered</v>
      </c>
      <c r="P1849" t="str">
        <f t="shared" si="170"/>
        <v>WH-BOM</v>
      </c>
      <c r="Q1849" t="str">
        <f>VLOOKUP(C1849, Lookups!$A$2:$D$10, 2, FALSE())</f>
        <v>Peripheral Source</v>
      </c>
      <c r="R1849" t="str">
        <f>_xlfn.XLOOKUP(D1849, Lookups!$A$12:$A$51, Lookups!$C$12:$C$51, "Unknown")</f>
        <v>Peripherals</v>
      </c>
      <c r="S1849" t="str">
        <f>IF(ISBLANK(I1849), B1849+VLOOKUP(C1849, Lookups!$A$2:$D$10, 4, FALSE()), I1849)</f>
        <v>2025-02-07</v>
      </c>
      <c r="T1849">
        <f t="shared" si="171"/>
        <v>13</v>
      </c>
      <c r="U1849" t="str">
        <f t="shared" si="172"/>
        <v>Late</v>
      </c>
      <c r="V1849">
        <f t="shared" si="173"/>
        <v>0</v>
      </c>
    </row>
    <row r="1850" spans="1:22" x14ac:dyDescent="0.45">
      <c r="A1850" t="s">
        <v>2698</v>
      </c>
      <c r="B1850" t="s">
        <v>1615</v>
      </c>
      <c r="C1850" t="s">
        <v>35</v>
      </c>
      <c r="D1850" t="s">
        <v>65</v>
      </c>
      <c r="E1850" t="s">
        <v>15</v>
      </c>
      <c r="F1850">
        <v>210</v>
      </c>
      <c r="G1850">
        <v>4936</v>
      </c>
      <c r="H1850">
        <v>1036560</v>
      </c>
      <c r="I1850" t="s">
        <v>1271</v>
      </c>
      <c r="J1850" t="s">
        <v>556</v>
      </c>
      <c r="K1850">
        <v>210</v>
      </c>
      <c r="L1850">
        <v>22</v>
      </c>
      <c r="M1850" t="s">
        <v>115</v>
      </c>
      <c r="N1850" t="str">
        <f t="shared" si="168"/>
        <v>PO-101849</v>
      </c>
      <c r="O1850" t="str">
        <f t="shared" si="169"/>
        <v>Delivered</v>
      </c>
      <c r="P1850" t="str">
        <f t="shared" si="170"/>
        <v>WH-BOM</v>
      </c>
      <c r="Q1850" t="str">
        <f>VLOOKUP(C1850, Lookups!$A$2:$D$10, 2, FALSE())</f>
        <v>Peripheral Source</v>
      </c>
      <c r="R1850" t="str">
        <f>_xlfn.XLOOKUP(D1850, Lookups!$A$12:$A$51, Lookups!$C$12:$C$51, "Unknown")</f>
        <v>Peripherals</v>
      </c>
      <c r="S1850" t="str">
        <f>IF(ISBLANK(I1850), B1850+VLOOKUP(C1850, Lookups!$A$2:$D$10, 4, FALSE()), I1850)</f>
        <v>2026-08-31</v>
      </c>
      <c r="T1850">
        <f t="shared" si="171"/>
        <v>25</v>
      </c>
      <c r="U1850" t="str">
        <f t="shared" si="172"/>
        <v>Late</v>
      </c>
      <c r="V1850">
        <f t="shared" si="173"/>
        <v>0.10476190476190476</v>
      </c>
    </row>
    <row r="1851" spans="1:22" x14ac:dyDescent="0.45">
      <c r="A1851" t="s">
        <v>2699</v>
      </c>
      <c r="B1851" t="s">
        <v>989</v>
      </c>
      <c r="C1851" t="s">
        <v>34</v>
      </c>
      <c r="D1851" t="s">
        <v>68</v>
      </c>
      <c r="E1851" t="s">
        <v>16</v>
      </c>
      <c r="F1851">
        <v>175</v>
      </c>
      <c r="G1851">
        <v>41405</v>
      </c>
      <c r="H1851">
        <v>7245875</v>
      </c>
      <c r="I1851" t="s">
        <v>372</v>
      </c>
      <c r="J1851" t="s">
        <v>371</v>
      </c>
      <c r="K1851">
        <v>175</v>
      </c>
      <c r="L1851">
        <v>0</v>
      </c>
      <c r="M1851" t="s">
        <v>115</v>
      </c>
      <c r="N1851" t="str">
        <f t="shared" si="168"/>
        <v>PO-101850</v>
      </c>
      <c r="O1851" t="str">
        <f t="shared" si="169"/>
        <v>Delivered</v>
      </c>
      <c r="P1851" t="str">
        <f t="shared" si="170"/>
        <v>WH-DEL</v>
      </c>
      <c r="Q1851" t="str">
        <f>VLOOKUP(C1851, Lookups!$A$2:$D$10, 2, FALSE())</f>
        <v>FastElectronics</v>
      </c>
      <c r="R1851" t="str">
        <f>_xlfn.XLOOKUP(D1851, Lookups!$A$12:$A$51, Lookups!$C$12:$C$51, "Unknown")</f>
        <v>Networking</v>
      </c>
      <c r="S1851" t="str">
        <f>IF(ISBLANK(I1851), B1851+VLOOKUP(C1851, Lookups!$A$2:$D$10, 4, FALSE()), I1851)</f>
        <v>2025-12-01</v>
      </c>
      <c r="T1851">
        <f t="shared" si="171"/>
        <v>19</v>
      </c>
      <c r="U1851" t="str">
        <f t="shared" si="172"/>
        <v>Late</v>
      </c>
      <c r="V1851">
        <f t="shared" si="173"/>
        <v>0</v>
      </c>
    </row>
    <row r="1852" spans="1:22" x14ac:dyDescent="0.45">
      <c r="A1852" t="s">
        <v>2700</v>
      </c>
      <c r="B1852" t="s">
        <v>836</v>
      </c>
      <c r="C1852" t="s">
        <v>31</v>
      </c>
      <c r="D1852" t="s">
        <v>64</v>
      </c>
      <c r="E1852" t="s">
        <v>17</v>
      </c>
      <c r="F1852">
        <v>181</v>
      </c>
      <c r="G1852">
        <v>36295</v>
      </c>
      <c r="H1852">
        <v>6569395</v>
      </c>
      <c r="I1852" t="s">
        <v>709</v>
      </c>
      <c r="J1852" t="s">
        <v>220</v>
      </c>
      <c r="K1852">
        <v>181</v>
      </c>
      <c r="L1852">
        <v>0</v>
      </c>
      <c r="M1852" t="s">
        <v>115</v>
      </c>
      <c r="N1852" t="str">
        <f t="shared" si="168"/>
        <v>PO-101851</v>
      </c>
      <c r="O1852" t="str">
        <f t="shared" si="169"/>
        <v>Delivered</v>
      </c>
      <c r="P1852" t="str">
        <f t="shared" si="170"/>
        <v>WH-BLR</v>
      </c>
      <c r="Q1852" t="str">
        <f>VLOOKUP(C1852, Lookups!$A$2:$D$10, 2, FALSE())</f>
        <v>Global Networks</v>
      </c>
      <c r="R1852" t="str">
        <f>_xlfn.XLOOKUP(D1852, Lookups!$A$12:$A$51, Lookups!$C$12:$C$51, "Unknown")</f>
        <v>Networking</v>
      </c>
      <c r="S1852" t="str">
        <f>IF(ISBLANK(I1852), B1852+VLOOKUP(C1852, Lookups!$A$2:$D$10, 4, FALSE()), I1852)</f>
        <v>2026-01-31</v>
      </c>
      <c r="T1852">
        <f t="shared" si="171"/>
        <v>35</v>
      </c>
      <c r="U1852" t="str">
        <f t="shared" si="172"/>
        <v>Late</v>
      </c>
      <c r="V1852">
        <f t="shared" si="173"/>
        <v>0</v>
      </c>
    </row>
    <row r="1853" spans="1:22" x14ac:dyDescent="0.45">
      <c r="A1853" t="s">
        <v>2701</v>
      </c>
      <c r="B1853" t="s">
        <v>1216</v>
      </c>
      <c r="C1853" t="s">
        <v>34</v>
      </c>
      <c r="D1853" t="s">
        <v>58</v>
      </c>
      <c r="E1853" t="s">
        <v>17</v>
      </c>
      <c r="F1853">
        <v>181</v>
      </c>
      <c r="G1853">
        <v>100302</v>
      </c>
      <c r="H1853">
        <v>18154662</v>
      </c>
      <c r="I1853" t="s">
        <v>935</v>
      </c>
      <c r="J1853" t="s">
        <v>625</v>
      </c>
      <c r="K1853">
        <v>181</v>
      </c>
      <c r="L1853">
        <v>0</v>
      </c>
      <c r="M1853" t="s">
        <v>115</v>
      </c>
      <c r="N1853" t="str">
        <f t="shared" si="168"/>
        <v>PO-101852</v>
      </c>
      <c r="O1853" t="str">
        <f t="shared" si="169"/>
        <v>Delivered</v>
      </c>
      <c r="P1853" t="str">
        <f t="shared" si="170"/>
        <v>WH-BLR</v>
      </c>
      <c r="Q1853" t="str">
        <f>VLOOKUP(C1853, Lookups!$A$2:$D$10, 2, FALSE())</f>
        <v>FastElectronics</v>
      </c>
      <c r="R1853" t="str">
        <f>_xlfn.XLOOKUP(D1853, Lookups!$A$12:$A$51, Lookups!$C$12:$C$51, "Unknown")</f>
        <v>Electronics</v>
      </c>
      <c r="S1853" t="str">
        <f>IF(ISBLANK(I1853), B1853+VLOOKUP(C1853, Lookups!$A$2:$D$10, 4, FALSE()), I1853)</f>
        <v>2026-03-14</v>
      </c>
      <c r="T1853">
        <f t="shared" si="171"/>
        <v>19</v>
      </c>
      <c r="U1853" t="str">
        <f t="shared" si="172"/>
        <v>Late</v>
      </c>
      <c r="V1853">
        <f t="shared" si="173"/>
        <v>0</v>
      </c>
    </row>
    <row r="1854" spans="1:22" x14ac:dyDescent="0.45">
      <c r="A1854" t="s">
        <v>2702</v>
      </c>
      <c r="B1854" t="s">
        <v>478</v>
      </c>
      <c r="C1854" t="s">
        <v>30</v>
      </c>
      <c r="D1854" t="s">
        <v>86</v>
      </c>
      <c r="E1854" t="s">
        <v>17</v>
      </c>
      <c r="F1854">
        <v>227</v>
      </c>
      <c r="G1854">
        <v>74871</v>
      </c>
      <c r="H1854">
        <v>16995717</v>
      </c>
      <c r="I1854" t="s">
        <v>276</v>
      </c>
      <c r="J1854" t="s">
        <v>268</v>
      </c>
      <c r="K1854">
        <v>227</v>
      </c>
      <c r="L1854">
        <v>0</v>
      </c>
      <c r="M1854" t="s">
        <v>115</v>
      </c>
      <c r="N1854" t="str">
        <f t="shared" si="168"/>
        <v>PO-101853</v>
      </c>
      <c r="O1854" t="str">
        <f t="shared" si="169"/>
        <v>Delivered</v>
      </c>
      <c r="P1854" t="str">
        <f t="shared" si="170"/>
        <v>WH-BLR</v>
      </c>
      <c r="Q1854" t="str">
        <f>VLOOKUP(C1854, Lookups!$A$2:$D$10, 2, FALSE())</f>
        <v>TechSupply Corp</v>
      </c>
      <c r="R1854" t="str">
        <f>_xlfn.XLOOKUP(D1854, Lookups!$A$12:$A$51, Lookups!$C$12:$C$51, "Unknown")</f>
        <v>Electronics</v>
      </c>
      <c r="S1854" t="str">
        <f>IF(ISBLANK(I1854), B1854+VLOOKUP(C1854, Lookups!$A$2:$D$10, 4, FALSE()), I1854)</f>
        <v>2025-04-12</v>
      </c>
      <c r="T1854">
        <f t="shared" si="171"/>
        <v>15</v>
      </c>
      <c r="U1854" t="str">
        <f t="shared" si="172"/>
        <v>Late</v>
      </c>
      <c r="V1854">
        <f t="shared" si="173"/>
        <v>0</v>
      </c>
    </row>
    <row r="1855" spans="1:22" x14ac:dyDescent="0.45">
      <c r="A1855" t="s">
        <v>2703</v>
      </c>
      <c r="B1855" t="s">
        <v>1075</v>
      </c>
      <c r="C1855" t="s">
        <v>30</v>
      </c>
      <c r="D1855" t="s">
        <v>86</v>
      </c>
      <c r="E1855" t="s">
        <v>16</v>
      </c>
      <c r="F1855">
        <v>112</v>
      </c>
      <c r="G1855">
        <v>74871</v>
      </c>
      <c r="H1855">
        <v>8385552</v>
      </c>
      <c r="I1855" t="s">
        <v>1597</v>
      </c>
      <c r="J1855" t="s">
        <v>947</v>
      </c>
      <c r="K1855">
        <v>62</v>
      </c>
      <c r="L1855">
        <v>0</v>
      </c>
      <c r="M1855" t="s">
        <v>115</v>
      </c>
      <c r="N1855" t="str">
        <f t="shared" si="168"/>
        <v>PO-101854</v>
      </c>
      <c r="O1855" t="str">
        <f t="shared" si="169"/>
        <v>Delivered</v>
      </c>
      <c r="P1855" t="str">
        <f t="shared" si="170"/>
        <v>WH-DEL</v>
      </c>
      <c r="Q1855" t="str">
        <f>VLOOKUP(C1855, Lookups!$A$2:$D$10, 2, FALSE())</f>
        <v>TechSupply Corp</v>
      </c>
      <c r="R1855" t="str">
        <f>_xlfn.XLOOKUP(D1855, Lookups!$A$12:$A$51, Lookups!$C$12:$C$51, "Unknown")</f>
        <v>Electronics</v>
      </c>
      <c r="S1855" t="str">
        <f>IF(ISBLANK(I1855), B1855+VLOOKUP(C1855, Lookups!$A$2:$D$10, 4, FALSE()), I1855)</f>
        <v>2025-12-05</v>
      </c>
      <c r="T1855">
        <f t="shared" si="171"/>
        <v>15</v>
      </c>
      <c r="U1855" t="str">
        <f t="shared" si="172"/>
        <v>Late</v>
      </c>
      <c r="V1855">
        <f t="shared" si="173"/>
        <v>0</v>
      </c>
    </row>
    <row r="1856" spans="1:22" x14ac:dyDescent="0.45">
      <c r="A1856" t="s">
        <v>2704</v>
      </c>
      <c r="B1856" t="s">
        <v>117</v>
      </c>
      <c r="C1856" t="s">
        <v>33</v>
      </c>
      <c r="D1856" t="s">
        <v>89</v>
      </c>
      <c r="E1856" t="s">
        <v>17</v>
      </c>
      <c r="F1856">
        <v>18</v>
      </c>
      <c r="G1856">
        <v>11309</v>
      </c>
      <c r="H1856">
        <v>203562</v>
      </c>
      <c r="I1856" t="s">
        <v>181</v>
      </c>
      <c r="J1856" t="s">
        <v>1198</v>
      </c>
      <c r="K1856">
        <v>18</v>
      </c>
      <c r="L1856">
        <v>0</v>
      </c>
      <c r="M1856" t="s">
        <v>115</v>
      </c>
      <c r="N1856" t="str">
        <f t="shared" si="168"/>
        <v>PO-101855</v>
      </c>
      <c r="O1856" t="str">
        <f t="shared" si="169"/>
        <v>Delivered</v>
      </c>
      <c r="P1856" t="str">
        <f t="shared" si="170"/>
        <v>WH-BLR</v>
      </c>
      <c r="Q1856" t="str">
        <f>VLOOKUP(C1856, Lookups!$A$2:$D$10, 2, FALSE())</f>
        <v>MegaFurnish</v>
      </c>
      <c r="R1856" t="str">
        <f>_xlfn.XLOOKUP(D1856, Lookups!$A$12:$A$51, Lookups!$C$12:$C$51, "Unknown")</f>
        <v>Office Furniture</v>
      </c>
      <c r="S1856" t="str">
        <f>IF(ISBLANK(I1856), B1856+VLOOKUP(C1856, Lookups!$A$2:$D$10, 4, FALSE()), I1856)</f>
        <v>2026-10-19</v>
      </c>
      <c r="T1856">
        <f t="shared" si="171"/>
        <v>27</v>
      </c>
      <c r="U1856" t="str">
        <f t="shared" si="172"/>
        <v>On-Time</v>
      </c>
      <c r="V1856">
        <f t="shared" si="173"/>
        <v>0</v>
      </c>
    </row>
    <row r="1857" spans="1:22" x14ac:dyDescent="0.45">
      <c r="A1857" t="s">
        <v>2705</v>
      </c>
      <c r="B1857" t="s">
        <v>261</v>
      </c>
      <c r="C1857" t="s">
        <v>33</v>
      </c>
      <c r="D1857" t="s">
        <v>89</v>
      </c>
      <c r="E1857" t="s">
        <v>16</v>
      </c>
      <c r="F1857">
        <v>221</v>
      </c>
      <c r="G1857">
        <v>11309</v>
      </c>
      <c r="H1857">
        <v>2499289</v>
      </c>
      <c r="I1857" t="s">
        <v>220</v>
      </c>
      <c r="J1857" t="s">
        <v>220</v>
      </c>
      <c r="K1857">
        <v>221</v>
      </c>
      <c r="L1857">
        <v>0</v>
      </c>
      <c r="M1857" t="s">
        <v>115</v>
      </c>
      <c r="N1857" t="str">
        <f t="shared" si="168"/>
        <v>PO-101856</v>
      </c>
      <c r="O1857" t="str">
        <f t="shared" si="169"/>
        <v>Delivered</v>
      </c>
      <c r="P1857" t="str">
        <f t="shared" si="170"/>
        <v>WH-DEL</v>
      </c>
      <c r="Q1857" t="str">
        <f>VLOOKUP(C1857, Lookups!$A$2:$D$10, 2, FALSE())</f>
        <v>MegaFurnish</v>
      </c>
      <c r="R1857" t="str">
        <f>_xlfn.XLOOKUP(D1857, Lookups!$A$12:$A$51, Lookups!$C$12:$C$51, "Unknown")</f>
        <v>Office Furniture</v>
      </c>
      <c r="S1857" t="str">
        <f>IF(ISBLANK(I1857), B1857+VLOOKUP(C1857, Lookups!$A$2:$D$10, 4, FALSE()), I1857)</f>
        <v>2026-02-14</v>
      </c>
      <c r="T1857">
        <f t="shared" si="171"/>
        <v>30</v>
      </c>
      <c r="U1857" t="str">
        <f t="shared" si="172"/>
        <v>On-Time</v>
      </c>
      <c r="V1857">
        <f t="shared" si="173"/>
        <v>0</v>
      </c>
    </row>
    <row r="1858" spans="1:22" x14ac:dyDescent="0.45">
      <c r="A1858" t="s">
        <v>2706</v>
      </c>
      <c r="B1858" t="s">
        <v>663</v>
      </c>
      <c r="C1858" t="s">
        <v>34</v>
      </c>
      <c r="D1858" t="s">
        <v>73</v>
      </c>
      <c r="E1858" t="s">
        <v>16</v>
      </c>
      <c r="F1858">
        <v>140</v>
      </c>
      <c r="G1858">
        <v>58396</v>
      </c>
      <c r="H1858">
        <v>8175440</v>
      </c>
      <c r="I1858" t="s">
        <v>1401</v>
      </c>
      <c r="J1858" t="s">
        <v>1318</v>
      </c>
      <c r="K1858">
        <v>133</v>
      </c>
      <c r="L1858">
        <v>0</v>
      </c>
      <c r="M1858" t="s">
        <v>115</v>
      </c>
      <c r="N1858" t="str">
        <f t="shared" ref="N1858:N1921" si="174">TRIM(A1858)</f>
        <v>PO-101857</v>
      </c>
      <c r="O1858" t="str">
        <f t="shared" ref="O1858:O1921" si="175">PROPER(TRIM(M1858))</f>
        <v>Delivered</v>
      </c>
      <c r="P1858" t="str">
        <f t="shared" ref="P1858:P1921" si="176">TRIM(E1858)</f>
        <v>WH-DEL</v>
      </c>
      <c r="Q1858" t="str">
        <f>VLOOKUP(C1858, Lookups!$A$2:$D$10, 2, FALSE())</f>
        <v>FastElectronics</v>
      </c>
      <c r="R1858" t="str">
        <f>_xlfn.XLOOKUP(D1858, Lookups!$A$12:$A$51, Lookups!$C$12:$C$51, "Unknown")</f>
        <v>Electronics</v>
      </c>
      <c r="S1858" t="str">
        <f>IF(ISBLANK(I1858), B1858+VLOOKUP(C1858, Lookups!$A$2:$D$10, 4, FALSE()), I1858)</f>
        <v>2026-10-24</v>
      </c>
      <c r="T1858">
        <f t="shared" ref="T1858:T1921" si="177">IF(ISBLANK(J1858), "", J1858-B1858)</f>
        <v>19</v>
      </c>
      <c r="U1858" t="str">
        <f t="shared" ref="U1858:U1921" si="178">IF(O1858="Open", "Open", IF(J1858&gt;S1858, "Late", "On-Time"))</f>
        <v>Late</v>
      </c>
      <c r="V1858">
        <f t="shared" ref="V1858:V1921" si="179">IF(K1858&gt;0, L1858/K1858, 0)</f>
        <v>0</v>
      </c>
    </row>
    <row r="1859" spans="1:22" x14ac:dyDescent="0.45">
      <c r="A1859" t="s">
        <v>2707</v>
      </c>
      <c r="B1859" t="s">
        <v>724</v>
      </c>
      <c r="C1859" t="s">
        <v>32</v>
      </c>
      <c r="D1859" t="s">
        <v>84</v>
      </c>
      <c r="E1859" t="s">
        <v>15</v>
      </c>
      <c r="F1859">
        <v>159</v>
      </c>
      <c r="G1859">
        <v>7271</v>
      </c>
      <c r="H1859">
        <v>1156089</v>
      </c>
      <c r="I1859" t="s">
        <v>483</v>
      </c>
      <c r="J1859" t="s">
        <v>417</v>
      </c>
      <c r="K1859">
        <v>159</v>
      </c>
      <c r="L1859">
        <v>0</v>
      </c>
      <c r="M1859" t="s">
        <v>115</v>
      </c>
      <c r="N1859" t="str">
        <f t="shared" si="174"/>
        <v>PO-101858</v>
      </c>
      <c r="O1859" t="str">
        <f t="shared" si="175"/>
        <v>Delivered</v>
      </c>
      <c r="P1859" t="str">
        <f t="shared" si="176"/>
        <v>WH-BOM</v>
      </c>
      <c r="Q1859" t="str">
        <f>VLOOKUP(C1859, Lookups!$A$2:$D$10, 2, FALSE())</f>
        <v>OfficeDepot Pro</v>
      </c>
      <c r="R1859" t="str">
        <f>_xlfn.XLOOKUP(D1859, Lookups!$A$12:$A$51, Lookups!$C$12:$C$51, "Unknown")</f>
        <v>Peripherals</v>
      </c>
      <c r="S1859" t="str">
        <f>IF(ISBLANK(I1859), B1859+VLOOKUP(C1859, Lookups!$A$2:$D$10, 4, FALSE()), I1859)</f>
        <v>2026-06-01</v>
      </c>
      <c r="T1859">
        <f t="shared" si="177"/>
        <v>8</v>
      </c>
      <c r="U1859" t="str">
        <f t="shared" si="178"/>
        <v>Late</v>
      </c>
      <c r="V1859">
        <f t="shared" si="179"/>
        <v>0</v>
      </c>
    </row>
    <row r="1860" spans="1:22" x14ac:dyDescent="0.45">
      <c r="A1860" t="s">
        <v>2708</v>
      </c>
      <c r="B1860" t="s">
        <v>988</v>
      </c>
      <c r="C1860" t="s">
        <v>35</v>
      </c>
      <c r="D1860" t="s">
        <v>60</v>
      </c>
      <c r="E1860" t="s">
        <v>17</v>
      </c>
      <c r="F1860">
        <v>56</v>
      </c>
      <c r="G1860">
        <v>3291</v>
      </c>
      <c r="H1860">
        <v>184296</v>
      </c>
      <c r="I1860" t="s">
        <v>1407</v>
      </c>
      <c r="J1860" t="s">
        <v>890</v>
      </c>
      <c r="K1860">
        <v>56</v>
      </c>
      <c r="L1860">
        <v>0</v>
      </c>
      <c r="M1860" t="s">
        <v>115</v>
      </c>
      <c r="N1860" t="str">
        <f t="shared" si="174"/>
        <v>PO-101859</v>
      </c>
      <c r="O1860" t="str">
        <f t="shared" si="175"/>
        <v>Delivered</v>
      </c>
      <c r="P1860" t="str">
        <f t="shared" si="176"/>
        <v>WH-BLR</v>
      </c>
      <c r="Q1860" t="str">
        <f>VLOOKUP(C1860, Lookups!$A$2:$D$10, 2, FALSE())</f>
        <v>Peripheral Source</v>
      </c>
      <c r="R1860" t="str">
        <f>_xlfn.XLOOKUP(D1860, Lookups!$A$12:$A$51, Lookups!$C$12:$C$51, "Unknown")</f>
        <v>Peripherals</v>
      </c>
      <c r="S1860" t="str">
        <f>IF(ISBLANK(I1860), B1860+VLOOKUP(C1860, Lookups!$A$2:$D$10, 4, FALSE()), I1860)</f>
        <v>2025-11-08</v>
      </c>
      <c r="T1860">
        <f t="shared" si="177"/>
        <v>11</v>
      </c>
      <c r="U1860" t="str">
        <f t="shared" si="178"/>
        <v>Late</v>
      </c>
      <c r="V1860">
        <f t="shared" si="179"/>
        <v>0</v>
      </c>
    </row>
    <row r="1861" spans="1:22" x14ac:dyDescent="0.45">
      <c r="A1861" t="s">
        <v>2709</v>
      </c>
      <c r="B1861" t="s">
        <v>642</v>
      </c>
      <c r="C1861" t="s">
        <v>37</v>
      </c>
      <c r="D1861" t="s">
        <v>69</v>
      </c>
      <c r="E1861" t="s">
        <v>18</v>
      </c>
      <c r="F1861">
        <v>77</v>
      </c>
      <c r="G1861">
        <v>13231</v>
      </c>
      <c r="H1861">
        <v>1018787</v>
      </c>
      <c r="I1861" t="s">
        <v>898</v>
      </c>
      <c r="J1861" t="s">
        <v>898</v>
      </c>
      <c r="K1861">
        <v>65</v>
      </c>
      <c r="L1861">
        <v>0</v>
      </c>
      <c r="M1861" t="s">
        <v>115</v>
      </c>
      <c r="N1861" t="str">
        <f t="shared" si="174"/>
        <v>PO-101860</v>
      </c>
      <c r="O1861" t="str">
        <f t="shared" si="175"/>
        <v>Delivered</v>
      </c>
      <c r="P1861" t="str">
        <f t="shared" si="176"/>
        <v>WH-PUN</v>
      </c>
      <c r="Q1861" t="str">
        <f>VLOOKUP(C1861, Lookups!$A$2:$D$10, 2, FALSE())</f>
        <v>Premium Desks Ltd</v>
      </c>
      <c r="R1861" t="str">
        <f>_xlfn.XLOOKUP(D1861, Lookups!$A$12:$A$51, Lookups!$C$12:$C$51, "Unknown")</f>
        <v>Office Furniture</v>
      </c>
      <c r="S1861" t="str">
        <f>IF(ISBLANK(I1861), B1861+VLOOKUP(C1861, Lookups!$A$2:$D$10, 4, FALSE()), I1861)</f>
        <v>2025-11-01</v>
      </c>
      <c r="T1861">
        <f t="shared" si="177"/>
        <v>12</v>
      </c>
      <c r="U1861" t="str">
        <f t="shared" si="178"/>
        <v>On-Time</v>
      </c>
      <c r="V1861">
        <f t="shared" si="179"/>
        <v>0</v>
      </c>
    </row>
    <row r="1862" spans="1:22" x14ac:dyDescent="0.45">
      <c r="A1862" t="s">
        <v>2710</v>
      </c>
      <c r="B1862" t="s">
        <v>565</v>
      </c>
      <c r="C1862" t="s">
        <v>36</v>
      </c>
      <c r="D1862" t="s">
        <v>55</v>
      </c>
      <c r="E1862" t="s">
        <v>18</v>
      </c>
      <c r="F1862">
        <v>12</v>
      </c>
      <c r="G1862">
        <v>58434</v>
      </c>
      <c r="H1862">
        <v>701208</v>
      </c>
      <c r="I1862" t="s">
        <v>300</v>
      </c>
      <c r="J1862" t="s">
        <v>300</v>
      </c>
      <c r="K1862">
        <v>12</v>
      </c>
      <c r="L1862">
        <v>0</v>
      </c>
      <c r="M1862" t="s">
        <v>115</v>
      </c>
      <c r="N1862" t="str">
        <f t="shared" si="174"/>
        <v>PO-101861</v>
      </c>
      <c r="O1862" t="str">
        <f t="shared" si="175"/>
        <v>Delivered</v>
      </c>
      <c r="P1862" t="str">
        <f t="shared" si="176"/>
        <v>WH-PUN</v>
      </c>
      <c r="Q1862" t="str">
        <f>VLOOKUP(C1862, Lookups!$A$2:$D$10, 2, FALSE())</f>
        <v>NextGen Hardware</v>
      </c>
      <c r="R1862" t="str">
        <f>_xlfn.XLOOKUP(D1862, Lookups!$A$12:$A$51, Lookups!$C$12:$C$51, "Unknown")</f>
        <v>Electronics</v>
      </c>
      <c r="S1862" t="str">
        <f>IF(ISBLANK(I1862), B1862+VLOOKUP(C1862, Lookups!$A$2:$D$10, 4, FALSE()), I1862)</f>
        <v>2025-03-20</v>
      </c>
      <c r="T1862">
        <f t="shared" si="177"/>
        <v>24</v>
      </c>
      <c r="U1862" t="str">
        <f t="shared" si="178"/>
        <v>On-Time</v>
      </c>
      <c r="V1862">
        <f t="shared" si="179"/>
        <v>0</v>
      </c>
    </row>
    <row r="1863" spans="1:22" x14ac:dyDescent="0.45">
      <c r="A1863" t="s">
        <v>2711</v>
      </c>
      <c r="B1863" t="s">
        <v>1019</v>
      </c>
      <c r="C1863" t="s">
        <v>34</v>
      </c>
      <c r="D1863" t="s">
        <v>81</v>
      </c>
      <c r="E1863" t="s">
        <v>326</v>
      </c>
      <c r="F1863">
        <v>216</v>
      </c>
      <c r="G1863">
        <v>55328</v>
      </c>
      <c r="H1863">
        <v>11950848</v>
      </c>
      <c r="I1863" t="s">
        <v>1593</v>
      </c>
      <c r="J1863" t="s">
        <v>1593</v>
      </c>
      <c r="K1863">
        <v>216</v>
      </c>
      <c r="L1863">
        <v>0</v>
      </c>
      <c r="M1863" t="s">
        <v>115</v>
      </c>
      <c r="N1863" t="str">
        <f t="shared" si="174"/>
        <v>PO-101862</v>
      </c>
      <c r="O1863" t="str">
        <f t="shared" si="175"/>
        <v>Delivered</v>
      </c>
      <c r="P1863" t="str">
        <f t="shared" si="176"/>
        <v>WH-BLR</v>
      </c>
      <c r="Q1863" t="str">
        <f>VLOOKUP(C1863, Lookups!$A$2:$D$10, 2, FALSE())</f>
        <v>FastElectronics</v>
      </c>
      <c r="R1863" t="str">
        <f>_xlfn.XLOOKUP(D1863, Lookups!$A$12:$A$51, Lookups!$C$12:$C$51, "Unknown")</f>
        <v>Electronics</v>
      </c>
      <c r="S1863" t="str">
        <f>IF(ISBLANK(I1863), B1863+VLOOKUP(C1863, Lookups!$A$2:$D$10, 4, FALSE()), I1863)</f>
        <v>2025-05-27</v>
      </c>
      <c r="T1863">
        <f t="shared" si="177"/>
        <v>18</v>
      </c>
      <c r="U1863" t="str">
        <f t="shared" si="178"/>
        <v>On-Time</v>
      </c>
      <c r="V1863">
        <f t="shared" si="179"/>
        <v>0</v>
      </c>
    </row>
    <row r="1864" spans="1:22" x14ac:dyDescent="0.45">
      <c r="A1864" t="s">
        <v>2712</v>
      </c>
      <c r="B1864" t="s">
        <v>1562</v>
      </c>
      <c r="C1864" t="s">
        <v>34</v>
      </c>
      <c r="D1864" t="s">
        <v>74</v>
      </c>
      <c r="E1864" t="s">
        <v>17</v>
      </c>
      <c r="F1864">
        <v>177</v>
      </c>
      <c r="G1864">
        <v>94797</v>
      </c>
      <c r="H1864">
        <v>16779069</v>
      </c>
      <c r="I1864" t="s">
        <v>683</v>
      </c>
      <c r="J1864" t="s">
        <v>683</v>
      </c>
      <c r="K1864">
        <v>177</v>
      </c>
      <c r="L1864">
        <v>0</v>
      </c>
      <c r="M1864" t="s">
        <v>115</v>
      </c>
      <c r="N1864" t="str">
        <f t="shared" si="174"/>
        <v>PO-101863</v>
      </c>
      <c r="O1864" t="str">
        <f t="shared" si="175"/>
        <v>Delivered</v>
      </c>
      <c r="P1864" t="str">
        <f t="shared" si="176"/>
        <v>WH-BLR</v>
      </c>
      <c r="Q1864" t="str">
        <f>VLOOKUP(C1864, Lookups!$A$2:$D$10, 2, FALSE())</f>
        <v>FastElectronics</v>
      </c>
      <c r="R1864" t="str">
        <f>_xlfn.XLOOKUP(D1864, Lookups!$A$12:$A$51, Lookups!$C$12:$C$51, "Unknown")</f>
        <v>Electronics</v>
      </c>
      <c r="S1864" t="str">
        <f>IF(ISBLANK(I1864), B1864+VLOOKUP(C1864, Lookups!$A$2:$D$10, 4, FALSE()), I1864)</f>
        <v>2026-08-17</v>
      </c>
      <c r="T1864">
        <f t="shared" si="177"/>
        <v>18</v>
      </c>
      <c r="U1864" t="str">
        <f t="shared" si="178"/>
        <v>On-Time</v>
      </c>
      <c r="V1864">
        <f t="shared" si="179"/>
        <v>0</v>
      </c>
    </row>
    <row r="1865" spans="1:22" x14ac:dyDescent="0.45">
      <c r="A1865" t="s">
        <v>2713</v>
      </c>
      <c r="B1865" t="s">
        <v>466</v>
      </c>
      <c r="C1865" t="s">
        <v>34</v>
      </c>
      <c r="D1865" t="s">
        <v>68</v>
      </c>
      <c r="E1865" t="s">
        <v>15</v>
      </c>
      <c r="F1865">
        <v>129</v>
      </c>
      <c r="G1865">
        <v>41405</v>
      </c>
      <c r="H1865">
        <v>5341245</v>
      </c>
      <c r="I1865" t="s">
        <v>564</v>
      </c>
      <c r="J1865" t="s">
        <v>633</v>
      </c>
      <c r="K1865">
        <v>129</v>
      </c>
      <c r="L1865">
        <v>0</v>
      </c>
      <c r="M1865" t="s">
        <v>115</v>
      </c>
      <c r="N1865" t="str">
        <f t="shared" si="174"/>
        <v>PO-101864</v>
      </c>
      <c r="O1865" t="str">
        <f t="shared" si="175"/>
        <v>Delivered</v>
      </c>
      <c r="P1865" t="str">
        <f t="shared" si="176"/>
        <v>WH-BOM</v>
      </c>
      <c r="Q1865" t="str">
        <f>VLOOKUP(C1865, Lookups!$A$2:$D$10, 2, FALSE())</f>
        <v>FastElectronics</v>
      </c>
      <c r="R1865" t="str">
        <f>_xlfn.XLOOKUP(D1865, Lookups!$A$12:$A$51, Lookups!$C$12:$C$51, "Unknown")</f>
        <v>Networking</v>
      </c>
      <c r="S1865" t="str">
        <f>IF(ISBLANK(I1865), B1865+VLOOKUP(C1865, Lookups!$A$2:$D$10, 4, FALSE()), I1865)</f>
        <v>2025-02-10</v>
      </c>
      <c r="T1865">
        <f t="shared" si="177"/>
        <v>25</v>
      </c>
      <c r="U1865" t="str">
        <f t="shared" si="178"/>
        <v>Late</v>
      </c>
      <c r="V1865">
        <f t="shared" si="179"/>
        <v>0</v>
      </c>
    </row>
    <row r="1866" spans="1:22" x14ac:dyDescent="0.45">
      <c r="A1866" t="s">
        <v>2714</v>
      </c>
      <c r="B1866" t="s">
        <v>585</v>
      </c>
      <c r="C1866" t="s">
        <v>36</v>
      </c>
      <c r="D1866" t="s">
        <v>90</v>
      </c>
      <c r="E1866" t="s">
        <v>18</v>
      </c>
      <c r="F1866">
        <v>21</v>
      </c>
      <c r="G1866">
        <v>81434</v>
      </c>
      <c r="H1866">
        <v>1710114</v>
      </c>
      <c r="I1866" t="s">
        <v>1070</v>
      </c>
      <c r="J1866" t="s">
        <v>1236</v>
      </c>
      <c r="K1866">
        <v>19</v>
      </c>
      <c r="L1866">
        <v>0</v>
      </c>
      <c r="M1866" t="s">
        <v>115</v>
      </c>
      <c r="N1866" t="str">
        <f t="shared" si="174"/>
        <v>PO-101865</v>
      </c>
      <c r="O1866" t="str">
        <f t="shared" si="175"/>
        <v>Delivered</v>
      </c>
      <c r="P1866" t="str">
        <f t="shared" si="176"/>
        <v>WH-PUN</v>
      </c>
      <c r="Q1866" t="str">
        <f>VLOOKUP(C1866, Lookups!$A$2:$D$10, 2, FALSE())</f>
        <v>NextGen Hardware</v>
      </c>
      <c r="R1866" t="str">
        <f>_xlfn.XLOOKUP(D1866, Lookups!$A$12:$A$51, Lookups!$C$12:$C$51, "Unknown")</f>
        <v>Electronics</v>
      </c>
      <c r="S1866" t="str">
        <f>IF(ISBLANK(I1866), B1866+VLOOKUP(C1866, Lookups!$A$2:$D$10, 4, FALSE()), I1866)</f>
        <v>2025-08-15</v>
      </c>
      <c r="T1866">
        <f t="shared" si="177"/>
        <v>32</v>
      </c>
      <c r="U1866" t="str">
        <f t="shared" si="178"/>
        <v>Late</v>
      </c>
      <c r="V1866">
        <f t="shared" si="179"/>
        <v>0</v>
      </c>
    </row>
    <row r="1867" spans="1:22" x14ac:dyDescent="0.45">
      <c r="A1867" t="s">
        <v>2715</v>
      </c>
      <c r="B1867" t="s">
        <v>171</v>
      </c>
      <c r="C1867" t="s">
        <v>30</v>
      </c>
      <c r="D1867" t="s">
        <v>61</v>
      </c>
      <c r="E1867" t="s">
        <v>17</v>
      </c>
      <c r="F1867">
        <v>129</v>
      </c>
      <c r="G1867">
        <v>111237</v>
      </c>
      <c r="H1867">
        <v>14349573</v>
      </c>
      <c r="I1867" t="s">
        <v>274</v>
      </c>
      <c r="J1867" t="s">
        <v>728</v>
      </c>
      <c r="K1867">
        <v>129</v>
      </c>
      <c r="L1867">
        <v>0</v>
      </c>
      <c r="M1867" t="s">
        <v>115</v>
      </c>
      <c r="N1867" t="str">
        <f t="shared" si="174"/>
        <v>PO-101866</v>
      </c>
      <c r="O1867" t="str">
        <f t="shared" si="175"/>
        <v>Delivered</v>
      </c>
      <c r="P1867" t="str">
        <f t="shared" si="176"/>
        <v>WH-BLR</v>
      </c>
      <c r="Q1867" t="str">
        <f>VLOOKUP(C1867, Lookups!$A$2:$D$10, 2, FALSE())</f>
        <v>TechSupply Corp</v>
      </c>
      <c r="R1867" t="str">
        <f>_xlfn.XLOOKUP(D1867, Lookups!$A$12:$A$51, Lookups!$C$12:$C$51, "Unknown")</f>
        <v>Electronics</v>
      </c>
      <c r="S1867" t="str">
        <f>IF(ISBLANK(I1867), B1867+VLOOKUP(C1867, Lookups!$A$2:$D$10, 4, FALSE()), I1867)</f>
        <v>2025-08-30</v>
      </c>
      <c r="T1867">
        <f t="shared" si="177"/>
        <v>25</v>
      </c>
      <c r="U1867" t="str">
        <f t="shared" si="178"/>
        <v>Late</v>
      </c>
      <c r="V1867">
        <f t="shared" si="179"/>
        <v>0</v>
      </c>
    </row>
    <row r="1868" spans="1:22" x14ac:dyDescent="0.45">
      <c r="A1868" t="s">
        <v>2716</v>
      </c>
      <c r="B1868" t="s">
        <v>775</v>
      </c>
      <c r="C1868" t="s">
        <v>34</v>
      </c>
      <c r="D1868" t="s">
        <v>58</v>
      </c>
      <c r="E1868" t="s">
        <v>18</v>
      </c>
      <c r="F1868">
        <v>85</v>
      </c>
      <c r="G1868">
        <v>100302</v>
      </c>
      <c r="H1868">
        <v>8525670</v>
      </c>
      <c r="I1868" t="s">
        <v>2554</v>
      </c>
      <c r="J1868" t="s">
        <v>720</v>
      </c>
      <c r="K1868">
        <v>85</v>
      </c>
      <c r="L1868">
        <v>0</v>
      </c>
      <c r="M1868" t="s">
        <v>115</v>
      </c>
      <c r="N1868" t="str">
        <f t="shared" si="174"/>
        <v>PO-101867</v>
      </c>
      <c r="O1868" t="str">
        <f t="shared" si="175"/>
        <v>Delivered</v>
      </c>
      <c r="P1868" t="str">
        <f t="shared" si="176"/>
        <v>WH-PUN</v>
      </c>
      <c r="Q1868" t="str">
        <f>VLOOKUP(C1868, Lookups!$A$2:$D$10, 2, FALSE())</f>
        <v>FastElectronics</v>
      </c>
      <c r="R1868" t="str">
        <f>_xlfn.XLOOKUP(D1868, Lookups!$A$12:$A$51, Lookups!$C$12:$C$51, "Unknown")</f>
        <v>Electronics</v>
      </c>
      <c r="S1868" t="str">
        <f>IF(ISBLANK(I1868), B1868+VLOOKUP(C1868, Lookups!$A$2:$D$10, 4, FALSE()), I1868)</f>
        <v>2026-01-23</v>
      </c>
      <c r="T1868">
        <f t="shared" si="177"/>
        <v>17</v>
      </c>
      <c r="U1868" t="str">
        <f t="shared" si="178"/>
        <v>On-Time</v>
      </c>
      <c r="V1868">
        <f t="shared" si="179"/>
        <v>0</v>
      </c>
    </row>
    <row r="1869" spans="1:22" x14ac:dyDescent="0.45">
      <c r="A1869" t="s">
        <v>2717</v>
      </c>
      <c r="B1869" t="s">
        <v>851</v>
      </c>
      <c r="C1869" t="s">
        <v>36</v>
      </c>
      <c r="D1869" t="s">
        <v>55</v>
      </c>
      <c r="E1869" t="s">
        <v>16</v>
      </c>
      <c r="F1869">
        <v>201</v>
      </c>
      <c r="G1869">
        <v>58434</v>
      </c>
      <c r="H1869">
        <v>11745234</v>
      </c>
      <c r="I1869" t="s">
        <v>873</v>
      </c>
      <c r="J1869" t="s">
        <v>617</v>
      </c>
      <c r="K1869">
        <v>201</v>
      </c>
      <c r="L1869">
        <v>0</v>
      </c>
      <c r="M1869" t="s">
        <v>115</v>
      </c>
      <c r="N1869" t="str">
        <f t="shared" si="174"/>
        <v>PO-101868</v>
      </c>
      <c r="O1869" t="str">
        <f t="shared" si="175"/>
        <v>Delivered</v>
      </c>
      <c r="P1869" t="str">
        <f t="shared" si="176"/>
        <v>WH-DEL</v>
      </c>
      <c r="Q1869" t="str">
        <f>VLOOKUP(C1869, Lookups!$A$2:$D$10, 2, FALSE())</f>
        <v>NextGen Hardware</v>
      </c>
      <c r="R1869" t="str">
        <f>_xlfn.XLOOKUP(D1869, Lookups!$A$12:$A$51, Lookups!$C$12:$C$51, "Unknown")</f>
        <v>Electronics</v>
      </c>
      <c r="S1869" t="str">
        <f>IF(ISBLANK(I1869), B1869+VLOOKUP(C1869, Lookups!$A$2:$D$10, 4, FALSE()), I1869)</f>
        <v>2026-02-09</v>
      </c>
      <c r="T1869">
        <f t="shared" si="177"/>
        <v>25</v>
      </c>
      <c r="U1869" t="str">
        <f t="shared" si="178"/>
        <v>Late</v>
      </c>
      <c r="V1869">
        <f t="shared" si="179"/>
        <v>0</v>
      </c>
    </row>
    <row r="1870" spans="1:22" x14ac:dyDescent="0.45">
      <c r="A1870" t="s">
        <v>2718</v>
      </c>
      <c r="B1870" t="s">
        <v>413</v>
      </c>
      <c r="C1870" t="s">
        <v>31</v>
      </c>
      <c r="D1870" t="s">
        <v>85</v>
      </c>
      <c r="E1870" t="s">
        <v>17</v>
      </c>
      <c r="F1870">
        <v>78</v>
      </c>
      <c r="G1870">
        <v>16501</v>
      </c>
      <c r="H1870">
        <v>1287078</v>
      </c>
      <c r="I1870" t="s">
        <v>510</v>
      </c>
      <c r="J1870" t="s">
        <v>631</v>
      </c>
      <c r="K1870">
        <v>78</v>
      </c>
      <c r="L1870">
        <v>0</v>
      </c>
      <c r="M1870" t="s">
        <v>115</v>
      </c>
      <c r="N1870" t="str">
        <f t="shared" si="174"/>
        <v>PO-101869</v>
      </c>
      <c r="O1870" t="str">
        <f t="shared" si="175"/>
        <v>Delivered</v>
      </c>
      <c r="P1870" t="str">
        <f t="shared" si="176"/>
        <v>WH-BLR</v>
      </c>
      <c r="Q1870" t="str">
        <f>VLOOKUP(C1870, Lookups!$A$2:$D$10, 2, FALSE())</f>
        <v>Global Networks</v>
      </c>
      <c r="R1870" t="str">
        <f>_xlfn.XLOOKUP(D1870, Lookups!$A$12:$A$51, Lookups!$C$12:$C$51, "Unknown")</f>
        <v>Networking</v>
      </c>
      <c r="S1870" t="str">
        <f>IF(ISBLANK(I1870), B1870+VLOOKUP(C1870, Lookups!$A$2:$D$10, 4, FALSE()), I1870)</f>
        <v>2026-06-26</v>
      </c>
      <c r="T1870">
        <f t="shared" si="177"/>
        <v>22</v>
      </c>
      <c r="U1870" t="str">
        <f t="shared" si="178"/>
        <v>Late</v>
      </c>
      <c r="V1870">
        <f t="shared" si="179"/>
        <v>0</v>
      </c>
    </row>
    <row r="1871" spans="1:22" x14ac:dyDescent="0.45">
      <c r="A1871" t="s">
        <v>2719</v>
      </c>
      <c r="B1871" t="s">
        <v>877</v>
      </c>
      <c r="C1871" t="s">
        <v>32</v>
      </c>
      <c r="D1871" t="s">
        <v>67</v>
      </c>
      <c r="E1871" t="s">
        <v>18</v>
      </c>
      <c r="F1871">
        <v>33</v>
      </c>
      <c r="G1871">
        <v>1553</v>
      </c>
      <c r="H1871">
        <v>51249</v>
      </c>
      <c r="K1871">
        <v>0</v>
      </c>
      <c r="L1871">
        <v>0</v>
      </c>
      <c r="M1871" t="s">
        <v>297</v>
      </c>
      <c r="N1871" t="str">
        <f t="shared" si="174"/>
        <v>PO-101870</v>
      </c>
      <c r="O1871" t="str">
        <f t="shared" si="175"/>
        <v>Open</v>
      </c>
      <c r="P1871" t="str">
        <f t="shared" si="176"/>
        <v>WH-PUN</v>
      </c>
      <c r="Q1871" t="str">
        <f>VLOOKUP(C1871, Lookups!$A$2:$D$10, 2, FALSE())</f>
        <v>OfficeDepot Pro</v>
      </c>
      <c r="R1871" t="str">
        <f>_xlfn.XLOOKUP(D1871, Lookups!$A$12:$A$51, Lookups!$C$12:$C$51, "Unknown")</f>
        <v>Peripherals</v>
      </c>
      <c r="S1871">
        <f>IF(ISBLANK(I1871), B1871+VLOOKUP(C1871, Lookups!$A$2:$D$10, 4, FALSE()), I1871)</f>
        <v>46367</v>
      </c>
      <c r="T1871" t="str">
        <f t="shared" si="177"/>
        <v/>
      </c>
      <c r="U1871" t="str">
        <f t="shared" si="178"/>
        <v>Open</v>
      </c>
      <c r="V1871">
        <f t="shared" si="179"/>
        <v>0</v>
      </c>
    </row>
    <row r="1872" spans="1:22" x14ac:dyDescent="0.45">
      <c r="A1872" t="s">
        <v>2720</v>
      </c>
      <c r="B1872" t="s">
        <v>729</v>
      </c>
      <c r="C1872" t="s">
        <v>30</v>
      </c>
      <c r="D1872" t="s">
        <v>88</v>
      </c>
      <c r="E1872" t="s">
        <v>532</v>
      </c>
      <c r="F1872">
        <v>195</v>
      </c>
      <c r="G1872">
        <v>75512</v>
      </c>
      <c r="H1872">
        <v>14724840</v>
      </c>
      <c r="I1872" t="s">
        <v>332</v>
      </c>
      <c r="J1872" t="s">
        <v>2110</v>
      </c>
      <c r="K1872">
        <v>195</v>
      </c>
      <c r="L1872">
        <v>0</v>
      </c>
      <c r="M1872" t="s">
        <v>115</v>
      </c>
      <c r="N1872" t="str">
        <f t="shared" si="174"/>
        <v>PO-101871</v>
      </c>
      <c r="O1872" t="str">
        <f t="shared" si="175"/>
        <v>Delivered</v>
      </c>
      <c r="P1872" t="str">
        <f t="shared" si="176"/>
        <v>WH-PUN</v>
      </c>
      <c r="Q1872" t="str">
        <f>VLOOKUP(C1872, Lookups!$A$2:$D$10, 2, FALSE())</f>
        <v>TechSupply Corp</v>
      </c>
      <c r="R1872" t="str">
        <f>_xlfn.XLOOKUP(D1872, Lookups!$A$12:$A$51, Lookups!$C$12:$C$51, "Unknown")</f>
        <v>Electronics</v>
      </c>
      <c r="S1872" t="str">
        <f>IF(ISBLANK(I1872), B1872+VLOOKUP(C1872, Lookups!$A$2:$D$10, 4, FALSE()), I1872)</f>
        <v>2025-10-12</v>
      </c>
      <c r="T1872">
        <f t="shared" si="177"/>
        <v>15</v>
      </c>
      <c r="U1872" t="str">
        <f t="shared" si="178"/>
        <v>Late</v>
      </c>
      <c r="V1872">
        <f t="shared" si="179"/>
        <v>0</v>
      </c>
    </row>
    <row r="1873" spans="1:22" x14ac:dyDescent="0.45">
      <c r="A1873" t="s">
        <v>2721</v>
      </c>
      <c r="B1873" t="s">
        <v>579</v>
      </c>
      <c r="C1873" t="s">
        <v>35</v>
      </c>
      <c r="D1873" t="s">
        <v>91</v>
      </c>
      <c r="E1873" t="s">
        <v>17</v>
      </c>
      <c r="F1873">
        <v>225</v>
      </c>
      <c r="G1873">
        <v>6707</v>
      </c>
      <c r="H1873">
        <v>1509075</v>
      </c>
      <c r="I1873" t="s">
        <v>548</v>
      </c>
      <c r="J1873" t="s">
        <v>548</v>
      </c>
      <c r="K1873">
        <v>225</v>
      </c>
      <c r="L1873">
        <v>0</v>
      </c>
      <c r="M1873" t="s">
        <v>115</v>
      </c>
      <c r="N1873" t="str">
        <f t="shared" si="174"/>
        <v>PO-101872</v>
      </c>
      <c r="O1873" t="str">
        <f t="shared" si="175"/>
        <v>Delivered</v>
      </c>
      <c r="P1873" t="str">
        <f t="shared" si="176"/>
        <v>WH-BLR</v>
      </c>
      <c r="Q1873" t="str">
        <f>VLOOKUP(C1873, Lookups!$A$2:$D$10, 2, FALSE())</f>
        <v>Peripheral Source</v>
      </c>
      <c r="R1873" t="str">
        <f>_xlfn.XLOOKUP(D1873, Lookups!$A$12:$A$51, Lookups!$C$12:$C$51, "Unknown")</f>
        <v>Peripherals</v>
      </c>
      <c r="S1873" t="str">
        <f>IF(ISBLANK(I1873), B1873+VLOOKUP(C1873, Lookups!$A$2:$D$10, 4, FALSE()), I1873)</f>
        <v>2026-01-08</v>
      </c>
      <c r="T1873">
        <f t="shared" si="177"/>
        <v>10</v>
      </c>
      <c r="U1873" t="str">
        <f t="shared" si="178"/>
        <v>On-Time</v>
      </c>
      <c r="V1873">
        <f t="shared" si="179"/>
        <v>0</v>
      </c>
    </row>
    <row r="1874" spans="1:22" x14ac:dyDescent="0.45">
      <c r="A1874" t="s">
        <v>2722</v>
      </c>
      <c r="B1874" t="s">
        <v>1082</v>
      </c>
      <c r="C1874" t="s">
        <v>37</v>
      </c>
      <c r="D1874" t="s">
        <v>83</v>
      </c>
      <c r="E1874" t="s">
        <v>17</v>
      </c>
      <c r="F1874">
        <v>184</v>
      </c>
      <c r="G1874">
        <v>19850</v>
      </c>
      <c r="H1874">
        <v>3652400</v>
      </c>
      <c r="I1874" t="s">
        <v>353</v>
      </c>
      <c r="J1874" t="s">
        <v>353</v>
      </c>
      <c r="K1874">
        <v>184</v>
      </c>
      <c r="L1874">
        <v>0</v>
      </c>
      <c r="M1874" t="s">
        <v>115</v>
      </c>
      <c r="N1874" t="str">
        <f t="shared" si="174"/>
        <v>PO-101873</v>
      </c>
      <c r="O1874" t="str">
        <f t="shared" si="175"/>
        <v>Delivered</v>
      </c>
      <c r="P1874" t="str">
        <f t="shared" si="176"/>
        <v>WH-BLR</v>
      </c>
      <c r="Q1874" t="str">
        <f>VLOOKUP(C1874, Lookups!$A$2:$D$10, 2, FALSE())</f>
        <v>Premium Desks Ltd</v>
      </c>
      <c r="R1874" t="str">
        <f>_xlfn.XLOOKUP(D1874, Lookups!$A$12:$A$51, Lookups!$C$12:$C$51, "Unknown")</f>
        <v>Office Furniture</v>
      </c>
      <c r="S1874" t="str">
        <f>IF(ISBLANK(I1874), B1874+VLOOKUP(C1874, Lookups!$A$2:$D$10, 4, FALSE()), I1874)</f>
        <v>2025-05-04</v>
      </c>
      <c r="T1874">
        <f t="shared" si="177"/>
        <v>12</v>
      </c>
      <c r="U1874" t="str">
        <f t="shared" si="178"/>
        <v>On-Time</v>
      </c>
      <c r="V1874">
        <f t="shared" si="179"/>
        <v>0</v>
      </c>
    </row>
    <row r="1875" spans="1:22" x14ac:dyDescent="0.45">
      <c r="A1875" t="s">
        <v>2723</v>
      </c>
      <c r="B1875" t="s">
        <v>1236</v>
      </c>
      <c r="C1875" t="s">
        <v>35</v>
      </c>
      <c r="D1875" t="s">
        <v>60</v>
      </c>
      <c r="E1875" t="s">
        <v>16</v>
      </c>
      <c r="F1875">
        <v>248</v>
      </c>
      <c r="G1875">
        <v>3291</v>
      </c>
      <c r="H1875">
        <v>816168</v>
      </c>
      <c r="I1875" t="s">
        <v>1673</v>
      </c>
      <c r="J1875" t="s">
        <v>1673</v>
      </c>
      <c r="K1875">
        <v>248</v>
      </c>
      <c r="L1875">
        <v>0</v>
      </c>
      <c r="M1875" t="s">
        <v>115</v>
      </c>
      <c r="N1875" t="str">
        <f t="shared" si="174"/>
        <v>PO-101874</v>
      </c>
      <c r="O1875" t="str">
        <f t="shared" si="175"/>
        <v>Delivered</v>
      </c>
      <c r="P1875" t="str">
        <f t="shared" si="176"/>
        <v>WH-DEL</v>
      </c>
      <c r="Q1875" t="str">
        <f>VLOOKUP(C1875, Lookups!$A$2:$D$10, 2, FALSE())</f>
        <v>Peripheral Source</v>
      </c>
      <c r="R1875" t="str">
        <f>_xlfn.XLOOKUP(D1875, Lookups!$A$12:$A$51, Lookups!$C$12:$C$51, "Unknown")</f>
        <v>Peripherals</v>
      </c>
      <c r="S1875" t="str">
        <f>IF(ISBLANK(I1875), B1875+VLOOKUP(C1875, Lookups!$A$2:$D$10, 4, FALSE()), I1875)</f>
        <v>2025-09-02</v>
      </c>
      <c r="T1875">
        <f t="shared" si="177"/>
        <v>10</v>
      </c>
      <c r="U1875" t="str">
        <f t="shared" si="178"/>
        <v>On-Time</v>
      </c>
      <c r="V1875">
        <f t="shared" si="179"/>
        <v>0</v>
      </c>
    </row>
    <row r="1876" spans="1:22" x14ac:dyDescent="0.45">
      <c r="A1876" t="s">
        <v>2724</v>
      </c>
      <c r="B1876" t="s">
        <v>1068</v>
      </c>
      <c r="C1876" t="s">
        <v>31</v>
      </c>
      <c r="D1876" t="s">
        <v>77</v>
      </c>
      <c r="E1876" t="s">
        <v>16</v>
      </c>
      <c r="F1876">
        <v>131</v>
      </c>
      <c r="G1876">
        <v>23667</v>
      </c>
      <c r="H1876">
        <v>3100377</v>
      </c>
      <c r="I1876" t="s">
        <v>1236</v>
      </c>
      <c r="J1876" t="s">
        <v>1104</v>
      </c>
      <c r="K1876">
        <v>131</v>
      </c>
      <c r="L1876">
        <v>0</v>
      </c>
      <c r="M1876" t="s">
        <v>115</v>
      </c>
      <c r="N1876" t="str">
        <f t="shared" si="174"/>
        <v>PO-101875</v>
      </c>
      <c r="O1876" t="str">
        <f t="shared" si="175"/>
        <v>Delivered</v>
      </c>
      <c r="P1876" t="str">
        <f t="shared" si="176"/>
        <v>WH-DEL</v>
      </c>
      <c r="Q1876" t="str">
        <f>VLOOKUP(C1876, Lookups!$A$2:$D$10, 2, FALSE())</f>
        <v>Global Networks</v>
      </c>
      <c r="R1876" t="str">
        <f>_xlfn.XLOOKUP(D1876, Lookups!$A$12:$A$51, Lookups!$C$12:$C$51, "Unknown")</f>
        <v>Networking</v>
      </c>
      <c r="S1876" t="str">
        <f>IF(ISBLANK(I1876), B1876+VLOOKUP(C1876, Lookups!$A$2:$D$10, 4, FALSE()), I1876)</f>
        <v>2025-08-23</v>
      </c>
      <c r="T1876">
        <f t="shared" si="177"/>
        <v>22</v>
      </c>
      <c r="U1876" t="str">
        <f t="shared" si="178"/>
        <v>Late</v>
      </c>
      <c r="V1876">
        <f t="shared" si="179"/>
        <v>0</v>
      </c>
    </row>
    <row r="1877" spans="1:22" x14ac:dyDescent="0.45">
      <c r="A1877" t="s">
        <v>2725</v>
      </c>
      <c r="B1877" t="s">
        <v>1544</v>
      </c>
      <c r="C1877" t="s">
        <v>37</v>
      </c>
      <c r="D1877" t="s">
        <v>69</v>
      </c>
      <c r="E1877" t="s">
        <v>15</v>
      </c>
      <c r="F1877">
        <v>81</v>
      </c>
      <c r="G1877">
        <v>13231</v>
      </c>
      <c r="H1877">
        <v>1071711</v>
      </c>
      <c r="I1877" t="s">
        <v>438</v>
      </c>
      <c r="J1877" t="s">
        <v>265</v>
      </c>
      <c r="K1877">
        <v>81</v>
      </c>
      <c r="L1877">
        <v>0</v>
      </c>
      <c r="M1877" t="s">
        <v>115</v>
      </c>
      <c r="N1877" t="str">
        <f t="shared" si="174"/>
        <v>PO-101876</v>
      </c>
      <c r="O1877" t="str">
        <f t="shared" si="175"/>
        <v>Delivered</v>
      </c>
      <c r="P1877" t="str">
        <f t="shared" si="176"/>
        <v>WH-BOM</v>
      </c>
      <c r="Q1877" t="str">
        <f>VLOOKUP(C1877, Lookups!$A$2:$D$10, 2, FALSE())</f>
        <v>Premium Desks Ltd</v>
      </c>
      <c r="R1877" t="str">
        <f>_xlfn.XLOOKUP(D1877, Lookups!$A$12:$A$51, Lookups!$C$12:$C$51, "Unknown")</f>
        <v>Office Furniture</v>
      </c>
      <c r="S1877" t="str">
        <f>IF(ISBLANK(I1877), B1877+VLOOKUP(C1877, Lookups!$A$2:$D$10, 4, FALSE()), I1877)</f>
        <v>2025-02-13</v>
      </c>
      <c r="T1877">
        <f t="shared" si="177"/>
        <v>13</v>
      </c>
      <c r="U1877" t="str">
        <f t="shared" si="178"/>
        <v>Late</v>
      </c>
      <c r="V1877">
        <f t="shared" si="179"/>
        <v>0</v>
      </c>
    </row>
    <row r="1878" spans="1:22" x14ac:dyDescent="0.45">
      <c r="A1878" t="s">
        <v>2726</v>
      </c>
      <c r="B1878" t="s">
        <v>516</v>
      </c>
      <c r="C1878" t="s">
        <v>36</v>
      </c>
      <c r="D1878" t="s">
        <v>62</v>
      </c>
      <c r="E1878" t="s">
        <v>18</v>
      </c>
      <c r="F1878">
        <v>69</v>
      </c>
      <c r="G1878">
        <v>48478</v>
      </c>
      <c r="H1878">
        <v>3344982</v>
      </c>
      <c r="I1878" t="s">
        <v>1377</v>
      </c>
      <c r="J1878" t="s">
        <v>1377</v>
      </c>
      <c r="K1878">
        <v>69</v>
      </c>
      <c r="L1878">
        <v>0</v>
      </c>
      <c r="M1878" t="s">
        <v>115</v>
      </c>
      <c r="N1878" t="str">
        <f t="shared" si="174"/>
        <v>PO-101877</v>
      </c>
      <c r="O1878" t="str">
        <f t="shared" si="175"/>
        <v>Delivered</v>
      </c>
      <c r="P1878" t="str">
        <f t="shared" si="176"/>
        <v>WH-PUN</v>
      </c>
      <c r="Q1878" t="str">
        <f>VLOOKUP(C1878, Lookups!$A$2:$D$10, 2, FALSE())</f>
        <v>NextGen Hardware</v>
      </c>
      <c r="R1878" t="str">
        <f>_xlfn.XLOOKUP(D1878, Lookups!$A$12:$A$51, Lookups!$C$12:$C$51, "Unknown")</f>
        <v>Electronics</v>
      </c>
      <c r="S1878" t="str">
        <f>IF(ISBLANK(I1878), B1878+VLOOKUP(C1878, Lookups!$A$2:$D$10, 4, FALSE()), I1878)</f>
        <v>2025-04-17</v>
      </c>
      <c r="T1878">
        <f t="shared" si="177"/>
        <v>24</v>
      </c>
      <c r="U1878" t="str">
        <f t="shared" si="178"/>
        <v>On-Time</v>
      </c>
      <c r="V1878">
        <f t="shared" si="179"/>
        <v>0</v>
      </c>
    </row>
    <row r="1879" spans="1:22" x14ac:dyDescent="0.45">
      <c r="A1879" t="s">
        <v>2727</v>
      </c>
      <c r="B1879" t="s">
        <v>168</v>
      </c>
      <c r="C1879" t="s">
        <v>35</v>
      </c>
      <c r="D1879" t="s">
        <v>60</v>
      </c>
      <c r="E1879" t="s">
        <v>16</v>
      </c>
      <c r="F1879">
        <v>19</v>
      </c>
      <c r="G1879">
        <v>3291</v>
      </c>
      <c r="H1879">
        <v>62529</v>
      </c>
      <c r="I1879" t="s">
        <v>525</v>
      </c>
      <c r="J1879" t="s">
        <v>1281</v>
      </c>
      <c r="K1879">
        <v>19</v>
      </c>
      <c r="L1879">
        <v>0</v>
      </c>
      <c r="M1879" t="s">
        <v>115</v>
      </c>
      <c r="N1879" t="str">
        <f t="shared" si="174"/>
        <v>PO-101878</v>
      </c>
      <c r="O1879" t="str">
        <f t="shared" si="175"/>
        <v>Delivered</v>
      </c>
      <c r="P1879" t="str">
        <f t="shared" si="176"/>
        <v>WH-DEL</v>
      </c>
      <c r="Q1879" t="str">
        <f>VLOOKUP(C1879, Lookups!$A$2:$D$10, 2, FALSE())</f>
        <v>Peripheral Source</v>
      </c>
      <c r="R1879" t="str">
        <f>_xlfn.XLOOKUP(D1879, Lookups!$A$12:$A$51, Lookups!$C$12:$C$51, "Unknown")</f>
        <v>Peripherals</v>
      </c>
      <c r="S1879" t="str">
        <f>IF(ISBLANK(I1879), B1879+VLOOKUP(C1879, Lookups!$A$2:$D$10, 4, FALSE()), I1879)</f>
        <v>2025-05-30</v>
      </c>
      <c r="T1879">
        <f t="shared" si="177"/>
        <v>11</v>
      </c>
      <c r="U1879" t="str">
        <f t="shared" si="178"/>
        <v>Late</v>
      </c>
      <c r="V1879">
        <f t="shared" si="179"/>
        <v>0</v>
      </c>
    </row>
    <row r="1880" spans="1:22" x14ac:dyDescent="0.45">
      <c r="A1880" t="s">
        <v>2728</v>
      </c>
      <c r="B1880" t="s">
        <v>772</v>
      </c>
      <c r="C1880" t="s">
        <v>36</v>
      </c>
      <c r="D1880" t="s">
        <v>62</v>
      </c>
      <c r="E1880" t="s">
        <v>16</v>
      </c>
      <c r="F1880">
        <v>123</v>
      </c>
      <c r="G1880">
        <v>48478</v>
      </c>
      <c r="H1880">
        <v>5962794</v>
      </c>
      <c r="I1880" t="s">
        <v>1080</v>
      </c>
      <c r="J1880" t="s">
        <v>708</v>
      </c>
      <c r="K1880">
        <v>123</v>
      </c>
      <c r="L1880">
        <v>0</v>
      </c>
      <c r="M1880" t="s">
        <v>115</v>
      </c>
      <c r="N1880" t="str">
        <f t="shared" si="174"/>
        <v>PO-101879</v>
      </c>
      <c r="O1880" t="str">
        <f t="shared" si="175"/>
        <v>Delivered</v>
      </c>
      <c r="P1880" t="str">
        <f t="shared" si="176"/>
        <v>WH-DEL</v>
      </c>
      <c r="Q1880" t="str">
        <f>VLOOKUP(C1880, Lookups!$A$2:$D$10, 2, FALSE())</f>
        <v>NextGen Hardware</v>
      </c>
      <c r="R1880" t="str">
        <f>_xlfn.XLOOKUP(D1880, Lookups!$A$12:$A$51, Lookups!$C$12:$C$51, "Unknown")</f>
        <v>Electronics</v>
      </c>
      <c r="S1880" t="str">
        <f>IF(ISBLANK(I1880), B1880+VLOOKUP(C1880, Lookups!$A$2:$D$10, 4, FALSE()), I1880)</f>
        <v>2026-01-25</v>
      </c>
      <c r="T1880">
        <f t="shared" si="177"/>
        <v>25</v>
      </c>
      <c r="U1880" t="str">
        <f t="shared" si="178"/>
        <v>Late</v>
      </c>
      <c r="V1880">
        <f t="shared" si="179"/>
        <v>0</v>
      </c>
    </row>
    <row r="1881" spans="1:22" x14ac:dyDescent="0.45">
      <c r="A1881" t="s">
        <v>2729</v>
      </c>
      <c r="B1881" t="s">
        <v>792</v>
      </c>
      <c r="C1881" t="s">
        <v>35</v>
      </c>
      <c r="D1881" t="s">
        <v>65</v>
      </c>
      <c r="E1881" t="s">
        <v>16</v>
      </c>
      <c r="F1881">
        <v>91</v>
      </c>
      <c r="G1881">
        <v>4936</v>
      </c>
      <c r="H1881">
        <v>449176</v>
      </c>
      <c r="I1881" t="s">
        <v>491</v>
      </c>
      <c r="J1881" t="s">
        <v>491</v>
      </c>
      <c r="K1881">
        <v>91</v>
      </c>
      <c r="L1881">
        <v>0</v>
      </c>
      <c r="M1881" t="s">
        <v>115</v>
      </c>
      <c r="N1881" t="str">
        <f t="shared" si="174"/>
        <v>PO-101880</v>
      </c>
      <c r="O1881" t="str">
        <f t="shared" si="175"/>
        <v>Delivered</v>
      </c>
      <c r="P1881" t="str">
        <f t="shared" si="176"/>
        <v>WH-DEL</v>
      </c>
      <c r="Q1881" t="str">
        <f>VLOOKUP(C1881, Lookups!$A$2:$D$10, 2, FALSE())</f>
        <v>Peripheral Source</v>
      </c>
      <c r="R1881" t="str">
        <f>_xlfn.XLOOKUP(D1881, Lookups!$A$12:$A$51, Lookups!$C$12:$C$51, "Unknown")</f>
        <v>Peripherals</v>
      </c>
      <c r="S1881" t="str">
        <f>IF(ISBLANK(I1881), B1881+VLOOKUP(C1881, Lookups!$A$2:$D$10, 4, FALSE()), I1881)</f>
        <v>2025-07-16</v>
      </c>
      <c r="T1881">
        <f t="shared" si="177"/>
        <v>10</v>
      </c>
      <c r="U1881" t="str">
        <f t="shared" si="178"/>
        <v>On-Time</v>
      </c>
      <c r="V1881">
        <f t="shared" si="179"/>
        <v>0</v>
      </c>
    </row>
    <row r="1882" spans="1:22" x14ac:dyDescent="0.45">
      <c r="A1882" t="s">
        <v>2730</v>
      </c>
      <c r="B1882" t="s">
        <v>1041</v>
      </c>
      <c r="C1882" t="s">
        <v>34</v>
      </c>
      <c r="D1882" t="s">
        <v>81</v>
      </c>
      <c r="E1882" t="s">
        <v>16</v>
      </c>
      <c r="F1882">
        <v>197</v>
      </c>
      <c r="G1882">
        <v>55328</v>
      </c>
      <c r="H1882">
        <v>10899616</v>
      </c>
      <c r="I1882" t="s">
        <v>986</v>
      </c>
      <c r="J1882" t="s">
        <v>158</v>
      </c>
      <c r="K1882">
        <v>197</v>
      </c>
      <c r="L1882">
        <v>0</v>
      </c>
      <c r="M1882" t="s">
        <v>115</v>
      </c>
      <c r="N1882" t="str">
        <f t="shared" si="174"/>
        <v>PO-101881</v>
      </c>
      <c r="O1882" t="str">
        <f t="shared" si="175"/>
        <v>Delivered</v>
      </c>
      <c r="P1882" t="str">
        <f t="shared" si="176"/>
        <v>WH-DEL</v>
      </c>
      <c r="Q1882" t="str">
        <f>VLOOKUP(C1882, Lookups!$A$2:$D$10, 2, FALSE())</f>
        <v>FastElectronics</v>
      </c>
      <c r="R1882" t="str">
        <f>_xlfn.XLOOKUP(D1882, Lookups!$A$12:$A$51, Lookups!$C$12:$C$51, "Unknown")</f>
        <v>Electronics</v>
      </c>
      <c r="S1882" t="str">
        <f>IF(ISBLANK(I1882), B1882+VLOOKUP(C1882, Lookups!$A$2:$D$10, 4, FALSE()), I1882)</f>
        <v>2026-11-04</v>
      </c>
      <c r="T1882">
        <f t="shared" si="177"/>
        <v>19</v>
      </c>
      <c r="U1882" t="str">
        <f t="shared" si="178"/>
        <v>Late</v>
      </c>
      <c r="V1882">
        <f t="shared" si="179"/>
        <v>0</v>
      </c>
    </row>
    <row r="1883" spans="1:22" x14ac:dyDescent="0.45">
      <c r="A1883" t="s">
        <v>2731</v>
      </c>
      <c r="B1883" t="s">
        <v>576</v>
      </c>
      <c r="C1883" t="s">
        <v>33</v>
      </c>
      <c r="D1883" t="s">
        <v>89</v>
      </c>
      <c r="E1883" t="s">
        <v>16</v>
      </c>
      <c r="F1883">
        <v>30</v>
      </c>
      <c r="G1883">
        <v>11309</v>
      </c>
      <c r="H1883">
        <v>339270</v>
      </c>
      <c r="I1883" t="s">
        <v>323</v>
      </c>
      <c r="J1883" t="s">
        <v>338</v>
      </c>
      <c r="K1883">
        <v>30</v>
      </c>
      <c r="L1883">
        <v>4</v>
      </c>
      <c r="M1883" t="s">
        <v>115</v>
      </c>
      <c r="N1883" t="str">
        <f t="shared" si="174"/>
        <v>PO-101882</v>
      </c>
      <c r="O1883" t="str">
        <f t="shared" si="175"/>
        <v>Delivered</v>
      </c>
      <c r="P1883" t="str">
        <f t="shared" si="176"/>
        <v>WH-DEL</v>
      </c>
      <c r="Q1883" t="str">
        <f>VLOOKUP(C1883, Lookups!$A$2:$D$10, 2, FALSE())</f>
        <v>MegaFurnish</v>
      </c>
      <c r="R1883" t="str">
        <f>_xlfn.XLOOKUP(D1883, Lookups!$A$12:$A$51, Lookups!$C$12:$C$51, "Unknown")</f>
        <v>Office Furniture</v>
      </c>
      <c r="S1883" t="str">
        <f>IF(ISBLANK(I1883), B1883+VLOOKUP(C1883, Lookups!$A$2:$D$10, 4, FALSE()), I1883)</f>
        <v>2026-04-04</v>
      </c>
      <c r="T1883">
        <f t="shared" si="177"/>
        <v>31</v>
      </c>
      <c r="U1883" t="str">
        <f t="shared" si="178"/>
        <v>Late</v>
      </c>
      <c r="V1883">
        <f t="shared" si="179"/>
        <v>0.13333333333333333</v>
      </c>
    </row>
    <row r="1884" spans="1:22" x14ac:dyDescent="0.45">
      <c r="A1884" t="s">
        <v>2732</v>
      </c>
      <c r="B1884" t="s">
        <v>2080</v>
      </c>
      <c r="C1884" t="s">
        <v>37</v>
      </c>
      <c r="D1884" t="s">
        <v>83</v>
      </c>
      <c r="E1884" t="s">
        <v>18</v>
      </c>
      <c r="F1884">
        <v>203</v>
      </c>
      <c r="G1884">
        <v>19850</v>
      </c>
      <c r="H1884">
        <v>4029550</v>
      </c>
      <c r="I1884" t="s">
        <v>1209</v>
      </c>
      <c r="J1884" t="s">
        <v>940</v>
      </c>
      <c r="K1884">
        <v>203</v>
      </c>
      <c r="L1884">
        <v>0</v>
      </c>
      <c r="M1884" t="s">
        <v>115</v>
      </c>
      <c r="N1884" t="str">
        <f t="shared" si="174"/>
        <v>PO-101883</v>
      </c>
      <c r="O1884" t="str">
        <f t="shared" si="175"/>
        <v>Delivered</v>
      </c>
      <c r="P1884" t="str">
        <f t="shared" si="176"/>
        <v>WH-PUN</v>
      </c>
      <c r="Q1884" t="str">
        <f>VLOOKUP(C1884, Lookups!$A$2:$D$10, 2, FALSE())</f>
        <v>Premium Desks Ltd</v>
      </c>
      <c r="R1884" t="str">
        <f>_xlfn.XLOOKUP(D1884, Lookups!$A$12:$A$51, Lookups!$C$12:$C$51, "Unknown")</f>
        <v>Office Furniture</v>
      </c>
      <c r="S1884" t="str">
        <f>IF(ISBLANK(I1884), B1884+VLOOKUP(C1884, Lookups!$A$2:$D$10, 4, FALSE()), I1884)</f>
        <v>2025-01-14</v>
      </c>
      <c r="T1884">
        <f t="shared" si="177"/>
        <v>18</v>
      </c>
      <c r="U1884" t="str">
        <f t="shared" si="178"/>
        <v>Late</v>
      </c>
      <c r="V1884">
        <f t="shared" si="179"/>
        <v>0</v>
      </c>
    </row>
    <row r="1885" spans="1:22" x14ac:dyDescent="0.45">
      <c r="A1885" t="s">
        <v>2733</v>
      </c>
      <c r="B1885" t="s">
        <v>593</v>
      </c>
      <c r="C1885" t="s">
        <v>31</v>
      </c>
      <c r="D1885" t="s">
        <v>85</v>
      </c>
      <c r="E1885" t="s">
        <v>18</v>
      </c>
      <c r="F1885">
        <v>234</v>
      </c>
      <c r="G1885">
        <v>16501</v>
      </c>
      <c r="H1885">
        <v>3861234</v>
      </c>
      <c r="I1885" t="s">
        <v>785</v>
      </c>
      <c r="J1885" t="s">
        <v>153</v>
      </c>
      <c r="K1885">
        <v>234</v>
      </c>
      <c r="L1885">
        <v>0</v>
      </c>
      <c r="M1885" t="s">
        <v>115</v>
      </c>
      <c r="N1885" t="str">
        <f t="shared" si="174"/>
        <v>PO-101884</v>
      </c>
      <c r="O1885" t="str">
        <f t="shared" si="175"/>
        <v>Delivered</v>
      </c>
      <c r="P1885" t="str">
        <f t="shared" si="176"/>
        <v>WH-PUN</v>
      </c>
      <c r="Q1885" t="str">
        <f>VLOOKUP(C1885, Lookups!$A$2:$D$10, 2, FALSE())</f>
        <v>Global Networks</v>
      </c>
      <c r="R1885" t="str">
        <f>_xlfn.XLOOKUP(D1885, Lookups!$A$12:$A$51, Lookups!$C$12:$C$51, "Unknown")</f>
        <v>Networking</v>
      </c>
      <c r="S1885" t="str">
        <f>IF(ISBLANK(I1885), B1885+VLOOKUP(C1885, Lookups!$A$2:$D$10, 4, FALSE()), I1885)</f>
        <v>2025-10-06</v>
      </c>
      <c r="T1885">
        <f t="shared" si="177"/>
        <v>22</v>
      </c>
      <c r="U1885" t="str">
        <f t="shared" si="178"/>
        <v>Late</v>
      </c>
      <c r="V1885">
        <f t="shared" si="179"/>
        <v>0</v>
      </c>
    </row>
    <row r="1886" spans="1:22" x14ac:dyDescent="0.45">
      <c r="A1886" t="s">
        <v>2734</v>
      </c>
      <c r="B1886" t="s">
        <v>448</v>
      </c>
      <c r="C1886" t="s">
        <v>35</v>
      </c>
      <c r="D1886" t="s">
        <v>65</v>
      </c>
      <c r="E1886" t="s">
        <v>18</v>
      </c>
      <c r="F1886">
        <v>27</v>
      </c>
      <c r="G1886">
        <v>4936</v>
      </c>
      <c r="H1886">
        <v>133272</v>
      </c>
      <c r="I1886" t="s">
        <v>1430</v>
      </c>
      <c r="J1886" t="s">
        <v>579</v>
      </c>
      <c r="K1886">
        <v>27</v>
      </c>
      <c r="L1886">
        <v>0</v>
      </c>
      <c r="M1886" t="s">
        <v>115</v>
      </c>
      <c r="N1886" t="str">
        <f t="shared" si="174"/>
        <v>PO-101885</v>
      </c>
      <c r="O1886" t="str">
        <f t="shared" si="175"/>
        <v>Delivered</v>
      </c>
      <c r="P1886" t="str">
        <f t="shared" si="176"/>
        <v>WH-PUN</v>
      </c>
      <c r="Q1886" t="str">
        <f>VLOOKUP(C1886, Lookups!$A$2:$D$10, 2, FALSE())</f>
        <v>Peripheral Source</v>
      </c>
      <c r="R1886" t="str">
        <f>_xlfn.XLOOKUP(D1886, Lookups!$A$12:$A$51, Lookups!$C$12:$C$51, "Unknown")</f>
        <v>Peripherals</v>
      </c>
      <c r="S1886" t="str">
        <f>IF(ISBLANK(I1886), B1886+VLOOKUP(C1886, Lookups!$A$2:$D$10, 4, FALSE()), I1886)</f>
        <v>2025-12-28</v>
      </c>
      <c r="T1886">
        <f t="shared" si="177"/>
        <v>11</v>
      </c>
      <c r="U1886" t="str">
        <f t="shared" si="178"/>
        <v>Late</v>
      </c>
      <c r="V1886">
        <f t="shared" si="179"/>
        <v>0</v>
      </c>
    </row>
    <row r="1887" spans="1:22" x14ac:dyDescent="0.45">
      <c r="A1887" t="s">
        <v>2735</v>
      </c>
      <c r="B1887" t="s">
        <v>763</v>
      </c>
      <c r="C1887" t="s">
        <v>34</v>
      </c>
      <c r="D1887" t="s">
        <v>74</v>
      </c>
      <c r="E1887" t="s">
        <v>16</v>
      </c>
      <c r="F1887">
        <v>11</v>
      </c>
      <c r="G1887">
        <v>94797</v>
      </c>
      <c r="H1887">
        <v>1042767</v>
      </c>
      <c r="I1887" t="s">
        <v>265</v>
      </c>
      <c r="J1887" t="s">
        <v>265</v>
      </c>
      <c r="K1887">
        <v>8</v>
      </c>
      <c r="L1887">
        <v>0</v>
      </c>
      <c r="M1887" t="s">
        <v>115</v>
      </c>
      <c r="N1887" t="str">
        <f t="shared" si="174"/>
        <v>PO-101886</v>
      </c>
      <c r="O1887" t="str">
        <f t="shared" si="175"/>
        <v>Delivered</v>
      </c>
      <c r="P1887" t="str">
        <f t="shared" si="176"/>
        <v>WH-DEL</v>
      </c>
      <c r="Q1887" t="str">
        <f>VLOOKUP(C1887, Lookups!$A$2:$D$10, 2, FALSE())</f>
        <v>FastElectronics</v>
      </c>
      <c r="R1887" t="str">
        <f>_xlfn.XLOOKUP(D1887, Lookups!$A$12:$A$51, Lookups!$C$12:$C$51, "Unknown")</f>
        <v>Electronics</v>
      </c>
      <c r="S1887" t="str">
        <f>IF(ISBLANK(I1887), B1887+VLOOKUP(C1887, Lookups!$A$2:$D$10, 4, FALSE()), I1887)</f>
        <v>2025-02-14</v>
      </c>
      <c r="T1887">
        <f t="shared" si="177"/>
        <v>18</v>
      </c>
      <c r="U1887" t="str">
        <f t="shared" si="178"/>
        <v>On-Time</v>
      </c>
      <c r="V1887">
        <f t="shared" si="179"/>
        <v>0</v>
      </c>
    </row>
    <row r="1888" spans="1:22" x14ac:dyDescent="0.45">
      <c r="A1888" t="s">
        <v>2736</v>
      </c>
      <c r="B1888" t="s">
        <v>671</v>
      </c>
      <c r="C1888" t="s">
        <v>30</v>
      </c>
      <c r="D1888" t="s">
        <v>88</v>
      </c>
      <c r="E1888" t="s">
        <v>17</v>
      </c>
      <c r="F1888">
        <v>23</v>
      </c>
      <c r="G1888">
        <v>75512</v>
      </c>
      <c r="H1888">
        <v>1736776</v>
      </c>
      <c r="I1888" t="s">
        <v>811</v>
      </c>
      <c r="J1888" t="s">
        <v>811</v>
      </c>
      <c r="K1888">
        <v>23</v>
      </c>
      <c r="L1888">
        <v>0</v>
      </c>
      <c r="M1888" t="s">
        <v>115</v>
      </c>
      <c r="N1888" t="str">
        <f t="shared" si="174"/>
        <v>PO-101887</v>
      </c>
      <c r="O1888" t="str">
        <f t="shared" si="175"/>
        <v>Delivered</v>
      </c>
      <c r="P1888" t="str">
        <f t="shared" si="176"/>
        <v>WH-BLR</v>
      </c>
      <c r="Q1888" t="str">
        <f>VLOOKUP(C1888, Lookups!$A$2:$D$10, 2, FALSE())</f>
        <v>TechSupply Corp</v>
      </c>
      <c r="R1888" t="str">
        <f>_xlfn.XLOOKUP(D1888, Lookups!$A$12:$A$51, Lookups!$C$12:$C$51, "Unknown")</f>
        <v>Electronics</v>
      </c>
      <c r="S1888" t="str">
        <f>IF(ISBLANK(I1888), B1888+VLOOKUP(C1888, Lookups!$A$2:$D$10, 4, FALSE()), I1888)</f>
        <v>2026-11-27</v>
      </c>
      <c r="T1888">
        <f t="shared" si="177"/>
        <v>14</v>
      </c>
      <c r="U1888" t="str">
        <f t="shared" si="178"/>
        <v>On-Time</v>
      </c>
      <c r="V1888">
        <f t="shared" si="179"/>
        <v>0</v>
      </c>
    </row>
    <row r="1889" spans="1:22" x14ac:dyDescent="0.45">
      <c r="A1889" t="s">
        <v>2737</v>
      </c>
      <c r="B1889" t="s">
        <v>995</v>
      </c>
      <c r="C1889" t="s">
        <v>34</v>
      </c>
      <c r="D1889" t="s">
        <v>58</v>
      </c>
      <c r="E1889" t="s">
        <v>16</v>
      </c>
      <c r="F1889">
        <v>166</v>
      </c>
      <c r="G1889">
        <v>100302</v>
      </c>
      <c r="H1889">
        <v>16650132</v>
      </c>
      <c r="I1889" t="s">
        <v>568</v>
      </c>
      <c r="J1889" t="s">
        <v>568</v>
      </c>
      <c r="K1889">
        <v>166</v>
      </c>
      <c r="L1889">
        <v>0</v>
      </c>
      <c r="M1889" t="s">
        <v>115</v>
      </c>
      <c r="N1889" t="str">
        <f t="shared" si="174"/>
        <v>PO-101888</v>
      </c>
      <c r="O1889" t="str">
        <f t="shared" si="175"/>
        <v>Delivered</v>
      </c>
      <c r="P1889" t="str">
        <f t="shared" si="176"/>
        <v>WH-DEL</v>
      </c>
      <c r="Q1889" t="str">
        <f>VLOOKUP(C1889, Lookups!$A$2:$D$10, 2, FALSE())</f>
        <v>FastElectronics</v>
      </c>
      <c r="R1889" t="str">
        <f>_xlfn.XLOOKUP(D1889, Lookups!$A$12:$A$51, Lookups!$C$12:$C$51, "Unknown")</f>
        <v>Electronics</v>
      </c>
      <c r="S1889" t="str">
        <f>IF(ISBLANK(I1889), B1889+VLOOKUP(C1889, Lookups!$A$2:$D$10, 4, FALSE()), I1889)</f>
        <v>2025-09-09</v>
      </c>
      <c r="T1889">
        <f t="shared" si="177"/>
        <v>18</v>
      </c>
      <c r="U1889" t="str">
        <f t="shared" si="178"/>
        <v>On-Time</v>
      </c>
      <c r="V1889">
        <f t="shared" si="179"/>
        <v>0</v>
      </c>
    </row>
    <row r="1890" spans="1:22" x14ac:dyDescent="0.45">
      <c r="A1890" t="s">
        <v>2738</v>
      </c>
      <c r="B1890" t="s">
        <v>478</v>
      </c>
      <c r="C1890" t="s">
        <v>36</v>
      </c>
      <c r="D1890" t="s">
        <v>71</v>
      </c>
      <c r="E1890" t="s">
        <v>17</v>
      </c>
      <c r="F1890">
        <v>23</v>
      </c>
      <c r="G1890">
        <v>65379</v>
      </c>
      <c r="H1890">
        <v>1503717</v>
      </c>
      <c r="I1890" t="s">
        <v>1082</v>
      </c>
      <c r="J1890" t="s">
        <v>1082</v>
      </c>
      <c r="K1890">
        <v>23</v>
      </c>
      <c r="L1890">
        <v>0</v>
      </c>
      <c r="M1890" t="s">
        <v>115</v>
      </c>
      <c r="N1890" t="str">
        <f t="shared" si="174"/>
        <v>PO-101889</v>
      </c>
      <c r="O1890" t="str">
        <f t="shared" si="175"/>
        <v>Delivered</v>
      </c>
      <c r="P1890" t="str">
        <f t="shared" si="176"/>
        <v>WH-BLR</v>
      </c>
      <c r="Q1890" t="str">
        <f>VLOOKUP(C1890, Lookups!$A$2:$D$10, 2, FALSE())</f>
        <v>NextGen Hardware</v>
      </c>
      <c r="R1890" t="str">
        <f>_xlfn.XLOOKUP(D1890, Lookups!$A$12:$A$51, Lookups!$C$12:$C$51, "Unknown")</f>
        <v>Electronics</v>
      </c>
      <c r="S1890" t="str">
        <f>IF(ISBLANK(I1890), B1890+VLOOKUP(C1890, Lookups!$A$2:$D$10, 4, FALSE()), I1890)</f>
        <v>2025-04-22</v>
      </c>
      <c r="T1890">
        <f t="shared" si="177"/>
        <v>24</v>
      </c>
      <c r="U1890" t="str">
        <f t="shared" si="178"/>
        <v>On-Time</v>
      </c>
      <c r="V1890">
        <f t="shared" si="179"/>
        <v>0</v>
      </c>
    </row>
    <row r="1891" spans="1:22" x14ac:dyDescent="0.45">
      <c r="A1891" t="s">
        <v>2739</v>
      </c>
      <c r="B1891" t="s">
        <v>1079</v>
      </c>
      <c r="C1891" t="s">
        <v>36</v>
      </c>
      <c r="D1891" t="s">
        <v>90</v>
      </c>
      <c r="E1891" t="s">
        <v>15</v>
      </c>
      <c r="F1891">
        <v>144</v>
      </c>
      <c r="G1891">
        <v>81434</v>
      </c>
      <c r="H1891">
        <v>11726496</v>
      </c>
      <c r="I1891" t="s">
        <v>718</v>
      </c>
      <c r="J1891" t="s">
        <v>1285</v>
      </c>
      <c r="K1891">
        <v>144</v>
      </c>
      <c r="L1891">
        <v>2</v>
      </c>
      <c r="M1891" t="s">
        <v>115</v>
      </c>
      <c r="N1891" t="str">
        <f t="shared" si="174"/>
        <v>PO-101890</v>
      </c>
      <c r="O1891" t="str">
        <f t="shared" si="175"/>
        <v>Delivered</v>
      </c>
      <c r="P1891" t="str">
        <f t="shared" si="176"/>
        <v>WH-BOM</v>
      </c>
      <c r="Q1891" t="str">
        <f>VLOOKUP(C1891, Lookups!$A$2:$D$10, 2, FALSE())</f>
        <v>NextGen Hardware</v>
      </c>
      <c r="R1891" t="str">
        <f>_xlfn.XLOOKUP(D1891, Lookups!$A$12:$A$51, Lookups!$C$12:$C$51, "Unknown")</f>
        <v>Electronics</v>
      </c>
      <c r="S1891" t="str">
        <f>IF(ISBLANK(I1891), B1891+VLOOKUP(C1891, Lookups!$A$2:$D$10, 4, FALSE()), I1891)</f>
        <v>2026-02-11</v>
      </c>
      <c r="T1891">
        <f t="shared" si="177"/>
        <v>34</v>
      </c>
      <c r="U1891" t="str">
        <f t="shared" si="178"/>
        <v>Late</v>
      </c>
      <c r="V1891">
        <f t="shared" si="179"/>
        <v>1.3888888888888888E-2</v>
      </c>
    </row>
    <row r="1892" spans="1:22" x14ac:dyDescent="0.45">
      <c r="A1892" t="s">
        <v>2740</v>
      </c>
      <c r="B1892" t="s">
        <v>688</v>
      </c>
      <c r="C1892" t="s">
        <v>30</v>
      </c>
      <c r="D1892" t="s">
        <v>61</v>
      </c>
      <c r="E1892" t="s">
        <v>16</v>
      </c>
      <c r="F1892">
        <v>17</v>
      </c>
      <c r="G1892">
        <v>111237</v>
      </c>
      <c r="H1892">
        <v>1891029</v>
      </c>
      <c r="I1892" t="s">
        <v>1780</v>
      </c>
      <c r="J1892" t="s">
        <v>1048</v>
      </c>
      <c r="K1892">
        <v>10</v>
      </c>
      <c r="L1892">
        <v>0</v>
      </c>
      <c r="M1892" t="s">
        <v>115</v>
      </c>
      <c r="N1892" t="str">
        <f t="shared" si="174"/>
        <v>PO-101891</v>
      </c>
      <c r="O1892" t="str">
        <f t="shared" si="175"/>
        <v>Delivered</v>
      </c>
      <c r="P1892" t="str">
        <f t="shared" si="176"/>
        <v>WH-DEL</v>
      </c>
      <c r="Q1892" t="str">
        <f>VLOOKUP(C1892, Lookups!$A$2:$D$10, 2, FALSE())</f>
        <v>TechSupply Corp</v>
      </c>
      <c r="R1892" t="str">
        <f>_xlfn.XLOOKUP(D1892, Lookups!$A$12:$A$51, Lookups!$C$12:$C$51, "Unknown")</f>
        <v>Electronics</v>
      </c>
      <c r="S1892" t="str">
        <f>IF(ISBLANK(I1892), B1892+VLOOKUP(C1892, Lookups!$A$2:$D$10, 4, FALSE()), I1892)</f>
        <v>2026-05-13</v>
      </c>
      <c r="T1892">
        <f t="shared" si="177"/>
        <v>15</v>
      </c>
      <c r="U1892" t="str">
        <f t="shared" si="178"/>
        <v>Late</v>
      </c>
      <c r="V1892">
        <f t="shared" si="179"/>
        <v>0</v>
      </c>
    </row>
    <row r="1893" spans="1:22" x14ac:dyDescent="0.45">
      <c r="A1893" t="s">
        <v>2741</v>
      </c>
      <c r="B1893" t="s">
        <v>354</v>
      </c>
      <c r="C1893" t="s">
        <v>31</v>
      </c>
      <c r="D1893" t="s">
        <v>85</v>
      </c>
      <c r="E1893" t="s">
        <v>326</v>
      </c>
      <c r="F1893">
        <v>98</v>
      </c>
      <c r="G1893">
        <v>16501</v>
      </c>
      <c r="H1893">
        <v>1617098</v>
      </c>
      <c r="I1893" t="s">
        <v>325</v>
      </c>
      <c r="J1893" t="s">
        <v>328</v>
      </c>
      <c r="K1893">
        <v>98</v>
      </c>
      <c r="L1893">
        <v>0</v>
      </c>
      <c r="M1893" t="s">
        <v>115</v>
      </c>
      <c r="N1893" t="str">
        <f t="shared" si="174"/>
        <v>PO-101892</v>
      </c>
      <c r="O1893" t="str">
        <f t="shared" si="175"/>
        <v>Delivered</v>
      </c>
      <c r="P1893" t="str">
        <f t="shared" si="176"/>
        <v>WH-BLR</v>
      </c>
      <c r="Q1893" t="str">
        <f>VLOOKUP(C1893, Lookups!$A$2:$D$10, 2, FALSE())</f>
        <v>Global Networks</v>
      </c>
      <c r="R1893" t="str">
        <f>_xlfn.XLOOKUP(D1893, Lookups!$A$12:$A$51, Lookups!$C$12:$C$51, "Unknown")</f>
        <v>Networking</v>
      </c>
      <c r="S1893" t="str">
        <f>IF(ISBLANK(I1893), B1893+VLOOKUP(C1893, Lookups!$A$2:$D$10, 4, FALSE()), I1893)</f>
        <v>2025-05-26</v>
      </c>
      <c r="T1893">
        <f t="shared" si="177"/>
        <v>32</v>
      </c>
      <c r="U1893" t="str">
        <f t="shared" si="178"/>
        <v>Late</v>
      </c>
      <c r="V1893">
        <f t="shared" si="179"/>
        <v>0</v>
      </c>
    </row>
    <row r="1894" spans="1:22" x14ac:dyDescent="0.45">
      <c r="A1894" t="s">
        <v>2742</v>
      </c>
      <c r="B1894" t="s">
        <v>176</v>
      </c>
      <c r="C1894" t="s">
        <v>37</v>
      </c>
      <c r="D1894" t="s">
        <v>78</v>
      </c>
      <c r="E1894" t="s">
        <v>15</v>
      </c>
      <c r="F1894">
        <v>43</v>
      </c>
      <c r="G1894">
        <v>9423</v>
      </c>
      <c r="H1894">
        <v>405189</v>
      </c>
      <c r="I1894" t="s">
        <v>713</v>
      </c>
      <c r="J1894" t="s">
        <v>713</v>
      </c>
      <c r="K1894">
        <v>43</v>
      </c>
      <c r="L1894">
        <v>0</v>
      </c>
      <c r="M1894" t="s">
        <v>115</v>
      </c>
      <c r="N1894" t="str">
        <f t="shared" si="174"/>
        <v>PO-101893</v>
      </c>
      <c r="O1894" t="str">
        <f t="shared" si="175"/>
        <v>Delivered</v>
      </c>
      <c r="P1894" t="str">
        <f t="shared" si="176"/>
        <v>WH-BOM</v>
      </c>
      <c r="Q1894" t="str">
        <f>VLOOKUP(C1894, Lookups!$A$2:$D$10, 2, FALSE())</f>
        <v>Premium Desks Ltd</v>
      </c>
      <c r="R1894" t="str">
        <f>_xlfn.XLOOKUP(D1894, Lookups!$A$12:$A$51, Lookups!$C$12:$C$51, "Unknown")</f>
        <v>Office Furniture</v>
      </c>
      <c r="S1894" t="str">
        <f>IF(ISBLANK(I1894), B1894+VLOOKUP(C1894, Lookups!$A$2:$D$10, 4, FALSE()), I1894)</f>
        <v>2026-08-19</v>
      </c>
      <c r="T1894">
        <f t="shared" si="177"/>
        <v>12</v>
      </c>
      <c r="U1894" t="str">
        <f t="shared" si="178"/>
        <v>On-Time</v>
      </c>
      <c r="V1894">
        <f t="shared" si="179"/>
        <v>0</v>
      </c>
    </row>
    <row r="1895" spans="1:22" x14ac:dyDescent="0.45">
      <c r="A1895" t="s">
        <v>2743</v>
      </c>
      <c r="B1895" t="s">
        <v>659</v>
      </c>
      <c r="C1895" t="s">
        <v>31</v>
      </c>
      <c r="D1895" t="s">
        <v>85</v>
      </c>
      <c r="E1895" t="s">
        <v>18</v>
      </c>
      <c r="F1895">
        <v>99</v>
      </c>
      <c r="G1895">
        <v>16501</v>
      </c>
      <c r="H1895">
        <v>1633599</v>
      </c>
      <c r="I1895" t="s">
        <v>157</v>
      </c>
      <c r="J1895" t="s">
        <v>692</v>
      </c>
      <c r="K1895">
        <v>99</v>
      </c>
      <c r="L1895">
        <v>0</v>
      </c>
      <c r="M1895" t="s">
        <v>115</v>
      </c>
      <c r="N1895" t="str">
        <f t="shared" si="174"/>
        <v>PO-101894</v>
      </c>
      <c r="O1895" t="str">
        <f t="shared" si="175"/>
        <v>Delivered</v>
      </c>
      <c r="P1895" t="str">
        <f t="shared" si="176"/>
        <v>WH-PUN</v>
      </c>
      <c r="Q1895" t="str">
        <f>VLOOKUP(C1895, Lookups!$A$2:$D$10, 2, FALSE())</f>
        <v>Global Networks</v>
      </c>
      <c r="R1895" t="str">
        <f>_xlfn.XLOOKUP(D1895, Lookups!$A$12:$A$51, Lookups!$C$12:$C$51, "Unknown")</f>
        <v>Networking</v>
      </c>
      <c r="S1895" t="str">
        <f>IF(ISBLANK(I1895), B1895+VLOOKUP(C1895, Lookups!$A$2:$D$10, 4, FALSE()), I1895)</f>
        <v>2026-10-22</v>
      </c>
      <c r="T1895">
        <f t="shared" si="177"/>
        <v>28</v>
      </c>
      <c r="U1895" t="str">
        <f t="shared" si="178"/>
        <v>Late</v>
      </c>
      <c r="V1895">
        <f t="shared" si="179"/>
        <v>0</v>
      </c>
    </row>
    <row r="1896" spans="1:22" x14ac:dyDescent="0.45">
      <c r="A1896" t="s">
        <v>2744</v>
      </c>
      <c r="B1896" t="s">
        <v>585</v>
      </c>
      <c r="C1896" t="s">
        <v>36</v>
      </c>
      <c r="D1896" t="s">
        <v>62</v>
      </c>
      <c r="E1896" t="s">
        <v>16</v>
      </c>
      <c r="F1896">
        <v>13</v>
      </c>
      <c r="G1896">
        <v>48478</v>
      </c>
      <c r="H1896">
        <v>630214</v>
      </c>
      <c r="I1896" t="s">
        <v>1070</v>
      </c>
      <c r="J1896" t="s">
        <v>1070</v>
      </c>
      <c r="K1896">
        <v>13</v>
      </c>
      <c r="L1896">
        <v>0</v>
      </c>
      <c r="M1896" t="s">
        <v>115</v>
      </c>
      <c r="N1896" t="str">
        <f t="shared" si="174"/>
        <v>PO-101895</v>
      </c>
      <c r="O1896" t="str">
        <f t="shared" si="175"/>
        <v>Delivered</v>
      </c>
      <c r="P1896" t="str">
        <f t="shared" si="176"/>
        <v>WH-DEL</v>
      </c>
      <c r="Q1896" t="str">
        <f>VLOOKUP(C1896, Lookups!$A$2:$D$10, 2, FALSE())</f>
        <v>NextGen Hardware</v>
      </c>
      <c r="R1896" t="str">
        <f>_xlfn.XLOOKUP(D1896, Lookups!$A$12:$A$51, Lookups!$C$12:$C$51, "Unknown")</f>
        <v>Electronics</v>
      </c>
      <c r="S1896" t="str">
        <f>IF(ISBLANK(I1896), B1896+VLOOKUP(C1896, Lookups!$A$2:$D$10, 4, FALSE()), I1896)</f>
        <v>2025-08-15</v>
      </c>
      <c r="T1896">
        <f t="shared" si="177"/>
        <v>24</v>
      </c>
      <c r="U1896" t="str">
        <f t="shared" si="178"/>
        <v>On-Time</v>
      </c>
      <c r="V1896">
        <f t="shared" si="179"/>
        <v>0</v>
      </c>
    </row>
    <row r="1897" spans="1:22" x14ac:dyDescent="0.45">
      <c r="A1897" t="s">
        <v>2745</v>
      </c>
      <c r="B1897" t="s">
        <v>450</v>
      </c>
      <c r="C1897" t="s">
        <v>35</v>
      </c>
      <c r="D1897" t="s">
        <v>70</v>
      </c>
      <c r="E1897" t="s">
        <v>15</v>
      </c>
      <c r="F1897">
        <v>129</v>
      </c>
      <c r="G1897">
        <v>4287</v>
      </c>
      <c r="H1897">
        <v>553023</v>
      </c>
      <c r="I1897" t="s">
        <v>1337</v>
      </c>
      <c r="J1897" t="s">
        <v>1337</v>
      </c>
      <c r="K1897">
        <v>129</v>
      </c>
      <c r="L1897">
        <v>0</v>
      </c>
      <c r="M1897" t="s">
        <v>115</v>
      </c>
      <c r="N1897" t="str">
        <f t="shared" si="174"/>
        <v>PO-101896</v>
      </c>
      <c r="O1897" t="str">
        <f t="shared" si="175"/>
        <v>Delivered</v>
      </c>
      <c r="P1897" t="str">
        <f t="shared" si="176"/>
        <v>WH-BOM</v>
      </c>
      <c r="Q1897" t="str">
        <f>VLOOKUP(C1897, Lookups!$A$2:$D$10, 2, FALSE())</f>
        <v>Peripheral Source</v>
      </c>
      <c r="R1897" t="str">
        <f>_xlfn.XLOOKUP(D1897, Lookups!$A$12:$A$51, Lookups!$C$12:$C$51, "Unknown")</f>
        <v>Peripherals</v>
      </c>
      <c r="S1897" t="str">
        <f>IF(ISBLANK(I1897), B1897+VLOOKUP(C1897, Lookups!$A$2:$D$10, 4, FALSE()), I1897)</f>
        <v>2026-09-22</v>
      </c>
      <c r="T1897">
        <f t="shared" si="177"/>
        <v>10</v>
      </c>
      <c r="U1897" t="str">
        <f t="shared" si="178"/>
        <v>On-Time</v>
      </c>
      <c r="V1897">
        <f t="shared" si="179"/>
        <v>0</v>
      </c>
    </row>
    <row r="1898" spans="1:22" x14ac:dyDescent="0.45">
      <c r="A1898" t="s">
        <v>2746</v>
      </c>
      <c r="B1898" t="s">
        <v>354</v>
      </c>
      <c r="C1898" t="s">
        <v>31</v>
      </c>
      <c r="D1898" t="s">
        <v>66</v>
      </c>
      <c r="E1898" t="s">
        <v>15</v>
      </c>
      <c r="F1898">
        <v>22</v>
      </c>
      <c r="G1898">
        <v>29719</v>
      </c>
      <c r="H1898">
        <v>653818</v>
      </c>
      <c r="I1898" t="s">
        <v>325</v>
      </c>
      <c r="J1898" t="s">
        <v>1593</v>
      </c>
      <c r="K1898">
        <v>22</v>
      </c>
      <c r="L1898">
        <v>0</v>
      </c>
      <c r="M1898" t="s">
        <v>115</v>
      </c>
      <c r="N1898" t="str">
        <f t="shared" si="174"/>
        <v>PO-101897</v>
      </c>
      <c r="O1898" t="str">
        <f t="shared" si="175"/>
        <v>Delivered</v>
      </c>
      <c r="P1898" t="str">
        <f t="shared" si="176"/>
        <v>WH-BOM</v>
      </c>
      <c r="Q1898" t="str">
        <f>VLOOKUP(C1898, Lookups!$A$2:$D$10, 2, FALSE())</f>
        <v>Global Networks</v>
      </c>
      <c r="R1898" t="str">
        <f>_xlfn.XLOOKUP(D1898, Lookups!$A$12:$A$51, Lookups!$C$12:$C$51, "Unknown")</f>
        <v>Networking</v>
      </c>
      <c r="S1898" t="str">
        <f>IF(ISBLANK(I1898), B1898+VLOOKUP(C1898, Lookups!$A$2:$D$10, 4, FALSE()), I1898)</f>
        <v>2025-05-26</v>
      </c>
      <c r="T1898">
        <f t="shared" si="177"/>
        <v>22</v>
      </c>
      <c r="U1898" t="str">
        <f t="shared" si="178"/>
        <v>Late</v>
      </c>
      <c r="V1898">
        <f t="shared" si="179"/>
        <v>0</v>
      </c>
    </row>
    <row r="1899" spans="1:22" x14ac:dyDescent="0.45">
      <c r="A1899" t="s">
        <v>2747</v>
      </c>
      <c r="B1899" t="s">
        <v>957</v>
      </c>
      <c r="C1899" t="s">
        <v>35</v>
      </c>
      <c r="D1899" t="s">
        <v>72</v>
      </c>
      <c r="E1899" t="s">
        <v>17</v>
      </c>
      <c r="F1899">
        <v>184</v>
      </c>
      <c r="G1899">
        <v>7754</v>
      </c>
      <c r="H1899">
        <v>1426736</v>
      </c>
      <c r="I1899" t="s">
        <v>123</v>
      </c>
      <c r="J1899" t="s">
        <v>123</v>
      </c>
      <c r="K1899">
        <v>184</v>
      </c>
      <c r="L1899">
        <v>0</v>
      </c>
      <c r="M1899" t="s">
        <v>115</v>
      </c>
      <c r="N1899" t="str">
        <f t="shared" si="174"/>
        <v>PO-101898</v>
      </c>
      <c r="O1899" t="str">
        <f t="shared" si="175"/>
        <v>Delivered</v>
      </c>
      <c r="P1899" t="str">
        <f t="shared" si="176"/>
        <v>WH-BLR</v>
      </c>
      <c r="Q1899" t="str">
        <f>VLOOKUP(C1899, Lookups!$A$2:$D$10, 2, FALSE())</f>
        <v>Peripheral Source</v>
      </c>
      <c r="R1899" t="str">
        <f>_xlfn.XLOOKUP(D1899, Lookups!$A$12:$A$51, Lookups!$C$12:$C$51, "Unknown")</f>
        <v>Peripherals</v>
      </c>
      <c r="S1899" t="str">
        <f>IF(ISBLANK(I1899), B1899+VLOOKUP(C1899, Lookups!$A$2:$D$10, 4, FALSE()), I1899)</f>
        <v>2026-05-22</v>
      </c>
      <c r="T1899">
        <f t="shared" si="177"/>
        <v>10</v>
      </c>
      <c r="U1899" t="str">
        <f t="shared" si="178"/>
        <v>On-Time</v>
      </c>
      <c r="V1899">
        <f t="shared" si="179"/>
        <v>0</v>
      </c>
    </row>
    <row r="1900" spans="1:22" x14ac:dyDescent="0.45">
      <c r="A1900" t="s">
        <v>2748</v>
      </c>
      <c r="B1900" t="s">
        <v>1165</v>
      </c>
      <c r="C1900" t="s">
        <v>36</v>
      </c>
      <c r="D1900" t="s">
        <v>71</v>
      </c>
      <c r="E1900" t="s">
        <v>17</v>
      </c>
      <c r="F1900">
        <v>21</v>
      </c>
      <c r="G1900">
        <v>65379</v>
      </c>
      <c r="H1900">
        <v>1372959</v>
      </c>
      <c r="I1900" t="s">
        <v>353</v>
      </c>
      <c r="J1900" t="s">
        <v>354</v>
      </c>
      <c r="K1900">
        <v>21</v>
      </c>
      <c r="L1900">
        <v>0</v>
      </c>
      <c r="M1900" t="s">
        <v>301</v>
      </c>
      <c r="N1900" t="str">
        <f t="shared" si="174"/>
        <v>PO-101899</v>
      </c>
      <c r="O1900" t="str">
        <f t="shared" si="175"/>
        <v>Delivered</v>
      </c>
      <c r="P1900" t="str">
        <f t="shared" si="176"/>
        <v>WH-BLR</v>
      </c>
      <c r="Q1900" t="str">
        <f>VLOOKUP(C1900, Lookups!$A$2:$D$10, 2, FALSE())</f>
        <v>NextGen Hardware</v>
      </c>
      <c r="R1900" t="str">
        <f>_xlfn.XLOOKUP(D1900, Lookups!$A$12:$A$51, Lookups!$C$12:$C$51, "Unknown")</f>
        <v>Electronics</v>
      </c>
      <c r="S1900" t="str">
        <f>IF(ISBLANK(I1900), B1900+VLOOKUP(C1900, Lookups!$A$2:$D$10, 4, FALSE()), I1900)</f>
        <v>2025-05-04</v>
      </c>
      <c r="T1900">
        <f t="shared" si="177"/>
        <v>25</v>
      </c>
      <c r="U1900" t="str">
        <f t="shared" si="178"/>
        <v>Late</v>
      </c>
      <c r="V1900">
        <f t="shared" si="179"/>
        <v>0</v>
      </c>
    </row>
    <row r="1901" spans="1:22" x14ac:dyDescent="0.45">
      <c r="A1901" t="s">
        <v>2749</v>
      </c>
      <c r="B1901" t="s">
        <v>503</v>
      </c>
      <c r="C1901" t="s">
        <v>35</v>
      </c>
      <c r="D1901" t="s">
        <v>91</v>
      </c>
      <c r="E1901" t="s">
        <v>326</v>
      </c>
      <c r="F1901">
        <v>183</v>
      </c>
      <c r="G1901">
        <v>6707</v>
      </c>
      <c r="H1901">
        <v>1227381</v>
      </c>
      <c r="I1901" t="s">
        <v>1395</v>
      </c>
      <c r="J1901" t="s">
        <v>685</v>
      </c>
      <c r="K1901">
        <v>183</v>
      </c>
      <c r="L1901">
        <v>0</v>
      </c>
      <c r="M1901" t="s">
        <v>115</v>
      </c>
      <c r="N1901" t="str">
        <f t="shared" si="174"/>
        <v>PO-101900</v>
      </c>
      <c r="O1901" t="str">
        <f t="shared" si="175"/>
        <v>Delivered</v>
      </c>
      <c r="P1901" t="str">
        <f t="shared" si="176"/>
        <v>WH-BLR</v>
      </c>
      <c r="Q1901" t="str">
        <f>VLOOKUP(C1901, Lookups!$A$2:$D$10, 2, FALSE())</f>
        <v>Peripheral Source</v>
      </c>
      <c r="R1901" t="str">
        <f>_xlfn.XLOOKUP(D1901, Lookups!$A$12:$A$51, Lookups!$C$12:$C$51, "Unknown")</f>
        <v>Peripherals</v>
      </c>
      <c r="S1901" t="str">
        <f>IF(ISBLANK(I1901), B1901+VLOOKUP(C1901, Lookups!$A$2:$D$10, 4, FALSE()), I1901)</f>
        <v>2026-03-09</v>
      </c>
      <c r="T1901">
        <f t="shared" si="177"/>
        <v>11</v>
      </c>
      <c r="U1901" t="str">
        <f t="shared" si="178"/>
        <v>Late</v>
      </c>
      <c r="V1901">
        <f t="shared" si="179"/>
        <v>0</v>
      </c>
    </row>
    <row r="1902" spans="1:22" x14ac:dyDescent="0.45">
      <c r="A1902" t="s">
        <v>2750</v>
      </c>
      <c r="B1902" t="s">
        <v>207</v>
      </c>
      <c r="C1902" t="s">
        <v>34</v>
      </c>
      <c r="D1902" t="s">
        <v>58</v>
      </c>
      <c r="E1902" t="s">
        <v>15</v>
      </c>
      <c r="F1902">
        <v>83</v>
      </c>
      <c r="G1902">
        <v>100302</v>
      </c>
      <c r="H1902">
        <v>8325066</v>
      </c>
      <c r="I1902" t="s">
        <v>772</v>
      </c>
      <c r="J1902" t="s">
        <v>772</v>
      </c>
      <c r="K1902">
        <v>55</v>
      </c>
      <c r="L1902">
        <v>0</v>
      </c>
      <c r="M1902" t="s">
        <v>115</v>
      </c>
      <c r="N1902" t="str">
        <f t="shared" si="174"/>
        <v>PO-101901</v>
      </c>
      <c r="O1902" t="str">
        <f t="shared" si="175"/>
        <v>Delivered</v>
      </c>
      <c r="P1902" t="str">
        <f t="shared" si="176"/>
        <v>WH-BOM</v>
      </c>
      <c r="Q1902" t="str">
        <f>VLOOKUP(C1902, Lookups!$A$2:$D$10, 2, FALSE())</f>
        <v>FastElectronics</v>
      </c>
      <c r="R1902" t="str">
        <f>_xlfn.XLOOKUP(D1902, Lookups!$A$12:$A$51, Lookups!$C$12:$C$51, "Unknown")</f>
        <v>Electronics</v>
      </c>
      <c r="S1902" t="str">
        <f>IF(ISBLANK(I1902), B1902+VLOOKUP(C1902, Lookups!$A$2:$D$10, 4, FALSE()), I1902)</f>
        <v>2026-01-01</v>
      </c>
      <c r="T1902">
        <f t="shared" si="177"/>
        <v>18</v>
      </c>
      <c r="U1902" t="str">
        <f t="shared" si="178"/>
        <v>On-Time</v>
      </c>
      <c r="V1902">
        <f t="shared" si="179"/>
        <v>0</v>
      </c>
    </row>
    <row r="1903" spans="1:22" x14ac:dyDescent="0.45">
      <c r="A1903" t="s">
        <v>2751</v>
      </c>
      <c r="B1903" t="s">
        <v>968</v>
      </c>
      <c r="C1903" t="s">
        <v>35</v>
      </c>
      <c r="D1903" t="s">
        <v>72</v>
      </c>
      <c r="E1903" t="s">
        <v>15</v>
      </c>
      <c r="F1903">
        <v>184</v>
      </c>
      <c r="G1903">
        <v>7754</v>
      </c>
      <c r="H1903">
        <v>1426736</v>
      </c>
      <c r="I1903" t="s">
        <v>319</v>
      </c>
      <c r="J1903" t="s">
        <v>320</v>
      </c>
      <c r="K1903">
        <v>184</v>
      </c>
      <c r="L1903">
        <v>0</v>
      </c>
      <c r="M1903" t="s">
        <v>115</v>
      </c>
      <c r="N1903" t="str">
        <f t="shared" si="174"/>
        <v>PO-101902</v>
      </c>
      <c r="O1903" t="str">
        <f t="shared" si="175"/>
        <v>Delivered</v>
      </c>
      <c r="P1903" t="str">
        <f t="shared" si="176"/>
        <v>WH-BOM</v>
      </c>
      <c r="Q1903" t="str">
        <f>VLOOKUP(C1903, Lookups!$A$2:$D$10, 2, FALSE())</f>
        <v>Peripheral Source</v>
      </c>
      <c r="R1903" t="str">
        <f>_xlfn.XLOOKUP(D1903, Lookups!$A$12:$A$51, Lookups!$C$12:$C$51, "Unknown")</f>
        <v>Peripherals</v>
      </c>
      <c r="S1903" t="str">
        <f>IF(ISBLANK(I1903), B1903+VLOOKUP(C1903, Lookups!$A$2:$D$10, 4, FALSE()), I1903)</f>
        <v>2025-10-14</v>
      </c>
      <c r="T1903">
        <f t="shared" si="177"/>
        <v>11</v>
      </c>
      <c r="U1903" t="str">
        <f t="shared" si="178"/>
        <v>Late</v>
      </c>
      <c r="V1903">
        <f t="shared" si="179"/>
        <v>0</v>
      </c>
    </row>
    <row r="1904" spans="1:22" x14ac:dyDescent="0.45">
      <c r="A1904" t="s">
        <v>2752</v>
      </c>
      <c r="B1904" t="s">
        <v>1048</v>
      </c>
      <c r="C1904" t="s">
        <v>34</v>
      </c>
      <c r="D1904" t="s">
        <v>76</v>
      </c>
      <c r="E1904" t="s">
        <v>17</v>
      </c>
      <c r="F1904">
        <v>179</v>
      </c>
      <c r="G1904">
        <v>26270</v>
      </c>
      <c r="H1904">
        <v>4702330</v>
      </c>
      <c r="I1904" t="s">
        <v>483</v>
      </c>
      <c r="J1904" t="s">
        <v>1661</v>
      </c>
      <c r="K1904">
        <v>179</v>
      </c>
      <c r="L1904">
        <v>0</v>
      </c>
      <c r="M1904" t="s">
        <v>115</v>
      </c>
      <c r="N1904" t="str">
        <f t="shared" si="174"/>
        <v>PO-101903</v>
      </c>
      <c r="O1904" t="str">
        <f t="shared" si="175"/>
        <v>Delivered</v>
      </c>
      <c r="P1904" t="str">
        <f t="shared" si="176"/>
        <v>WH-BLR</v>
      </c>
      <c r="Q1904" t="str">
        <f>VLOOKUP(C1904, Lookups!$A$2:$D$10, 2, FALSE())</f>
        <v>FastElectronics</v>
      </c>
      <c r="R1904" t="str">
        <f>_xlfn.XLOOKUP(D1904, Lookups!$A$12:$A$51, Lookups!$C$12:$C$51, "Unknown")</f>
        <v>Networking</v>
      </c>
      <c r="S1904" t="str">
        <f>IF(ISBLANK(I1904), B1904+VLOOKUP(C1904, Lookups!$A$2:$D$10, 4, FALSE()), I1904)</f>
        <v>2026-06-01</v>
      </c>
      <c r="T1904">
        <f t="shared" si="177"/>
        <v>16</v>
      </c>
      <c r="U1904" t="str">
        <f t="shared" si="178"/>
        <v>On-Time</v>
      </c>
      <c r="V1904">
        <f t="shared" si="179"/>
        <v>0</v>
      </c>
    </row>
    <row r="1905" spans="1:22" x14ac:dyDescent="0.45">
      <c r="A1905" t="s">
        <v>2753</v>
      </c>
      <c r="B1905" t="s">
        <v>1295</v>
      </c>
      <c r="C1905" t="s">
        <v>35</v>
      </c>
      <c r="D1905" t="s">
        <v>70</v>
      </c>
      <c r="E1905" t="s">
        <v>15</v>
      </c>
      <c r="F1905">
        <v>118</v>
      </c>
      <c r="G1905">
        <v>4287</v>
      </c>
      <c r="H1905">
        <v>505866</v>
      </c>
      <c r="I1905" t="s">
        <v>1615</v>
      </c>
      <c r="J1905" t="s">
        <v>1610</v>
      </c>
      <c r="K1905">
        <v>118</v>
      </c>
      <c r="L1905">
        <v>0</v>
      </c>
      <c r="M1905" t="s">
        <v>115</v>
      </c>
      <c r="N1905" t="str">
        <f t="shared" si="174"/>
        <v>PO-101904</v>
      </c>
      <c r="O1905" t="str">
        <f t="shared" si="175"/>
        <v>Delivered</v>
      </c>
      <c r="P1905" t="str">
        <f t="shared" si="176"/>
        <v>WH-BOM</v>
      </c>
      <c r="Q1905" t="str">
        <f>VLOOKUP(C1905, Lookups!$A$2:$D$10, 2, FALSE())</f>
        <v>Peripheral Source</v>
      </c>
      <c r="R1905" t="str">
        <f>_xlfn.XLOOKUP(D1905, Lookups!$A$12:$A$51, Lookups!$C$12:$C$51, "Unknown")</f>
        <v>Peripherals</v>
      </c>
      <c r="S1905" t="str">
        <f>IF(ISBLANK(I1905), B1905+VLOOKUP(C1905, Lookups!$A$2:$D$10, 4, FALSE()), I1905)</f>
        <v>2026-08-21</v>
      </c>
      <c r="T1905">
        <f t="shared" si="177"/>
        <v>11</v>
      </c>
      <c r="U1905" t="str">
        <f t="shared" si="178"/>
        <v>Late</v>
      </c>
      <c r="V1905">
        <f t="shared" si="179"/>
        <v>0</v>
      </c>
    </row>
    <row r="1906" spans="1:22" x14ac:dyDescent="0.45">
      <c r="A1906" t="s">
        <v>2754</v>
      </c>
      <c r="B1906" t="s">
        <v>365</v>
      </c>
      <c r="C1906" t="s">
        <v>36</v>
      </c>
      <c r="D1906" t="s">
        <v>87</v>
      </c>
      <c r="E1906" t="s">
        <v>18</v>
      </c>
      <c r="F1906">
        <v>154</v>
      </c>
      <c r="G1906">
        <v>82930</v>
      </c>
      <c r="H1906">
        <v>12771220</v>
      </c>
      <c r="I1906" t="s">
        <v>1221</v>
      </c>
      <c r="J1906" t="s">
        <v>217</v>
      </c>
      <c r="K1906">
        <v>154</v>
      </c>
      <c r="L1906">
        <v>0</v>
      </c>
      <c r="M1906" t="s">
        <v>115</v>
      </c>
      <c r="N1906" t="str">
        <f t="shared" si="174"/>
        <v>PO-101905</v>
      </c>
      <c r="O1906" t="str">
        <f t="shared" si="175"/>
        <v>Delivered</v>
      </c>
      <c r="P1906" t="str">
        <f t="shared" si="176"/>
        <v>WH-PUN</v>
      </c>
      <c r="Q1906" t="str">
        <f>VLOOKUP(C1906, Lookups!$A$2:$D$10, 2, FALSE())</f>
        <v>NextGen Hardware</v>
      </c>
      <c r="R1906" t="str">
        <f>_xlfn.XLOOKUP(D1906, Lookups!$A$12:$A$51, Lookups!$C$12:$C$51, "Unknown")</f>
        <v>Electronics</v>
      </c>
      <c r="S1906" t="str">
        <f>IF(ISBLANK(I1906), B1906+VLOOKUP(C1906, Lookups!$A$2:$D$10, 4, FALSE()), I1906)</f>
        <v>2026-04-22</v>
      </c>
      <c r="T1906">
        <f t="shared" si="177"/>
        <v>25</v>
      </c>
      <c r="U1906" t="str">
        <f t="shared" si="178"/>
        <v>Late</v>
      </c>
      <c r="V1906">
        <f t="shared" si="179"/>
        <v>0</v>
      </c>
    </row>
    <row r="1907" spans="1:22" x14ac:dyDescent="0.45">
      <c r="A1907" t="s">
        <v>2755</v>
      </c>
      <c r="B1907" t="s">
        <v>1428</v>
      </c>
      <c r="C1907" t="s">
        <v>31</v>
      </c>
      <c r="D1907" t="s">
        <v>56</v>
      </c>
      <c r="E1907" t="s">
        <v>15</v>
      </c>
      <c r="F1907">
        <v>23</v>
      </c>
      <c r="G1907">
        <v>39270</v>
      </c>
      <c r="H1907">
        <v>903210</v>
      </c>
      <c r="I1907" t="s">
        <v>181</v>
      </c>
      <c r="J1907" t="s">
        <v>750</v>
      </c>
      <c r="K1907">
        <v>23</v>
      </c>
      <c r="L1907">
        <v>0</v>
      </c>
      <c r="M1907" t="s">
        <v>115</v>
      </c>
      <c r="N1907" t="str">
        <f t="shared" si="174"/>
        <v>PO-101906</v>
      </c>
      <c r="O1907" t="str">
        <f t="shared" si="175"/>
        <v>Delivered</v>
      </c>
      <c r="P1907" t="str">
        <f t="shared" si="176"/>
        <v>WH-BOM</v>
      </c>
      <c r="Q1907" t="str">
        <f>VLOOKUP(C1907, Lookups!$A$2:$D$10, 2, FALSE())</f>
        <v>Global Networks</v>
      </c>
      <c r="R1907" t="str">
        <f>_xlfn.XLOOKUP(D1907, Lookups!$A$12:$A$51, Lookups!$C$12:$C$51, "Unknown")</f>
        <v>Networking</v>
      </c>
      <c r="S1907" t="str">
        <f>IF(ISBLANK(I1907), B1907+VLOOKUP(C1907, Lookups!$A$2:$D$10, 4, FALSE()), I1907)</f>
        <v>2026-10-19</v>
      </c>
      <c r="T1907">
        <f t="shared" si="177"/>
        <v>22</v>
      </c>
      <c r="U1907" t="str">
        <f t="shared" si="178"/>
        <v>Late</v>
      </c>
      <c r="V1907">
        <f t="shared" si="179"/>
        <v>0</v>
      </c>
    </row>
    <row r="1908" spans="1:22" x14ac:dyDescent="0.45">
      <c r="A1908" t="s">
        <v>2756</v>
      </c>
      <c r="B1908" t="s">
        <v>700</v>
      </c>
      <c r="C1908" t="s">
        <v>35</v>
      </c>
      <c r="D1908" t="s">
        <v>70</v>
      </c>
      <c r="E1908" t="s">
        <v>15</v>
      </c>
      <c r="F1908">
        <v>139</v>
      </c>
      <c r="G1908">
        <v>4287</v>
      </c>
      <c r="H1908">
        <v>595893</v>
      </c>
      <c r="I1908" t="s">
        <v>512</v>
      </c>
      <c r="J1908" t="s">
        <v>512</v>
      </c>
      <c r="K1908">
        <v>139</v>
      </c>
      <c r="L1908">
        <v>0</v>
      </c>
      <c r="M1908" t="s">
        <v>115</v>
      </c>
      <c r="N1908" t="str">
        <f t="shared" si="174"/>
        <v>PO-101907</v>
      </c>
      <c r="O1908" t="str">
        <f t="shared" si="175"/>
        <v>Delivered</v>
      </c>
      <c r="P1908" t="str">
        <f t="shared" si="176"/>
        <v>WH-BOM</v>
      </c>
      <c r="Q1908" t="str">
        <f>VLOOKUP(C1908, Lookups!$A$2:$D$10, 2, FALSE())</f>
        <v>Peripheral Source</v>
      </c>
      <c r="R1908" t="str">
        <f>_xlfn.XLOOKUP(D1908, Lookups!$A$12:$A$51, Lookups!$C$12:$C$51, "Unknown")</f>
        <v>Peripherals</v>
      </c>
      <c r="S1908" t="str">
        <f>IF(ISBLANK(I1908), B1908+VLOOKUP(C1908, Lookups!$A$2:$D$10, 4, FALSE()), I1908)</f>
        <v>2026-03-26</v>
      </c>
      <c r="T1908">
        <f t="shared" si="177"/>
        <v>10</v>
      </c>
      <c r="U1908" t="str">
        <f t="shared" si="178"/>
        <v>On-Time</v>
      </c>
      <c r="V1908">
        <f t="shared" si="179"/>
        <v>0</v>
      </c>
    </row>
    <row r="1909" spans="1:22" x14ac:dyDescent="0.45">
      <c r="A1909" t="s">
        <v>2757</v>
      </c>
      <c r="B1909" t="s">
        <v>494</v>
      </c>
      <c r="C1909" t="s">
        <v>35</v>
      </c>
      <c r="D1909" t="s">
        <v>72</v>
      </c>
      <c r="E1909" t="s">
        <v>16</v>
      </c>
      <c r="F1909">
        <v>126</v>
      </c>
      <c r="G1909">
        <v>7754</v>
      </c>
      <c r="H1909">
        <v>977004</v>
      </c>
      <c r="I1909" t="s">
        <v>1428</v>
      </c>
      <c r="J1909" t="s">
        <v>1428</v>
      </c>
      <c r="K1909">
        <v>126</v>
      </c>
      <c r="L1909">
        <v>0</v>
      </c>
      <c r="M1909" t="s">
        <v>115</v>
      </c>
      <c r="N1909" t="str">
        <f t="shared" si="174"/>
        <v>PO-101908</v>
      </c>
      <c r="O1909" t="str">
        <f t="shared" si="175"/>
        <v>Delivered</v>
      </c>
      <c r="P1909" t="str">
        <f t="shared" si="176"/>
        <v>WH-DEL</v>
      </c>
      <c r="Q1909" t="str">
        <f>VLOOKUP(C1909, Lookups!$A$2:$D$10, 2, FALSE())</f>
        <v>Peripheral Source</v>
      </c>
      <c r="R1909" t="str">
        <f>_xlfn.XLOOKUP(D1909, Lookups!$A$12:$A$51, Lookups!$C$12:$C$51, "Unknown")</f>
        <v>Peripherals</v>
      </c>
      <c r="S1909" t="str">
        <f>IF(ISBLANK(I1909), B1909+VLOOKUP(C1909, Lookups!$A$2:$D$10, 4, FALSE()), I1909)</f>
        <v>2026-09-28</v>
      </c>
      <c r="T1909">
        <f t="shared" si="177"/>
        <v>10</v>
      </c>
      <c r="U1909" t="str">
        <f t="shared" si="178"/>
        <v>On-Time</v>
      </c>
      <c r="V1909">
        <f t="shared" si="179"/>
        <v>0</v>
      </c>
    </row>
    <row r="1910" spans="1:22" x14ac:dyDescent="0.45">
      <c r="A1910" t="s">
        <v>2758</v>
      </c>
      <c r="B1910" t="s">
        <v>1327</v>
      </c>
      <c r="C1910" t="s">
        <v>30</v>
      </c>
      <c r="D1910" t="s">
        <v>59</v>
      </c>
      <c r="E1910" t="s">
        <v>18</v>
      </c>
      <c r="F1910">
        <v>199</v>
      </c>
      <c r="G1910">
        <v>48905</v>
      </c>
      <c r="H1910">
        <v>9732095</v>
      </c>
      <c r="I1910" t="s">
        <v>435</v>
      </c>
      <c r="J1910" t="s">
        <v>435</v>
      </c>
      <c r="K1910">
        <v>199</v>
      </c>
      <c r="L1910">
        <v>0</v>
      </c>
      <c r="M1910" t="s">
        <v>115</v>
      </c>
      <c r="N1910" t="str">
        <f t="shared" si="174"/>
        <v>PO-101909</v>
      </c>
      <c r="O1910" t="str">
        <f t="shared" si="175"/>
        <v>Delivered</v>
      </c>
      <c r="P1910" t="str">
        <f t="shared" si="176"/>
        <v>WH-PUN</v>
      </c>
      <c r="Q1910" t="str">
        <f>VLOOKUP(C1910, Lookups!$A$2:$D$10, 2, FALSE())</f>
        <v>TechSupply Corp</v>
      </c>
      <c r="R1910" t="str">
        <f>_xlfn.XLOOKUP(D1910, Lookups!$A$12:$A$51, Lookups!$C$12:$C$51, "Unknown")</f>
        <v>Electronics</v>
      </c>
      <c r="S1910" t="str">
        <f>IF(ISBLANK(I1910), B1910+VLOOKUP(C1910, Lookups!$A$2:$D$10, 4, FALSE()), I1910)</f>
        <v>2025-08-20</v>
      </c>
      <c r="T1910">
        <f t="shared" si="177"/>
        <v>14</v>
      </c>
      <c r="U1910" t="str">
        <f t="shared" si="178"/>
        <v>On-Time</v>
      </c>
      <c r="V1910">
        <f t="shared" si="179"/>
        <v>0</v>
      </c>
    </row>
    <row r="1911" spans="1:22" x14ac:dyDescent="0.45">
      <c r="A1911" t="s">
        <v>2759</v>
      </c>
      <c r="B1911" t="s">
        <v>728</v>
      </c>
      <c r="C1911" t="s">
        <v>34</v>
      </c>
      <c r="D1911" t="s">
        <v>80</v>
      </c>
      <c r="E1911" t="s">
        <v>15</v>
      </c>
      <c r="F1911">
        <v>79</v>
      </c>
      <c r="G1911">
        <v>19090</v>
      </c>
      <c r="H1911">
        <v>1508110</v>
      </c>
      <c r="I1911" t="s">
        <v>729</v>
      </c>
      <c r="J1911" t="s">
        <v>139</v>
      </c>
      <c r="K1911">
        <v>79</v>
      </c>
      <c r="L1911">
        <v>0</v>
      </c>
      <c r="M1911" t="s">
        <v>115</v>
      </c>
      <c r="N1911" t="str">
        <f t="shared" si="174"/>
        <v>PO-101910</v>
      </c>
      <c r="O1911" t="str">
        <f t="shared" si="175"/>
        <v>Delivered</v>
      </c>
      <c r="P1911" t="str">
        <f t="shared" si="176"/>
        <v>WH-BOM</v>
      </c>
      <c r="Q1911" t="str">
        <f>VLOOKUP(C1911, Lookups!$A$2:$D$10, 2, FALSE())</f>
        <v>FastElectronics</v>
      </c>
      <c r="R1911" t="str">
        <f>_xlfn.XLOOKUP(D1911, Lookups!$A$12:$A$51, Lookups!$C$12:$C$51, "Unknown")</f>
        <v>Networking</v>
      </c>
      <c r="S1911" t="str">
        <f>IF(ISBLANK(I1911), B1911+VLOOKUP(C1911, Lookups!$A$2:$D$10, 4, FALSE()), I1911)</f>
        <v>2025-09-28</v>
      </c>
      <c r="T1911">
        <f t="shared" si="177"/>
        <v>19</v>
      </c>
      <c r="U1911" t="str">
        <f t="shared" si="178"/>
        <v>Late</v>
      </c>
      <c r="V1911">
        <f t="shared" si="179"/>
        <v>0</v>
      </c>
    </row>
    <row r="1912" spans="1:22" x14ac:dyDescent="0.45">
      <c r="A1912" t="s">
        <v>2760</v>
      </c>
      <c r="B1912" t="s">
        <v>342</v>
      </c>
      <c r="C1912" t="s">
        <v>34</v>
      </c>
      <c r="D1912" t="s">
        <v>74</v>
      </c>
      <c r="E1912" t="s">
        <v>15</v>
      </c>
      <c r="F1912">
        <v>215</v>
      </c>
      <c r="G1912">
        <v>94797</v>
      </c>
      <c r="H1912">
        <v>20381355</v>
      </c>
      <c r="I1912" t="s">
        <v>1285</v>
      </c>
      <c r="J1912" t="s">
        <v>502</v>
      </c>
      <c r="K1912">
        <v>215</v>
      </c>
      <c r="L1912">
        <v>0</v>
      </c>
      <c r="M1912" t="s">
        <v>115</v>
      </c>
      <c r="N1912" t="str">
        <f t="shared" si="174"/>
        <v>PO-101911</v>
      </c>
      <c r="O1912" t="str">
        <f t="shared" si="175"/>
        <v>Delivered</v>
      </c>
      <c r="P1912" t="str">
        <f t="shared" si="176"/>
        <v>WH-BOM</v>
      </c>
      <c r="Q1912" t="str">
        <f>VLOOKUP(C1912, Lookups!$A$2:$D$10, 2, FALSE())</f>
        <v>FastElectronics</v>
      </c>
      <c r="R1912" t="str">
        <f>_xlfn.XLOOKUP(D1912, Lookups!$A$12:$A$51, Lookups!$C$12:$C$51, "Unknown")</f>
        <v>Electronics</v>
      </c>
      <c r="S1912" t="str">
        <f>IF(ISBLANK(I1912), B1912+VLOOKUP(C1912, Lookups!$A$2:$D$10, 4, FALSE()), I1912)</f>
        <v>2026-02-21</v>
      </c>
      <c r="T1912">
        <f t="shared" si="177"/>
        <v>19</v>
      </c>
      <c r="U1912" t="str">
        <f t="shared" si="178"/>
        <v>Late</v>
      </c>
      <c r="V1912">
        <f t="shared" si="179"/>
        <v>0</v>
      </c>
    </row>
    <row r="1913" spans="1:22" x14ac:dyDescent="0.45">
      <c r="A1913" t="s">
        <v>2761</v>
      </c>
      <c r="B1913" t="s">
        <v>1442</v>
      </c>
      <c r="C1913" t="s">
        <v>37</v>
      </c>
      <c r="D1913" t="s">
        <v>79</v>
      </c>
      <c r="E1913" t="s">
        <v>16</v>
      </c>
      <c r="F1913">
        <v>203</v>
      </c>
      <c r="G1913">
        <v>23054</v>
      </c>
      <c r="H1913">
        <v>4679962</v>
      </c>
      <c r="I1913" t="s">
        <v>458</v>
      </c>
      <c r="J1913" t="s">
        <v>648</v>
      </c>
      <c r="K1913">
        <v>203</v>
      </c>
      <c r="L1913">
        <v>0</v>
      </c>
      <c r="M1913" t="s">
        <v>115</v>
      </c>
      <c r="N1913" t="str">
        <f t="shared" si="174"/>
        <v>PO-101912</v>
      </c>
      <c r="O1913" t="str">
        <f t="shared" si="175"/>
        <v>Delivered</v>
      </c>
      <c r="P1913" t="str">
        <f t="shared" si="176"/>
        <v>WH-DEL</v>
      </c>
      <c r="Q1913" t="str">
        <f>VLOOKUP(C1913, Lookups!$A$2:$D$10, 2, FALSE())</f>
        <v>Premium Desks Ltd</v>
      </c>
      <c r="R1913" t="str">
        <f>_xlfn.XLOOKUP(D1913, Lookups!$A$12:$A$51, Lookups!$C$12:$C$51, "Unknown")</f>
        <v>Office Furniture</v>
      </c>
      <c r="S1913" t="str">
        <f>IF(ISBLANK(I1913), B1913+VLOOKUP(C1913, Lookups!$A$2:$D$10, 4, FALSE()), I1913)</f>
        <v>2025-07-14</v>
      </c>
      <c r="T1913">
        <f t="shared" si="177"/>
        <v>26</v>
      </c>
      <c r="U1913" t="str">
        <f t="shared" si="178"/>
        <v>Late</v>
      </c>
      <c r="V1913">
        <f t="shared" si="179"/>
        <v>0</v>
      </c>
    </row>
    <row r="1914" spans="1:22" x14ac:dyDescent="0.45">
      <c r="A1914" t="s">
        <v>2762</v>
      </c>
      <c r="B1914" t="s">
        <v>954</v>
      </c>
      <c r="C1914" t="s">
        <v>36</v>
      </c>
      <c r="D1914" t="s">
        <v>62</v>
      </c>
      <c r="E1914" t="s">
        <v>18</v>
      </c>
      <c r="F1914">
        <v>63</v>
      </c>
      <c r="G1914">
        <v>48478</v>
      </c>
      <c r="H1914">
        <v>3054114</v>
      </c>
      <c r="I1914" t="s">
        <v>766</v>
      </c>
      <c r="J1914" t="s">
        <v>383</v>
      </c>
      <c r="K1914">
        <v>63</v>
      </c>
      <c r="L1914">
        <v>0</v>
      </c>
      <c r="M1914" t="s">
        <v>115</v>
      </c>
      <c r="N1914" t="str">
        <f t="shared" si="174"/>
        <v>PO-101913</v>
      </c>
      <c r="O1914" t="str">
        <f t="shared" si="175"/>
        <v>Delivered</v>
      </c>
      <c r="P1914" t="str">
        <f t="shared" si="176"/>
        <v>WH-PUN</v>
      </c>
      <c r="Q1914" t="str">
        <f>VLOOKUP(C1914, Lookups!$A$2:$D$10, 2, FALSE())</f>
        <v>NextGen Hardware</v>
      </c>
      <c r="R1914" t="str">
        <f>_xlfn.XLOOKUP(D1914, Lookups!$A$12:$A$51, Lookups!$C$12:$C$51, "Unknown")</f>
        <v>Electronics</v>
      </c>
      <c r="S1914" t="str">
        <f>IF(ISBLANK(I1914), B1914+VLOOKUP(C1914, Lookups!$A$2:$D$10, 4, FALSE()), I1914)</f>
        <v>2026-12-10</v>
      </c>
      <c r="T1914">
        <f t="shared" si="177"/>
        <v>25</v>
      </c>
      <c r="U1914" t="str">
        <f t="shared" si="178"/>
        <v>Late</v>
      </c>
      <c r="V1914">
        <f t="shared" si="179"/>
        <v>0</v>
      </c>
    </row>
    <row r="1915" spans="1:22" x14ac:dyDescent="0.45">
      <c r="A1915" t="s">
        <v>2763</v>
      </c>
      <c r="B1915" t="s">
        <v>863</v>
      </c>
      <c r="C1915" t="s">
        <v>36</v>
      </c>
      <c r="D1915" t="s">
        <v>63</v>
      </c>
      <c r="E1915" t="s">
        <v>15</v>
      </c>
      <c r="F1915">
        <v>49</v>
      </c>
      <c r="G1915">
        <v>71062</v>
      </c>
      <c r="H1915">
        <v>3482038</v>
      </c>
      <c r="I1915" t="s">
        <v>1173</v>
      </c>
      <c r="J1915" t="s">
        <v>1173</v>
      </c>
      <c r="K1915">
        <v>48</v>
      </c>
      <c r="L1915">
        <v>0</v>
      </c>
      <c r="M1915" t="s">
        <v>115</v>
      </c>
      <c r="N1915" t="str">
        <f t="shared" si="174"/>
        <v>PO-101914</v>
      </c>
      <c r="O1915" t="str">
        <f t="shared" si="175"/>
        <v>Delivered</v>
      </c>
      <c r="P1915" t="str">
        <f t="shared" si="176"/>
        <v>WH-BOM</v>
      </c>
      <c r="Q1915" t="str">
        <f>VLOOKUP(C1915, Lookups!$A$2:$D$10, 2, FALSE())</f>
        <v>NextGen Hardware</v>
      </c>
      <c r="R1915" t="str">
        <f>_xlfn.XLOOKUP(D1915, Lookups!$A$12:$A$51, Lookups!$C$12:$C$51, "Unknown")</f>
        <v>Electronics</v>
      </c>
      <c r="S1915" t="str">
        <f>IF(ISBLANK(I1915), B1915+VLOOKUP(C1915, Lookups!$A$2:$D$10, 4, FALSE()), I1915)</f>
        <v>2026-06-04</v>
      </c>
      <c r="T1915">
        <f t="shared" si="177"/>
        <v>24</v>
      </c>
      <c r="U1915" t="str">
        <f t="shared" si="178"/>
        <v>On-Time</v>
      </c>
      <c r="V1915">
        <f t="shared" si="179"/>
        <v>0</v>
      </c>
    </row>
    <row r="1916" spans="1:22" x14ac:dyDescent="0.45">
      <c r="A1916" t="s">
        <v>2764</v>
      </c>
      <c r="B1916" t="s">
        <v>615</v>
      </c>
      <c r="C1916" t="s">
        <v>32</v>
      </c>
      <c r="D1916" t="s">
        <v>84</v>
      </c>
      <c r="E1916" t="s">
        <v>17</v>
      </c>
      <c r="F1916">
        <v>211</v>
      </c>
      <c r="G1916">
        <v>7271</v>
      </c>
      <c r="H1916">
        <v>1534181</v>
      </c>
      <c r="I1916" t="s">
        <v>672</v>
      </c>
      <c r="J1916" t="s">
        <v>743</v>
      </c>
      <c r="K1916">
        <v>211</v>
      </c>
      <c r="L1916">
        <v>0</v>
      </c>
      <c r="M1916" t="s">
        <v>115</v>
      </c>
      <c r="N1916" t="str">
        <f t="shared" si="174"/>
        <v>PO-101915</v>
      </c>
      <c r="O1916" t="str">
        <f t="shared" si="175"/>
        <v>Delivered</v>
      </c>
      <c r="P1916" t="str">
        <f t="shared" si="176"/>
        <v>WH-BLR</v>
      </c>
      <c r="Q1916" t="str">
        <f>VLOOKUP(C1916, Lookups!$A$2:$D$10, 2, FALSE())</f>
        <v>OfficeDepot Pro</v>
      </c>
      <c r="R1916" t="str">
        <f>_xlfn.XLOOKUP(D1916, Lookups!$A$12:$A$51, Lookups!$C$12:$C$51, "Unknown")</f>
        <v>Peripherals</v>
      </c>
      <c r="S1916" t="str">
        <f>IF(ISBLANK(I1916), B1916+VLOOKUP(C1916, Lookups!$A$2:$D$10, 4, FALSE()), I1916)</f>
        <v>2026-11-14</v>
      </c>
      <c r="T1916">
        <f t="shared" si="177"/>
        <v>8</v>
      </c>
      <c r="U1916" t="str">
        <f t="shared" si="178"/>
        <v>Late</v>
      </c>
      <c r="V1916">
        <f t="shared" si="179"/>
        <v>0</v>
      </c>
    </row>
    <row r="1917" spans="1:22" x14ac:dyDescent="0.45">
      <c r="A1917" t="s">
        <v>2765</v>
      </c>
      <c r="B1917" t="s">
        <v>242</v>
      </c>
      <c r="C1917" t="s">
        <v>34</v>
      </c>
      <c r="D1917" t="s">
        <v>73</v>
      </c>
      <c r="E1917" t="s">
        <v>18</v>
      </c>
      <c r="F1917">
        <v>107</v>
      </c>
      <c r="G1917">
        <v>58396</v>
      </c>
      <c r="H1917">
        <v>6248372</v>
      </c>
      <c r="I1917" t="s">
        <v>1326</v>
      </c>
      <c r="J1917" t="s">
        <v>234</v>
      </c>
      <c r="K1917">
        <v>107</v>
      </c>
      <c r="L1917">
        <v>0</v>
      </c>
      <c r="M1917" t="s">
        <v>115</v>
      </c>
      <c r="N1917" t="str">
        <f t="shared" si="174"/>
        <v>PO-101916</v>
      </c>
      <c r="O1917" t="str">
        <f t="shared" si="175"/>
        <v>Delivered</v>
      </c>
      <c r="P1917" t="str">
        <f t="shared" si="176"/>
        <v>WH-PUN</v>
      </c>
      <c r="Q1917" t="str">
        <f>VLOOKUP(C1917, Lookups!$A$2:$D$10, 2, FALSE())</f>
        <v>FastElectronics</v>
      </c>
      <c r="R1917" t="str">
        <f>_xlfn.XLOOKUP(D1917, Lookups!$A$12:$A$51, Lookups!$C$12:$C$51, "Unknown")</f>
        <v>Electronics</v>
      </c>
      <c r="S1917" t="str">
        <f>IF(ISBLANK(I1917), B1917+VLOOKUP(C1917, Lookups!$A$2:$D$10, 4, FALSE()), I1917)</f>
        <v>2025-07-23</v>
      </c>
      <c r="T1917">
        <f t="shared" si="177"/>
        <v>29</v>
      </c>
      <c r="U1917" t="str">
        <f t="shared" si="178"/>
        <v>Late</v>
      </c>
      <c r="V1917">
        <f t="shared" si="179"/>
        <v>0</v>
      </c>
    </row>
    <row r="1918" spans="1:22" x14ac:dyDescent="0.45">
      <c r="A1918" t="s">
        <v>2766</v>
      </c>
      <c r="B1918" t="s">
        <v>1208</v>
      </c>
      <c r="C1918" t="s">
        <v>34</v>
      </c>
      <c r="D1918" t="s">
        <v>73</v>
      </c>
      <c r="E1918" t="s">
        <v>18</v>
      </c>
      <c r="F1918">
        <v>217</v>
      </c>
      <c r="G1918">
        <v>58396</v>
      </c>
      <c r="H1918">
        <v>12671932</v>
      </c>
      <c r="I1918" t="s">
        <v>257</v>
      </c>
      <c r="J1918" t="s">
        <v>940</v>
      </c>
      <c r="K1918">
        <v>217</v>
      </c>
      <c r="L1918">
        <v>14</v>
      </c>
      <c r="M1918" t="s">
        <v>115</v>
      </c>
      <c r="N1918" t="str">
        <f t="shared" si="174"/>
        <v>PO-101917</v>
      </c>
      <c r="O1918" t="str">
        <f t="shared" si="175"/>
        <v>Delivered</v>
      </c>
      <c r="P1918" t="str">
        <f t="shared" si="176"/>
        <v>WH-PUN</v>
      </c>
      <c r="Q1918" t="str">
        <f>VLOOKUP(C1918, Lookups!$A$2:$D$10, 2, FALSE())</f>
        <v>FastElectronics</v>
      </c>
      <c r="R1918" t="str">
        <f>_xlfn.XLOOKUP(D1918, Lookups!$A$12:$A$51, Lookups!$C$12:$C$51, "Unknown")</f>
        <v>Electronics</v>
      </c>
      <c r="S1918" t="str">
        <f>IF(ISBLANK(I1918), B1918+VLOOKUP(C1918, Lookups!$A$2:$D$10, 4, FALSE()), I1918)</f>
        <v>2025-01-19</v>
      </c>
      <c r="T1918">
        <f t="shared" si="177"/>
        <v>19</v>
      </c>
      <c r="U1918" t="str">
        <f t="shared" si="178"/>
        <v>Late</v>
      </c>
      <c r="V1918">
        <f t="shared" si="179"/>
        <v>6.4516129032258063E-2</v>
      </c>
    </row>
    <row r="1919" spans="1:22" x14ac:dyDescent="0.45">
      <c r="A1919" t="s">
        <v>2767</v>
      </c>
      <c r="B1919" t="s">
        <v>1544</v>
      </c>
      <c r="C1919" t="s">
        <v>31</v>
      </c>
      <c r="D1919" t="s">
        <v>64</v>
      </c>
      <c r="E1919" t="s">
        <v>17</v>
      </c>
      <c r="F1919">
        <v>28</v>
      </c>
      <c r="G1919">
        <v>36295</v>
      </c>
      <c r="H1919">
        <v>1016260</v>
      </c>
      <c r="I1919" t="s">
        <v>284</v>
      </c>
      <c r="J1919" t="s">
        <v>284</v>
      </c>
      <c r="K1919">
        <v>28</v>
      </c>
      <c r="L1919">
        <v>0</v>
      </c>
      <c r="M1919" t="s">
        <v>115</v>
      </c>
      <c r="N1919" t="str">
        <f t="shared" si="174"/>
        <v>PO-101918</v>
      </c>
      <c r="O1919" t="str">
        <f t="shared" si="175"/>
        <v>Delivered</v>
      </c>
      <c r="P1919" t="str">
        <f t="shared" si="176"/>
        <v>WH-BLR</v>
      </c>
      <c r="Q1919" t="str">
        <f>VLOOKUP(C1919, Lookups!$A$2:$D$10, 2, FALSE())</f>
        <v>Global Networks</v>
      </c>
      <c r="R1919" t="str">
        <f>_xlfn.XLOOKUP(D1919, Lookups!$A$12:$A$51, Lookups!$C$12:$C$51, "Unknown")</f>
        <v>Networking</v>
      </c>
      <c r="S1919" t="str">
        <f>IF(ISBLANK(I1919), B1919+VLOOKUP(C1919, Lookups!$A$2:$D$10, 4, FALSE()), I1919)</f>
        <v>2025-02-22</v>
      </c>
      <c r="T1919">
        <f t="shared" si="177"/>
        <v>21</v>
      </c>
      <c r="U1919" t="str">
        <f t="shared" si="178"/>
        <v>On-Time</v>
      </c>
      <c r="V1919">
        <f t="shared" si="179"/>
        <v>0</v>
      </c>
    </row>
    <row r="1920" spans="1:22" x14ac:dyDescent="0.45">
      <c r="A1920" t="s">
        <v>2768</v>
      </c>
      <c r="B1920" t="s">
        <v>847</v>
      </c>
      <c r="C1920" t="s">
        <v>31</v>
      </c>
      <c r="D1920" t="s">
        <v>64</v>
      </c>
      <c r="E1920" t="s">
        <v>16</v>
      </c>
      <c r="F1920">
        <v>160</v>
      </c>
      <c r="G1920">
        <v>36295</v>
      </c>
      <c r="H1920">
        <v>5807200</v>
      </c>
      <c r="I1920" t="s">
        <v>693</v>
      </c>
      <c r="J1920" t="s">
        <v>694</v>
      </c>
      <c r="K1920">
        <v>160</v>
      </c>
      <c r="L1920">
        <v>0</v>
      </c>
      <c r="M1920" t="s">
        <v>115</v>
      </c>
      <c r="N1920" t="str">
        <f t="shared" si="174"/>
        <v>PO-101919</v>
      </c>
      <c r="O1920" t="str">
        <f t="shared" si="175"/>
        <v>Delivered</v>
      </c>
      <c r="P1920" t="str">
        <f t="shared" si="176"/>
        <v>WH-DEL</v>
      </c>
      <c r="Q1920" t="str">
        <f>VLOOKUP(C1920, Lookups!$A$2:$D$10, 2, FALSE())</f>
        <v>Global Networks</v>
      </c>
      <c r="R1920" t="str">
        <f>_xlfn.XLOOKUP(D1920, Lookups!$A$12:$A$51, Lookups!$C$12:$C$51, "Unknown")</f>
        <v>Networking</v>
      </c>
      <c r="S1920" t="str">
        <f>IF(ISBLANK(I1920), B1920+VLOOKUP(C1920, Lookups!$A$2:$D$10, 4, FALSE()), I1920)</f>
        <v>2026-11-22</v>
      </c>
      <c r="T1920">
        <f t="shared" si="177"/>
        <v>22</v>
      </c>
      <c r="U1920" t="str">
        <f t="shared" si="178"/>
        <v>Late</v>
      </c>
      <c r="V1920">
        <f t="shared" si="179"/>
        <v>0</v>
      </c>
    </row>
    <row r="1921" spans="1:22" x14ac:dyDescent="0.45">
      <c r="A1921" t="s">
        <v>2769</v>
      </c>
      <c r="B1921" t="s">
        <v>976</v>
      </c>
      <c r="C1921" t="s">
        <v>36</v>
      </c>
      <c r="D1921" t="s">
        <v>90</v>
      </c>
      <c r="E1921" t="s">
        <v>18</v>
      </c>
      <c r="F1921">
        <v>231</v>
      </c>
      <c r="G1921">
        <v>81434</v>
      </c>
      <c r="H1921">
        <v>18811254</v>
      </c>
      <c r="I1921" t="s">
        <v>846</v>
      </c>
      <c r="J1921" t="s">
        <v>181</v>
      </c>
      <c r="K1921">
        <v>231</v>
      </c>
      <c r="L1921">
        <v>32</v>
      </c>
      <c r="M1921" t="s">
        <v>115</v>
      </c>
      <c r="N1921" t="str">
        <f t="shared" si="174"/>
        <v>PO-101920</v>
      </c>
      <c r="O1921" t="str">
        <f t="shared" si="175"/>
        <v>Delivered</v>
      </c>
      <c r="P1921" t="str">
        <f t="shared" si="176"/>
        <v>WH-PUN</v>
      </c>
      <c r="Q1921" t="str">
        <f>VLOOKUP(C1921, Lookups!$A$2:$D$10, 2, FALSE())</f>
        <v>NextGen Hardware</v>
      </c>
      <c r="R1921" t="str">
        <f>_xlfn.XLOOKUP(D1921, Lookups!$A$12:$A$51, Lookups!$C$12:$C$51, "Unknown")</f>
        <v>Electronics</v>
      </c>
      <c r="S1921" t="str">
        <f>IF(ISBLANK(I1921), B1921+VLOOKUP(C1921, Lookups!$A$2:$D$10, 4, FALSE()), I1921)</f>
        <v>2026-10-18</v>
      </c>
      <c r="T1921">
        <f t="shared" si="177"/>
        <v>25</v>
      </c>
      <c r="U1921" t="str">
        <f t="shared" si="178"/>
        <v>Late</v>
      </c>
      <c r="V1921">
        <f t="shared" si="179"/>
        <v>0.13852813852813853</v>
      </c>
    </row>
    <row r="1922" spans="1:22" x14ac:dyDescent="0.45">
      <c r="A1922" t="s">
        <v>2770</v>
      </c>
      <c r="B1922" t="s">
        <v>265</v>
      </c>
      <c r="C1922" t="s">
        <v>37</v>
      </c>
      <c r="D1922" t="s">
        <v>79</v>
      </c>
      <c r="E1922" t="s">
        <v>15</v>
      </c>
      <c r="F1922">
        <v>16</v>
      </c>
      <c r="G1922">
        <v>23054</v>
      </c>
      <c r="H1922">
        <v>368864</v>
      </c>
      <c r="I1922" t="s">
        <v>185</v>
      </c>
      <c r="J1922" t="s">
        <v>299</v>
      </c>
      <c r="K1922">
        <v>12</v>
      </c>
      <c r="L1922">
        <v>0</v>
      </c>
      <c r="M1922" t="s">
        <v>115</v>
      </c>
      <c r="N1922" t="str">
        <f t="shared" ref="N1922:N1985" si="180">TRIM(A1922)</f>
        <v>PO-101921</v>
      </c>
      <c r="O1922" t="str">
        <f t="shared" ref="O1922:O1985" si="181">PROPER(TRIM(M1922))</f>
        <v>Delivered</v>
      </c>
      <c r="P1922" t="str">
        <f t="shared" ref="P1922:P1985" si="182">TRIM(E1922)</f>
        <v>WH-BOM</v>
      </c>
      <c r="Q1922" t="str">
        <f>VLOOKUP(C1922, Lookups!$A$2:$D$10, 2, FALSE())</f>
        <v>Premium Desks Ltd</v>
      </c>
      <c r="R1922" t="str">
        <f>_xlfn.XLOOKUP(D1922, Lookups!$A$12:$A$51, Lookups!$C$12:$C$51, "Unknown")</f>
        <v>Office Furniture</v>
      </c>
      <c r="S1922" t="str">
        <f>IF(ISBLANK(I1922), B1922+VLOOKUP(C1922, Lookups!$A$2:$D$10, 4, FALSE()), I1922)</f>
        <v>2025-02-26</v>
      </c>
      <c r="T1922">
        <f t="shared" ref="T1922:T1985" si="183">IF(ISBLANK(J1922), "", J1922-B1922)</f>
        <v>13</v>
      </c>
      <c r="U1922" t="str">
        <f t="shared" ref="U1922:U1985" si="184">IF(O1922="Open", "Open", IF(J1922&gt;S1922, "Late", "On-Time"))</f>
        <v>Late</v>
      </c>
      <c r="V1922">
        <f t="shared" ref="V1922:V1985" si="185">IF(K1922&gt;0, L1922/K1922, 0)</f>
        <v>0</v>
      </c>
    </row>
    <row r="1923" spans="1:22" x14ac:dyDescent="0.45">
      <c r="A1923" t="s">
        <v>2771</v>
      </c>
      <c r="B1923" t="s">
        <v>875</v>
      </c>
      <c r="C1923" t="s">
        <v>34</v>
      </c>
      <c r="D1923" t="s">
        <v>80</v>
      </c>
      <c r="E1923" t="s">
        <v>15</v>
      </c>
      <c r="F1923">
        <v>23</v>
      </c>
      <c r="G1923">
        <v>19090</v>
      </c>
      <c r="H1923">
        <v>439070</v>
      </c>
      <c r="I1923" t="s">
        <v>139</v>
      </c>
      <c r="J1923" t="s">
        <v>139</v>
      </c>
      <c r="K1923">
        <v>23</v>
      </c>
      <c r="L1923">
        <v>0</v>
      </c>
      <c r="M1923" t="s">
        <v>115</v>
      </c>
      <c r="N1923" t="str">
        <f t="shared" si="180"/>
        <v>PO-101922</v>
      </c>
      <c r="O1923" t="str">
        <f t="shared" si="181"/>
        <v>Delivered</v>
      </c>
      <c r="P1923" t="str">
        <f t="shared" si="182"/>
        <v>WH-BOM</v>
      </c>
      <c r="Q1923" t="str">
        <f>VLOOKUP(C1923, Lookups!$A$2:$D$10, 2, FALSE())</f>
        <v>FastElectronics</v>
      </c>
      <c r="R1923" t="str">
        <f>_xlfn.XLOOKUP(D1923, Lookups!$A$12:$A$51, Lookups!$C$12:$C$51, "Unknown")</f>
        <v>Networking</v>
      </c>
      <c r="S1923" t="str">
        <f>IF(ISBLANK(I1923), B1923+VLOOKUP(C1923, Lookups!$A$2:$D$10, 4, FALSE()), I1923)</f>
        <v>2025-09-29</v>
      </c>
      <c r="T1923">
        <f t="shared" si="183"/>
        <v>18</v>
      </c>
      <c r="U1923" t="str">
        <f t="shared" si="184"/>
        <v>On-Time</v>
      </c>
      <c r="V1923">
        <f t="shared" si="185"/>
        <v>0</v>
      </c>
    </row>
    <row r="1924" spans="1:22" x14ac:dyDescent="0.45">
      <c r="A1924" t="s">
        <v>2772</v>
      </c>
      <c r="B1924" t="s">
        <v>989</v>
      </c>
      <c r="C1924" t="s">
        <v>35</v>
      </c>
      <c r="D1924" t="s">
        <v>70</v>
      </c>
      <c r="E1924" t="s">
        <v>16</v>
      </c>
      <c r="F1924">
        <v>109</v>
      </c>
      <c r="G1924">
        <v>4287</v>
      </c>
      <c r="H1924">
        <v>467283</v>
      </c>
      <c r="I1924" t="s">
        <v>544</v>
      </c>
      <c r="J1924" t="s">
        <v>544</v>
      </c>
      <c r="K1924">
        <v>109</v>
      </c>
      <c r="L1924">
        <v>0</v>
      </c>
      <c r="M1924" t="s">
        <v>115</v>
      </c>
      <c r="N1924" t="str">
        <f t="shared" si="180"/>
        <v>PO-101923</v>
      </c>
      <c r="O1924" t="str">
        <f t="shared" si="181"/>
        <v>Delivered</v>
      </c>
      <c r="P1924" t="str">
        <f t="shared" si="182"/>
        <v>WH-DEL</v>
      </c>
      <c r="Q1924" t="str">
        <f>VLOOKUP(C1924, Lookups!$A$2:$D$10, 2, FALSE())</f>
        <v>Peripheral Source</v>
      </c>
      <c r="R1924" t="str">
        <f>_xlfn.XLOOKUP(D1924, Lookups!$A$12:$A$51, Lookups!$C$12:$C$51, "Unknown")</f>
        <v>Peripherals</v>
      </c>
      <c r="S1924" t="str">
        <f>IF(ISBLANK(I1924), B1924+VLOOKUP(C1924, Lookups!$A$2:$D$10, 4, FALSE()), I1924)</f>
        <v>2025-11-23</v>
      </c>
      <c r="T1924">
        <f t="shared" si="183"/>
        <v>10</v>
      </c>
      <c r="U1924" t="str">
        <f t="shared" si="184"/>
        <v>On-Time</v>
      </c>
      <c r="V1924">
        <f t="shared" si="185"/>
        <v>0</v>
      </c>
    </row>
    <row r="1925" spans="1:22" x14ac:dyDescent="0.45">
      <c r="A1925" t="s">
        <v>2773</v>
      </c>
      <c r="B1925" t="s">
        <v>708</v>
      </c>
      <c r="C1925" t="s">
        <v>32</v>
      </c>
      <c r="D1925" t="s">
        <v>67</v>
      </c>
      <c r="E1925" t="s">
        <v>18</v>
      </c>
      <c r="F1925">
        <v>121</v>
      </c>
      <c r="G1925">
        <v>1553</v>
      </c>
      <c r="H1925">
        <v>187913</v>
      </c>
      <c r="I1925" t="s">
        <v>127</v>
      </c>
      <c r="J1925" t="s">
        <v>501</v>
      </c>
      <c r="K1925">
        <v>121</v>
      </c>
      <c r="L1925">
        <v>0</v>
      </c>
      <c r="M1925" t="s">
        <v>115</v>
      </c>
      <c r="N1925" t="str">
        <f t="shared" si="180"/>
        <v>PO-101924</v>
      </c>
      <c r="O1925" t="str">
        <f t="shared" si="181"/>
        <v>Delivered</v>
      </c>
      <c r="P1925" t="str">
        <f t="shared" si="182"/>
        <v>WH-PUN</v>
      </c>
      <c r="Q1925" t="str">
        <f>VLOOKUP(C1925, Lookups!$A$2:$D$10, 2, FALSE())</f>
        <v>OfficeDepot Pro</v>
      </c>
      <c r="R1925" t="str">
        <f>_xlfn.XLOOKUP(D1925, Lookups!$A$12:$A$51, Lookups!$C$12:$C$51, "Unknown")</f>
        <v>Peripherals</v>
      </c>
      <c r="S1925" t="str">
        <f>IF(ISBLANK(I1925), B1925+VLOOKUP(C1925, Lookups!$A$2:$D$10, 4, FALSE()), I1925)</f>
        <v>2026-02-02</v>
      </c>
      <c r="T1925">
        <f t="shared" si="183"/>
        <v>3</v>
      </c>
      <c r="U1925" t="str">
        <f t="shared" si="184"/>
        <v>On-Time</v>
      </c>
      <c r="V1925">
        <f t="shared" si="185"/>
        <v>0</v>
      </c>
    </row>
    <row r="1926" spans="1:22" x14ac:dyDescent="0.45">
      <c r="A1926" t="s">
        <v>2774</v>
      </c>
      <c r="B1926" t="s">
        <v>415</v>
      </c>
      <c r="C1926" t="s">
        <v>36</v>
      </c>
      <c r="D1926" t="s">
        <v>71</v>
      </c>
      <c r="E1926" t="s">
        <v>15</v>
      </c>
      <c r="F1926">
        <v>199</v>
      </c>
      <c r="G1926">
        <v>65379</v>
      </c>
      <c r="H1926">
        <v>13010421</v>
      </c>
      <c r="I1926" t="s">
        <v>375</v>
      </c>
      <c r="J1926" t="s">
        <v>1177</v>
      </c>
      <c r="K1926">
        <v>199</v>
      </c>
      <c r="L1926">
        <v>0</v>
      </c>
      <c r="M1926" t="s">
        <v>115</v>
      </c>
      <c r="N1926" t="str">
        <f t="shared" si="180"/>
        <v>PO-101925</v>
      </c>
      <c r="O1926" t="str">
        <f t="shared" si="181"/>
        <v>Delivered</v>
      </c>
      <c r="P1926" t="str">
        <f t="shared" si="182"/>
        <v>WH-BOM</v>
      </c>
      <c r="Q1926" t="str">
        <f>VLOOKUP(C1926, Lookups!$A$2:$D$10, 2, FALSE())</f>
        <v>NextGen Hardware</v>
      </c>
      <c r="R1926" t="str">
        <f>_xlfn.XLOOKUP(D1926, Lookups!$A$12:$A$51, Lookups!$C$12:$C$51, "Unknown")</f>
        <v>Electronics</v>
      </c>
      <c r="S1926" t="str">
        <f>IF(ISBLANK(I1926), B1926+VLOOKUP(C1926, Lookups!$A$2:$D$10, 4, FALSE()), I1926)</f>
        <v>2026-06-10</v>
      </c>
      <c r="T1926">
        <f t="shared" si="183"/>
        <v>25</v>
      </c>
      <c r="U1926" t="str">
        <f t="shared" si="184"/>
        <v>Late</v>
      </c>
      <c r="V1926">
        <f t="shared" si="185"/>
        <v>0</v>
      </c>
    </row>
    <row r="1927" spans="1:22" x14ac:dyDescent="0.45">
      <c r="A1927" t="s">
        <v>2775</v>
      </c>
      <c r="B1927" t="s">
        <v>354</v>
      </c>
      <c r="C1927" t="s">
        <v>31</v>
      </c>
      <c r="D1927" t="s">
        <v>85</v>
      </c>
      <c r="E1927" t="s">
        <v>16</v>
      </c>
      <c r="F1927">
        <v>84</v>
      </c>
      <c r="G1927">
        <v>16501</v>
      </c>
      <c r="H1927">
        <v>1386084</v>
      </c>
      <c r="I1927" t="s">
        <v>325</v>
      </c>
      <c r="J1927" t="s">
        <v>1593</v>
      </c>
      <c r="K1927">
        <v>84</v>
      </c>
      <c r="L1927">
        <v>0</v>
      </c>
      <c r="M1927" t="s">
        <v>115</v>
      </c>
      <c r="N1927" t="str">
        <f t="shared" si="180"/>
        <v>PO-101926</v>
      </c>
      <c r="O1927" t="str">
        <f t="shared" si="181"/>
        <v>Delivered</v>
      </c>
      <c r="P1927" t="str">
        <f t="shared" si="182"/>
        <v>WH-DEL</v>
      </c>
      <c r="Q1927" t="str">
        <f>VLOOKUP(C1927, Lookups!$A$2:$D$10, 2, FALSE())</f>
        <v>Global Networks</v>
      </c>
      <c r="R1927" t="str">
        <f>_xlfn.XLOOKUP(D1927, Lookups!$A$12:$A$51, Lookups!$C$12:$C$51, "Unknown")</f>
        <v>Networking</v>
      </c>
      <c r="S1927" t="str">
        <f>IF(ISBLANK(I1927), B1927+VLOOKUP(C1927, Lookups!$A$2:$D$10, 4, FALSE()), I1927)</f>
        <v>2025-05-26</v>
      </c>
      <c r="T1927">
        <f t="shared" si="183"/>
        <v>22</v>
      </c>
      <c r="U1927" t="str">
        <f t="shared" si="184"/>
        <v>Late</v>
      </c>
      <c r="V1927">
        <f t="shared" si="185"/>
        <v>0</v>
      </c>
    </row>
    <row r="1928" spans="1:22" x14ac:dyDescent="0.45">
      <c r="A1928" t="s">
        <v>2776</v>
      </c>
      <c r="B1928" t="s">
        <v>1463</v>
      </c>
      <c r="C1928" t="s">
        <v>32</v>
      </c>
      <c r="D1928" t="s">
        <v>84</v>
      </c>
      <c r="E1928" t="s">
        <v>17</v>
      </c>
      <c r="F1928">
        <v>235</v>
      </c>
      <c r="G1928">
        <v>7271</v>
      </c>
      <c r="H1928">
        <v>1708685</v>
      </c>
      <c r="I1928" t="s">
        <v>1405</v>
      </c>
      <c r="J1928" t="s">
        <v>1405</v>
      </c>
      <c r="K1928">
        <v>235</v>
      </c>
      <c r="L1928">
        <v>0</v>
      </c>
      <c r="M1928" t="s">
        <v>115</v>
      </c>
      <c r="N1928" t="str">
        <f t="shared" si="180"/>
        <v>PO-101927</v>
      </c>
      <c r="O1928" t="str">
        <f t="shared" si="181"/>
        <v>Delivered</v>
      </c>
      <c r="P1928" t="str">
        <f t="shared" si="182"/>
        <v>WH-BLR</v>
      </c>
      <c r="Q1928" t="str">
        <f>VLOOKUP(C1928, Lookups!$A$2:$D$10, 2, FALSE())</f>
        <v>OfficeDepot Pro</v>
      </c>
      <c r="R1928" t="str">
        <f>_xlfn.XLOOKUP(D1928, Lookups!$A$12:$A$51, Lookups!$C$12:$C$51, "Unknown")</f>
        <v>Peripherals</v>
      </c>
      <c r="S1928" t="str">
        <f>IF(ISBLANK(I1928), B1928+VLOOKUP(C1928, Lookups!$A$2:$D$10, 4, FALSE()), I1928)</f>
        <v>2026-05-23</v>
      </c>
      <c r="T1928">
        <f t="shared" si="183"/>
        <v>7</v>
      </c>
      <c r="U1928" t="str">
        <f t="shared" si="184"/>
        <v>On-Time</v>
      </c>
      <c r="V1928">
        <f t="shared" si="185"/>
        <v>0</v>
      </c>
    </row>
    <row r="1929" spans="1:22" x14ac:dyDescent="0.45">
      <c r="A1929" t="s">
        <v>2777</v>
      </c>
      <c r="B1929" t="s">
        <v>868</v>
      </c>
      <c r="C1929" t="s">
        <v>32</v>
      </c>
      <c r="D1929" t="s">
        <v>84</v>
      </c>
      <c r="E1929" t="s">
        <v>18</v>
      </c>
      <c r="F1929">
        <v>54</v>
      </c>
      <c r="G1929">
        <v>7271</v>
      </c>
      <c r="H1929">
        <v>392634</v>
      </c>
      <c r="I1929" t="s">
        <v>494</v>
      </c>
      <c r="J1929" t="s">
        <v>117</v>
      </c>
      <c r="K1929">
        <v>54</v>
      </c>
      <c r="L1929">
        <v>0</v>
      </c>
      <c r="M1929" t="s">
        <v>115</v>
      </c>
      <c r="N1929" t="str">
        <f t="shared" si="180"/>
        <v>PO-101928</v>
      </c>
      <c r="O1929" t="str">
        <f t="shared" si="181"/>
        <v>Delivered</v>
      </c>
      <c r="P1929" t="str">
        <f t="shared" si="182"/>
        <v>WH-PUN</v>
      </c>
      <c r="Q1929" t="str">
        <f>VLOOKUP(C1929, Lookups!$A$2:$D$10, 2, FALSE())</f>
        <v>OfficeDepot Pro</v>
      </c>
      <c r="R1929" t="str">
        <f>_xlfn.XLOOKUP(D1929, Lookups!$A$12:$A$51, Lookups!$C$12:$C$51, "Unknown")</f>
        <v>Peripherals</v>
      </c>
      <c r="S1929" t="str">
        <f>IF(ISBLANK(I1929), B1929+VLOOKUP(C1929, Lookups!$A$2:$D$10, 4, FALSE()), I1929)</f>
        <v>2026-09-18</v>
      </c>
      <c r="T1929">
        <f t="shared" si="183"/>
        <v>8</v>
      </c>
      <c r="U1929" t="str">
        <f t="shared" si="184"/>
        <v>Late</v>
      </c>
      <c r="V1929">
        <f t="shared" si="185"/>
        <v>0</v>
      </c>
    </row>
    <row r="1930" spans="1:22" x14ac:dyDescent="0.45">
      <c r="A1930" t="s">
        <v>2778</v>
      </c>
      <c r="B1930" t="s">
        <v>1367</v>
      </c>
      <c r="C1930" t="s">
        <v>36</v>
      </c>
      <c r="D1930" t="s">
        <v>62</v>
      </c>
      <c r="E1930" t="s">
        <v>16</v>
      </c>
      <c r="F1930">
        <v>62</v>
      </c>
      <c r="G1930">
        <v>48478</v>
      </c>
      <c r="H1930">
        <v>3005636</v>
      </c>
      <c r="I1930" t="s">
        <v>986</v>
      </c>
      <c r="J1930" t="s">
        <v>986</v>
      </c>
      <c r="K1930">
        <v>62</v>
      </c>
      <c r="L1930">
        <v>0</v>
      </c>
      <c r="M1930" t="s">
        <v>115</v>
      </c>
      <c r="N1930" t="str">
        <f t="shared" si="180"/>
        <v>PO-101929</v>
      </c>
      <c r="O1930" t="str">
        <f t="shared" si="181"/>
        <v>Delivered</v>
      </c>
      <c r="P1930" t="str">
        <f t="shared" si="182"/>
        <v>WH-DEL</v>
      </c>
      <c r="Q1930" t="str">
        <f>VLOOKUP(C1930, Lookups!$A$2:$D$10, 2, FALSE())</f>
        <v>NextGen Hardware</v>
      </c>
      <c r="R1930" t="str">
        <f>_xlfn.XLOOKUP(D1930, Lookups!$A$12:$A$51, Lookups!$C$12:$C$51, "Unknown")</f>
        <v>Electronics</v>
      </c>
      <c r="S1930" t="str">
        <f>IF(ISBLANK(I1930), B1930+VLOOKUP(C1930, Lookups!$A$2:$D$10, 4, FALSE()), I1930)</f>
        <v>2026-11-04</v>
      </c>
      <c r="T1930">
        <f t="shared" si="183"/>
        <v>24</v>
      </c>
      <c r="U1930" t="str">
        <f t="shared" si="184"/>
        <v>On-Time</v>
      </c>
      <c r="V1930">
        <f t="shared" si="185"/>
        <v>0</v>
      </c>
    </row>
    <row r="1931" spans="1:22" x14ac:dyDescent="0.45">
      <c r="A1931" t="s">
        <v>2779</v>
      </c>
      <c r="B1931" t="s">
        <v>1038</v>
      </c>
      <c r="C1931" t="s">
        <v>30</v>
      </c>
      <c r="D1931" t="s">
        <v>52</v>
      </c>
      <c r="E1931" t="s">
        <v>532</v>
      </c>
      <c r="F1931">
        <v>188</v>
      </c>
      <c r="G1931">
        <v>59592</v>
      </c>
      <c r="H1931">
        <v>11203296</v>
      </c>
      <c r="I1931" t="s">
        <v>259</v>
      </c>
      <c r="J1931" t="s">
        <v>259</v>
      </c>
      <c r="K1931">
        <v>188</v>
      </c>
      <c r="L1931">
        <v>0</v>
      </c>
      <c r="M1931" t="s">
        <v>115</v>
      </c>
      <c r="N1931" t="str">
        <f t="shared" si="180"/>
        <v>PO-101930</v>
      </c>
      <c r="O1931" t="str">
        <f t="shared" si="181"/>
        <v>Delivered</v>
      </c>
      <c r="P1931" t="str">
        <f t="shared" si="182"/>
        <v>WH-PUN</v>
      </c>
      <c r="Q1931" t="str">
        <f>VLOOKUP(C1931, Lookups!$A$2:$D$10, 2, FALSE())</f>
        <v>TechSupply Corp</v>
      </c>
      <c r="R1931" t="str">
        <f>_xlfn.XLOOKUP(D1931, Lookups!$A$12:$A$51, Lookups!$C$12:$C$51, "Unknown")</f>
        <v>Electronics</v>
      </c>
      <c r="S1931" t="str">
        <f>IF(ISBLANK(I1931), B1931+VLOOKUP(C1931, Lookups!$A$2:$D$10, 4, FALSE()), I1931)</f>
        <v>2025-02-08</v>
      </c>
      <c r="T1931">
        <f t="shared" si="183"/>
        <v>14</v>
      </c>
      <c r="U1931" t="str">
        <f t="shared" si="184"/>
        <v>On-Time</v>
      </c>
      <c r="V1931">
        <f t="shared" si="185"/>
        <v>0</v>
      </c>
    </row>
    <row r="1932" spans="1:22" x14ac:dyDescent="0.45">
      <c r="A1932" t="s">
        <v>2780</v>
      </c>
      <c r="B1932" t="s">
        <v>653</v>
      </c>
      <c r="C1932" t="s">
        <v>30</v>
      </c>
      <c r="D1932" t="s">
        <v>52</v>
      </c>
      <c r="E1932" t="s">
        <v>17</v>
      </c>
      <c r="F1932">
        <v>193</v>
      </c>
      <c r="G1932">
        <v>59592</v>
      </c>
      <c r="H1932">
        <v>11501256</v>
      </c>
      <c r="I1932" t="s">
        <v>825</v>
      </c>
      <c r="J1932" t="s">
        <v>826</v>
      </c>
      <c r="K1932">
        <v>193</v>
      </c>
      <c r="L1932">
        <v>0</v>
      </c>
      <c r="M1932" t="s">
        <v>115</v>
      </c>
      <c r="N1932" t="str">
        <f t="shared" si="180"/>
        <v>PO-101931</v>
      </c>
      <c r="O1932" t="str">
        <f t="shared" si="181"/>
        <v>Delivered</v>
      </c>
      <c r="P1932" t="str">
        <f t="shared" si="182"/>
        <v>WH-BLR</v>
      </c>
      <c r="Q1932" t="str">
        <f>VLOOKUP(C1932, Lookups!$A$2:$D$10, 2, FALSE())</f>
        <v>TechSupply Corp</v>
      </c>
      <c r="R1932" t="str">
        <f>_xlfn.XLOOKUP(D1932, Lookups!$A$12:$A$51, Lookups!$C$12:$C$51, "Unknown")</f>
        <v>Electronics</v>
      </c>
      <c r="S1932" t="str">
        <f>IF(ISBLANK(I1932), B1932+VLOOKUP(C1932, Lookups!$A$2:$D$10, 4, FALSE()), I1932)</f>
        <v>2026-12-28</v>
      </c>
      <c r="T1932">
        <f t="shared" si="183"/>
        <v>15</v>
      </c>
      <c r="U1932" t="str">
        <f t="shared" si="184"/>
        <v>Late</v>
      </c>
      <c r="V1932">
        <f t="shared" si="185"/>
        <v>0</v>
      </c>
    </row>
    <row r="1933" spans="1:22" x14ac:dyDescent="0.45">
      <c r="A1933" t="s">
        <v>2781</v>
      </c>
      <c r="B1933" t="s">
        <v>900</v>
      </c>
      <c r="C1933" t="s">
        <v>31</v>
      </c>
      <c r="D1933" t="s">
        <v>56</v>
      </c>
      <c r="E1933" t="s">
        <v>17</v>
      </c>
      <c r="F1933">
        <v>222</v>
      </c>
      <c r="G1933">
        <v>39270</v>
      </c>
      <c r="H1933">
        <v>8717940</v>
      </c>
      <c r="I1933" t="s">
        <v>374</v>
      </c>
      <c r="J1933" t="s">
        <v>483</v>
      </c>
      <c r="K1933">
        <v>222</v>
      </c>
      <c r="L1933">
        <v>0</v>
      </c>
      <c r="M1933" t="s">
        <v>115</v>
      </c>
      <c r="N1933" t="str">
        <f t="shared" si="180"/>
        <v>PO-101932</v>
      </c>
      <c r="O1933" t="str">
        <f t="shared" si="181"/>
        <v>Delivered</v>
      </c>
      <c r="P1933" t="str">
        <f t="shared" si="182"/>
        <v>WH-BLR</v>
      </c>
      <c r="Q1933" t="str">
        <f>VLOOKUP(C1933, Lookups!$A$2:$D$10, 2, FALSE())</f>
        <v>Global Networks</v>
      </c>
      <c r="R1933" t="str">
        <f>_xlfn.XLOOKUP(D1933, Lookups!$A$12:$A$51, Lookups!$C$12:$C$51, "Unknown")</f>
        <v>Networking</v>
      </c>
      <c r="S1933" t="str">
        <f>IF(ISBLANK(I1933), B1933+VLOOKUP(C1933, Lookups!$A$2:$D$10, 4, FALSE()), I1933)</f>
        <v>2026-05-31</v>
      </c>
      <c r="T1933">
        <f t="shared" si="183"/>
        <v>22</v>
      </c>
      <c r="U1933" t="str">
        <f t="shared" si="184"/>
        <v>Late</v>
      </c>
      <c r="V1933">
        <f t="shared" si="185"/>
        <v>0</v>
      </c>
    </row>
    <row r="1934" spans="1:22" x14ac:dyDescent="0.45">
      <c r="A1934" t="s">
        <v>2782</v>
      </c>
      <c r="B1934" t="s">
        <v>1112</v>
      </c>
      <c r="C1934" t="s">
        <v>34</v>
      </c>
      <c r="D1934" t="s">
        <v>76</v>
      </c>
      <c r="E1934" t="s">
        <v>18</v>
      </c>
      <c r="F1934">
        <v>11</v>
      </c>
      <c r="G1934">
        <v>26270</v>
      </c>
      <c r="H1934">
        <v>288970</v>
      </c>
      <c r="I1934" t="s">
        <v>743</v>
      </c>
      <c r="J1934" t="s">
        <v>954</v>
      </c>
      <c r="K1934">
        <v>11</v>
      </c>
      <c r="L1934">
        <v>0</v>
      </c>
      <c r="M1934" t="s">
        <v>115</v>
      </c>
      <c r="N1934" t="str">
        <f t="shared" si="180"/>
        <v>PO-101933</v>
      </c>
      <c r="O1934" t="str">
        <f t="shared" si="181"/>
        <v>Delivered</v>
      </c>
      <c r="P1934" t="str">
        <f t="shared" si="182"/>
        <v>WH-PUN</v>
      </c>
      <c r="Q1934" t="str">
        <f>VLOOKUP(C1934, Lookups!$A$2:$D$10, 2, FALSE())</f>
        <v>FastElectronics</v>
      </c>
      <c r="R1934" t="str">
        <f>_xlfn.XLOOKUP(D1934, Lookups!$A$12:$A$51, Lookups!$C$12:$C$51, "Unknown")</f>
        <v>Networking</v>
      </c>
      <c r="S1934" t="str">
        <f>IF(ISBLANK(I1934), B1934+VLOOKUP(C1934, Lookups!$A$2:$D$10, 4, FALSE()), I1934)</f>
        <v>2026-11-15</v>
      </c>
      <c r="T1934">
        <f t="shared" si="183"/>
        <v>19</v>
      </c>
      <c r="U1934" t="str">
        <f t="shared" si="184"/>
        <v>Late</v>
      </c>
      <c r="V1934">
        <f t="shared" si="185"/>
        <v>0</v>
      </c>
    </row>
    <row r="1935" spans="1:22" x14ac:dyDescent="0.45">
      <c r="A1935" t="s">
        <v>2783</v>
      </c>
      <c r="B1935" t="s">
        <v>1122</v>
      </c>
      <c r="C1935" t="s">
        <v>35</v>
      </c>
      <c r="D1935" t="s">
        <v>57</v>
      </c>
      <c r="E1935" t="s">
        <v>15</v>
      </c>
      <c r="F1935">
        <v>112</v>
      </c>
      <c r="G1935">
        <v>2212</v>
      </c>
      <c r="H1935">
        <v>247744</v>
      </c>
      <c r="I1935" t="s">
        <v>1343</v>
      </c>
      <c r="J1935" t="s">
        <v>335</v>
      </c>
      <c r="K1935">
        <v>112</v>
      </c>
      <c r="L1935">
        <v>0</v>
      </c>
      <c r="M1935" t="s">
        <v>115</v>
      </c>
      <c r="N1935" t="str">
        <f t="shared" si="180"/>
        <v>PO-101934</v>
      </c>
      <c r="O1935" t="str">
        <f t="shared" si="181"/>
        <v>Delivered</v>
      </c>
      <c r="P1935" t="str">
        <f t="shared" si="182"/>
        <v>WH-BOM</v>
      </c>
      <c r="Q1935" t="str">
        <f>VLOOKUP(C1935, Lookups!$A$2:$D$10, 2, FALSE())</f>
        <v>Peripheral Source</v>
      </c>
      <c r="R1935" t="str">
        <f>_xlfn.XLOOKUP(D1935, Lookups!$A$12:$A$51, Lookups!$C$12:$C$51, "Unknown")</f>
        <v>Peripherals</v>
      </c>
      <c r="S1935" t="str">
        <f>IF(ISBLANK(I1935), B1935+VLOOKUP(C1935, Lookups!$A$2:$D$10, 4, FALSE()), I1935)</f>
        <v>2026-08-24</v>
      </c>
      <c r="T1935">
        <f t="shared" si="183"/>
        <v>11</v>
      </c>
      <c r="U1935" t="str">
        <f t="shared" si="184"/>
        <v>Late</v>
      </c>
      <c r="V1935">
        <f t="shared" si="185"/>
        <v>0</v>
      </c>
    </row>
    <row r="1936" spans="1:22" x14ac:dyDescent="0.45">
      <c r="A1936" t="s">
        <v>2784</v>
      </c>
      <c r="B1936" t="s">
        <v>542</v>
      </c>
      <c r="C1936" t="s">
        <v>34</v>
      </c>
      <c r="D1936" t="s">
        <v>80</v>
      </c>
      <c r="E1936" t="s">
        <v>18</v>
      </c>
      <c r="F1936">
        <v>248</v>
      </c>
      <c r="G1936">
        <v>19090</v>
      </c>
      <c r="H1936">
        <v>4734320</v>
      </c>
      <c r="I1936" t="s">
        <v>376</v>
      </c>
      <c r="J1936" t="s">
        <v>530</v>
      </c>
      <c r="K1936">
        <v>248</v>
      </c>
      <c r="L1936">
        <v>0</v>
      </c>
      <c r="M1936" t="s">
        <v>115</v>
      </c>
      <c r="N1936" t="str">
        <f t="shared" si="180"/>
        <v>PO-101935</v>
      </c>
      <c r="O1936" t="str">
        <f t="shared" si="181"/>
        <v>Delivered</v>
      </c>
      <c r="P1936" t="str">
        <f t="shared" si="182"/>
        <v>WH-PUN</v>
      </c>
      <c r="Q1936" t="str">
        <f>VLOOKUP(C1936, Lookups!$A$2:$D$10, 2, FALSE())</f>
        <v>FastElectronics</v>
      </c>
      <c r="R1936" t="str">
        <f>_xlfn.XLOOKUP(D1936, Lookups!$A$12:$A$51, Lookups!$C$12:$C$51, "Unknown")</f>
        <v>Networking</v>
      </c>
      <c r="S1936" t="str">
        <f>IF(ISBLANK(I1936), B1936+VLOOKUP(C1936, Lookups!$A$2:$D$10, 4, FALSE()), I1936)</f>
        <v>2026-06-06</v>
      </c>
      <c r="T1936">
        <f t="shared" si="183"/>
        <v>19</v>
      </c>
      <c r="U1936" t="str">
        <f t="shared" si="184"/>
        <v>Late</v>
      </c>
      <c r="V1936">
        <f t="shared" si="185"/>
        <v>0</v>
      </c>
    </row>
    <row r="1937" spans="1:22" x14ac:dyDescent="0.45">
      <c r="A1937" t="s">
        <v>2785</v>
      </c>
      <c r="B1937" t="s">
        <v>593</v>
      </c>
      <c r="C1937" t="s">
        <v>30</v>
      </c>
      <c r="D1937" t="s">
        <v>82</v>
      </c>
      <c r="E1937" t="s">
        <v>18</v>
      </c>
      <c r="F1937">
        <v>21</v>
      </c>
      <c r="G1937">
        <v>83427</v>
      </c>
      <c r="H1937">
        <v>1751967</v>
      </c>
      <c r="I1937" t="s">
        <v>139</v>
      </c>
      <c r="J1937" t="s">
        <v>139</v>
      </c>
      <c r="K1937">
        <v>20</v>
      </c>
      <c r="L1937">
        <v>0</v>
      </c>
      <c r="M1937" t="s">
        <v>115</v>
      </c>
      <c r="N1937" t="str">
        <f t="shared" si="180"/>
        <v>PO-101936</v>
      </c>
      <c r="O1937" t="str">
        <f t="shared" si="181"/>
        <v>Delivered</v>
      </c>
      <c r="P1937" t="str">
        <f t="shared" si="182"/>
        <v>WH-PUN</v>
      </c>
      <c r="Q1937" t="str">
        <f>VLOOKUP(C1937, Lookups!$A$2:$D$10, 2, FALSE())</f>
        <v>TechSupply Corp</v>
      </c>
      <c r="R1937" t="str">
        <f>_xlfn.XLOOKUP(D1937, Lookups!$A$12:$A$51, Lookups!$C$12:$C$51, "Unknown")</f>
        <v>Electronics</v>
      </c>
      <c r="S1937" t="str">
        <f>IF(ISBLANK(I1937), B1937+VLOOKUP(C1937, Lookups!$A$2:$D$10, 4, FALSE()), I1937)</f>
        <v>2025-09-29</v>
      </c>
      <c r="T1937">
        <f t="shared" si="183"/>
        <v>14</v>
      </c>
      <c r="U1937" t="str">
        <f t="shared" si="184"/>
        <v>On-Time</v>
      </c>
      <c r="V1937">
        <f t="shared" si="185"/>
        <v>0</v>
      </c>
    </row>
    <row r="1938" spans="1:22" x14ac:dyDescent="0.45">
      <c r="A1938" t="s">
        <v>2786</v>
      </c>
      <c r="B1938" t="s">
        <v>447</v>
      </c>
      <c r="C1938" t="s">
        <v>35</v>
      </c>
      <c r="D1938" t="s">
        <v>60</v>
      </c>
      <c r="E1938" t="s">
        <v>18</v>
      </c>
      <c r="F1938">
        <v>89</v>
      </c>
      <c r="G1938">
        <v>3291</v>
      </c>
      <c r="H1938">
        <v>292899</v>
      </c>
      <c r="I1938" t="s">
        <v>1302</v>
      </c>
      <c r="J1938" t="s">
        <v>1430</v>
      </c>
      <c r="K1938">
        <v>89</v>
      </c>
      <c r="L1938">
        <v>6</v>
      </c>
      <c r="M1938" t="s">
        <v>115</v>
      </c>
      <c r="N1938" t="str">
        <f t="shared" si="180"/>
        <v>PO-101937</v>
      </c>
      <c r="O1938" t="str">
        <f t="shared" si="181"/>
        <v>Delivered</v>
      </c>
      <c r="P1938" t="str">
        <f t="shared" si="182"/>
        <v>WH-PUN</v>
      </c>
      <c r="Q1938" t="str">
        <f>VLOOKUP(C1938, Lookups!$A$2:$D$10, 2, FALSE())</f>
        <v>Peripheral Source</v>
      </c>
      <c r="R1938" t="str">
        <f>_xlfn.XLOOKUP(D1938, Lookups!$A$12:$A$51, Lookups!$C$12:$C$51, "Unknown")</f>
        <v>Peripherals</v>
      </c>
      <c r="S1938" t="str">
        <f>IF(ISBLANK(I1938), B1938+VLOOKUP(C1938, Lookups!$A$2:$D$10, 4, FALSE()), I1938)</f>
        <v>2025-12-27</v>
      </c>
      <c r="T1938">
        <f t="shared" si="183"/>
        <v>11</v>
      </c>
      <c r="U1938" t="str">
        <f t="shared" si="184"/>
        <v>Late</v>
      </c>
      <c r="V1938">
        <f t="shared" si="185"/>
        <v>6.741573033707865E-2</v>
      </c>
    </row>
    <row r="1939" spans="1:22" x14ac:dyDescent="0.45">
      <c r="A1939" t="s">
        <v>2787</v>
      </c>
      <c r="B1939" t="s">
        <v>741</v>
      </c>
      <c r="C1939" t="s">
        <v>35</v>
      </c>
      <c r="D1939" t="s">
        <v>70</v>
      </c>
      <c r="E1939" t="s">
        <v>18</v>
      </c>
      <c r="F1939">
        <v>145</v>
      </c>
      <c r="G1939">
        <v>4287</v>
      </c>
      <c r="H1939">
        <v>621615</v>
      </c>
      <c r="I1939" t="s">
        <v>1090</v>
      </c>
      <c r="J1939" t="s">
        <v>432</v>
      </c>
      <c r="K1939">
        <v>145</v>
      </c>
      <c r="L1939">
        <v>0</v>
      </c>
      <c r="M1939" t="s">
        <v>115</v>
      </c>
      <c r="N1939" t="str">
        <f t="shared" si="180"/>
        <v>PO-101938</v>
      </c>
      <c r="O1939" t="str">
        <f t="shared" si="181"/>
        <v>Delivered</v>
      </c>
      <c r="P1939" t="str">
        <f t="shared" si="182"/>
        <v>WH-PUN</v>
      </c>
      <c r="Q1939" t="str">
        <f>VLOOKUP(C1939, Lookups!$A$2:$D$10, 2, FALSE())</f>
        <v>Peripheral Source</v>
      </c>
      <c r="R1939" t="str">
        <f>_xlfn.XLOOKUP(D1939, Lookups!$A$12:$A$51, Lookups!$C$12:$C$51, "Unknown")</f>
        <v>Peripherals</v>
      </c>
      <c r="S1939" t="str">
        <f>IF(ISBLANK(I1939), B1939+VLOOKUP(C1939, Lookups!$A$2:$D$10, 4, FALSE()), I1939)</f>
        <v>2025-03-15</v>
      </c>
      <c r="T1939">
        <f t="shared" si="183"/>
        <v>20</v>
      </c>
      <c r="U1939" t="str">
        <f t="shared" si="184"/>
        <v>Late</v>
      </c>
      <c r="V1939">
        <f t="shared" si="185"/>
        <v>0</v>
      </c>
    </row>
    <row r="1940" spans="1:22" x14ac:dyDescent="0.45">
      <c r="A1940" t="s">
        <v>2788</v>
      </c>
      <c r="B1940" t="s">
        <v>1058</v>
      </c>
      <c r="C1940" t="s">
        <v>35</v>
      </c>
      <c r="D1940" t="s">
        <v>75</v>
      </c>
      <c r="E1940" t="s">
        <v>17</v>
      </c>
      <c r="F1940">
        <v>199</v>
      </c>
      <c r="G1940">
        <v>4440</v>
      </c>
      <c r="H1940">
        <v>883560</v>
      </c>
      <c r="I1940" t="s">
        <v>1432</v>
      </c>
      <c r="J1940" t="s">
        <v>1432</v>
      </c>
      <c r="K1940">
        <v>108</v>
      </c>
      <c r="L1940">
        <v>0</v>
      </c>
      <c r="M1940" t="s">
        <v>115</v>
      </c>
      <c r="N1940" t="str">
        <f t="shared" si="180"/>
        <v>PO-101939</v>
      </c>
      <c r="O1940" t="str">
        <f t="shared" si="181"/>
        <v>Delivered</v>
      </c>
      <c r="P1940" t="str">
        <f t="shared" si="182"/>
        <v>WH-BLR</v>
      </c>
      <c r="Q1940" t="str">
        <f>VLOOKUP(C1940, Lookups!$A$2:$D$10, 2, FALSE())</f>
        <v>Peripheral Source</v>
      </c>
      <c r="R1940" t="str">
        <f>_xlfn.XLOOKUP(D1940, Lookups!$A$12:$A$51, Lookups!$C$12:$C$51, "Unknown")</f>
        <v>Peripherals</v>
      </c>
      <c r="S1940" t="str">
        <f>IF(ISBLANK(I1940), B1940+VLOOKUP(C1940, Lookups!$A$2:$D$10, 4, FALSE()), I1940)</f>
        <v>2026-05-05</v>
      </c>
      <c r="T1940">
        <f t="shared" si="183"/>
        <v>10</v>
      </c>
      <c r="U1940" t="str">
        <f t="shared" si="184"/>
        <v>On-Time</v>
      </c>
      <c r="V1940">
        <f t="shared" si="185"/>
        <v>0</v>
      </c>
    </row>
    <row r="1941" spans="1:22" x14ac:dyDescent="0.45">
      <c r="A1941" t="s">
        <v>2789</v>
      </c>
      <c r="B1941" t="s">
        <v>420</v>
      </c>
      <c r="C1941" t="s">
        <v>35</v>
      </c>
      <c r="D1941" t="s">
        <v>75</v>
      </c>
      <c r="E1941" t="s">
        <v>15</v>
      </c>
      <c r="F1941">
        <v>116</v>
      </c>
      <c r="G1941">
        <v>4440</v>
      </c>
      <c r="H1941">
        <v>515040</v>
      </c>
      <c r="I1941" t="s">
        <v>226</v>
      </c>
      <c r="J1941" t="s">
        <v>226</v>
      </c>
      <c r="K1941">
        <v>116</v>
      </c>
      <c r="L1941">
        <v>0</v>
      </c>
      <c r="M1941" t="s">
        <v>115</v>
      </c>
      <c r="N1941" t="str">
        <f t="shared" si="180"/>
        <v>PO-101940</v>
      </c>
      <c r="O1941" t="str">
        <f t="shared" si="181"/>
        <v>Delivered</v>
      </c>
      <c r="P1941" t="str">
        <f t="shared" si="182"/>
        <v>WH-BOM</v>
      </c>
      <c r="Q1941" t="str">
        <f>VLOOKUP(C1941, Lookups!$A$2:$D$10, 2, FALSE())</f>
        <v>Peripheral Source</v>
      </c>
      <c r="R1941" t="str">
        <f>_xlfn.XLOOKUP(D1941, Lookups!$A$12:$A$51, Lookups!$C$12:$C$51, "Unknown")</f>
        <v>Peripherals</v>
      </c>
      <c r="S1941" t="str">
        <f>IF(ISBLANK(I1941), B1941+VLOOKUP(C1941, Lookups!$A$2:$D$10, 4, FALSE()), I1941)</f>
        <v>2026-08-01</v>
      </c>
      <c r="T1941">
        <f t="shared" si="183"/>
        <v>10</v>
      </c>
      <c r="U1941" t="str">
        <f t="shared" si="184"/>
        <v>On-Time</v>
      </c>
      <c r="V1941">
        <f t="shared" si="185"/>
        <v>0</v>
      </c>
    </row>
    <row r="1942" spans="1:22" x14ac:dyDescent="0.45">
      <c r="A1942" t="s">
        <v>2790</v>
      </c>
      <c r="B1942" t="s">
        <v>811</v>
      </c>
      <c r="C1942" t="s">
        <v>31</v>
      </c>
      <c r="D1942" t="s">
        <v>66</v>
      </c>
      <c r="E1942" t="s">
        <v>18</v>
      </c>
      <c r="F1942">
        <v>210</v>
      </c>
      <c r="G1942">
        <v>29719</v>
      </c>
      <c r="H1942">
        <v>6240990</v>
      </c>
      <c r="I1942" t="s">
        <v>2791</v>
      </c>
      <c r="K1942">
        <v>0</v>
      </c>
      <c r="L1942">
        <v>0</v>
      </c>
      <c r="M1942" t="s">
        <v>297</v>
      </c>
      <c r="N1942" t="str">
        <f t="shared" si="180"/>
        <v>PO-101941</v>
      </c>
      <c r="O1942" t="str">
        <f t="shared" si="181"/>
        <v>Open</v>
      </c>
      <c r="P1942" t="str">
        <f t="shared" si="182"/>
        <v>WH-PUN</v>
      </c>
      <c r="Q1942" t="str">
        <f>VLOOKUP(C1942, Lookups!$A$2:$D$10, 2, FALSE())</f>
        <v>Global Networks</v>
      </c>
      <c r="R1942" t="str">
        <f>_xlfn.XLOOKUP(D1942, Lookups!$A$12:$A$51, Lookups!$C$12:$C$51, "Unknown")</f>
        <v>Networking</v>
      </c>
      <c r="S1942" t="str">
        <f>IF(ISBLANK(I1942), B1942+VLOOKUP(C1942, Lookups!$A$2:$D$10, 4, FALSE()), I1942)</f>
        <v>2026-12-18</v>
      </c>
      <c r="T1942" t="str">
        <f t="shared" si="183"/>
        <v/>
      </c>
      <c r="U1942" t="str">
        <f t="shared" si="184"/>
        <v>Open</v>
      </c>
      <c r="V1942">
        <f t="shared" si="185"/>
        <v>0</v>
      </c>
    </row>
    <row r="1943" spans="1:22" x14ac:dyDescent="0.45">
      <c r="A1943" t="s">
        <v>2792</v>
      </c>
      <c r="B1943" t="s">
        <v>1433</v>
      </c>
      <c r="C1943" t="s">
        <v>35</v>
      </c>
      <c r="D1943" t="s">
        <v>60</v>
      </c>
      <c r="E1943" t="s">
        <v>17</v>
      </c>
      <c r="F1943">
        <v>116</v>
      </c>
      <c r="G1943">
        <v>3291</v>
      </c>
      <c r="H1943">
        <v>381756</v>
      </c>
      <c r="I1943" t="s">
        <v>1463</v>
      </c>
      <c r="J1943" t="s">
        <v>415</v>
      </c>
      <c r="K1943">
        <v>116</v>
      </c>
      <c r="L1943">
        <v>6</v>
      </c>
      <c r="M1943" t="s">
        <v>115</v>
      </c>
      <c r="N1943" t="str">
        <f t="shared" si="180"/>
        <v>PO-101942</v>
      </c>
      <c r="O1943" t="str">
        <f t="shared" si="181"/>
        <v>Delivered</v>
      </c>
      <c r="P1943" t="str">
        <f t="shared" si="182"/>
        <v>WH-BLR</v>
      </c>
      <c r="Q1943" t="str">
        <f>VLOOKUP(C1943, Lookups!$A$2:$D$10, 2, FALSE())</f>
        <v>Peripheral Source</v>
      </c>
      <c r="R1943" t="str">
        <f>_xlfn.XLOOKUP(D1943, Lookups!$A$12:$A$51, Lookups!$C$12:$C$51, "Unknown")</f>
        <v>Peripherals</v>
      </c>
      <c r="S1943" t="str">
        <f>IF(ISBLANK(I1943), B1943+VLOOKUP(C1943, Lookups!$A$2:$D$10, 4, FALSE()), I1943)</f>
        <v>2026-05-16</v>
      </c>
      <c r="T1943">
        <f t="shared" si="183"/>
        <v>11</v>
      </c>
      <c r="U1943" t="str">
        <f t="shared" si="184"/>
        <v>Late</v>
      </c>
      <c r="V1943">
        <f t="shared" si="185"/>
        <v>5.1724137931034482E-2</v>
      </c>
    </row>
    <row r="1944" spans="1:22" x14ac:dyDescent="0.45">
      <c r="A1944" t="s">
        <v>2793</v>
      </c>
      <c r="B1944" t="s">
        <v>1737</v>
      </c>
      <c r="C1944" t="s">
        <v>34</v>
      </c>
      <c r="D1944" t="s">
        <v>68</v>
      </c>
      <c r="E1944" t="s">
        <v>16</v>
      </c>
      <c r="F1944">
        <v>24</v>
      </c>
      <c r="G1944">
        <v>41405</v>
      </c>
      <c r="H1944">
        <v>993720</v>
      </c>
      <c r="I1944" t="s">
        <v>1537</v>
      </c>
      <c r="J1944" t="s">
        <v>1456</v>
      </c>
      <c r="K1944">
        <v>24</v>
      </c>
      <c r="L1944">
        <v>0</v>
      </c>
      <c r="M1944" t="s">
        <v>115</v>
      </c>
      <c r="N1944" t="str">
        <f t="shared" si="180"/>
        <v>PO-101943</v>
      </c>
      <c r="O1944" t="str">
        <f t="shared" si="181"/>
        <v>Delivered</v>
      </c>
      <c r="P1944" t="str">
        <f t="shared" si="182"/>
        <v>WH-DEL</v>
      </c>
      <c r="Q1944" t="str">
        <f>VLOOKUP(C1944, Lookups!$A$2:$D$10, 2, FALSE())</f>
        <v>FastElectronics</v>
      </c>
      <c r="R1944" t="str">
        <f>_xlfn.XLOOKUP(D1944, Lookups!$A$12:$A$51, Lookups!$C$12:$C$51, "Unknown")</f>
        <v>Networking</v>
      </c>
      <c r="S1944" t="str">
        <f>IF(ISBLANK(I1944), B1944+VLOOKUP(C1944, Lookups!$A$2:$D$10, 4, FALSE()), I1944)</f>
        <v>2025-04-18</v>
      </c>
      <c r="T1944">
        <f t="shared" si="183"/>
        <v>15</v>
      </c>
      <c r="U1944" t="str">
        <f t="shared" si="184"/>
        <v>On-Time</v>
      </c>
      <c r="V1944">
        <f t="shared" si="185"/>
        <v>0</v>
      </c>
    </row>
    <row r="1945" spans="1:22" x14ac:dyDescent="0.45">
      <c r="A1945" t="s">
        <v>2794</v>
      </c>
      <c r="B1945" t="s">
        <v>1673</v>
      </c>
      <c r="C1945" t="s">
        <v>32</v>
      </c>
      <c r="D1945" t="s">
        <v>67</v>
      </c>
      <c r="E1945" t="s">
        <v>15</v>
      </c>
      <c r="F1945">
        <v>239</v>
      </c>
      <c r="G1945">
        <v>1553</v>
      </c>
      <c r="H1945">
        <v>371167</v>
      </c>
      <c r="I1945" t="s">
        <v>568</v>
      </c>
      <c r="J1945" t="s">
        <v>784</v>
      </c>
      <c r="K1945">
        <v>239</v>
      </c>
      <c r="L1945">
        <v>0</v>
      </c>
      <c r="M1945" t="s">
        <v>115</v>
      </c>
      <c r="N1945" t="str">
        <f t="shared" si="180"/>
        <v>PO-101944</v>
      </c>
      <c r="O1945" t="str">
        <f t="shared" si="181"/>
        <v>Delivered</v>
      </c>
      <c r="P1945" t="str">
        <f t="shared" si="182"/>
        <v>WH-BOM</v>
      </c>
      <c r="Q1945" t="str">
        <f>VLOOKUP(C1945, Lookups!$A$2:$D$10, 2, FALSE())</f>
        <v>OfficeDepot Pro</v>
      </c>
      <c r="R1945" t="str">
        <f>_xlfn.XLOOKUP(D1945, Lookups!$A$12:$A$51, Lookups!$C$12:$C$51, "Unknown")</f>
        <v>Peripherals</v>
      </c>
      <c r="S1945" t="str">
        <f>IF(ISBLANK(I1945), B1945+VLOOKUP(C1945, Lookups!$A$2:$D$10, 4, FALSE()), I1945)</f>
        <v>2025-09-09</v>
      </c>
      <c r="T1945">
        <f t="shared" si="183"/>
        <v>10</v>
      </c>
      <c r="U1945" t="str">
        <f t="shared" si="184"/>
        <v>Late</v>
      </c>
      <c r="V1945">
        <f t="shared" si="185"/>
        <v>0</v>
      </c>
    </row>
    <row r="1946" spans="1:22" x14ac:dyDescent="0.45">
      <c r="A1946" t="s">
        <v>2795</v>
      </c>
      <c r="B1946" t="s">
        <v>954</v>
      </c>
      <c r="C1946" t="s">
        <v>30</v>
      </c>
      <c r="D1946" t="s">
        <v>53</v>
      </c>
      <c r="E1946" t="s">
        <v>18</v>
      </c>
      <c r="F1946">
        <v>100</v>
      </c>
      <c r="G1946">
        <v>81048</v>
      </c>
      <c r="H1946">
        <v>8104800</v>
      </c>
      <c r="I1946" t="s">
        <v>1140</v>
      </c>
      <c r="J1946" t="s">
        <v>382</v>
      </c>
      <c r="K1946">
        <v>100</v>
      </c>
      <c r="L1946">
        <v>0</v>
      </c>
      <c r="M1946" t="s">
        <v>115</v>
      </c>
      <c r="N1946" t="str">
        <f t="shared" si="180"/>
        <v>PO-101945</v>
      </c>
      <c r="O1946" t="str">
        <f t="shared" si="181"/>
        <v>Delivered</v>
      </c>
      <c r="P1946" t="str">
        <f t="shared" si="182"/>
        <v>WH-PUN</v>
      </c>
      <c r="Q1946" t="str">
        <f>VLOOKUP(C1946, Lookups!$A$2:$D$10, 2, FALSE())</f>
        <v>TechSupply Corp</v>
      </c>
      <c r="R1946" t="str">
        <f>_xlfn.XLOOKUP(D1946, Lookups!$A$12:$A$51, Lookups!$C$12:$C$51, "Unknown")</f>
        <v>Electronics</v>
      </c>
      <c r="S1946" t="str">
        <f>IF(ISBLANK(I1946), B1946+VLOOKUP(C1946, Lookups!$A$2:$D$10, 4, FALSE()), I1946)</f>
        <v>2026-11-30</v>
      </c>
      <c r="T1946">
        <f t="shared" si="183"/>
        <v>15</v>
      </c>
      <c r="U1946" t="str">
        <f t="shared" si="184"/>
        <v>Late</v>
      </c>
      <c r="V1946">
        <f t="shared" si="185"/>
        <v>0</v>
      </c>
    </row>
    <row r="1947" spans="1:22" x14ac:dyDescent="0.45">
      <c r="A1947" t="s">
        <v>2796</v>
      </c>
      <c r="B1947" t="s">
        <v>851</v>
      </c>
      <c r="C1947" t="s">
        <v>35</v>
      </c>
      <c r="D1947" t="s">
        <v>60</v>
      </c>
      <c r="E1947" t="s">
        <v>17</v>
      </c>
      <c r="F1947">
        <v>101</v>
      </c>
      <c r="G1947">
        <v>3291</v>
      </c>
      <c r="H1947">
        <v>332391</v>
      </c>
      <c r="I1947" t="s">
        <v>708</v>
      </c>
      <c r="J1947" t="s">
        <v>342</v>
      </c>
      <c r="K1947">
        <v>101</v>
      </c>
      <c r="L1947">
        <v>4</v>
      </c>
      <c r="M1947" t="s">
        <v>115</v>
      </c>
      <c r="N1947" t="str">
        <f t="shared" si="180"/>
        <v>PO-101946</v>
      </c>
      <c r="O1947" t="str">
        <f t="shared" si="181"/>
        <v>Delivered</v>
      </c>
      <c r="P1947" t="str">
        <f t="shared" si="182"/>
        <v>WH-BLR</v>
      </c>
      <c r="Q1947" t="str">
        <f>VLOOKUP(C1947, Lookups!$A$2:$D$10, 2, FALSE())</f>
        <v>Peripheral Source</v>
      </c>
      <c r="R1947" t="str">
        <f>_xlfn.XLOOKUP(D1947, Lookups!$A$12:$A$51, Lookups!$C$12:$C$51, "Unknown")</f>
        <v>Peripherals</v>
      </c>
      <c r="S1947" t="str">
        <f>IF(ISBLANK(I1947), B1947+VLOOKUP(C1947, Lookups!$A$2:$D$10, 4, FALSE()), I1947)</f>
        <v>2026-01-26</v>
      </c>
      <c r="T1947">
        <f t="shared" si="183"/>
        <v>18</v>
      </c>
      <c r="U1947" t="str">
        <f t="shared" si="184"/>
        <v>Late</v>
      </c>
      <c r="V1947">
        <f t="shared" si="185"/>
        <v>3.9603960396039604E-2</v>
      </c>
    </row>
    <row r="1948" spans="1:22" x14ac:dyDescent="0.45">
      <c r="A1948" t="s">
        <v>2797</v>
      </c>
      <c r="B1948" t="s">
        <v>705</v>
      </c>
      <c r="C1948" t="s">
        <v>36</v>
      </c>
      <c r="D1948" t="s">
        <v>90</v>
      </c>
      <c r="E1948" t="s">
        <v>18</v>
      </c>
      <c r="F1948">
        <v>249</v>
      </c>
      <c r="G1948">
        <v>81434</v>
      </c>
      <c r="H1948">
        <v>20277066</v>
      </c>
      <c r="I1948" t="s">
        <v>361</v>
      </c>
      <c r="J1948" t="s">
        <v>887</v>
      </c>
      <c r="K1948">
        <v>249</v>
      </c>
      <c r="L1948">
        <v>0</v>
      </c>
      <c r="M1948" t="s">
        <v>115</v>
      </c>
      <c r="N1948" t="str">
        <f t="shared" si="180"/>
        <v>PO-101947</v>
      </c>
      <c r="O1948" t="str">
        <f t="shared" si="181"/>
        <v>Delivered</v>
      </c>
      <c r="P1948" t="str">
        <f t="shared" si="182"/>
        <v>WH-PUN</v>
      </c>
      <c r="Q1948" t="str">
        <f>VLOOKUP(C1948, Lookups!$A$2:$D$10, 2, FALSE())</f>
        <v>NextGen Hardware</v>
      </c>
      <c r="R1948" t="str">
        <f>_xlfn.XLOOKUP(D1948, Lookups!$A$12:$A$51, Lookups!$C$12:$C$51, "Unknown")</f>
        <v>Electronics</v>
      </c>
      <c r="S1948" t="str">
        <f>IF(ISBLANK(I1948), B1948+VLOOKUP(C1948, Lookups!$A$2:$D$10, 4, FALSE()), I1948)</f>
        <v>2026-03-22</v>
      </c>
      <c r="T1948">
        <f t="shared" si="183"/>
        <v>25</v>
      </c>
      <c r="U1948" t="str">
        <f t="shared" si="184"/>
        <v>Late</v>
      </c>
      <c r="V1948">
        <f t="shared" si="185"/>
        <v>0</v>
      </c>
    </row>
    <row r="1949" spans="1:22" x14ac:dyDescent="0.45">
      <c r="A1949" t="s">
        <v>2798</v>
      </c>
      <c r="B1949" t="s">
        <v>1075</v>
      </c>
      <c r="C1949" t="s">
        <v>31</v>
      </c>
      <c r="D1949" t="s">
        <v>56</v>
      </c>
      <c r="E1949" t="s">
        <v>18</v>
      </c>
      <c r="F1949">
        <v>156</v>
      </c>
      <c r="G1949">
        <v>39270</v>
      </c>
      <c r="H1949">
        <v>6126120</v>
      </c>
      <c r="I1949" t="s">
        <v>937</v>
      </c>
      <c r="J1949" t="s">
        <v>937</v>
      </c>
      <c r="K1949">
        <v>156</v>
      </c>
      <c r="L1949">
        <v>0</v>
      </c>
      <c r="M1949" t="s">
        <v>115</v>
      </c>
      <c r="N1949" t="str">
        <f t="shared" si="180"/>
        <v>PO-101948</v>
      </c>
      <c r="O1949" t="str">
        <f t="shared" si="181"/>
        <v>Delivered</v>
      </c>
      <c r="P1949" t="str">
        <f t="shared" si="182"/>
        <v>WH-PUN</v>
      </c>
      <c r="Q1949" t="str">
        <f>VLOOKUP(C1949, Lookups!$A$2:$D$10, 2, FALSE())</f>
        <v>Global Networks</v>
      </c>
      <c r="R1949" t="str">
        <f>_xlfn.XLOOKUP(D1949, Lookups!$A$12:$A$51, Lookups!$C$12:$C$51, "Unknown")</f>
        <v>Networking</v>
      </c>
      <c r="S1949" t="str">
        <f>IF(ISBLANK(I1949), B1949+VLOOKUP(C1949, Lookups!$A$2:$D$10, 4, FALSE()), I1949)</f>
        <v>2025-12-12</v>
      </c>
      <c r="T1949">
        <f t="shared" si="183"/>
        <v>21</v>
      </c>
      <c r="U1949" t="str">
        <f t="shared" si="184"/>
        <v>On-Time</v>
      </c>
      <c r="V1949">
        <f t="shared" si="185"/>
        <v>0</v>
      </c>
    </row>
    <row r="1950" spans="1:22" x14ac:dyDescent="0.45">
      <c r="A1950" t="s">
        <v>2799</v>
      </c>
      <c r="B1950" t="s">
        <v>498</v>
      </c>
      <c r="C1950" t="s">
        <v>32</v>
      </c>
      <c r="D1950" t="s">
        <v>67</v>
      </c>
      <c r="E1950" t="s">
        <v>17</v>
      </c>
      <c r="F1950">
        <v>99</v>
      </c>
      <c r="G1950">
        <v>1553</v>
      </c>
      <c r="H1950">
        <v>153747</v>
      </c>
      <c r="I1950" t="s">
        <v>911</v>
      </c>
      <c r="J1950" t="s">
        <v>1165</v>
      </c>
      <c r="K1950">
        <v>99</v>
      </c>
      <c r="L1950">
        <v>0</v>
      </c>
      <c r="M1950" t="s">
        <v>115</v>
      </c>
      <c r="N1950" t="str">
        <f t="shared" si="180"/>
        <v>PO-101949</v>
      </c>
      <c r="O1950" t="str">
        <f t="shared" si="181"/>
        <v>Delivered</v>
      </c>
      <c r="P1950" t="str">
        <f t="shared" si="182"/>
        <v>WH-BLR</v>
      </c>
      <c r="Q1950" t="str">
        <f>VLOOKUP(C1950, Lookups!$A$2:$D$10, 2, FALSE())</f>
        <v>OfficeDepot Pro</v>
      </c>
      <c r="R1950" t="str">
        <f>_xlfn.XLOOKUP(D1950, Lookups!$A$12:$A$51, Lookups!$C$12:$C$51, "Unknown")</f>
        <v>Peripherals</v>
      </c>
      <c r="S1950" t="str">
        <f>IF(ISBLANK(I1950), B1950+VLOOKUP(C1950, Lookups!$A$2:$D$10, 4, FALSE()), I1950)</f>
        <v>2025-04-09</v>
      </c>
      <c r="T1950">
        <f t="shared" si="183"/>
        <v>8</v>
      </c>
      <c r="U1950" t="str">
        <f t="shared" si="184"/>
        <v>Late</v>
      </c>
      <c r="V1950">
        <f t="shared" si="185"/>
        <v>0</v>
      </c>
    </row>
    <row r="1951" spans="1:22" x14ac:dyDescent="0.45">
      <c r="A1951" t="s">
        <v>2800</v>
      </c>
      <c r="B1951" t="s">
        <v>875</v>
      </c>
      <c r="C1951" t="s">
        <v>35</v>
      </c>
      <c r="D1951" t="s">
        <v>65</v>
      </c>
      <c r="E1951" t="s">
        <v>17</v>
      </c>
      <c r="F1951">
        <v>191</v>
      </c>
      <c r="G1951">
        <v>4936</v>
      </c>
      <c r="H1951">
        <v>942776</v>
      </c>
      <c r="I1951" t="s">
        <v>1584</v>
      </c>
      <c r="J1951" t="s">
        <v>198</v>
      </c>
      <c r="K1951">
        <v>191</v>
      </c>
      <c r="L1951">
        <v>21</v>
      </c>
      <c r="M1951" t="s">
        <v>115</v>
      </c>
      <c r="N1951" t="str">
        <f t="shared" si="180"/>
        <v>PO-101950</v>
      </c>
      <c r="O1951" t="str">
        <f t="shared" si="181"/>
        <v>Delivered</v>
      </c>
      <c r="P1951" t="str">
        <f t="shared" si="182"/>
        <v>WH-BLR</v>
      </c>
      <c r="Q1951" t="str">
        <f>VLOOKUP(C1951, Lookups!$A$2:$D$10, 2, FALSE())</f>
        <v>Peripheral Source</v>
      </c>
      <c r="R1951" t="str">
        <f>_xlfn.XLOOKUP(D1951, Lookups!$A$12:$A$51, Lookups!$C$12:$C$51, "Unknown")</f>
        <v>Peripherals</v>
      </c>
      <c r="S1951" t="str">
        <f>IF(ISBLANK(I1951), B1951+VLOOKUP(C1951, Lookups!$A$2:$D$10, 4, FALSE()), I1951)</f>
        <v>2025-09-21</v>
      </c>
      <c r="T1951">
        <f t="shared" si="183"/>
        <v>11</v>
      </c>
      <c r="U1951" t="str">
        <f t="shared" si="184"/>
        <v>Late</v>
      </c>
      <c r="V1951">
        <f t="shared" si="185"/>
        <v>0.1099476439790576</v>
      </c>
    </row>
    <row r="1952" spans="1:22" x14ac:dyDescent="0.45">
      <c r="A1952" t="s">
        <v>2801</v>
      </c>
      <c r="B1952" t="s">
        <v>908</v>
      </c>
      <c r="C1952" t="s">
        <v>30</v>
      </c>
      <c r="D1952" t="s">
        <v>61</v>
      </c>
      <c r="E1952" t="s">
        <v>17</v>
      </c>
      <c r="F1952">
        <v>184</v>
      </c>
      <c r="G1952">
        <v>111237</v>
      </c>
      <c r="H1952">
        <v>20467608</v>
      </c>
      <c r="I1952" t="s">
        <v>130</v>
      </c>
      <c r="J1952" t="s">
        <v>130</v>
      </c>
      <c r="K1952">
        <v>184</v>
      </c>
      <c r="L1952">
        <v>0</v>
      </c>
      <c r="M1952" t="s">
        <v>115</v>
      </c>
      <c r="N1952" t="str">
        <f t="shared" si="180"/>
        <v>PO-101951</v>
      </c>
      <c r="O1952" t="str">
        <f t="shared" si="181"/>
        <v>Delivered</v>
      </c>
      <c r="P1952" t="str">
        <f t="shared" si="182"/>
        <v>WH-BLR</v>
      </c>
      <c r="Q1952" t="str">
        <f>VLOOKUP(C1952, Lookups!$A$2:$D$10, 2, FALSE())</f>
        <v>TechSupply Corp</v>
      </c>
      <c r="R1952" t="str">
        <f>_xlfn.XLOOKUP(D1952, Lookups!$A$12:$A$51, Lookups!$C$12:$C$51, "Unknown")</f>
        <v>Electronics</v>
      </c>
      <c r="S1952" t="str">
        <f>IF(ISBLANK(I1952), B1952+VLOOKUP(C1952, Lookups!$A$2:$D$10, 4, FALSE()), I1952)</f>
        <v>2026-07-15</v>
      </c>
      <c r="T1952">
        <f t="shared" si="183"/>
        <v>14</v>
      </c>
      <c r="U1952" t="str">
        <f t="shared" si="184"/>
        <v>On-Time</v>
      </c>
      <c r="V1952">
        <f t="shared" si="185"/>
        <v>0</v>
      </c>
    </row>
    <row r="1953" spans="1:22" x14ac:dyDescent="0.45">
      <c r="A1953" t="s">
        <v>2802</v>
      </c>
      <c r="B1953" t="s">
        <v>1615</v>
      </c>
      <c r="C1953" t="s">
        <v>30</v>
      </c>
      <c r="D1953" t="s">
        <v>59</v>
      </c>
      <c r="E1953" t="s">
        <v>18</v>
      </c>
      <c r="F1953">
        <v>43</v>
      </c>
      <c r="G1953">
        <v>48905</v>
      </c>
      <c r="H1953">
        <v>2102915</v>
      </c>
      <c r="I1953" t="s">
        <v>349</v>
      </c>
      <c r="J1953" t="s">
        <v>350</v>
      </c>
      <c r="K1953">
        <v>43</v>
      </c>
      <c r="L1953">
        <v>0</v>
      </c>
      <c r="M1953" t="s">
        <v>115</v>
      </c>
      <c r="N1953" t="str">
        <f t="shared" si="180"/>
        <v>PO-101952</v>
      </c>
      <c r="O1953" t="str">
        <f t="shared" si="181"/>
        <v>Delivered</v>
      </c>
      <c r="P1953" t="str">
        <f t="shared" si="182"/>
        <v>WH-PUN</v>
      </c>
      <c r="Q1953" t="str">
        <f>VLOOKUP(C1953, Lookups!$A$2:$D$10, 2, FALSE())</f>
        <v>TechSupply Corp</v>
      </c>
      <c r="R1953" t="str">
        <f>_xlfn.XLOOKUP(D1953, Lookups!$A$12:$A$51, Lookups!$C$12:$C$51, "Unknown")</f>
        <v>Electronics</v>
      </c>
      <c r="S1953" t="str">
        <f>IF(ISBLANK(I1953), B1953+VLOOKUP(C1953, Lookups!$A$2:$D$10, 4, FALSE()), I1953)</f>
        <v>2026-09-04</v>
      </c>
      <c r="T1953">
        <f t="shared" si="183"/>
        <v>15</v>
      </c>
      <c r="U1953" t="str">
        <f t="shared" si="184"/>
        <v>Late</v>
      </c>
      <c r="V1953">
        <f t="shared" si="185"/>
        <v>0</v>
      </c>
    </row>
    <row r="1954" spans="1:22" x14ac:dyDescent="0.45">
      <c r="A1954" t="s">
        <v>2803</v>
      </c>
      <c r="B1954" t="s">
        <v>1003</v>
      </c>
      <c r="C1954" t="s">
        <v>37</v>
      </c>
      <c r="D1954" t="s">
        <v>78</v>
      </c>
      <c r="E1954" t="s">
        <v>16</v>
      </c>
      <c r="F1954">
        <v>161</v>
      </c>
      <c r="G1954">
        <v>9423</v>
      </c>
      <c r="H1954">
        <v>1517103</v>
      </c>
      <c r="I1954" t="s">
        <v>411</v>
      </c>
      <c r="J1954" t="s">
        <v>1095</v>
      </c>
      <c r="K1954">
        <v>161</v>
      </c>
      <c r="L1954">
        <v>0</v>
      </c>
      <c r="M1954" t="s">
        <v>115</v>
      </c>
      <c r="N1954" t="str">
        <f t="shared" si="180"/>
        <v>PO-101953</v>
      </c>
      <c r="O1954" t="str">
        <f t="shared" si="181"/>
        <v>Delivered</v>
      </c>
      <c r="P1954" t="str">
        <f t="shared" si="182"/>
        <v>WH-DEL</v>
      </c>
      <c r="Q1954" t="str">
        <f>VLOOKUP(C1954, Lookups!$A$2:$D$10, 2, FALSE())</f>
        <v>Premium Desks Ltd</v>
      </c>
      <c r="R1954" t="str">
        <f>_xlfn.XLOOKUP(D1954, Lookups!$A$12:$A$51, Lookups!$C$12:$C$51, "Unknown")</f>
        <v>Office Furniture</v>
      </c>
      <c r="S1954" t="str">
        <f>IF(ISBLANK(I1954), B1954+VLOOKUP(C1954, Lookups!$A$2:$D$10, 4, FALSE()), I1954)</f>
        <v>2026-05-09</v>
      </c>
      <c r="T1954">
        <f t="shared" si="183"/>
        <v>10</v>
      </c>
      <c r="U1954" t="str">
        <f t="shared" si="184"/>
        <v>On-Time</v>
      </c>
      <c r="V1954">
        <f t="shared" si="185"/>
        <v>0</v>
      </c>
    </row>
    <row r="1955" spans="1:22" x14ac:dyDescent="0.45">
      <c r="A1955" t="s">
        <v>2804</v>
      </c>
      <c r="B1955" t="s">
        <v>590</v>
      </c>
      <c r="C1955" t="s">
        <v>30</v>
      </c>
      <c r="D1955" t="s">
        <v>59</v>
      </c>
      <c r="E1955" t="s">
        <v>18</v>
      </c>
      <c r="F1955">
        <v>161</v>
      </c>
      <c r="G1955">
        <v>48905</v>
      </c>
      <c r="H1955">
        <v>7873705</v>
      </c>
      <c r="I1955" t="s">
        <v>591</v>
      </c>
      <c r="J1955" t="s">
        <v>358</v>
      </c>
      <c r="K1955">
        <v>161</v>
      </c>
      <c r="L1955">
        <v>0</v>
      </c>
      <c r="M1955" t="s">
        <v>115</v>
      </c>
      <c r="N1955" t="str">
        <f t="shared" si="180"/>
        <v>PO-101954</v>
      </c>
      <c r="O1955" t="str">
        <f t="shared" si="181"/>
        <v>Delivered</v>
      </c>
      <c r="P1955" t="str">
        <f t="shared" si="182"/>
        <v>WH-PUN</v>
      </c>
      <c r="Q1955" t="str">
        <f>VLOOKUP(C1955, Lookups!$A$2:$D$10, 2, FALSE())</f>
        <v>TechSupply Corp</v>
      </c>
      <c r="R1955" t="str">
        <f>_xlfn.XLOOKUP(D1955, Lookups!$A$12:$A$51, Lookups!$C$12:$C$51, "Unknown")</f>
        <v>Electronics</v>
      </c>
      <c r="S1955" t="str">
        <f>IF(ISBLANK(I1955), B1955+VLOOKUP(C1955, Lookups!$A$2:$D$10, 4, FALSE()), I1955)</f>
        <v>2026-01-20</v>
      </c>
      <c r="T1955">
        <f t="shared" si="183"/>
        <v>15</v>
      </c>
      <c r="U1955" t="str">
        <f t="shared" si="184"/>
        <v>Late</v>
      </c>
      <c r="V1955">
        <f t="shared" si="185"/>
        <v>0</v>
      </c>
    </row>
    <row r="1956" spans="1:22" x14ac:dyDescent="0.45">
      <c r="A1956" t="s">
        <v>2805</v>
      </c>
      <c r="B1956" t="s">
        <v>308</v>
      </c>
      <c r="C1956" t="s">
        <v>36</v>
      </c>
      <c r="D1956" t="s">
        <v>55</v>
      </c>
      <c r="E1956" t="s">
        <v>15</v>
      </c>
      <c r="F1956">
        <v>218</v>
      </c>
      <c r="G1956">
        <v>58434</v>
      </c>
      <c r="H1956">
        <v>12738612</v>
      </c>
      <c r="I1956" t="s">
        <v>646</v>
      </c>
      <c r="J1956" t="s">
        <v>646</v>
      </c>
      <c r="K1956">
        <v>218</v>
      </c>
      <c r="L1956">
        <v>0</v>
      </c>
      <c r="M1956" t="s">
        <v>115</v>
      </c>
      <c r="N1956" t="str">
        <f t="shared" si="180"/>
        <v>PO-101955</v>
      </c>
      <c r="O1956" t="str">
        <f t="shared" si="181"/>
        <v>Delivered</v>
      </c>
      <c r="P1956" t="str">
        <f t="shared" si="182"/>
        <v>WH-BOM</v>
      </c>
      <c r="Q1956" t="str">
        <f>VLOOKUP(C1956, Lookups!$A$2:$D$10, 2, FALSE())</f>
        <v>NextGen Hardware</v>
      </c>
      <c r="R1956" t="str">
        <f>_xlfn.XLOOKUP(D1956, Lookups!$A$12:$A$51, Lookups!$C$12:$C$51, "Unknown")</f>
        <v>Electronics</v>
      </c>
      <c r="S1956" t="str">
        <f>IF(ISBLANK(I1956), B1956+VLOOKUP(C1956, Lookups!$A$2:$D$10, 4, FALSE()), I1956)</f>
        <v>2026-10-07</v>
      </c>
      <c r="T1956">
        <f t="shared" si="183"/>
        <v>24</v>
      </c>
      <c r="U1956" t="str">
        <f t="shared" si="184"/>
        <v>On-Time</v>
      </c>
      <c r="V1956">
        <f t="shared" si="185"/>
        <v>0</v>
      </c>
    </row>
    <row r="1957" spans="1:22" x14ac:dyDescent="0.45">
      <c r="A1957" t="s">
        <v>2806</v>
      </c>
      <c r="B1957" t="s">
        <v>123</v>
      </c>
      <c r="C1957" t="s">
        <v>31</v>
      </c>
      <c r="D1957" t="s">
        <v>56</v>
      </c>
      <c r="E1957" t="s">
        <v>15</v>
      </c>
      <c r="F1957">
        <v>183</v>
      </c>
      <c r="G1957">
        <v>39270</v>
      </c>
      <c r="H1957">
        <v>7186410</v>
      </c>
      <c r="I1957" t="s">
        <v>124</v>
      </c>
      <c r="J1957" t="s">
        <v>125</v>
      </c>
      <c r="K1957">
        <v>183</v>
      </c>
      <c r="L1957">
        <v>0</v>
      </c>
      <c r="M1957" t="s">
        <v>115</v>
      </c>
      <c r="N1957" t="str">
        <f t="shared" si="180"/>
        <v>PO-101956</v>
      </c>
      <c r="O1957" t="str">
        <f t="shared" si="181"/>
        <v>Delivered</v>
      </c>
      <c r="P1957" t="str">
        <f t="shared" si="182"/>
        <v>WH-BOM</v>
      </c>
      <c r="Q1957" t="str">
        <f>VLOOKUP(C1957, Lookups!$A$2:$D$10, 2, FALSE())</f>
        <v>Global Networks</v>
      </c>
      <c r="R1957" t="str">
        <f>_xlfn.XLOOKUP(D1957, Lookups!$A$12:$A$51, Lookups!$C$12:$C$51, "Unknown")</f>
        <v>Networking</v>
      </c>
      <c r="S1957" t="str">
        <f>IF(ISBLANK(I1957), B1957+VLOOKUP(C1957, Lookups!$A$2:$D$10, 4, FALSE()), I1957)</f>
        <v>2026-06-12</v>
      </c>
      <c r="T1957">
        <f t="shared" si="183"/>
        <v>22</v>
      </c>
      <c r="U1957" t="str">
        <f t="shared" si="184"/>
        <v>Late</v>
      </c>
      <c r="V1957">
        <f t="shared" si="185"/>
        <v>0</v>
      </c>
    </row>
    <row r="1958" spans="1:22" x14ac:dyDescent="0.45">
      <c r="A1958" t="s">
        <v>2807</v>
      </c>
      <c r="B1958" t="s">
        <v>506</v>
      </c>
      <c r="C1958" t="s">
        <v>30</v>
      </c>
      <c r="D1958" t="s">
        <v>52</v>
      </c>
      <c r="E1958" t="s">
        <v>16</v>
      </c>
      <c r="F1958">
        <v>148</v>
      </c>
      <c r="G1958">
        <v>59592</v>
      </c>
      <c r="H1958">
        <v>8819616</v>
      </c>
      <c r="I1958" t="s">
        <v>1329</v>
      </c>
      <c r="J1958" t="s">
        <v>325</v>
      </c>
      <c r="K1958">
        <v>148</v>
      </c>
      <c r="L1958">
        <v>0</v>
      </c>
      <c r="M1958" t="s">
        <v>927</v>
      </c>
      <c r="N1958" t="str">
        <f t="shared" si="180"/>
        <v>PO-101957</v>
      </c>
      <c r="O1958" t="str">
        <f t="shared" si="181"/>
        <v>Delivered</v>
      </c>
      <c r="P1958" t="str">
        <f t="shared" si="182"/>
        <v>WH-DEL</v>
      </c>
      <c r="Q1958" t="str">
        <f>VLOOKUP(C1958, Lookups!$A$2:$D$10, 2, FALSE())</f>
        <v>TechSupply Corp</v>
      </c>
      <c r="R1958" t="str">
        <f>_xlfn.XLOOKUP(D1958, Lookups!$A$12:$A$51, Lookups!$C$12:$C$51, "Unknown")</f>
        <v>Electronics</v>
      </c>
      <c r="S1958" t="str">
        <f>IF(ISBLANK(I1958), B1958+VLOOKUP(C1958, Lookups!$A$2:$D$10, 4, FALSE()), I1958)</f>
        <v>2025-05-25</v>
      </c>
      <c r="T1958">
        <f t="shared" si="183"/>
        <v>15</v>
      </c>
      <c r="U1958" t="str">
        <f t="shared" si="184"/>
        <v>Late</v>
      </c>
      <c r="V1958">
        <f t="shared" si="185"/>
        <v>0</v>
      </c>
    </row>
    <row r="1959" spans="1:22" x14ac:dyDescent="0.45">
      <c r="A1959" t="s">
        <v>2808</v>
      </c>
      <c r="B1959" t="s">
        <v>984</v>
      </c>
      <c r="C1959" t="s">
        <v>35</v>
      </c>
      <c r="D1959" t="s">
        <v>75</v>
      </c>
      <c r="E1959" t="s">
        <v>15</v>
      </c>
      <c r="F1959">
        <v>156</v>
      </c>
      <c r="G1959">
        <v>4440</v>
      </c>
      <c r="H1959">
        <v>692640</v>
      </c>
      <c r="I1959" t="s">
        <v>1551</v>
      </c>
      <c r="J1959" t="s">
        <v>971</v>
      </c>
      <c r="K1959">
        <v>156</v>
      </c>
      <c r="L1959">
        <v>0</v>
      </c>
      <c r="M1959" t="s">
        <v>115</v>
      </c>
      <c r="N1959" t="str">
        <f t="shared" si="180"/>
        <v>PO-101958</v>
      </c>
      <c r="O1959" t="str">
        <f t="shared" si="181"/>
        <v>Delivered</v>
      </c>
      <c r="P1959" t="str">
        <f t="shared" si="182"/>
        <v>WH-BOM</v>
      </c>
      <c r="Q1959" t="str">
        <f>VLOOKUP(C1959, Lookups!$A$2:$D$10, 2, FALSE())</f>
        <v>Peripheral Source</v>
      </c>
      <c r="R1959" t="str">
        <f>_xlfn.XLOOKUP(D1959, Lookups!$A$12:$A$51, Lookups!$C$12:$C$51, "Unknown")</f>
        <v>Peripherals</v>
      </c>
      <c r="S1959" t="str">
        <f>IF(ISBLANK(I1959), B1959+VLOOKUP(C1959, Lookups!$A$2:$D$10, 4, FALSE()), I1959)</f>
        <v>2025-05-18</v>
      </c>
      <c r="T1959">
        <f t="shared" si="183"/>
        <v>16</v>
      </c>
      <c r="U1959" t="str">
        <f t="shared" si="184"/>
        <v>Late</v>
      </c>
      <c r="V1959">
        <f t="shared" si="185"/>
        <v>0</v>
      </c>
    </row>
    <row r="1960" spans="1:22" x14ac:dyDescent="0.45">
      <c r="A1960" t="s">
        <v>2809</v>
      </c>
      <c r="B1960" t="s">
        <v>1389</v>
      </c>
      <c r="C1960" t="s">
        <v>36</v>
      </c>
      <c r="D1960" t="s">
        <v>62</v>
      </c>
      <c r="E1960" t="s">
        <v>17</v>
      </c>
      <c r="F1960">
        <v>218</v>
      </c>
      <c r="G1960">
        <v>48478</v>
      </c>
      <c r="H1960">
        <v>10568204</v>
      </c>
      <c r="I1960" t="s">
        <v>839</v>
      </c>
      <c r="J1960" t="s">
        <v>1285</v>
      </c>
      <c r="K1960">
        <v>218</v>
      </c>
      <c r="L1960">
        <v>0</v>
      </c>
      <c r="M1960" t="s">
        <v>115</v>
      </c>
      <c r="N1960" t="str">
        <f t="shared" si="180"/>
        <v>PO-101959</v>
      </c>
      <c r="O1960" t="str">
        <f t="shared" si="181"/>
        <v>Delivered</v>
      </c>
      <c r="P1960" t="str">
        <f t="shared" si="182"/>
        <v>WH-BLR</v>
      </c>
      <c r="Q1960" t="str">
        <f>VLOOKUP(C1960, Lookups!$A$2:$D$10, 2, FALSE())</f>
        <v>NextGen Hardware</v>
      </c>
      <c r="R1960" t="str">
        <f>_xlfn.XLOOKUP(D1960, Lookups!$A$12:$A$51, Lookups!$C$12:$C$51, "Unknown")</f>
        <v>Electronics</v>
      </c>
      <c r="S1960" t="str">
        <f>IF(ISBLANK(I1960), B1960+VLOOKUP(C1960, Lookups!$A$2:$D$10, 4, FALSE()), I1960)</f>
        <v>2026-02-20</v>
      </c>
      <c r="T1960">
        <f t="shared" si="183"/>
        <v>25</v>
      </c>
      <c r="U1960" t="str">
        <f t="shared" si="184"/>
        <v>Late</v>
      </c>
      <c r="V1960">
        <f t="shared" si="185"/>
        <v>0</v>
      </c>
    </row>
    <row r="1961" spans="1:22" x14ac:dyDescent="0.45">
      <c r="A1961" t="s">
        <v>2810</v>
      </c>
      <c r="B1961" t="s">
        <v>258</v>
      </c>
      <c r="C1961" t="s">
        <v>34</v>
      </c>
      <c r="D1961" t="s">
        <v>58</v>
      </c>
      <c r="E1961" t="s">
        <v>18</v>
      </c>
      <c r="F1961">
        <v>96</v>
      </c>
      <c r="G1961">
        <v>100302</v>
      </c>
      <c r="H1961">
        <v>9628992</v>
      </c>
      <c r="I1961" t="s">
        <v>565</v>
      </c>
      <c r="J1961" t="s">
        <v>565</v>
      </c>
      <c r="K1961">
        <v>96</v>
      </c>
      <c r="L1961">
        <v>0</v>
      </c>
      <c r="M1961" t="s">
        <v>115</v>
      </c>
      <c r="N1961" t="str">
        <f t="shared" si="180"/>
        <v>PO-101960</v>
      </c>
      <c r="O1961" t="str">
        <f t="shared" si="181"/>
        <v>Delivered</v>
      </c>
      <c r="P1961" t="str">
        <f t="shared" si="182"/>
        <v>WH-PUN</v>
      </c>
      <c r="Q1961" t="str">
        <f>VLOOKUP(C1961, Lookups!$A$2:$D$10, 2, FALSE())</f>
        <v>FastElectronics</v>
      </c>
      <c r="R1961" t="str">
        <f>_xlfn.XLOOKUP(D1961, Lookups!$A$12:$A$51, Lookups!$C$12:$C$51, "Unknown")</f>
        <v>Electronics</v>
      </c>
      <c r="S1961" t="str">
        <f>IF(ISBLANK(I1961), B1961+VLOOKUP(C1961, Lookups!$A$2:$D$10, 4, FALSE()), I1961)</f>
        <v>2025-02-24</v>
      </c>
      <c r="T1961">
        <f t="shared" si="183"/>
        <v>18</v>
      </c>
      <c r="U1961" t="str">
        <f t="shared" si="184"/>
        <v>On-Time</v>
      </c>
      <c r="V1961">
        <f t="shared" si="185"/>
        <v>0</v>
      </c>
    </row>
    <row r="1962" spans="1:22" x14ac:dyDescent="0.45">
      <c r="A1962" t="s">
        <v>2811</v>
      </c>
      <c r="B1962" t="s">
        <v>1327</v>
      </c>
      <c r="C1962" t="s">
        <v>34</v>
      </c>
      <c r="D1962" t="s">
        <v>74</v>
      </c>
      <c r="E1962" t="s">
        <v>15</v>
      </c>
      <c r="F1962">
        <v>143</v>
      </c>
      <c r="G1962">
        <v>94797</v>
      </c>
      <c r="H1962">
        <v>13555971</v>
      </c>
      <c r="I1962" t="s">
        <v>1104</v>
      </c>
      <c r="J1962" t="s">
        <v>393</v>
      </c>
      <c r="K1962">
        <v>143</v>
      </c>
      <c r="L1962">
        <v>0</v>
      </c>
      <c r="M1962" t="s">
        <v>115</v>
      </c>
      <c r="N1962" t="str">
        <f t="shared" si="180"/>
        <v>PO-101961</v>
      </c>
      <c r="O1962" t="str">
        <f t="shared" si="181"/>
        <v>Delivered</v>
      </c>
      <c r="P1962" t="str">
        <f t="shared" si="182"/>
        <v>WH-BOM</v>
      </c>
      <c r="Q1962" t="str">
        <f>VLOOKUP(C1962, Lookups!$A$2:$D$10, 2, FALSE())</f>
        <v>FastElectronics</v>
      </c>
      <c r="R1962" t="str">
        <f>_xlfn.XLOOKUP(D1962, Lookups!$A$12:$A$51, Lookups!$C$12:$C$51, "Unknown")</f>
        <v>Electronics</v>
      </c>
      <c r="S1962" t="str">
        <f>IF(ISBLANK(I1962), B1962+VLOOKUP(C1962, Lookups!$A$2:$D$10, 4, FALSE()), I1962)</f>
        <v>2025-08-24</v>
      </c>
      <c r="T1962">
        <f t="shared" si="183"/>
        <v>23</v>
      </c>
      <c r="U1962" t="str">
        <f t="shared" si="184"/>
        <v>Late</v>
      </c>
      <c r="V1962">
        <f t="shared" si="185"/>
        <v>0</v>
      </c>
    </row>
    <row r="1963" spans="1:22" x14ac:dyDescent="0.45">
      <c r="A1963" t="s">
        <v>2812</v>
      </c>
      <c r="B1963" t="s">
        <v>638</v>
      </c>
      <c r="C1963" t="s">
        <v>32</v>
      </c>
      <c r="D1963" t="s">
        <v>67</v>
      </c>
      <c r="E1963" t="s">
        <v>15</v>
      </c>
      <c r="F1963">
        <v>80</v>
      </c>
      <c r="G1963">
        <v>1553</v>
      </c>
      <c r="H1963">
        <v>124240</v>
      </c>
      <c r="I1963" t="s">
        <v>2813</v>
      </c>
      <c r="J1963" t="s">
        <v>947</v>
      </c>
      <c r="K1963">
        <v>80</v>
      </c>
      <c r="L1963">
        <v>0</v>
      </c>
      <c r="M1963" t="s">
        <v>115</v>
      </c>
      <c r="N1963" t="str">
        <f t="shared" si="180"/>
        <v>PO-101962</v>
      </c>
      <c r="O1963" t="str">
        <f t="shared" si="181"/>
        <v>Delivered</v>
      </c>
      <c r="P1963" t="str">
        <f t="shared" si="182"/>
        <v>WH-BOM</v>
      </c>
      <c r="Q1963" t="str">
        <f>VLOOKUP(C1963, Lookups!$A$2:$D$10, 2, FALSE())</f>
        <v>OfficeDepot Pro</v>
      </c>
      <c r="R1963" t="str">
        <f>_xlfn.XLOOKUP(D1963, Lookups!$A$12:$A$51, Lookups!$C$12:$C$51, "Unknown")</f>
        <v>Peripherals</v>
      </c>
      <c r="S1963" t="str">
        <f>IF(ISBLANK(I1963), B1963+VLOOKUP(C1963, Lookups!$A$2:$D$10, 4, FALSE()), I1963)</f>
        <v>2025-12-04</v>
      </c>
      <c r="T1963">
        <f t="shared" si="183"/>
        <v>9</v>
      </c>
      <c r="U1963" t="str">
        <f t="shared" si="184"/>
        <v>Late</v>
      </c>
      <c r="V1963">
        <f t="shared" si="185"/>
        <v>0</v>
      </c>
    </row>
    <row r="1964" spans="1:22" x14ac:dyDescent="0.45">
      <c r="A1964" t="s">
        <v>2814</v>
      </c>
      <c r="B1964" t="s">
        <v>135</v>
      </c>
      <c r="C1964" t="s">
        <v>31</v>
      </c>
      <c r="D1964" t="s">
        <v>85</v>
      </c>
      <c r="E1964" t="s">
        <v>17</v>
      </c>
      <c r="F1964">
        <v>26</v>
      </c>
      <c r="G1964">
        <v>16501</v>
      </c>
      <c r="H1964">
        <v>429026</v>
      </c>
      <c r="I1964" t="s">
        <v>495</v>
      </c>
      <c r="J1964" t="s">
        <v>495</v>
      </c>
      <c r="K1964">
        <v>17</v>
      </c>
      <c r="L1964">
        <v>0</v>
      </c>
      <c r="M1964" t="s">
        <v>115</v>
      </c>
      <c r="N1964" t="str">
        <f t="shared" si="180"/>
        <v>PO-101963</v>
      </c>
      <c r="O1964" t="str">
        <f t="shared" si="181"/>
        <v>Delivered</v>
      </c>
      <c r="P1964" t="str">
        <f t="shared" si="182"/>
        <v>WH-BLR</v>
      </c>
      <c r="Q1964" t="str">
        <f>VLOOKUP(C1964, Lookups!$A$2:$D$10, 2, FALSE())</f>
        <v>Global Networks</v>
      </c>
      <c r="R1964" t="str">
        <f>_xlfn.XLOOKUP(D1964, Lookups!$A$12:$A$51, Lookups!$C$12:$C$51, "Unknown")</f>
        <v>Networking</v>
      </c>
      <c r="S1964" t="str">
        <f>IF(ISBLANK(I1964), B1964+VLOOKUP(C1964, Lookups!$A$2:$D$10, 4, FALSE()), I1964)</f>
        <v>2026-09-23</v>
      </c>
      <c r="T1964">
        <f t="shared" si="183"/>
        <v>21</v>
      </c>
      <c r="U1964" t="str">
        <f t="shared" si="184"/>
        <v>On-Time</v>
      </c>
      <c r="V1964">
        <f t="shared" si="185"/>
        <v>0</v>
      </c>
    </row>
    <row r="1965" spans="1:22" x14ac:dyDescent="0.45">
      <c r="A1965" t="s">
        <v>2815</v>
      </c>
      <c r="B1965" t="s">
        <v>458</v>
      </c>
      <c r="C1965" t="s">
        <v>34</v>
      </c>
      <c r="D1965" t="s">
        <v>74</v>
      </c>
      <c r="E1965" t="s">
        <v>15</v>
      </c>
      <c r="F1965">
        <v>134</v>
      </c>
      <c r="G1965">
        <v>94797</v>
      </c>
      <c r="H1965">
        <v>12702798</v>
      </c>
      <c r="I1965" t="s">
        <v>894</v>
      </c>
      <c r="J1965" t="s">
        <v>894</v>
      </c>
      <c r="K1965">
        <v>134</v>
      </c>
      <c r="L1965">
        <v>0</v>
      </c>
      <c r="M1965" t="s">
        <v>115</v>
      </c>
      <c r="N1965" t="str">
        <f t="shared" si="180"/>
        <v>PO-101964</v>
      </c>
      <c r="O1965" t="str">
        <f t="shared" si="181"/>
        <v>Delivered</v>
      </c>
      <c r="P1965" t="str">
        <f t="shared" si="182"/>
        <v>WH-BOM</v>
      </c>
      <c r="Q1965" t="str">
        <f>VLOOKUP(C1965, Lookups!$A$2:$D$10, 2, FALSE())</f>
        <v>FastElectronics</v>
      </c>
      <c r="R1965" t="str">
        <f>_xlfn.XLOOKUP(D1965, Lookups!$A$12:$A$51, Lookups!$C$12:$C$51, "Unknown")</f>
        <v>Electronics</v>
      </c>
      <c r="S1965" t="str">
        <f>IF(ISBLANK(I1965), B1965+VLOOKUP(C1965, Lookups!$A$2:$D$10, 4, FALSE()), I1965)</f>
        <v>2025-08-01</v>
      </c>
      <c r="T1965">
        <f t="shared" si="183"/>
        <v>18</v>
      </c>
      <c r="U1965" t="str">
        <f t="shared" si="184"/>
        <v>On-Time</v>
      </c>
      <c r="V1965">
        <f t="shared" si="185"/>
        <v>0</v>
      </c>
    </row>
    <row r="1966" spans="1:22" x14ac:dyDescent="0.45">
      <c r="A1966" t="s">
        <v>2816</v>
      </c>
      <c r="B1966" t="s">
        <v>1327</v>
      </c>
      <c r="C1966" t="s">
        <v>32</v>
      </c>
      <c r="D1966" t="s">
        <v>67</v>
      </c>
      <c r="E1966" t="s">
        <v>16</v>
      </c>
      <c r="F1966">
        <v>141</v>
      </c>
      <c r="G1966">
        <v>1553</v>
      </c>
      <c r="H1966">
        <v>218973</v>
      </c>
      <c r="I1966" t="s">
        <v>272</v>
      </c>
      <c r="J1966" t="s">
        <v>1104</v>
      </c>
      <c r="K1966">
        <v>141</v>
      </c>
      <c r="L1966">
        <v>0</v>
      </c>
      <c r="M1966" t="s">
        <v>115</v>
      </c>
      <c r="N1966" t="str">
        <f t="shared" si="180"/>
        <v>PO-101965</v>
      </c>
      <c r="O1966" t="str">
        <f t="shared" si="181"/>
        <v>Delivered</v>
      </c>
      <c r="P1966" t="str">
        <f t="shared" si="182"/>
        <v>WH-DEL</v>
      </c>
      <c r="Q1966" t="str">
        <f>VLOOKUP(C1966, Lookups!$A$2:$D$10, 2, FALSE())</f>
        <v>OfficeDepot Pro</v>
      </c>
      <c r="R1966" t="str">
        <f>_xlfn.XLOOKUP(D1966, Lookups!$A$12:$A$51, Lookups!$C$12:$C$51, "Unknown")</f>
        <v>Peripherals</v>
      </c>
      <c r="S1966" t="str">
        <f>IF(ISBLANK(I1966), B1966+VLOOKUP(C1966, Lookups!$A$2:$D$10, 4, FALSE()), I1966)</f>
        <v>2025-08-13</v>
      </c>
      <c r="T1966">
        <f t="shared" si="183"/>
        <v>18</v>
      </c>
      <c r="U1966" t="str">
        <f t="shared" si="184"/>
        <v>Late</v>
      </c>
      <c r="V1966">
        <f t="shared" si="185"/>
        <v>0</v>
      </c>
    </row>
    <row r="1967" spans="1:22" x14ac:dyDescent="0.45">
      <c r="A1967" t="s">
        <v>2817</v>
      </c>
      <c r="B1967" t="s">
        <v>556</v>
      </c>
      <c r="C1967" t="s">
        <v>34</v>
      </c>
      <c r="D1967" t="s">
        <v>81</v>
      </c>
      <c r="E1967" t="s">
        <v>15</v>
      </c>
      <c r="F1967">
        <v>45</v>
      </c>
      <c r="G1967">
        <v>55328</v>
      </c>
      <c r="H1967">
        <v>2489760</v>
      </c>
      <c r="I1967" t="s">
        <v>118</v>
      </c>
      <c r="J1967" t="s">
        <v>118</v>
      </c>
      <c r="K1967">
        <v>45</v>
      </c>
      <c r="L1967">
        <v>0</v>
      </c>
      <c r="M1967" t="s">
        <v>115</v>
      </c>
      <c r="N1967" t="str">
        <f t="shared" si="180"/>
        <v>PO-101966</v>
      </c>
      <c r="O1967" t="str">
        <f t="shared" si="181"/>
        <v>Delivered</v>
      </c>
      <c r="P1967" t="str">
        <f t="shared" si="182"/>
        <v>WH-BOM</v>
      </c>
      <c r="Q1967" t="str">
        <f>VLOOKUP(C1967, Lookups!$A$2:$D$10, 2, FALSE())</f>
        <v>FastElectronics</v>
      </c>
      <c r="R1967" t="str">
        <f>_xlfn.XLOOKUP(D1967, Lookups!$A$12:$A$51, Lookups!$C$12:$C$51, "Unknown")</f>
        <v>Electronics</v>
      </c>
      <c r="S1967" t="str">
        <f>IF(ISBLANK(I1967), B1967+VLOOKUP(C1967, Lookups!$A$2:$D$10, 4, FALSE()), I1967)</f>
        <v>2026-10-03</v>
      </c>
      <c r="T1967">
        <f t="shared" si="183"/>
        <v>18</v>
      </c>
      <c r="U1967" t="str">
        <f t="shared" si="184"/>
        <v>On-Time</v>
      </c>
      <c r="V1967">
        <f t="shared" si="185"/>
        <v>0</v>
      </c>
    </row>
    <row r="1968" spans="1:22" x14ac:dyDescent="0.45">
      <c r="A1968" t="s">
        <v>2818</v>
      </c>
      <c r="B1968" t="s">
        <v>1158</v>
      </c>
      <c r="C1968" t="s">
        <v>30</v>
      </c>
      <c r="D1968" t="s">
        <v>53</v>
      </c>
      <c r="E1968" t="s">
        <v>15</v>
      </c>
      <c r="F1968">
        <v>129</v>
      </c>
      <c r="G1968">
        <v>81048</v>
      </c>
      <c r="H1968">
        <v>10455192</v>
      </c>
      <c r="I1968" t="s">
        <v>268</v>
      </c>
      <c r="J1968" t="s">
        <v>268</v>
      </c>
      <c r="K1968">
        <v>129</v>
      </c>
      <c r="L1968">
        <v>0</v>
      </c>
      <c r="M1968" t="s">
        <v>115</v>
      </c>
      <c r="N1968" t="str">
        <f t="shared" si="180"/>
        <v>PO-101967</v>
      </c>
      <c r="O1968" t="str">
        <f t="shared" si="181"/>
        <v>Delivered</v>
      </c>
      <c r="P1968" t="str">
        <f t="shared" si="182"/>
        <v>WH-BOM</v>
      </c>
      <c r="Q1968" t="str">
        <f>VLOOKUP(C1968, Lookups!$A$2:$D$10, 2, FALSE())</f>
        <v>TechSupply Corp</v>
      </c>
      <c r="R1968" t="str">
        <f>_xlfn.XLOOKUP(D1968, Lookups!$A$12:$A$51, Lookups!$C$12:$C$51, "Unknown")</f>
        <v>Electronics</v>
      </c>
      <c r="S1968" t="str">
        <f>IF(ISBLANK(I1968), B1968+VLOOKUP(C1968, Lookups!$A$2:$D$10, 4, FALSE()), I1968)</f>
        <v>2025-04-13</v>
      </c>
      <c r="T1968">
        <f t="shared" si="183"/>
        <v>14</v>
      </c>
      <c r="U1968" t="str">
        <f t="shared" si="184"/>
        <v>On-Time</v>
      </c>
      <c r="V1968">
        <f t="shared" si="185"/>
        <v>0</v>
      </c>
    </row>
    <row r="1969" spans="1:22" x14ac:dyDescent="0.45">
      <c r="A1969" t="s">
        <v>2819</v>
      </c>
      <c r="B1969" t="s">
        <v>2097</v>
      </c>
      <c r="C1969" t="s">
        <v>32</v>
      </c>
      <c r="D1969" t="s">
        <v>67</v>
      </c>
      <c r="E1969" t="s">
        <v>16</v>
      </c>
      <c r="F1969">
        <v>203</v>
      </c>
      <c r="G1969">
        <v>1553</v>
      </c>
      <c r="H1969">
        <v>315259</v>
      </c>
      <c r="I1969" t="s">
        <v>1697</v>
      </c>
      <c r="J1969" t="s">
        <v>955</v>
      </c>
      <c r="K1969">
        <v>203</v>
      </c>
      <c r="L1969">
        <v>0</v>
      </c>
      <c r="M1969" t="s">
        <v>115</v>
      </c>
      <c r="N1969" t="str">
        <f t="shared" si="180"/>
        <v>PO-101968</v>
      </c>
      <c r="O1969" t="str">
        <f t="shared" si="181"/>
        <v>Delivered</v>
      </c>
      <c r="P1969" t="str">
        <f t="shared" si="182"/>
        <v>WH-DEL</v>
      </c>
      <c r="Q1969" t="str">
        <f>VLOOKUP(C1969, Lookups!$A$2:$D$10, 2, FALSE())</f>
        <v>OfficeDepot Pro</v>
      </c>
      <c r="R1969" t="str">
        <f>_xlfn.XLOOKUP(D1969, Lookups!$A$12:$A$51, Lookups!$C$12:$C$51, "Unknown")</f>
        <v>Peripherals</v>
      </c>
      <c r="S1969" t="str">
        <f>IF(ISBLANK(I1969), B1969+VLOOKUP(C1969, Lookups!$A$2:$D$10, 4, FALSE()), I1969)</f>
        <v>2026-12-15</v>
      </c>
      <c r="T1969">
        <f t="shared" si="183"/>
        <v>8</v>
      </c>
      <c r="U1969" t="str">
        <f t="shared" si="184"/>
        <v>Late</v>
      </c>
      <c r="V1969">
        <f t="shared" si="185"/>
        <v>0</v>
      </c>
    </row>
    <row r="1970" spans="1:22" x14ac:dyDescent="0.45">
      <c r="A1970" t="s">
        <v>2820</v>
      </c>
      <c r="B1970" t="s">
        <v>448</v>
      </c>
      <c r="C1970" t="s">
        <v>34</v>
      </c>
      <c r="D1970" t="s">
        <v>68</v>
      </c>
      <c r="E1970" t="s">
        <v>18</v>
      </c>
      <c r="F1970">
        <v>111</v>
      </c>
      <c r="G1970">
        <v>41405</v>
      </c>
      <c r="H1970">
        <v>4595955</v>
      </c>
      <c r="I1970" t="s">
        <v>775</v>
      </c>
      <c r="J1970" t="s">
        <v>1415</v>
      </c>
      <c r="K1970">
        <v>111</v>
      </c>
      <c r="L1970">
        <v>0</v>
      </c>
      <c r="M1970" t="s">
        <v>115</v>
      </c>
      <c r="N1970" t="str">
        <f t="shared" si="180"/>
        <v>PO-101969</v>
      </c>
      <c r="O1970" t="str">
        <f t="shared" si="181"/>
        <v>Delivered</v>
      </c>
      <c r="P1970" t="str">
        <f t="shared" si="182"/>
        <v>WH-PUN</v>
      </c>
      <c r="Q1970" t="str">
        <f>VLOOKUP(C1970, Lookups!$A$2:$D$10, 2, FALSE())</f>
        <v>FastElectronics</v>
      </c>
      <c r="R1970" t="str">
        <f>_xlfn.XLOOKUP(D1970, Lookups!$A$12:$A$51, Lookups!$C$12:$C$51, "Unknown")</f>
        <v>Networking</v>
      </c>
      <c r="S1970" t="str">
        <f>IF(ISBLANK(I1970), B1970+VLOOKUP(C1970, Lookups!$A$2:$D$10, 4, FALSE()), I1970)</f>
        <v>2026-01-05</v>
      </c>
      <c r="T1970">
        <f t="shared" si="183"/>
        <v>22</v>
      </c>
      <c r="U1970" t="str">
        <f t="shared" si="184"/>
        <v>Late</v>
      </c>
      <c r="V1970">
        <f t="shared" si="185"/>
        <v>0</v>
      </c>
    </row>
    <row r="1971" spans="1:22" x14ac:dyDescent="0.45">
      <c r="A1971" t="s">
        <v>2821</v>
      </c>
      <c r="B1971" t="s">
        <v>252</v>
      </c>
      <c r="C1971" t="s">
        <v>34</v>
      </c>
      <c r="D1971" t="s">
        <v>73</v>
      </c>
      <c r="E1971" t="s">
        <v>17</v>
      </c>
      <c r="F1971">
        <v>89</v>
      </c>
      <c r="G1971">
        <v>58396</v>
      </c>
      <c r="H1971">
        <v>5197244</v>
      </c>
      <c r="I1971" t="s">
        <v>173</v>
      </c>
      <c r="J1971" t="s">
        <v>173</v>
      </c>
      <c r="K1971">
        <v>89</v>
      </c>
      <c r="L1971">
        <v>0</v>
      </c>
      <c r="M1971" t="s">
        <v>115</v>
      </c>
      <c r="N1971" t="str">
        <f t="shared" si="180"/>
        <v>PO-101970</v>
      </c>
      <c r="O1971" t="str">
        <f t="shared" si="181"/>
        <v>Delivered</v>
      </c>
      <c r="P1971" t="str">
        <f t="shared" si="182"/>
        <v>WH-BLR</v>
      </c>
      <c r="Q1971" t="str">
        <f>VLOOKUP(C1971, Lookups!$A$2:$D$10, 2, FALSE())</f>
        <v>FastElectronics</v>
      </c>
      <c r="R1971" t="str">
        <f>_xlfn.XLOOKUP(D1971, Lookups!$A$12:$A$51, Lookups!$C$12:$C$51, "Unknown")</f>
        <v>Electronics</v>
      </c>
      <c r="S1971" t="str">
        <f>IF(ISBLANK(I1971), B1971+VLOOKUP(C1971, Lookups!$A$2:$D$10, 4, FALSE()), I1971)</f>
        <v>2025-09-06</v>
      </c>
      <c r="T1971">
        <f t="shared" si="183"/>
        <v>18</v>
      </c>
      <c r="U1971" t="str">
        <f t="shared" si="184"/>
        <v>On-Time</v>
      </c>
      <c r="V1971">
        <f t="shared" si="185"/>
        <v>0</v>
      </c>
    </row>
    <row r="1972" spans="1:22" x14ac:dyDescent="0.45">
      <c r="A1972" t="s">
        <v>2822</v>
      </c>
      <c r="B1972" t="s">
        <v>1133</v>
      </c>
      <c r="C1972" t="s">
        <v>34</v>
      </c>
      <c r="D1972" t="s">
        <v>76</v>
      </c>
      <c r="E1972" t="s">
        <v>18</v>
      </c>
      <c r="F1972">
        <v>119</v>
      </c>
      <c r="G1972">
        <v>26270</v>
      </c>
      <c r="H1972">
        <v>3126130</v>
      </c>
      <c r="I1972" t="s">
        <v>585</v>
      </c>
      <c r="J1972" t="s">
        <v>234</v>
      </c>
      <c r="K1972">
        <v>119</v>
      </c>
      <c r="L1972">
        <v>0</v>
      </c>
      <c r="M1972" t="s">
        <v>115</v>
      </c>
      <c r="N1972" t="str">
        <f t="shared" si="180"/>
        <v>PO-101971</v>
      </c>
      <c r="O1972" t="str">
        <f t="shared" si="181"/>
        <v>Delivered</v>
      </c>
      <c r="P1972" t="str">
        <f t="shared" si="182"/>
        <v>WH-PUN</v>
      </c>
      <c r="Q1972" t="str">
        <f>VLOOKUP(C1972, Lookups!$A$2:$D$10, 2, FALSE())</f>
        <v>FastElectronics</v>
      </c>
      <c r="R1972" t="str">
        <f>_xlfn.XLOOKUP(D1972, Lookups!$A$12:$A$51, Lookups!$C$12:$C$51, "Unknown")</f>
        <v>Networking</v>
      </c>
      <c r="S1972" t="str">
        <f>IF(ISBLANK(I1972), B1972+VLOOKUP(C1972, Lookups!$A$2:$D$10, 4, FALSE()), I1972)</f>
        <v>2025-07-22</v>
      </c>
      <c r="T1972">
        <f t="shared" si="183"/>
        <v>30</v>
      </c>
      <c r="U1972" t="str">
        <f t="shared" si="184"/>
        <v>Late</v>
      </c>
      <c r="V1972">
        <f t="shared" si="185"/>
        <v>0</v>
      </c>
    </row>
    <row r="1973" spans="1:22" x14ac:dyDescent="0.45">
      <c r="A1973" t="s">
        <v>2823</v>
      </c>
      <c r="B1973" t="s">
        <v>1122</v>
      </c>
      <c r="C1973" t="s">
        <v>35</v>
      </c>
      <c r="D1973" t="s">
        <v>60</v>
      </c>
      <c r="E1973" t="s">
        <v>17</v>
      </c>
      <c r="F1973">
        <v>55</v>
      </c>
      <c r="G1973">
        <v>3291</v>
      </c>
      <c r="H1973">
        <v>181005</v>
      </c>
      <c r="I1973" t="s">
        <v>1343</v>
      </c>
      <c r="J1973" t="s">
        <v>1343</v>
      </c>
      <c r="K1973">
        <v>55</v>
      </c>
      <c r="L1973">
        <v>0</v>
      </c>
      <c r="M1973" t="s">
        <v>115</v>
      </c>
      <c r="N1973" t="str">
        <f t="shared" si="180"/>
        <v>PO-101972</v>
      </c>
      <c r="O1973" t="str">
        <f t="shared" si="181"/>
        <v>Delivered</v>
      </c>
      <c r="P1973" t="str">
        <f t="shared" si="182"/>
        <v>WH-BLR</v>
      </c>
      <c r="Q1973" t="str">
        <f>VLOOKUP(C1973, Lookups!$A$2:$D$10, 2, FALSE())</f>
        <v>Peripheral Source</v>
      </c>
      <c r="R1973" t="str">
        <f>_xlfn.XLOOKUP(D1973, Lookups!$A$12:$A$51, Lookups!$C$12:$C$51, "Unknown")</f>
        <v>Peripherals</v>
      </c>
      <c r="S1973" t="str">
        <f>IF(ISBLANK(I1973), B1973+VLOOKUP(C1973, Lookups!$A$2:$D$10, 4, FALSE()), I1973)</f>
        <v>2026-08-24</v>
      </c>
      <c r="T1973">
        <f t="shared" si="183"/>
        <v>10</v>
      </c>
      <c r="U1973" t="str">
        <f t="shared" si="184"/>
        <v>On-Time</v>
      </c>
      <c r="V1973">
        <f t="shared" si="185"/>
        <v>0</v>
      </c>
    </row>
    <row r="1974" spans="1:22" x14ac:dyDescent="0.45">
      <c r="A1974" t="s">
        <v>2824</v>
      </c>
      <c r="B1974" t="s">
        <v>859</v>
      </c>
      <c r="C1974" t="s">
        <v>36</v>
      </c>
      <c r="D1974" t="s">
        <v>55</v>
      </c>
      <c r="E1974" t="s">
        <v>15</v>
      </c>
      <c r="F1974">
        <v>63</v>
      </c>
      <c r="G1974">
        <v>58434</v>
      </c>
      <c r="H1974">
        <v>3681342</v>
      </c>
      <c r="I1974" t="s">
        <v>707</v>
      </c>
      <c r="J1974" t="s">
        <v>707</v>
      </c>
      <c r="K1974">
        <v>63</v>
      </c>
      <c r="L1974">
        <v>0</v>
      </c>
      <c r="M1974" t="s">
        <v>115</v>
      </c>
      <c r="N1974" t="str">
        <f t="shared" si="180"/>
        <v>PO-101973</v>
      </c>
      <c r="O1974" t="str">
        <f t="shared" si="181"/>
        <v>Delivered</v>
      </c>
      <c r="P1974" t="str">
        <f t="shared" si="182"/>
        <v>WH-BOM</v>
      </c>
      <c r="Q1974" t="str">
        <f>VLOOKUP(C1974, Lookups!$A$2:$D$10, 2, FALSE())</f>
        <v>NextGen Hardware</v>
      </c>
      <c r="R1974" t="str">
        <f>_xlfn.XLOOKUP(D1974, Lookups!$A$12:$A$51, Lookups!$C$12:$C$51, "Unknown")</f>
        <v>Electronics</v>
      </c>
      <c r="S1974" t="str">
        <f>IF(ISBLANK(I1974), B1974+VLOOKUP(C1974, Lookups!$A$2:$D$10, 4, FALSE()), I1974)</f>
        <v>2026-01-14</v>
      </c>
      <c r="T1974">
        <f t="shared" si="183"/>
        <v>24</v>
      </c>
      <c r="U1974" t="str">
        <f t="shared" si="184"/>
        <v>On-Time</v>
      </c>
      <c r="V1974">
        <f t="shared" si="185"/>
        <v>0</v>
      </c>
    </row>
    <row r="1975" spans="1:22" x14ac:dyDescent="0.45">
      <c r="A1975" t="s">
        <v>2825</v>
      </c>
      <c r="B1975" t="s">
        <v>322</v>
      </c>
      <c r="C1975" t="s">
        <v>36</v>
      </c>
      <c r="D1975" t="s">
        <v>62</v>
      </c>
      <c r="E1975" t="s">
        <v>18</v>
      </c>
      <c r="F1975">
        <v>168</v>
      </c>
      <c r="G1975">
        <v>48478</v>
      </c>
      <c r="H1975">
        <v>8144304</v>
      </c>
      <c r="I1975" t="s">
        <v>855</v>
      </c>
      <c r="J1975" t="s">
        <v>558</v>
      </c>
      <c r="K1975">
        <v>168</v>
      </c>
      <c r="L1975">
        <v>0</v>
      </c>
      <c r="M1975" t="s">
        <v>115</v>
      </c>
      <c r="N1975" t="str">
        <f t="shared" si="180"/>
        <v>PO-101974</v>
      </c>
      <c r="O1975" t="str">
        <f t="shared" si="181"/>
        <v>Delivered</v>
      </c>
      <c r="P1975" t="str">
        <f t="shared" si="182"/>
        <v>WH-PUN</v>
      </c>
      <c r="Q1975" t="str">
        <f>VLOOKUP(C1975, Lookups!$A$2:$D$10, 2, FALSE())</f>
        <v>NextGen Hardware</v>
      </c>
      <c r="R1975" t="str">
        <f>_xlfn.XLOOKUP(D1975, Lookups!$A$12:$A$51, Lookups!$C$12:$C$51, "Unknown")</f>
        <v>Electronics</v>
      </c>
      <c r="S1975" t="str">
        <f>IF(ISBLANK(I1975), B1975+VLOOKUP(C1975, Lookups!$A$2:$D$10, 4, FALSE()), I1975)</f>
        <v>2026-04-17</v>
      </c>
      <c r="T1975">
        <f t="shared" si="183"/>
        <v>25</v>
      </c>
      <c r="U1975" t="str">
        <f t="shared" si="184"/>
        <v>Late</v>
      </c>
      <c r="V1975">
        <f t="shared" si="185"/>
        <v>0</v>
      </c>
    </row>
    <row r="1976" spans="1:22" x14ac:dyDescent="0.45">
      <c r="A1976" t="s">
        <v>2826</v>
      </c>
      <c r="B1976" t="s">
        <v>149</v>
      </c>
      <c r="C1976" t="s">
        <v>30</v>
      </c>
      <c r="D1976" t="s">
        <v>82</v>
      </c>
      <c r="E1976" t="s">
        <v>16</v>
      </c>
      <c r="F1976">
        <v>65</v>
      </c>
      <c r="G1976">
        <v>83427</v>
      </c>
      <c r="H1976">
        <v>5422755</v>
      </c>
      <c r="I1976" t="s">
        <v>855</v>
      </c>
      <c r="J1976" t="s">
        <v>855</v>
      </c>
      <c r="K1976">
        <v>65</v>
      </c>
      <c r="L1976">
        <v>0</v>
      </c>
      <c r="M1976" t="s">
        <v>115</v>
      </c>
      <c r="N1976" t="str">
        <f t="shared" si="180"/>
        <v>PO-101975</v>
      </c>
      <c r="O1976" t="str">
        <f t="shared" si="181"/>
        <v>Delivered</v>
      </c>
      <c r="P1976" t="str">
        <f t="shared" si="182"/>
        <v>WH-DEL</v>
      </c>
      <c r="Q1976" t="str">
        <f>VLOOKUP(C1976, Lookups!$A$2:$D$10, 2, FALSE())</f>
        <v>TechSupply Corp</v>
      </c>
      <c r="R1976" t="str">
        <f>_xlfn.XLOOKUP(D1976, Lookups!$A$12:$A$51, Lookups!$C$12:$C$51, "Unknown")</f>
        <v>Electronics</v>
      </c>
      <c r="S1976" t="str">
        <f>IF(ISBLANK(I1976), B1976+VLOOKUP(C1976, Lookups!$A$2:$D$10, 4, FALSE()), I1976)</f>
        <v>2026-04-17</v>
      </c>
      <c r="T1976">
        <f t="shared" si="183"/>
        <v>14</v>
      </c>
      <c r="U1976" t="str">
        <f t="shared" si="184"/>
        <v>On-Time</v>
      </c>
      <c r="V1976">
        <f t="shared" si="185"/>
        <v>0</v>
      </c>
    </row>
    <row r="1977" spans="1:22" x14ac:dyDescent="0.45">
      <c r="A1977" t="s">
        <v>2827</v>
      </c>
      <c r="B1977" t="s">
        <v>868</v>
      </c>
      <c r="C1977" t="s">
        <v>34</v>
      </c>
      <c r="D1977" t="s">
        <v>54</v>
      </c>
      <c r="E1977" t="s">
        <v>16</v>
      </c>
      <c r="F1977">
        <v>125</v>
      </c>
      <c r="G1977">
        <v>22314</v>
      </c>
      <c r="H1977">
        <v>2789250</v>
      </c>
      <c r="I1977" t="s">
        <v>1211</v>
      </c>
      <c r="J1977" t="s">
        <v>1211</v>
      </c>
      <c r="K1977">
        <v>125</v>
      </c>
      <c r="L1977">
        <v>0</v>
      </c>
      <c r="M1977" t="s">
        <v>115</v>
      </c>
      <c r="N1977" t="str">
        <f t="shared" si="180"/>
        <v>PO-101976</v>
      </c>
      <c r="O1977" t="str">
        <f t="shared" si="181"/>
        <v>Delivered</v>
      </c>
      <c r="P1977" t="str">
        <f t="shared" si="182"/>
        <v>WH-DEL</v>
      </c>
      <c r="Q1977" t="str">
        <f>VLOOKUP(C1977, Lookups!$A$2:$D$10, 2, FALSE())</f>
        <v>FastElectronics</v>
      </c>
      <c r="R1977" t="str">
        <f>_xlfn.XLOOKUP(D1977, Lookups!$A$12:$A$51, Lookups!$C$12:$C$51, "Unknown")</f>
        <v>Networking</v>
      </c>
      <c r="S1977" t="str">
        <f>IF(ISBLANK(I1977), B1977+VLOOKUP(C1977, Lookups!$A$2:$D$10, 4, FALSE()), I1977)</f>
        <v>2026-09-29</v>
      </c>
      <c r="T1977">
        <f t="shared" si="183"/>
        <v>18</v>
      </c>
      <c r="U1977" t="str">
        <f t="shared" si="184"/>
        <v>On-Time</v>
      </c>
      <c r="V1977">
        <f t="shared" si="185"/>
        <v>0</v>
      </c>
    </row>
    <row r="1978" spans="1:22" x14ac:dyDescent="0.45">
      <c r="A1978" t="s">
        <v>2828</v>
      </c>
      <c r="B1978" t="s">
        <v>657</v>
      </c>
      <c r="C1978" t="s">
        <v>32</v>
      </c>
      <c r="D1978" t="s">
        <v>67</v>
      </c>
      <c r="E1978" t="s">
        <v>17</v>
      </c>
      <c r="F1978">
        <v>90</v>
      </c>
      <c r="G1978">
        <v>1553</v>
      </c>
      <c r="H1978">
        <v>139770</v>
      </c>
      <c r="I1978" t="s">
        <v>308</v>
      </c>
      <c r="J1978" t="s">
        <v>308</v>
      </c>
      <c r="K1978">
        <v>90</v>
      </c>
      <c r="L1978">
        <v>0</v>
      </c>
      <c r="M1978" t="s">
        <v>115</v>
      </c>
      <c r="N1978" t="str">
        <f t="shared" si="180"/>
        <v>PO-101977</v>
      </c>
      <c r="O1978" t="str">
        <f t="shared" si="181"/>
        <v>Delivered</v>
      </c>
      <c r="P1978" t="str">
        <f t="shared" si="182"/>
        <v>WH-BLR</v>
      </c>
      <c r="Q1978" t="str">
        <f>VLOOKUP(C1978, Lookups!$A$2:$D$10, 2, FALSE())</f>
        <v>OfficeDepot Pro</v>
      </c>
      <c r="R1978" t="str">
        <f>_xlfn.XLOOKUP(D1978, Lookups!$A$12:$A$51, Lookups!$C$12:$C$51, "Unknown")</f>
        <v>Peripherals</v>
      </c>
      <c r="S1978" t="str">
        <f>IF(ISBLANK(I1978), B1978+VLOOKUP(C1978, Lookups!$A$2:$D$10, 4, FALSE()), I1978)</f>
        <v>2026-09-13</v>
      </c>
      <c r="T1978">
        <f t="shared" si="183"/>
        <v>7</v>
      </c>
      <c r="U1978" t="str">
        <f t="shared" si="184"/>
        <v>On-Time</v>
      </c>
      <c r="V1978">
        <f t="shared" si="185"/>
        <v>0</v>
      </c>
    </row>
    <row r="1979" spans="1:22" x14ac:dyDescent="0.45">
      <c r="A1979" t="s">
        <v>2829</v>
      </c>
      <c r="B1979" t="s">
        <v>477</v>
      </c>
      <c r="C1979" t="s">
        <v>35</v>
      </c>
      <c r="D1979" t="s">
        <v>57</v>
      </c>
      <c r="E1979" t="s">
        <v>18</v>
      </c>
      <c r="F1979">
        <v>250</v>
      </c>
      <c r="G1979">
        <v>2212</v>
      </c>
      <c r="H1979">
        <v>553000</v>
      </c>
      <c r="I1979" t="s">
        <v>1265</v>
      </c>
      <c r="J1979" t="s">
        <v>1265</v>
      </c>
      <c r="K1979">
        <v>243</v>
      </c>
      <c r="L1979">
        <v>0</v>
      </c>
      <c r="M1979" t="s">
        <v>115</v>
      </c>
      <c r="N1979" t="str">
        <f t="shared" si="180"/>
        <v>PO-101978</v>
      </c>
      <c r="O1979" t="str">
        <f t="shared" si="181"/>
        <v>Delivered</v>
      </c>
      <c r="P1979" t="str">
        <f t="shared" si="182"/>
        <v>WH-PUN</v>
      </c>
      <c r="Q1979" t="str">
        <f>VLOOKUP(C1979, Lookups!$A$2:$D$10, 2, FALSE())</f>
        <v>Peripheral Source</v>
      </c>
      <c r="R1979" t="str">
        <f>_xlfn.XLOOKUP(D1979, Lookups!$A$12:$A$51, Lookups!$C$12:$C$51, "Unknown")</f>
        <v>Peripherals</v>
      </c>
      <c r="S1979" t="str">
        <f>IF(ISBLANK(I1979), B1979+VLOOKUP(C1979, Lookups!$A$2:$D$10, 4, FALSE()), I1979)</f>
        <v>2025-04-07</v>
      </c>
      <c r="T1979">
        <f t="shared" si="183"/>
        <v>10</v>
      </c>
      <c r="U1979" t="str">
        <f t="shared" si="184"/>
        <v>On-Time</v>
      </c>
      <c r="V1979">
        <f t="shared" si="185"/>
        <v>0</v>
      </c>
    </row>
    <row r="1980" spans="1:22" x14ac:dyDescent="0.45">
      <c r="A1980" t="s">
        <v>2830</v>
      </c>
      <c r="B1980" t="s">
        <v>847</v>
      </c>
      <c r="C1980" t="s">
        <v>35</v>
      </c>
      <c r="D1980" t="s">
        <v>72</v>
      </c>
      <c r="E1980" t="s">
        <v>15</v>
      </c>
      <c r="F1980">
        <v>21</v>
      </c>
      <c r="G1980">
        <v>7754</v>
      </c>
      <c r="H1980">
        <v>162834</v>
      </c>
      <c r="I1980" t="s">
        <v>1100</v>
      </c>
      <c r="J1980" t="s">
        <v>1024</v>
      </c>
      <c r="K1980">
        <v>21</v>
      </c>
      <c r="L1980">
        <v>0</v>
      </c>
      <c r="M1980" t="s">
        <v>115</v>
      </c>
      <c r="N1980" t="str">
        <f t="shared" si="180"/>
        <v>PO-101979</v>
      </c>
      <c r="O1980" t="str">
        <f t="shared" si="181"/>
        <v>Delivered</v>
      </c>
      <c r="P1980" t="str">
        <f t="shared" si="182"/>
        <v>WH-BOM</v>
      </c>
      <c r="Q1980" t="str">
        <f>VLOOKUP(C1980, Lookups!$A$2:$D$10, 2, FALSE())</f>
        <v>Peripheral Source</v>
      </c>
      <c r="R1980" t="str">
        <f>_xlfn.XLOOKUP(D1980, Lookups!$A$12:$A$51, Lookups!$C$12:$C$51, "Unknown")</f>
        <v>Peripherals</v>
      </c>
      <c r="S1980" t="str">
        <f>IF(ISBLANK(I1980), B1980+VLOOKUP(C1980, Lookups!$A$2:$D$10, 4, FALSE()), I1980)</f>
        <v>2026-11-11</v>
      </c>
      <c r="T1980">
        <f t="shared" si="183"/>
        <v>16</v>
      </c>
      <c r="U1980" t="str">
        <f t="shared" si="184"/>
        <v>Late</v>
      </c>
      <c r="V1980">
        <f t="shared" si="185"/>
        <v>0</v>
      </c>
    </row>
    <row r="1981" spans="1:22" x14ac:dyDescent="0.45">
      <c r="A1981" t="s">
        <v>2831</v>
      </c>
      <c r="B1981" t="s">
        <v>593</v>
      </c>
      <c r="C1981" t="s">
        <v>35</v>
      </c>
      <c r="D1981" t="s">
        <v>65</v>
      </c>
      <c r="E1981" t="s">
        <v>18</v>
      </c>
      <c r="F1981">
        <v>78</v>
      </c>
      <c r="G1981">
        <v>4936</v>
      </c>
      <c r="H1981">
        <v>385008</v>
      </c>
      <c r="I1981" t="s">
        <v>1129</v>
      </c>
      <c r="J1981" t="s">
        <v>1129</v>
      </c>
      <c r="K1981">
        <v>78</v>
      </c>
      <c r="L1981">
        <v>0</v>
      </c>
      <c r="M1981" t="s">
        <v>115</v>
      </c>
      <c r="N1981" t="str">
        <f t="shared" si="180"/>
        <v>PO-101980</v>
      </c>
      <c r="O1981" t="str">
        <f t="shared" si="181"/>
        <v>Delivered</v>
      </c>
      <c r="P1981" t="str">
        <f t="shared" si="182"/>
        <v>WH-PUN</v>
      </c>
      <c r="Q1981" t="str">
        <f>VLOOKUP(C1981, Lookups!$A$2:$D$10, 2, FALSE())</f>
        <v>Peripheral Source</v>
      </c>
      <c r="R1981" t="str">
        <f>_xlfn.XLOOKUP(D1981, Lookups!$A$12:$A$51, Lookups!$C$12:$C$51, "Unknown")</f>
        <v>Peripherals</v>
      </c>
      <c r="S1981" t="str">
        <f>IF(ISBLANK(I1981), B1981+VLOOKUP(C1981, Lookups!$A$2:$D$10, 4, FALSE()), I1981)</f>
        <v>2025-09-25</v>
      </c>
      <c r="T1981">
        <f t="shared" si="183"/>
        <v>10</v>
      </c>
      <c r="U1981" t="str">
        <f t="shared" si="184"/>
        <v>On-Time</v>
      </c>
      <c r="V1981">
        <f t="shared" si="185"/>
        <v>0</v>
      </c>
    </row>
    <row r="1982" spans="1:22" x14ac:dyDescent="0.45">
      <c r="A1982" t="s">
        <v>2832</v>
      </c>
      <c r="B1982" t="s">
        <v>225</v>
      </c>
      <c r="C1982" t="s">
        <v>37</v>
      </c>
      <c r="D1982" t="s">
        <v>78</v>
      </c>
      <c r="E1982" t="s">
        <v>15</v>
      </c>
      <c r="F1982">
        <v>74</v>
      </c>
      <c r="G1982">
        <v>9423</v>
      </c>
      <c r="H1982">
        <v>697302</v>
      </c>
      <c r="I1982" t="s">
        <v>454</v>
      </c>
      <c r="J1982" t="s">
        <v>335</v>
      </c>
      <c r="K1982">
        <v>74</v>
      </c>
      <c r="L1982">
        <v>0</v>
      </c>
      <c r="M1982" t="s">
        <v>115</v>
      </c>
      <c r="N1982" t="str">
        <f t="shared" si="180"/>
        <v>PO-101981</v>
      </c>
      <c r="O1982" t="str">
        <f t="shared" si="181"/>
        <v>Delivered</v>
      </c>
      <c r="P1982" t="str">
        <f t="shared" si="182"/>
        <v>WH-BOM</v>
      </c>
      <c r="Q1982" t="str">
        <f>VLOOKUP(C1982, Lookups!$A$2:$D$10, 2, FALSE())</f>
        <v>Premium Desks Ltd</v>
      </c>
      <c r="R1982" t="str">
        <f>_xlfn.XLOOKUP(D1982, Lookups!$A$12:$A$51, Lookups!$C$12:$C$51, "Unknown")</f>
        <v>Office Furniture</v>
      </c>
      <c r="S1982" t="str">
        <f>IF(ISBLANK(I1982), B1982+VLOOKUP(C1982, Lookups!$A$2:$D$10, 4, FALSE()), I1982)</f>
        <v>2026-08-12</v>
      </c>
      <c r="T1982">
        <f t="shared" si="183"/>
        <v>25</v>
      </c>
      <c r="U1982" t="str">
        <f t="shared" si="184"/>
        <v>Late</v>
      </c>
      <c r="V1982">
        <f t="shared" si="185"/>
        <v>0</v>
      </c>
    </row>
    <row r="1983" spans="1:22" x14ac:dyDescent="0.45">
      <c r="A1983" t="s">
        <v>2833</v>
      </c>
      <c r="B1983" t="s">
        <v>2834</v>
      </c>
      <c r="C1983" t="s">
        <v>36</v>
      </c>
      <c r="D1983" t="s">
        <v>55</v>
      </c>
      <c r="E1983" t="s">
        <v>18</v>
      </c>
      <c r="F1983">
        <v>171</v>
      </c>
      <c r="G1983">
        <v>58434</v>
      </c>
      <c r="H1983">
        <v>9992214</v>
      </c>
      <c r="I1983" t="s">
        <v>1544</v>
      </c>
      <c r="J1983" t="s">
        <v>564</v>
      </c>
      <c r="K1983">
        <v>171</v>
      </c>
      <c r="L1983">
        <v>0</v>
      </c>
      <c r="M1983" t="s">
        <v>115</v>
      </c>
      <c r="N1983" t="str">
        <f t="shared" si="180"/>
        <v>PO-101982</v>
      </c>
      <c r="O1983" t="str">
        <f t="shared" si="181"/>
        <v>Delivered</v>
      </c>
      <c r="P1983" t="str">
        <f t="shared" si="182"/>
        <v>WH-PUN</v>
      </c>
      <c r="Q1983" t="str">
        <f>VLOOKUP(C1983, Lookups!$A$2:$D$10, 2, FALSE())</f>
        <v>NextGen Hardware</v>
      </c>
      <c r="R1983" t="str">
        <f>_xlfn.XLOOKUP(D1983, Lookups!$A$12:$A$51, Lookups!$C$12:$C$51, "Unknown")</f>
        <v>Electronics</v>
      </c>
      <c r="S1983" t="str">
        <f>IF(ISBLANK(I1983), B1983+VLOOKUP(C1983, Lookups!$A$2:$D$10, 4, FALSE()), I1983)</f>
        <v>2025-02-01</v>
      </c>
      <c r="T1983">
        <f t="shared" si="183"/>
        <v>33</v>
      </c>
      <c r="U1983" t="str">
        <f t="shared" si="184"/>
        <v>Late</v>
      </c>
      <c r="V1983">
        <f t="shared" si="185"/>
        <v>0</v>
      </c>
    </row>
    <row r="1984" spans="1:22" x14ac:dyDescent="0.45">
      <c r="A1984" t="s">
        <v>2835</v>
      </c>
      <c r="B1984" t="s">
        <v>544</v>
      </c>
      <c r="C1984" t="s">
        <v>36</v>
      </c>
      <c r="D1984" t="s">
        <v>62</v>
      </c>
      <c r="E1984" t="s">
        <v>18</v>
      </c>
      <c r="F1984">
        <v>140</v>
      </c>
      <c r="G1984">
        <v>48478</v>
      </c>
      <c r="H1984">
        <v>6786920</v>
      </c>
      <c r="I1984" t="s">
        <v>447</v>
      </c>
      <c r="J1984" t="s">
        <v>579</v>
      </c>
      <c r="K1984">
        <v>140</v>
      </c>
      <c r="L1984">
        <v>0</v>
      </c>
      <c r="M1984" t="s">
        <v>115</v>
      </c>
      <c r="N1984" t="str">
        <f t="shared" si="180"/>
        <v>PO-101983</v>
      </c>
      <c r="O1984" t="str">
        <f t="shared" si="181"/>
        <v>Delivered</v>
      </c>
      <c r="P1984" t="str">
        <f t="shared" si="182"/>
        <v>WH-PUN</v>
      </c>
      <c r="Q1984" t="str">
        <f>VLOOKUP(C1984, Lookups!$A$2:$D$10, 2, FALSE())</f>
        <v>NextGen Hardware</v>
      </c>
      <c r="R1984" t="str">
        <f>_xlfn.XLOOKUP(D1984, Lookups!$A$12:$A$51, Lookups!$C$12:$C$51, "Unknown")</f>
        <v>Electronics</v>
      </c>
      <c r="S1984" t="str">
        <f>IF(ISBLANK(I1984), B1984+VLOOKUP(C1984, Lookups!$A$2:$D$10, 4, FALSE()), I1984)</f>
        <v>2025-12-17</v>
      </c>
      <c r="T1984">
        <f t="shared" si="183"/>
        <v>36</v>
      </c>
      <c r="U1984" t="str">
        <f t="shared" si="184"/>
        <v>Late</v>
      </c>
      <c r="V1984">
        <f t="shared" si="185"/>
        <v>0</v>
      </c>
    </row>
    <row r="1985" spans="1:22" x14ac:dyDescent="0.45">
      <c r="A1985" t="s">
        <v>2836</v>
      </c>
      <c r="B1985" t="s">
        <v>363</v>
      </c>
      <c r="C1985" t="s">
        <v>30</v>
      </c>
      <c r="D1985" t="s">
        <v>86</v>
      </c>
      <c r="E1985" t="s">
        <v>17</v>
      </c>
      <c r="F1985">
        <v>181</v>
      </c>
      <c r="G1985">
        <v>74871</v>
      </c>
      <c r="H1985">
        <v>13551651</v>
      </c>
      <c r="I1985" t="s">
        <v>366</v>
      </c>
      <c r="J1985" t="s">
        <v>366</v>
      </c>
      <c r="K1985">
        <v>181</v>
      </c>
      <c r="L1985">
        <v>0</v>
      </c>
      <c r="M1985" t="s">
        <v>115</v>
      </c>
      <c r="N1985" t="str">
        <f t="shared" si="180"/>
        <v>PO-101984</v>
      </c>
      <c r="O1985" t="str">
        <f t="shared" si="181"/>
        <v>Delivered</v>
      </c>
      <c r="P1985" t="str">
        <f t="shared" si="182"/>
        <v>WH-BLR</v>
      </c>
      <c r="Q1985" t="str">
        <f>VLOOKUP(C1985, Lookups!$A$2:$D$10, 2, FALSE())</f>
        <v>TechSupply Corp</v>
      </c>
      <c r="R1985" t="str">
        <f>_xlfn.XLOOKUP(D1985, Lookups!$A$12:$A$51, Lookups!$C$12:$C$51, "Unknown")</f>
        <v>Electronics</v>
      </c>
      <c r="S1985" t="str">
        <f>IF(ISBLANK(I1985), B1985+VLOOKUP(C1985, Lookups!$A$2:$D$10, 4, FALSE()), I1985)</f>
        <v>2026-04-16</v>
      </c>
      <c r="T1985">
        <f t="shared" si="183"/>
        <v>14</v>
      </c>
      <c r="U1985" t="str">
        <f t="shared" si="184"/>
        <v>On-Time</v>
      </c>
      <c r="V1985">
        <f t="shared" si="185"/>
        <v>0</v>
      </c>
    </row>
    <row r="1986" spans="1:22" x14ac:dyDescent="0.45">
      <c r="A1986" t="s">
        <v>2837</v>
      </c>
      <c r="B1986" t="s">
        <v>623</v>
      </c>
      <c r="C1986" t="s">
        <v>35</v>
      </c>
      <c r="D1986" t="s">
        <v>75</v>
      </c>
      <c r="E1986" t="s">
        <v>16</v>
      </c>
      <c r="F1986">
        <v>20</v>
      </c>
      <c r="G1986">
        <v>4440</v>
      </c>
      <c r="H1986">
        <v>88800</v>
      </c>
      <c r="I1986" t="s">
        <v>1279</v>
      </c>
      <c r="J1986" t="s">
        <v>312</v>
      </c>
      <c r="K1986">
        <v>10</v>
      </c>
      <c r="L1986">
        <v>0</v>
      </c>
      <c r="M1986" t="s">
        <v>115</v>
      </c>
      <c r="N1986" t="str">
        <f t="shared" ref="N1986:N2049" si="186">TRIM(A1986)</f>
        <v>PO-101985</v>
      </c>
      <c r="O1986" t="str">
        <f t="shared" ref="O1986:O2049" si="187">PROPER(TRIM(M1986))</f>
        <v>Delivered</v>
      </c>
      <c r="P1986" t="str">
        <f t="shared" ref="P1986:P2049" si="188">TRIM(E1986)</f>
        <v>WH-DEL</v>
      </c>
      <c r="Q1986" t="str">
        <f>VLOOKUP(C1986, Lookups!$A$2:$D$10, 2, FALSE())</f>
        <v>Peripheral Source</v>
      </c>
      <c r="R1986" t="str">
        <f>_xlfn.XLOOKUP(D1986, Lookups!$A$12:$A$51, Lookups!$C$12:$C$51, "Unknown")</f>
        <v>Peripherals</v>
      </c>
      <c r="S1986" t="str">
        <f>IF(ISBLANK(I1986), B1986+VLOOKUP(C1986, Lookups!$A$2:$D$10, 4, FALSE()), I1986)</f>
        <v>2026-07-18</v>
      </c>
      <c r="T1986">
        <f t="shared" ref="T1986:T2049" si="189">IF(ISBLANK(J1986), "", J1986-B1986)</f>
        <v>21</v>
      </c>
      <c r="U1986" t="str">
        <f t="shared" ref="U1986:U2049" si="190">IF(O1986="Open", "Open", IF(J1986&gt;S1986, "Late", "On-Time"))</f>
        <v>Late</v>
      </c>
      <c r="V1986">
        <f t="shared" ref="V1986:V2049" si="191">IF(K1986&gt;0, L1986/K1986, 0)</f>
        <v>0</v>
      </c>
    </row>
    <row r="1987" spans="1:22" x14ac:dyDescent="0.45">
      <c r="A1987" t="s">
        <v>2838</v>
      </c>
      <c r="B1987" t="s">
        <v>1300</v>
      </c>
      <c r="C1987" t="s">
        <v>35</v>
      </c>
      <c r="D1987" t="s">
        <v>60</v>
      </c>
      <c r="E1987" t="s">
        <v>17</v>
      </c>
      <c r="F1987">
        <v>141</v>
      </c>
      <c r="G1987">
        <v>3291</v>
      </c>
      <c r="H1987">
        <v>464031</v>
      </c>
      <c r="I1987" t="s">
        <v>1070</v>
      </c>
      <c r="J1987" t="s">
        <v>171</v>
      </c>
      <c r="K1987">
        <v>141</v>
      </c>
      <c r="L1987">
        <v>0</v>
      </c>
      <c r="M1987" t="s">
        <v>115</v>
      </c>
      <c r="N1987" t="str">
        <f t="shared" si="186"/>
        <v>PO-101986</v>
      </c>
      <c r="O1987" t="str">
        <f t="shared" si="187"/>
        <v>Delivered</v>
      </c>
      <c r="P1987" t="str">
        <f t="shared" si="188"/>
        <v>WH-BLR</v>
      </c>
      <c r="Q1987" t="str">
        <f>VLOOKUP(C1987, Lookups!$A$2:$D$10, 2, FALSE())</f>
        <v>Peripheral Source</v>
      </c>
      <c r="R1987" t="str">
        <f>_xlfn.XLOOKUP(D1987, Lookups!$A$12:$A$51, Lookups!$C$12:$C$51, "Unknown")</f>
        <v>Peripherals</v>
      </c>
      <c r="S1987" t="str">
        <f>IF(ISBLANK(I1987), B1987+VLOOKUP(C1987, Lookups!$A$2:$D$10, 4, FALSE()), I1987)</f>
        <v>2025-08-15</v>
      </c>
      <c r="T1987">
        <f t="shared" si="189"/>
        <v>11</v>
      </c>
      <c r="U1987" t="str">
        <f t="shared" si="190"/>
        <v>Late</v>
      </c>
      <c r="V1987">
        <f t="shared" si="191"/>
        <v>0</v>
      </c>
    </row>
    <row r="1988" spans="1:22" x14ac:dyDescent="0.45">
      <c r="A1988" t="s">
        <v>2839</v>
      </c>
      <c r="B1988" t="s">
        <v>363</v>
      </c>
      <c r="C1988" t="s">
        <v>34</v>
      </c>
      <c r="D1988" t="s">
        <v>73</v>
      </c>
      <c r="E1988" t="s">
        <v>17</v>
      </c>
      <c r="F1988">
        <v>113</v>
      </c>
      <c r="G1988">
        <v>58396</v>
      </c>
      <c r="H1988">
        <v>6598748</v>
      </c>
      <c r="I1988" t="s">
        <v>339</v>
      </c>
      <c r="J1988" t="s">
        <v>963</v>
      </c>
      <c r="K1988">
        <v>113</v>
      </c>
      <c r="L1988">
        <v>0</v>
      </c>
      <c r="M1988" t="s">
        <v>115</v>
      </c>
      <c r="N1988" t="str">
        <f t="shared" si="186"/>
        <v>PO-101987</v>
      </c>
      <c r="O1988" t="str">
        <f t="shared" si="187"/>
        <v>Delivered</v>
      </c>
      <c r="P1988" t="str">
        <f t="shared" si="188"/>
        <v>WH-BLR</v>
      </c>
      <c r="Q1988" t="str">
        <f>VLOOKUP(C1988, Lookups!$A$2:$D$10, 2, FALSE())</f>
        <v>FastElectronics</v>
      </c>
      <c r="R1988" t="str">
        <f>_xlfn.XLOOKUP(D1988, Lookups!$A$12:$A$51, Lookups!$C$12:$C$51, "Unknown")</f>
        <v>Electronics</v>
      </c>
      <c r="S1988" t="str">
        <f>IF(ISBLANK(I1988), B1988+VLOOKUP(C1988, Lookups!$A$2:$D$10, 4, FALSE()), I1988)</f>
        <v>2026-04-20</v>
      </c>
      <c r="T1988">
        <f t="shared" si="189"/>
        <v>19</v>
      </c>
      <c r="U1988" t="str">
        <f t="shared" si="190"/>
        <v>Late</v>
      </c>
      <c r="V1988">
        <f t="shared" si="191"/>
        <v>0</v>
      </c>
    </row>
    <row r="1989" spans="1:22" x14ac:dyDescent="0.45">
      <c r="A1989" t="s">
        <v>2840</v>
      </c>
      <c r="B1989" t="s">
        <v>158</v>
      </c>
      <c r="C1989" t="s">
        <v>36</v>
      </c>
      <c r="D1989" t="s">
        <v>71</v>
      </c>
      <c r="E1989" t="s">
        <v>18</v>
      </c>
      <c r="F1989">
        <v>177</v>
      </c>
      <c r="G1989">
        <v>65379</v>
      </c>
      <c r="H1989">
        <v>11572083</v>
      </c>
      <c r="I1989" t="s">
        <v>780</v>
      </c>
      <c r="J1989" t="s">
        <v>1102</v>
      </c>
      <c r="K1989">
        <v>177</v>
      </c>
      <c r="L1989">
        <v>0</v>
      </c>
      <c r="M1989" t="s">
        <v>115</v>
      </c>
      <c r="N1989" t="str">
        <f t="shared" si="186"/>
        <v>PO-101988</v>
      </c>
      <c r="O1989" t="str">
        <f t="shared" si="187"/>
        <v>Delivered</v>
      </c>
      <c r="P1989" t="str">
        <f t="shared" si="188"/>
        <v>WH-PUN</v>
      </c>
      <c r="Q1989" t="str">
        <f>VLOOKUP(C1989, Lookups!$A$2:$D$10, 2, FALSE())</f>
        <v>NextGen Hardware</v>
      </c>
      <c r="R1989" t="str">
        <f>_xlfn.XLOOKUP(D1989, Lookups!$A$12:$A$51, Lookups!$C$12:$C$51, "Unknown")</f>
        <v>Electronics</v>
      </c>
      <c r="S1989" t="str">
        <f>IF(ISBLANK(I1989), B1989+VLOOKUP(C1989, Lookups!$A$2:$D$10, 4, FALSE()), I1989)</f>
        <v>2026-11-29</v>
      </c>
      <c r="T1989">
        <f t="shared" si="189"/>
        <v>30</v>
      </c>
      <c r="U1989" t="str">
        <f t="shared" si="190"/>
        <v>Late</v>
      </c>
      <c r="V1989">
        <f t="shared" si="191"/>
        <v>0</v>
      </c>
    </row>
    <row r="1990" spans="1:22" x14ac:dyDescent="0.45">
      <c r="A1990" t="s">
        <v>2841</v>
      </c>
      <c r="B1990" t="s">
        <v>434</v>
      </c>
      <c r="C1990" t="s">
        <v>31</v>
      </c>
      <c r="D1990" t="s">
        <v>66</v>
      </c>
      <c r="E1990" t="s">
        <v>16</v>
      </c>
      <c r="F1990">
        <v>192</v>
      </c>
      <c r="G1990">
        <v>29719</v>
      </c>
      <c r="H1990">
        <v>5706048</v>
      </c>
      <c r="I1990" t="s">
        <v>598</v>
      </c>
      <c r="J1990" t="s">
        <v>1200</v>
      </c>
      <c r="K1990">
        <v>192</v>
      </c>
      <c r="L1990">
        <v>0</v>
      </c>
      <c r="M1990" t="s">
        <v>178</v>
      </c>
      <c r="N1990" t="str">
        <f t="shared" si="186"/>
        <v>PO-101989</v>
      </c>
      <c r="O1990" t="str">
        <f t="shared" si="187"/>
        <v>Delivered</v>
      </c>
      <c r="P1990" t="str">
        <f t="shared" si="188"/>
        <v>WH-DEL</v>
      </c>
      <c r="Q1990" t="str">
        <f>VLOOKUP(C1990, Lookups!$A$2:$D$10, 2, FALSE())</f>
        <v>Global Networks</v>
      </c>
      <c r="R1990" t="str">
        <f>_xlfn.XLOOKUP(D1990, Lookups!$A$12:$A$51, Lookups!$C$12:$C$51, "Unknown")</f>
        <v>Networking</v>
      </c>
      <c r="S1990" t="str">
        <f>IF(ISBLANK(I1990), B1990+VLOOKUP(C1990, Lookups!$A$2:$D$10, 4, FALSE()), I1990)</f>
        <v>2025-08-31</v>
      </c>
      <c r="T1990">
        <f t="shared" si="189"/>
        <v>22</v>
      </c>
      <c r="U1990" t="str">
        <f t="shared" si="190"/>
        <v>Late</v>
      </c>
      <c r="V1990">
        <f t="shared" si="191"/>
        <v>0</v>
      </c>
    </row>
    <row r="1991" spans="1:22" x14ac:dyDescent="0.45">
      <c r="A1991" t="s">
        <v>2842</v>
      </c>
      <c r="B1991" t="s">
        <v>1126</v>
      </c>
      <c r="C1991" t="s">
        <v>37</v>
      </c>
      <c r="D1991" t="s">
        <v>78</v>
      </c>
      <c r="E1991" t="s">
        <v>17</v>
      </c>
      <c r="F1991">
        <v>250</v>
      </c>
      <c r="G1991">
        <v>9423</v>
      </c>
      <c r="H1991">
        <v>2355750</v>
      </c>
      <c r="I1991" t="s">
        <v>1140</v>
      </c>
      <c r="J1991" t="s">
        <v>1140</v>
      </c>
      <c r="K1991">
        <v>250</v>
      </c>
      <c r="L1991">
        <v>0</v>
      </c>
      <c r="M1991" t="s">
        <v>115</v>
      </c>
      <c r="N1991" t="str">
        <f t="shared" si="186"/>
        <v>PO-101990</v>
      </c>
      <c r="O1991" t="str">
        <f t="shared" si="187"/>
        <v>Delivered</v>
      </c>
      <c r="P1991" t="str">
        <f t="shared" si="188"/>
        <v>WH-BLR</v>
      </c>
      <c r="Q1991" t="str">
        <f>VLOOKUP(C1991, Lookups!$A$2:$D$10, 2, FALSE())</f>
        <v>Premium Desks Ltd</v>
      </c>
      <c r="R1991" t="str">
        <f>_xlfn.XLOOKUP(D1991, Lookups!$A$12:$A$51, Lookups!$C$12:$C$51, "Unknown")</f>
        <v>Office Furniture</v>
      </c>
      <c r="S1991" t="str">
        <f>IF(ISBLANK(I1991), B1991+VLOOKUP(C1991, Lookups!$A$2:$D$10, 4, FALSE()), I1991)</f>
        <v>2026-11-30</v>
      </c>
      <c r="T1991">
        <f t="shared" si="189"/>
        <v>12</v>
      </c>
      <c r="U1991" t="str">
        <f t="shared" si="190"/>
        <v>On-Time</v>
      </c>
      <c r="V1991">
        <f t="shared" si="191"/>
        <v>0</v>
      </c>
    </row>
    <row r="1992" spans="1:22" x14ac:dyDescent="0.45">
      <c r="A1992" t="s">
        <v>2843</v>
      </c>
      <c r="B1992" t="s">
        <v>191</v>
      </c>
      <c r="C1992" t="s">
        <v>34</v>
      </c>
      <c r="D1992" t="s">
        <v>73</v>
      </c>
      <c r="E1992" t="s">
        <v>15</v>
      </c>
      <c r="F1992">
        <v>129</v>
      </c>
      <c r="G1992">
        <v>58396</v>
      </c>
      <c r="H1992">
        <v>7533084</v>
      </c>
      <c r="I1992" t="s">
        <v>604</v>
      </c>
      <c r="J1992" t="s">
        <v>604</v>
      </c>
      <c r="K1992">
        <v>129</v>
      </c>
      <c r="L1992">
        <v>0</v>
      </c>
      <c r="M1992" t="s">
        <v>115</v>
      </c>
      <c r="N1992" t="str">
        <f t="shared" si="186"/>
        <v>PO-101991</v>
      </c>
      <c r="O1992" t="str">
        <f t="shared" si="187"/>
        <v>Delivered</v>
      </c>
      <c r="P1992" t="str">
        <f t="shared" si="188"/>
        <v>WH-BOM</v>
      </c>
      <c r="Q1992" t="str">
        <f>VLOOKUP(C1992, Lookups!$A$2:$D$10, 2, FALSE())</f>
        <v>FastElectronics</v>
      </c>
      <c r="R1992" t="str">
        <f>_xlfn.XLOOKUP(D1992, Lookups!$A$12:$A$51, Lookups!$C$12:$C$51, "Unknown")</f>
        <v>Electronics</v>
      </c>
      <c r="S1992" t="str">
        <f>IF(ISBLANK(I1992), B1992+VLOOKUP(C1992, Lookups!$A$2:$D$10, 4, FALSE()), I1992)</f>
        <v>2025-08-12</v>
      </c>
      <c r="T1992">
        <f t="shared" si="189"/>
        <v>18</v>
      </c>
      <c r="U1992" t="str">
        <f t="shared" si="190"/>
        <v>On-Time</v>
      </c>
      <c r="V1992">
        <f t="shared" si="191"/>
        <v>0</v>
      </c>
    </row>
    <row r="1993" spans="1:22" x14ac:dyDescent="0.45">
      <c r="A1993" t="s">
        <v>2844</v>
      </c>
      <c r="B1993" t="s">
        <v>665</v>
      </c>
      <c r="C1993" t="s">
        <v>32</v>
      </c>
      <c r="D1993" t="s">
        <v>84</v>
      </c>
      <c r="E1993" t="s">
        <v>17</v>
      </c>
      <c r="F1993">
        <v>37</v>
      </c>
      <c r="G1993">
        <v>7271</v>
      </c>
      <c r="H1993">
        <v>269027</v>
      </c>
      <c r="I1993" t="s">
        <v>1736</v>
      </c>
      <c r="J1993" t="s">
        <v>497</v>
      </c>
      <c r="K1993">
        <v>37</v>
      </c>
      <c r="L1993">
        <v>0</v>
      </c>
      <c r="M1993" t="s">
        <v>115</v>
      </c>
      <c r="N1993" t="str">
        <f t="shared" si="186"/>
        <v>PO-101992</v>
      </c>
      <c r="O1993" t="str">
        <f t="shared" si="187"/>
        <v>Delivered</v>
      </c>
      <c r="P1993" t="str">
        <f t="shared" si="188"/>
        <v>WH-BLR</v>
      </c>
      <c r="Q1993" t="str">
        <f>VLOOKUP(C1993, Lookups!$A$2:$D$10, 2, FALSE())</f>
        <v>OfficeDepot Pro</v>
      </c>
      <c r="R1993" t="str">
        <f>_xlfn.XLOOKUP(D1993, Lookups!$A$12:$A$51, Lookups!$C$12:$C$51, "Unknown")</f>
        <v>Peripherals</v>
      </c>
      <c r="S1993" t="str">
        <f>IF(ISBLANK(I1993), B1993+VLOOKUP(C1993, Lookups!$A$2:$D$10, 4, FALSE()), I1993)</f>
        <v>2025-03-18</v>
      </c>
      <c r="T1993">
        <f t="shared" si="189"/>
        <v>8</v>
      </c>
      <c r="U1993" t="str">
        <f t="shared" si="190"/>
        <v>Late</v>
      </c>
      <c r="V1993">
        <f t="shared" si="191"/>
        <v>0</v>
      </c>
    </row>
    <row r="1994" spans="1:22" x14ac:dyDescent="0.45">
      <c r="A1994" t="s">
        <v>2845</v>
      </c>
      <c r="B1994" t="s">
        <v>537</v>
      </c>
      <c r="C1994" t="s">
        <v>30</v>
      </c>
      <c r="D1994" t="s">
        <v>88</v>
      </c>
      <c r="E1994" t="s">
        <v>17</v>
      </c>
      <c r="F1994">
        <v>243</v>
      </c>
      <c r="G1994">
        <v>75512</v>
      </c>
      <c r="H1994">
        <v>18349416</v>
      </c>
      <c r="I1994" t="s">
        <v>508</v>
      </c>
      <c r="J1994" t="s">
        <v>1079</v>
      </c>
      <c r="K1994">
        <v>243</v>
      </c>
      <c r="L1994">
        <v>15</v>
      </c>
      <c r="M1994" t="s">
        <v>115</v>
      </c>
      <c r="N1994" t="str">
        <f t="shared" si="186"/>
        <v>PO-101993</v>
      </c>
      <c r="O1994" t="str">
        <f t="shared" si="187"/>
        <v>Delivered</v>
      </c>
      <c r="P1994" t="str">
        <f t="shared" si="188"/>
        <v>WH-BLR</v>
      </c>
      <c r="Q1994" t="str">
        <f>VLOOKUP(C1994, Lookups!$A$2:$D$10, 2, FALSE())</f>
        <v>TechSupply Corp</v>
      </c>
      <c r="R1994" t="str">
        <f>_xlfn.XLOOKUP(D1994, Lookups!$A$12:$A$51, Lookups!$C$12:$C$51, "Unknown")</f>
        <v>Electronics</v>
      </c>
      <c r="S1994" t="str">
        <f>IF(ISBLANK(I1994), B1994+VLOOKUP(C1994, Lookups!$A$2:$D$10, 4, FALSE()), I1994)</f>
        <v>2026-01-17</v>
      </c>
      <c r="T1994">
        <f t="shared" si="189"/>
        <v>15</v>
      </c>
      <c r="U1994" t="str">
        <f t="shared" si="190"/>
        <v>Late</v>
      </c>
      <c r="V1994">
        <f t="shared" si="191"/>
        <v>6.1728395061728392E-2</v>
      </c>
    </row>
    <row r="1995" spans="1:22" x14ac:dyDescent="0.45">
      <c r="A1995" t="s">
        <v>2846</v>
      </c>
      <c r="B1995" t="s">
        <v>272</v>
      </c>
      <c r="C1995" t="s">
        <v>34</v>
      </c>
      <c r="D1995" t="s">
        <v>80</v>
      </c>
      <c r="E1995" t="s">
        <v>17</v>
      </c>
      <c r="F1995">
        <v>49</v>
      </c>
      <c r="G1995">
        <v>19090</v>
      </c>
      <c r="H1995">
        <v>935410</v>
      </c>
      <c r="I1995" t="s">
        <v>598</v>
      </c>
      <c r="J1995" t="s">
        <v>274</v>
      </c>
      <c r="K1995">
        <v>49</v>
      </c>
      <c r="L1995">
        <v>0</v>
      </c>
      <c r="M1995" t="s">
        <v>115</v>
      </c>
      <c r="N1995" t="str">
        <f t="shared" si="186"/>
        <v>PO-101994</v>
      </c>
      <c r="O1995" t="str">
        <f t="shared" si="187"/>
        <v>Delivered</v>
      </c>
      <c r="P1995" t="str">
        <f t="shared" si="188"/>
        <v>WH-BLR</v>
      </c>
      <c r="Q1995" t="str">
        <f>VLOOKUP(C1995, Lookups!$A$2:$D$10, 2, FALSE())</f>
        <v>FastElectronics</v>
      </c>
      <c r="R1995" t="str">
        <f>_xlfn.XLOOKUP(D1995, Lookups!$A$12:$A$51, Lookups!$C$12:$C$51, "Unknown")</f>
        <v>Networking</v>
      </c>
      <c r="S1995" t="str">
        <f>IF(ISBLANK(I1995), B1995+VLOOKUP(C1995, Lookups!$A$2:$D$10, 4, FALSE()), I1995)</f>
        <v>2025-08-31</v>
      </c>
      <c r="T1995">
        <f t="shared" si="189"/>
        <v>17</v>
      </c>
      <c r="U1995" t="str">
        <f t="shared" si="190"/>
        <v>On-Time</v>
      </c>
      <c r="V1995">
        <f t="shared" si="191"/>
        <v>0</v>
      </c>
    </row>
    <row r="1996" spans="1:22" x14ac:dyDescent="0.45">
      <c r="A1996" t="s">
        <v>2847</v>
      </c>
      <c r="B1996" t="s">
        <v>920</v>
      </c>
      <c r="C1996" t="s">
        <v>35</v>
      </c>
      <c r="D1996" t="s">
        <v>60</v>
      </c>
      <c r="E1996" t="s">
        <v>15</v>
      </c>
      <c r="F1996">
        <v>12</v>
      </c>
      <c r="G1996">
        <v>3291</v>
      </c>
      <c r="H1996">
        <v>39492</v>
      </c>
      <c r="I1996" t="s">
        <v>1318</v>
      </c>
      <c r="J1996" t="s">
        <v>1318</v>
      </c>
      <c r="K1996">
        <v>12</v>
      </c>
      <c r="L1996">
        <v>0</v>
      </c>
      <c r="M1996" t="s">
        <v>115</v>
      </c>
      <c r="N1996" t="str">
        <f t="shared" si="186"/>
        <v>PO-101995</v>
      </c>
      <c r="O1996" t="str">
        <f t="shared" si="187"/>
        <v>Delivered</v>
      </c>
      <c r="P1996" t="str">
        <f t="shared" si="188"/>
        <v>WH-BOM</v>
      </c>
      <c r="Q1996" t="str">
        <f>VLOOKUP(C1996, Lookups!$A$2:$D$10, 2, FALSE())</f>
        <v>Peripheral Source</v>
      </c>
      <c r="R1996" t="str">
        <f>_xlfn.XLOOKUP(D1996, Lookups!$A$12:$A$51, Lookups!$C$12:$C$51, "Unknown")</f>
        <v>Peripherals</v>
      </c>
      <c r="S1996" t="str">
        <f>IF(ISBLANK(I1996), B1996+VLOOKUP(C1996, Lookups!$A$2:$D$10, 4, FALSE()), I1996)</f>
        <v>2026-10-25</v>
      </c>
      <c r="T1996">
        <f t="shared" si="189"/>
        <v>10</v>
      </c>
      <c r="U1996" t="str">
        <f t="shared" si="190"/>
        <v>On-Time</v>
      </c>
      <c r="V1996">
        <f t="shared" si="191"/>
        <v>0</v>
      </c>
    </row>
    <row r="1997" spans="1:22" x14ac:dyDescent="0.45">
      <c r="A1997" t="s">
        <v>2848</v>
      </c>
      <c r="B1997" t="s">
        <v>1921</v>
      </c>
      <c r="C1997" t="s">
        <v>34</v>
      </c>
      <c r="D1997" t="s">
        <v>68</v>
      </c>
      <c r="E1997" t="s">
        <v>17</v>
      </c>
      <c r="F1997">
        <v>100</v>
      </c>
      <c r="G1997">
        <v>41405</v>
      </c>
      <c r="H1997">
        <v>4140500</v>
      </c>
      <c r="I1997" t="s">
        <v>960</v>
      </c>
      <c r="J1997" t="s">
        <v>352</v>
      </c>
      <c r="K1997">
        <v>100</v>
      </c>
      <c r="L1997">
        <v>0</v>
      </c>
      <c r="M1997" t="s">
        <v>115</v>
      </c>
      <c r="N1997" t="str">
        <f t="shared" si="186"/>
        <v>PO-101996</v>
      </c>
      <c r="O1997" t="str">
        <f t="shared" si="187"/>
        <v>Delivered</v>
      </c>
      <c r="P1997" t="str">
        <f t="shared" si="188"/>
        <v>WH-BLR</v>
      </c>
      <c r="Q1997" t="str">
        <f>VLOOKUP(C1997, Lookups!$A$2:$D$10, 2, FALSE())</f>
        <v>FastElectronics</v>
      </c>
      <c r="R1997" t="str">
        <f>_xlfn.XLOOKUP(D1997, Lookups!$A$12:$A$51, Lookups!$C$12:$C$51, "Unknown")</f>
        <v>Networking</v>
      </c>
      <c r="S1997" t="str">
        <f>IF(ISBLANK(I1997), B1997+VLOOKUP(C1997, Lookups!$A$2:$D$10, 4, FALSE()), I1997)</f>
        <v>2025-04-23</v>
      </c>
      <c r="T1997">
        <f t="shared" si="189"/>
        <v>19</v>
      </c>
      <c r="U1997" t="str">
        <f t="shared" si="190"/>
        <v>Late</v>
      </c>
      <c r="V1997">
        <f t="shared" si="191"/>
        <v>0</v>
      </c>
    </row>
    <row r="1998" spans="1:22" x14ac:dyDescent="0.45">
      <c r="A1998" t="s">
        <v>2849</v>
      </c>
      <c r="B1998" t="s">
        <v>181</v>
      </c>
      <c r="C1998" t="s">
        <v>35</v>
      </c>
      <c r="D1998" t="s">
        <v>60</v>
      </c>
      <c r="E1998" t="s">
        <v>16</v>
      </c>
      <c r="F1998">
        <v>134</v>
      </c>
      <c r="G1998">
        <v>3291</v>
      </c>
      <c r="H1998">
        <v>440994</v>
      </c>
      <c r="I1998" t="s">
        <v>692</v>
      </c>
      <c r="J1998" t="s">
        <v>692</v>
      </c>
      <c r="K1998">
        <v>134</v>
      </c>
      <c r="L1998">
        <v>0</v>
      </c>
      <c r="M1998" t="s">
        <v>115</v>
      </c>
      <c r="N1998" t="str">
        <f t="shared" si="186"/>
        <v>PO-101997</v>
      </c>
      <c r="O1998" t="str">
        <f t="shared" si="187"/>
        <v>Delivered</v>
      </c>
      <c r="P1998" t="str">
        <f t="shared" si="188"/>
        <v>WH-DEL</v>
      </c>
      <c r="Q1998" t="str">
        <f>VLOOKUP(C1998, Lookups!$A$2:$D$10, 2, FALSE())</f>
        <v>Peripheral Source</v>
      </c>
      <c r="R1998" t="str">
        <f>_xlfn.XLOOKUP(D1998, Lookups!$A$12:$A$51, Lookups!$C$12:$C$51, "Unknown")</f>
        <v>Peripherals</v>
      </c>
      <c r="S1998" t="str">
        <f>IF(ISBLANK(I1998), B1998+VLOOKUP(C1998, Lookups!$A$2:$D$10, 4, FALSE()), I1998)</f>
        <v>2026-10-29</v>
      </c>
      <c r="T1998">
        <f t="shared" si="189"/>
        <v>10</v>
      </c>
      <c r="U1998" t="str">
        <f t="shared" si="190"/>
        <v>On-Time</v>
      </c>
      <c r="V1998">
        <f t="shared" si="191"/>
        <v>0</v>
      </c>
    </row>
    <row r="1999" spans="1:22" x14ac:dyDescent="0.45">
      <c r="A1999" t="s">
        <v>2850</v>
      </c>
      <c r="B1999" t="s">
        <v>700</v>
      </c>
      <c r="C1999" t="s">
        <v>36</v>
      </c>
      <c r="D1999" t="s">
        <v>71</v>
      </c>
      <c r="E1999" t="s">
        <v>16</v>
      </c>
      <c r="F1999">
        <v>24</v>
      </c>
      <c r="G1999">
        <v>65379</v>
      </c>
      <c r="H1999">
        <v>1569096</v>
      </c>
      <c r="I1999" t="s">
        <v>204</v>
      </c>
      <c r="J1999" t="s">
        <v>203</v>
      </c>
      <c r="K1999">
        <v>13</v>
      </c>
      <c r="L1999">
        <v>0</v>
      </c>
      <c r="M1999" t="s">
        <v>115</v>
      </c>
      <c r="N1999" t="str">
        <f t="shared" si="186"/>
        <v>PO-101998</v>
      </c>
      <c r="O1999" t="str">
        <f t="shared" si="187"/>
        <v>Delivered</v>
      </c>
      <c r="P1999" t="str">
        <f t="shared" si="188"/>
        <v>WH-DEL</v>
      </c>
      <c r="Q1999" t="str">
        <f>VLOOKUP(C1999, Lookups!$A$2:$D$10, 2, FALSE())</f>
        <v>NextGen Hardware</v>
      </c>
      <c r="R1999" t="str">
        <f>_xlfn.XLOOKUP(D1999, Lookups!$A$12:$A$51, Lookups!$C$12:$C$51, "Unknown")</f>
        <v>Electronics</v>
      </c>
      <c r="S1999" t="str">
        <f>IF(ISBLANK(I1999), B1999+VLOOKUP(C1999, Lookups!$A$2:$D$10, 4, FALSE()), I1999)</f>
        <v>2026-04-09</v>
      </c>
      <c r="T1999">
        <f t="shared" si="189"/>
        <v>23</v>
      </c>
      <c r="U1999" t="str">
        <f t="shared" si="190"/>
        <v>On-Time</v>
      </c>
      <c r="V1999">
        <f t="shared" si="191"/>
        <v>0</v>
      </c>
    </row>
    <row r="2000" spans="1:22" x14ac:dyDescent="0.45">
      <c r="A2000" t="s">
        <v>2851</v>
      </c>
      <c r="B2000" t="s">
        <v>1048</v>
      </c>
      <c r="C2000" t="s">
        <v>30</v>
      </c>
      <c r="D2000" t="s">
        <v>61</v>
      </c>
      <c r="E2000" t="s">
        <v>16</v>
      </c>
      <c r="F2000">
        <v>161</v>
      </c>
      <c r="G2000">
        <v>111237</v>
      </c>
      <c r="H2000">
        <v>17909157</v>
      </c>
      <c r="I2000" t="s">
        <v>1314</v>
      </c>
      <c r="J2000" t="s">
        <v>1314</v>
      </c>
      <c r="K2000">
        <v>105</v>
      </c>
      <c r="L2000">
        <v>0</v>
      </c>
      <c r="M2000" t="s">
        <v>115</v>
      </c>
      <c r="N2000" t="str">
        <f t="shared" si="186"/>
        <v>PO-101999</v>
      </c>
      <c r="O2000" t="str">
        <f t="shared" si="187"/>
        <v>Delivered</v>
      </c>
      <c r="P2000" t="str">
        <f t="shared" si="188"/>
        <v>WH-DEL</v>
      </c>
      <c r="Q2000" t="str">
        <f>VLOOKUP(C2000, Lookups!$A$2:$D$10, 2, FALSE())</f>
        <v>TechSupply Corp</v>
      </c>
      <c r="R2000" t="str">
        <f>_xlfn.XLOOKUP(D2000, Lookups!$A$12:$A$51, Lookups!$C$12:$C$51, "Unknown")</f>
        <v>Electronics</v>
      </c>
      <c r="S2000" t="str">
        <f>IF(ISBLANK(I2000), B2000+VLOOKUP(C2000, Lookups!$A$2:$D$10, 4, FALSE()), I2000)</f>
        <v>2026-05-28</v>
      </c>
      <c r="T2000">
        <f t="shared" si="189"/>
        <v>14</v>
      </c>
      <c r="U2000" t="str">
        <f t="shared" si="190"/>
        <v>On-Time</v>
      </c>
      <c r="V2000">
        <f t="shared" si="191"/>
        <v>0</v>
      </c>
    </row>
    <row r="2001" spans="1:22" x14ac:dyDescent="0.45">
      <c r="A2001" t="s">
        <v>2852</v>
      </c>
      <c r="B2001" t="s">
        <v>209</v>
      </c>
      <c r="C2001" t="s">
        <v>36</v>
      </c>
      <c r="D2001" t="s">
        <v>71</v>
      </c>
      <c r="E2001" t="s">
        <v>16</v>
      </c>
      <c r="F2001">
        <v>165</v>
      </c>
      <c r="G2001">
        <v>65379</v>
      </c>
      <c r="H2001">
        <v>10787535</v>
      </c>
      <c r="I2001" t="s">
        <v>487</v>
      </c>
      <c r="J2001" t="s">
        <v>629</v>
      </c>
      <c r="K2001">
        <v>165</v>
      </c>
      <c r="L2001">
        <v>23</v>
      </c>
      <c r="M2001" t="s">
        <v>115</v>
      </c>
      <c r="N2001" t="str">
        <f t="shared" si="186"/>
        <v>PO-102000</v>
      </c>
      <c r="O2001" t="str">
        <f t="shared" si="187"/>
        <v>Delivered</v>
      </c>
      <c r="P2001" t="str">
        <f t="shared" si="188"/>
        <v>WH-DEL</v>
      </c>
      <c r="Q2001" t="str">
        <f>VLOOKUP(C2001, Lookups!$A$2:$D$10, 2, FALSE())</f>
        <v>NextGen Hardware</v>
      </c>
      <c r="R2001" t="str">
        <f>_xlfn.XLOOKUP(D2001, Lookups!$A$12:$A$51, Lookups!$C$12:$C$51, "Unknown")</f>
        <v>Electronics</v>
      </c>
      <c r="S2001" t="str">
        <f>IF(ISBLANK(I2001), B2001+VLOOKUP(C2001, Lookups!$A$2:$D$10, 4, FALSE()), I2001)</f>
        <v>2025-06-26</v>
      </c>
      <c r="T2001">
        <f t="shared" si="189"/>
        <v>35</v>
      </c>
      <c r="U2001" t="str">
        <f t="shared" si="190"/>
        <v>Late</v>
      </c>
      <c r="V2001">
        <f t="shared" si="191"/>
        <v>0.1393939393939394</v>
      </c>
    </row>
    <row r="2002" spans="1:22" x14ac:dyDescent="0.45">
      <c r="A2002" t="s">
        <v>2853</v>
      </c>
      <c r="B2002" t="s">
        <v>1101</v>
      </c>
      <c r="C2002" t="s">
        <v>36</v>
      </c>
      <c r="D2002" t="s">
        <v>71</v>
      </c>
      <c r="E2002" t="s">
        <v>18</v>
      </c>
      <c r="F2002">
        <v>239</v>
      </c>
      <c r="G2002">
        <v>65379</v>
      </c>
      <c r="H2002">
        <v>15625581</v>
      </c>
      <c r="I2002" t="s">
        <v>1697</v>
      </c>
      <c r="K2002">
        <v>0</v>
      </c>
      <c r="L2002">
        <v>0</v>
      </c>
      <c r="M2002" t="s">
        <v>297</v>
      </c>
      <c r="N2002" t="str">
        <f t="shared" si="186"/>
        <v>PO-102001</v>
      </c>
      <c r="O2002" t="str">
        <f t="shared" si="187"/>
        <v>Open</v>
      </c>
      <c r="P2002" t="str">
        <f t="shared" si="188"/>
        <v>WH-PUN</v>
      </c>
      <c r="Q2002" t="str">
        <f>VLOOKUP(C2002, Lookups!$A$2:$D$10, 2, FALSE())</f>
        <v>NextGen Hardware</v>
      </c>
      <c r="R2002" t="str">
        <f>_xlfn.XLOOKUP(D2002, Lookups!$A$12:$A$51, Lookups!$C$12:$C$51, "Unknown")</f>
        <v>Electronics</v>
      </c>
      <c r="S2002" t="str">
        <f>IF(ISBLANK(I2002), B2002+VLOOKUP(C2002, Lookups!$A$2:$D$10, 4, FALSE()), I2002)</f>
        <v>2026-12-15</v>
      </c>
      <c r="T2002" t="str">
        <f t="shared" si="189"/>
        <v/>
      </c>
      <c r="U2002" t="str">
        <f t="shared" si="190"/>
        <v>Open</v>
      </c>
      <c r="V2002">
        <f t="shared" si="191"/>
        <v>0</v>
      </c>
    </row>
    <row r="2003" spans="1:22" x14ac:dyDescent="0.45">
      <c r="A2003" t="s">
        <v>2854</v>
      </c>
      <c r="B2003" t="s">
        <v>619</v>
      </c>
      <c r="C2003" t="s">
        <v>33</v>
      </c>
      <c r="D2003" t="s">
        <v>89</v>
      </c>
      <c r="E2003" t="s">
        <v>17</v>
      </c>
      <c r="F2003">
        <v>60</v>
      </c>
      <c r="G2003">
        <v>11309</v>
      </c>
      <c r="H2003">
        <v>678540</v>
      </c>
      <c r="I2003" t="s">
        <v>558</v>
      </c>
      <c r="J2003" t="s">
        <v>559</v>
      </c>
      <c r="K2003">
        <v>60</v>
      </c>
      <c r="L2003">
        <v>0</v>
      </c>
      <c r="M2003" t="s">
        <v>115</v>
      </c>
      <c r="N2003" t="str">
        <f t="shared" si="186"/>
        <v>PO-102002</v>
      </c>
      <c r="O2003" t="str">
        <f t="shared" si="187"/>
        <v>Delivered</v>
      </c>
      <c r="P2003" t="str">
        <f t="shared" si="188"/>
        <v>WH-BLR</v>
      </c>
      <c r="Q2003" t="str">
        <f>VLOOKUP(C2003, Lookups!$A$2:$D$10, 2, FALSE())</f>
        <v>MegaFurnish</v>
      </c>
      <c r="R2003" t="str">
        <f>_xlfn.XLOOKUP(D2003, Lookups!$A$12:$A$51, Lookups!$C$12:$C$51, "Unknown")</f>
        <v>Office Furniture</v>
      </c>
      <c r="S2003" t="str">
        <f>IF(ISBLANK(I2003), B2003+VLOOKUP(C2003, Lookups!$A$2:$D$10, 4, FALSE()), I2003)</f>
        <v>2026-04-18</v>
      </c>
      <c r="T2003">
        <f t="shared" si="189"/>
        <v>31</v>
      </c>
      <c r="U2003" t="str">
        <f t="shared" si="190"/>
        <v>Late</v>
      </c>
      <c r="V2003">
        <f t="shared" si="191"/>
        <v>0</v>
      </c>
    </row>
    <row r="2004" spans="1:22" x14ac:dyDescent="0.45">
      <c r="A2004" t="s">
        <v>2855</v>
      </c>
      <c r="B2004" t="s">
        <v>986</v>
      </c>
      <c r="C2004" t="s">
        <v>35</v>
      </c>
      <c r="D2004" t="s">
        <v>70</v>
      </c>
      <c r="E2004" t="s">
        <v>18</v>
      </c>
      <c r="F2004">
        <v>113</v>
      </c>
      <c r="G2004">
        <v>4287</v>
      </c>
      <c r="H2004">
        <v>484431</v>
      </c>
      <c r="I2004" t="s">
        <v>672</v>
      </c>
      <c r="J2004" t="s">
        <v>672</v>
      </c>
      <c r="K2004">
        <v>84</v>
      </c>
      <c r="L2004">
        <v>0</v>
      </c>
      <c r="M2004" t="s">
        <v>115</v>
      </c>
      <c r="N2004" t="str">
        <f t="shared" si="186"/>
        <v>PO-102003</v>
      </c>
      <c r="O2004" t="str">
        <f t="shared" si="187"/>
        <v>Delivered</v>
      </c>
      <c r="P2004" t="str">
        <f t="shared" si="188"/>
        <v>WH-PUN</v>
      </c>
      <c r="Q2004" t="str">
        <f>VLOOKUP(C2004, Lookups!$A$2:$D$10, 2, FALSE())</f>
        <v>Peripheral Source</v>
      </c>
      <c r="R2004" t="str">
        <f>_xlfn.XLOOKUP(D2004, Lookups!$A$12:$A$51, Lookups!$C$12:$C$51, "Unknown")</f>
        <v>Peripherals</v>
      </c>
      <c r="S2004" t="str">
        <f>IF(ISBLANK(I2004), B2004+VLOOKUP(C2004, Lookups!$A$2:$D$10, 4, FALSE()), I2004)</f>
        <v>2026-11-14</v>
      </c>
      <c r="T2004">
        <f t="shared" si="189"/>
        <v>10</v>
      </c>
      <c r="U2004" t="str">
        <f t="shared" si="190"/>
        <v>On-Time</v>
      </c>
      <c r="V2004">
        <f t="shared" si="191"/>
        <v>0</v>
      </c>
    </row>
    <row r="2005" spans="1:22" x14ac:dyDescent="0.45">
      <c r="A2005" t="s">
        <v>2856</v>
      </c>
      <c r="B2005" t="s">
        <v>1087</v>
      </c>
      <c r="C2005" t="s">
        <v>36</v>
      </c>
      <c r="D2005" t="s">
        <v>71</v>
      </c>
      <c r="E2005" t="s">
        <v>18</v>
      </c>
      <c r="F2005">
        <v>120</v>
      </c>
      <c r="G2005">
        <v>65379</v>
      </c>
      <c r="H2005">
        <v>7845480</v>
      </c>
      <c r="I2005" t="s">
        <v>401</v>
      </c>
      <c r="J2005" t="s">
        <v>930</v>
      </c>
      <c r="K2005">
        <v>120</v>
      </c>
      <c r="L2005">
        <v>0</v>
      </c>
      <c r="M2005" t="s">
        <v>115</v>
      </c>
      <c r="N2005" t="str">
        <f t="shared" si="186"/>
        <v>PO-102004</v>
      </c>
      <c r="O2005" t="str">
        <f t="shared" si="187"/>
        <v>Delivered</v>
      </c>
      <c r="P2005" t="str">
        <f t="shared" si="188"/>
        <v>WH-PUN</v>
      </c>
      <c r="Q2005" t="str">
        <f>VLOOKUP(C2005, Lookups!$A$2:$D$10, 2, FALSE())</f>
        <v>NextGen Hardware</v>
      </c>
      <c r="R2005" t="str">
        <f>_xlfn.XLOOKUP(D2005, Lookups!$A$12:$A$51, Lookups!$C$12:$C$51, "Unknown")</f>
        <v>Electronics</v>
      </c>
      <c r="S2005" t="str">
        <f>IF(ISBLANK(I2005), B2005+VLOOKUP(C2005, Lookups!$A$2:$D$10, 4, FALSE()), I2005)</f>
        <v>2025-12-09</v>
      </c>
      <c r="T2005">
        <f t="shared" si="189"/>
        <v>25</v>
      </c>
      <c r="U2005" t="str">
        <f t="shared" si="190"/>
        <v>Late</v>
      </c>
      <c r="V2005">
        <f t="shared" si="191"/>
        <v>0</v>
      </c>
    </row>
    <row r="2006" spans="1:22" x14ac:dyDescent="0.45">
      <c r="A2006" t="s">
        <v>2857</v>
      </c>
      <c r="B2006" t="s">
        <v>171</v>
      </c>
      <c r="C2006" t="s">
        <v>37</v>
      </c>
      <c r="D2006" t="s">
        <v>79</v>
      </c>
      <c r="E2006" t="s">
        <v>15</v>
      </c>
      <c r="F2006">
        <v>184</v>
      </c>
      <c r="G2006">
        <v>23054</v>
      </c>
      <c r="H2006">
        <v>4241936</v>
      </c>
      <c r="I2006" t="s">
        <v>236</v>
      </c>
      <c r="J2006" t="s">
        <v>393</v>
      </c>
      <c r="K2006">
        <v>184</v>
      </c>
      <c r="L2006">
        <v>0</v>
      </c>
      <c r="M2006" t="s">
        <v>115</v>
      </c>
      <c r="N2006" t="str">
        <f t="shared" si="186"/>
        <v>PO-102005</v>
      </c>
      <c r="O2006" t="str">
        <f t="shared" si="187"/>
        <v>Delivered</v>
      </c>
      <c r="P2006" t="str">
        <f t="shared" si="188"/>
        <v>WH-BOM</v>
      </c>
      <c r="Q2006" t="str">
        <f>VLOOKUP(C2006, Lookups!$A$2:$D$10, 2, FALSE())</f>
        <v>Premium Desks Ltd</v>
      </c>
      <c r="R2006" t="str">
        <f>_xlfn.XLOOKUP(D2006, Lookups!$A$12:$A$51, Lookups!$C$12:$C$51, "Unknown")</f>
        <v>Office Furniture</v>
      </c>
      <c r="S2006" t="str">
        <f>IF(ISBLANK(I2006), B2006+VLOOKUP(C2006, Lookups!$A$2:$D$10, 4, FALSE()), I2006)</f>
        <v>2025-08-28</v>
      </c>
      <c r="T2006">
        <f t="shared" si="189"/>
        <v>13</v>
      </c>
      <c r="U2006" t="str">
        <f t="shared" si="190"/>
        <v>Late</v>
      </c>
      <c r="V2006">
        <f t="shared" si="191"/>
        <v>0</v>
      </c>
    </row>
    <row r="2007" spans="1:22" x14ac:dyDescent="0.45">
      <c r="A2007" t="s">
        <v>2858</v>
      </c>
      <c r="B2007" t="s">
        <v>161</v>
      </c>
      <c r="C2007" t="s">
        <v>34</v>
      </c>
      <c r="D2007" t="s">
        <v>74</v>
      </c>
      <c r="E2007" t="s">
        <v>15</v>
      </c>
      <c r="F2007">
        <v>145</v>
      </c>
      <c r="G2007">
        <v>94797</v>
      </c>
      <c r="H2007">
        <v>13745565</v>
      </c>
      <c r="I2007" t="s">
        <v>636</v>
      </c>
      <c r="J2007" t="s">
        <v>636</v>
      </c>
      <c r="K2007">
        <v>145</v>
      </c>
      <c r="L2007">
        <v>0</v>
      </c>
      <c r="M2007" t="s">
        <v>115</v>
      </c>
      <c r="N2007" t="str">
        <f t="shared" si="186"/>
        <v>PO-102006</v>
      </c>
      <c r="O2007" t="str">
        <f t="shared" si="187"/>
        <v>Delivered</v>
      </c>
      <c r="P2007" t="str">
        <f t="shared" si="188"/>
        <v>WH-BOM</v>
      </c>
      <c r="Q2007" t="str">
        <f>VLOOKUP(C2007, Lookups!$A$2:$D$10, 2, FALSE())</f>
        <v>FastElectronics</v>
      </c>
      <c r="R2007" t="str">
        <f>_xlfn.XLOOKUP(D2007, Lookups!$A$12:$A$51, Lookups!$C$12:$C$51, "Unknown")</f>
        <v>Electronics</v>
      </c>
      <c r="S2007" t="str">
        <f>IF(ISBLANK(I2007), B2007+VLOOKUP(C2007, Lookups!$A$2:$D$10, 4, FALSE()), I2007)</f>
        <v>2025-06-30</v>
      </c>
      <c r="T2007">
        <f t="shared" si="189"/>
        <v>18</v>
      </c>
      <c r="U2007" t="str">
        <f t="shared" si="190"/>
        <v>On-Time</v>
      </c>
      <c r="V2007">
        <f t="shared" si="191"/>
        <v>0</v>
      </c>
    </row>
    <row r="2008" spans="1:22" x14ac:dyDescent="0.45">
      <c r="A2008" t="s">
        <v>2859</v>
      </c>
      <c r="B2008" t="s">
        <v>1288</v>
      </c>
      <c r="C2008" t="s">
        <v>30</v>
      </c>
      <c r="D2008" t="s">
        <v>88</v>
      </c>
      <c r="E2008" t="s">
        <v>18</v>
      </c>
      <c r="F2008">
        <v>212</v>
      </c>
      <c r="G2008">
        <v>75512</v>
      </c>
      <c r="H2008">
        <v>16008544</v>
      </c>
      <c r="I2008" t="s">
        <v>425</v>
      </c>
      <c r="J2008" t="s">
        <v>1442</v>
      </c>
      <c r="K2008">
        <v>212</v>
      </c>
      <c r="L2008">
        <v>0</v>
      </c>
      <c r="M2008" t="s">
        <v>115</v>
      </c>
      <c r="N2008" t="str">
        <f t="shared" si="186"/>
        <v>PO-102007</v>
      </c>
      <c r="O2008" t="str">
        <f t="shared" si="187"/>
        <v>Delivered</v>
      </c>
      <c r="P2008" t="str">
        <f t="shared" si="188"/>
        <v>WH-PUN</v>
      </c>
      <c r="Q2008" t="str">
        <f>VLOOKUP(C2008, Lookups!$A$2:$D$10, 2, FALSE())</f>
        <v>TechSupply Corp</v>
      </c>
      <c r="R2008" t="str">
        <f>_xlfn.XLOOKUP(D2008, Lookups!$A$12:$A$51, Lookups!$C$12:$C$51, "Unknown")</f>
        <v>Electronics</v>
      </c>
      <c r="S2008" t="str">
        <f>IF(ISBLANK(I2008), B2008+VLOOKUP(C2008, Lookups!$A$2:$D$10, 4, FALSE()), I2008)</f>
        <v>2025-07-03</v>
      </c>
      <c r="T2008">
        <f t="shared" si="189"/>
        <v>13</v>
      </c>
      <c r="U2008" t="str">
        <f t="shared" si="190"/>
        <v>On-Time</v>
      </c>
      <c r="V2008">
        <f t="shared" si="191"/>
        <v>0</v>
      </c>
    </row>
    <row r="2009" spans="1:22" x14ac:dyDescent="0.45">
      <c r="A2009" t="s">
        <v>2860</v>
      </c>
      <c r="B2009" t="s">
        <v>192</v>
      </c>
      <c r="C2009" t="s">
        <v>30</v>
      </c>
      <c r="D2009" t="s">
        <v>61</v>
      </c>
      <c r="E2009" t="s">
        <v>17</v>
      </c>
      <c r="F2009">
        <v>124</v>
      </c>
      <c r="G2009">
        <v>111237</v>
      </c>
      <c r="H2009">
        <v>13793388</v>
      </c>
      <c r="I2009" t="s">
        <v>649</v>
      </c>
      <c r="J2009" t="s">
        <v>649</v>
      </c>
      <c r="K2009">
        <v>124</v>
      </c>
      <c r="L2009">
        <v>0</v>
      </c>
      <c r="M2009" t="s">
        <v>115</v>
      </c>
      <c r="N2009" t="str">
        <f t="shared" si="186"/>
        <v>PO-102008</v>
      </c>
      <c r="O2009" t="str">
        <f t="shared" si="187"/>
        <v>Delivered</v>
      </c>
      <c r="P2009" t="str">
        <f t="shared" si="188"/>
        <v>WH-BLR</v>
      </c>
      <c r="Q2009" t="str">
        <f>VLOOKUP(C2009, Lookups!$A$2:$D$10, 2, FALSE())</f>
        <v>TechSupply Corp</v>
      </c>
      <c r="R2009" t="str">
        <f>_xlfn.XLOOKUP(D2009, Lookups!$A$12:$A$51, Lookups!$C$12:$C$51, "Unknown")</f>
        <v>Electronics</v>
      </c>
      <c r="S2009" t="str">
        <f>IF(ISBLANK(I2009), B2009+VLOOKUP(C2009, Lookups!$A$2:$D$10, 4, FALSE()), I2009)</f>
        <v>2025-08-18</v>
      </c>
      <c r="T2009">
        <f t="shared" si="189"/>
        <v>14</v>
      </c>
      <c r="U2009" t="str">
        <f t="shared" si="190"/>
        <v>On-Time</v>
      </c>
      <c r="V2009">
        <f t="shared" si="191"/>
        <v>0</v>
      </c>
    </row>
    <row r="2010" spans="1:22" x14ac:dyDescent="0.45">
      <c r="A2010" t="s">
        <v>2861</v>
      </c>
      <c r="B2010" t="s">
        <v>1407</v>
      </c>
      <c r="C2010" t="s">
        <v>37</v>
      </c>
      <c r="D2010" t="s">
        <v>78</v>
      </c>
      <c r="E2010" t="s">
        <v>16</v>
      </c>
      <c r="F2010">
        <v>131</v>
      </c>
      <c r="G2010">
        <v>9423</v>
      </c>
      <c r="H2010">
        <v>1234413</v>
      </c>
      <c r="I2010" t="s">
        <v>464</v>
      </c>
      <c r="J2010" t="s">
        <v>1075</v>
      </c>
      <c r="K2010">
        <v>131</v>
      </c>
      <c r="L2010">
        <v>0</v>
      </c>
      <c r="M2010" t="s">
        <v>115</v>
      </c>
      <c r="N2010" t="str">
        <f t="shared" si="186"/>
        <v>PO-102009</v>
      </c>
      <c r="O2010" t="str">
        <f t="shared" si="187"/>
        <v>Delivered</v>
      </c>
      <c r="P2010" t="str">
        <f t="shared" si="188"/>
        <v>WH-DEL</v>
      </c>
      <c r="Q2010" t="str">
        <f>VLOOKUP(C2010, Lookups!$A$2:$D$10, 2, FALSE())</f>
        <v>Premium Desks Ltd</v>
      </c>
      <c r="R2010" t="str">
        <f>_xlfn.XLOOKUP(D2010, Lookups!$A$12:$A$51, Lookups!$C$12:$C$51, "Unknown")</f>
        <v>Office Furniture</v>
      </c>
      <c r="S2010" t="str">
        <f>IF(ISBLANK(I2010), B2010+VLOOKUP(C2010, Lookups!$A$2:$D$10, 4, FALSE()), I2010)</f>
        <v>2025-11-20</v>
      </c>
      <c r="T2010">
        <f t="shared" si="189"/>
        <v>13</v>
      </c>
      <c r="U2010" t="str">
        <f t="shared" si="190"/>
        <v>Late</v>
      </c>
      <c r="V2010">
        <f t="shared" si="191"/>
        <v>0</v>
      </c>
    </row>
    <row r="2011" spans="1:22" x14ac:dyDescent="0.45">
      <c r="A2011" t="s">
        <v>2862</v>
      </c>
      <c r="B2011" t="s">
        <v>737</v>
      </c>
      <c r="C2011" t="s">
        <v>32</v>
      </c>
      <c r="D2011" t="s">
        <v>67</v>
      </c>
      <c r="E2011" t="s">
        <v>17</v>
      </c>
      <c r="F2011">
        <v>173</v>
      </c>
      <c r="G2011">
        <v>1553</v>
      </c>
      <c r="H2011">
        <v>268669</v>
      </c>
      <c r="I2011" t="s">
        <v>811</v>
      </c>
      <c r="J2011" t="s">
        <v>675</v>
      </c>
      <c r="K2011">
        <v>173</v>
      </c>
      <c r="L2011">
        <v>0</v>
      </c>
      <c r="M2011" t="s">
        <v>115</v>
      </c>
      <c r="N2011" t="str">
        <f t="shared" si="186"/>
        <v>PO-102010</v>
      </c>
      <c r="O2011" t="str">
        <f t="shared" si="187"/>
        <v>Delivered</v>
      </c>
      <c r="P2011" t="str">
        <f t="shared" si="188"/>
        <v>WH-BLR</v>
      </c>
      <c r="Q2011" t="str">
        <f>VLOOKUP(C2011, Lookups!$A$2:$D$10, 2, FALSE())</f>
        <v>OfficeDepot Pro</v>
      </c>
      <c r="R2011" t="str">
        <f>_xlfn.XLOOKUP(D2011, Lookups!$A$12:$A$51, Lookups!$C$12:$C$51, "Unknown")</f>
        <v>Peripherals</v>
      </c>
      <c r="S2011" t="str">
        <f>IF(ISBLANK(I2011), B2011+VLOOKUP(C2011, Lookups!$A$2:$D$10, 4, FALSE()), I2011)</f>
        <v>2026-11-27</v>
      </c>
      <c r="T2011">
        <f t="shared" si="189"/>
        <v>8</v>
      </c>
      <c r="U2011" t="str">
        <f t="shared" si="190"/>
        <v>Late</v>
      </c>
      <c r="V2011">
        <f t="shared" si="191"/>
        <v>0</v>
      </c>
    </row>
    <row r="2012" spans="1:22" x14ac:dyDescent="0.45">
      <c r="A2012" t="s">
        <v>2863</v>
      </c>
      <c r="B2012" t="s">
        <v>1430</v>
      </c>
      <c r="C2012" t="s">
        <v>34</v>
      </c>
      <c r="D2012" t="s">
        <v>58</v>
      </c>
      <c r="E2012" t="s">
        <v>17</v>
      </c>
      <c r="F2012">
        <v>163</v>
      </c>
      <c r="G2012">
        <v>100302</v>
      </c>
      <c r="H2012">
        <v>16349226</v>
      </c>
      <c r="I2012" t="s">
        <v>261</v>
      </c>
      <c r="J2012" t="s">
        <v>851</v>
      </c>
      <c r="K2012">
        <v>87</v>
      </c>
      <c r="L2012">
        <v>0</v>
      </c>
      <c r="M2012" t="s">
        <v>166</v>
      </c>
      <c r="N2012" t="str">
        <f t="shared" si="186"/>
        <v>PO-102011</v>
      </c>
      <c r="O2012" t="str">
        <f t="shared" si="187"/>
        <v>Delivered</v>
      </c>
      <c r="P2012" t="str">
        <f t="shared" si="188"/>
        <v>WH-BLR</v>
      </c>
      <c r="Q2012" t="str">
        <f>VLOOKUP(C2012, Lookups!$A$2:$D$10, 2, FALSE())</f>
        <v>FastElectronics</v>
      </c>
      <c r="R2012" t="str">
        <f>_xlfn.XLOOKUP(D2012, Lookups!$A$12:$A$51, Lookups!$C$12:$C$51, "Unknown")</f>
        <v>Electronics</v>
      </c>
      <c r="S2012" t="str">
        <f>IF(ISBLANK(I2012), B2012+VLOOKUP(C2012, Lookups!$A$2:$D$10, 4, FALSE()), I2012)</f>
        <v>2026-01-15</v>
      </c>
      <c r="T2012">
        <f t="shared" si="189"/>
        <v>19</v>
      </c>
      <c r="U2012" t="str">
        <f t="shared" si="190"/>
        <v>Late</v>
      </c>
      <c r="V2012">
        <f t="shared" si="191"/>
        <v>0</v>
      </c>
    </row>
    <row r="2013" spans="1:22" x14ac:dyDescent="0.45">
      <c r="A2013" t="s">
        <v>2864</v>
      </c>
      <c r="B2013" t="s">
        <v>375</v>
      </c>
      <c r="C2013" t="s">
        <v>31</v>
      </c>
      <c r="D2013" t="s">
        <v>77</v>
      </c>
      <c r="E2013" t="s">
        <v>16</v>
      </c>
      <c r="F2013">
        <v>138</v>
      </c>
      <c r="G2013">
        <v>23667</v>
      </c>
      <c r="H2013">
        <v>3266046</v>
      </c>
      <c r="I2013" t="s">
        <v>908</v>
      </c>
      <c r="J2013" t="s">
        <v>951</v>
      </c>
      <c r="K2013">
        <v>138</v>
      </c>
      <c r="L2013">
        <v>0</v>
      </c>
      <c r="M2013" t="s">
        <v>115</v>
      </c>
      <c r="N2013" t="str">
        <f t="shared" si="186"/>
        <v>PO-102012</v>
      </c>
      <c r="O2013" t="str">
        <f t="shared" si="187"/>
        <v>Delivered</v>
      </c>
      <c r="P2013" t="str">
        <f t="shared" si="188"/>
        <v>WH-DEL</v>
      </c>
      <c r="Q2013" t="str">
        <f>VLOOKUP(C2013, Lookups!$A$2:$D$10, 2, FALSE())</f>
        <v>Global Networks</v>
      </c>
      <c r="R2013" t="str">
        <f>_xlfn.XLOOKUP(D2013, Lookups!$A$12:$A$51, Lookups!$C$12:$C$51, "Unknown")</f>
        <v>Networking</v>
      </c>
      <c r="S2013" t="str">
        <f>IF(ISBLANK(I2013), B2013+VLOOKUP(C2013, Lookups!$A$2:$D$10, 4, FALSE()), I2013)</f>
        <v>2026-07-01</v>
      </c>
      <c r="T2013">
        <f t="shared" si="189"/>
        <v>22</v>
      </c>
      <c r="U2013" t="str">
        <f t="shared" si="190"/>
        <v>Late</v>
      </c>
      <c r="V2013">
        <f t="shared" si="191"/>
        <v>0</v>
      </c>
    </row>
    <row r="2014" spans="1:22" x14ac:dyDescent="0.45">
      <c r="A2014" t="s">
        <v>2865</v>
      </c>
      <c r="B2014" t="s">
        <v>653</v>
      </c>
      <c r="C2014" t="s">
        <v>31</v>
      </c>
      <c r="D2014" t="s">
        <v>85</v>
      </c>
      <c r="E2014" t="s">
        <v>18</v>
      </c>
      <c r="F2014">
        <v>167</v>
      </c>
      <c r="G2014">
        <v>16501</v>
      </c>
      <c r="H2014">
        <v>2755667</v>
      </c>
      <c r="I2014" t="s">
        <v>2866</v>
      </c>
      <c r="J2014" t="s">
        <v>1306</v>
      </c>
      <c r="K2014">
        <v>167</v>
      </c>
      <c r="L2014">
        <v>0</v>
      </c>
      <c r="M2014" t="s">
        <v>115</v>
      </c>
      <c r="N2014" t="str">
        <f t="shared" si="186"/>
        <v>PO-102013</v>
      </c>
      <c r="O2014" t="str">
        <f t="shared" si="187"/>
        <v>Delivered</v>
      </c>
      <c r="P2014" t="str">
        <f t="shared" si="188"/>
        <v>WH-PUN</v>
      </c>
      <c r="Q2014" t="str">
        <f>VLOOKUP(C2014, Lookups!$A$2:$D$10, 2, FALSE())</f>
        <v>Global Networks</v>
      </c>
      <c r="R2014" t="str">
        <f>_xlfn.XLOOKUP(D2014, Lookups!$A$12:$A$51, Lookups!$C$12:$C$51, "Unknown")</f>
        <v>Networking</v>
      </c>
      <c r="S2014" t="str">
        <f>IF(ISBLANK(I2014), B2014+VLOOKUP(C2014, Lookups!$A$2:$D$10, 4, FALSE()), I2014)</f>
        <v>2027-01-04</v>
      </c>
      <c r="T2014">
        <f t="shared" si="189"/>
        <v>22</v>
      </c>
      <c r="U2014" t="str">
        <f t="shared" si="190"/>
        <v>Late</v>
      </c>
      <c r="V2014">
        <f t="shared" si="191"/>
        <v>0</v>
      </c>
    </row>
    <row r="2015" spans="1:22" x14ac:dyDescent="0.45">
      <c r="A2015" t="s">
        <v>2867</v>
      </c>
      <c r="B2015" t="s">
        <v>940</v>
      </c>
      <c r="C2015" t="s">
        <v>32</v>
      </c>
      <c r="D2015" t="s">
        <v>67</v>
      </c>
      <c r="E2015" t="s">
        <v>17</v>
      </c>
      <c r="F2015">
        <v>31</v>
      </c>
      <c r="G2015">
        <v>1553</v>
      </c>
      <c r="H2015">
        <v>48143</v>
      </c>
      <c r="I2015" t="s">
        <v>763</v>
      </c>
      <c r="J2015" t="s">
        <v>489</v>
      </c>
      <c r="K2015">
        <v>31</v>
      </c>
      <c r="L2015">
        <v>0</v>
      </c>
      <c r="M2015" t="s">
        <v>115</v>
      </c>
      <c r="N2015" t="str">
        <f t="shared" si="186"/>
        <v>PO-102014</v>
      </c>
      <c r="O2015" t="str">
        <f t="shared" si="187"/>
        <v>Delivered</v>
      </c>
      <c r="P2015" t="str">
        <f t="shared" si="188"/>
        <v>WH-BLR</v>
      </c>
      <c r="Q2015" t="str">
        <f>VLOOKUP(C2015, Lookups!$A$2:$D$10, 2, FALSE())</f>
        <v>OfficeDepot Pro</v>
      </c>
      <c r="R2015" t="str">
        <f>_xlfn.XLOOKUP(D2015, Lookups!$A$12:$A$51, Lookups!$C$12:$C$51, "Unknown")</f>
        <v>Peripherals</v>
      </c>
      <c r="S2015" t="str">
        <f>IF(ISBLANK(I2015), B2015+VLOOKUP(C2015, Lookups!$A$2:$D$10, 4, FALSE()), I2015)</f>
        <v>2025-01-27</v>
      </c>
      <c r="T2015">
        <f t="shared" si="189"/>
        <v>8</v>
      </c>
      <c r="U2015" t="str">
        <f t="shared" si="190"/>
        <v>Late</v>
      </c>
      <c r="V2015">
        <f t="shared" si="191"/>
        <v>0</v>
      </c>
    </row>
    <row r="2016" spans="1:22" x14ac:dyDescent="0.45">
      <c r="A2016" t="s">
        <v>2868</v>
      </c>
      <c r="B2016" t="s">
        <v>1158</v>
      </c>
      <c r="C2016" t="s">
        <v>31</v>
      </c>
      <c r="D2016" t="s">
        <v>66</v>
      </c>
      <c r="E2016" t="s">
        <v>17</v>
      </c>
      <c r="F2016">
        <v>79</v>
      </c>
      <c r="G2016">
        <v>29719</v>
      </c>
      <c r="H2016">
        <v>2347801</v>
      </c>
      <c r="I2016" t="s">
        <v>269</v>
      </c>
      <c r="J2016" t="s">
        <v>983</v>
      </c>
      <c r="K2016">
        <v>79</v>
      </c>
      <c r="L2016">
        <v>0</v>
      </c>
      <c r="M2016" t="s">
        <v>115</v>
      </c>
      <c r="N2016" t="str">
        <f t="shared" si="186"/>
        <v>PO-102015</v>
      </c>
      <c r="O2016" t="str">
        <f t="shared" si="187"/>
        <v>Delivered</v>
      </c>
      <c r="P2016" t="str">
        <f t="shared" si="188"/>
        <v>WH-BLR</v>
      </c>
      <c r="Q2016" t="str">
        <f>VLOOKUP(C2016, Lookups!$A$2:$D$10, 2, FALSE())</f>
        <v>Global Networks</v>
      </c>
      <c r="R2016" t="str">
        <f>_xlfn.XLOOKUP(D2016, Lookups!$A$12:$A$51, Lookups!$C$12:$C$51, "Unknown")</f>
        <v>Networking</v>
      </c>
      <c r="S2016" t="str">
        <f>IF(ISBLANK(I2016), B2016+VLOOKUP(C2016, Lookups!$A$2:$D$10, 4, FALSE()), I2016)</f>
        <v>2025-04-20</v>
      </c>
      <c r="T2016">
        <f t="shared" si="189"/>
        <v>31</v>
      </c>
      <c r="U2016" t="str">
        <f t="shared" si="190"/>
        <v>Late</v>
      </c>
      <c r="V2016">
        <f t="shared" si="191"/>
        <v>0</v>
      </c>
    </row>
    <row r="2017" spans="1:22" x14ac:dyDescent="0.45">
      <c r="A2017" t="s">
        <v>2869</v>
      </c>
      <c r="B2017" t="s">
        <v>1822</v>
      </c>
      <c r="C2017" t="s">
        <v>32</v>
      </c>
      <c r="D2017" t="s">
        <v>67</v>
      </c>
      <c r="E2017" t="s">
        <v>15</v>
      </c>
      <c r="F2017">
        <v>149</v>
      </c>
      <c r="G2017">
        <v>1553</v>
      </c>
      <c r="H2017">
        <v>231397</v>
      </c>
      <c r="I2017" t="s">
        <v>903</v>
      </c>
      <c r="J2017" t="s">
        <v>903</v>
      </c>
      <c r="K2017">
        <v>149</v>
      </c>
      <c r="L2017">
        <v>0</v>
      </c>
      <c r="M2017" t="s">
        <v>115</v>
      </c>
      <c r="N2017" t="str">
        <f t="shared" si="186"/>
        <v>PO-102016</v>
      </c>
      <c r="O2017" t="str">
        <f t="shared" si="187"/>
        <v>Delivered</v>
      </c>
      <c r="P2017" t="str">
        <f t="shared" si="188"/>
        <v>WH-BOM</v>
      </c>
      <c r="Q2017" t="str">
        <f>VLOOKUP(C2017, Lookups!$A$2:$D$10, 2, FALSE())</f>
        <v>OfficeDepot Pro</v>
      </c>
      <c r="R2017" t="str">
        <f>_xlfn.XLOOKUP(D2017, Lookups!$A$12:$A$51, Lookups!$C$12:$C$51, "Unknown")</f>
        <v>Peripherals</v>
      </c>
      <c r="S2017" t="str">
        <f>IF(ISBLANK(I2017), B2017+VLOOKUP(C2017, Lookups!$A$2:$D$10, 4, FALSE()), I2017)</f>
        <v>2026-11-10</v>
      </c>
      <c r="T2017">
        <f t="shared" si="189"/>
        <v>7</v>
      </c>
      <c r="U2017" t="str">
        <f t="shared" si="190"/>
        <v>On-Time</v>
      </c>
      <c r="V2017">
        <f t="shared" si="191"/>
        <v>0</v>
      </c>
    </row>
    <row r="2018" spans="1:22" x14ac:dyDescent="0.45">
      <c r="A2018" t="s">
        <v>2870</v>
      </c>
      <c r="B2018" t="s">
        <v>469</v>
      </c>
      <c r="C2018" t="s">
        <v>37</v>
      </c>
      <c r="D2018" t="s">
        <v>69</v>
      </c>
      <c r="E2018" t="s">
        <v>18</v>
      </c>
      <c r="F2018">
        <v>117</v>
      </c>
      <c r="G2018">
        <v>13231</v>
      </c>
      <c r="H2018">
        <v>1548027</v>
      </c>
      <c r="I2018" t="s">
        <v>426</v>
      </c>
      <c r="J2018" t="s">
        <v>426</v>
      </c>
      <c r="K2018">
        <v>117</v>
      </c>
      <c r="L2018">
        <v>0</v>
      </c>
      <c r="M2018" t="s">
        <v>115</v>
      </c>
      <c r="N2018" t="str">
        <f t="shared" si="186"/>
        <v>PO-102017</v>
      </c>
      <c r="O2018" t="str">
        <f t="shared" si="187"/>
        <v>Delivered</v>
      </c>
      <c r="P2018" t="str">
        <f t="shared" si="188"/>
        <v>WH-PUN</v>
      </c>
      <c r="Q2018" t="str">
        <f>VLOOKUP(C2018, Lookups!$A$2:$D$10, 2, FALSE())</f>
        <v>Premium Desks Ltd</v>
      </c>
      <c r="R2018" t="str">
        <f>_xlfn.XLOOKUP(D2018, Lookups!$A$12:$A$51, Lookups!$C$12:$C$51, "Unknown")</f>
        <v>Office Furniture</v>
      </c>
      <c r="S2018" t="str">
        <f>IF(ISBLANK(I2018), B2018+VLOOKUP(C2018, Lookups!$A$2:$D$10, 4, FALSE()), I2018)</f>
        <v>2025-07-27</v>
      </c>
      <c r="T2018">
        <f t="shared" si="189"/>
        <v>12</v>
      </c>
      <c r="U2018" t="str">
        <f t="shared" si="190"/>
        <v>On-Time</v>
      </c>
      <c r="V2018">
        <f t="shared" si="191"/>
        <v>0</v>
      </c>
    </row>
    <row r="2019" spans="1:22" x14ac:dyDescent="0.45">
      <c r="A2019" t="s">
        <v>2871</v>
      </c>
      <c r="B2019" t="s">
        <v>648</v>
      </c>
      <c r="C2019" t="s">
        <v>37</v>
      </c>
      <c r="D2019" t="s">
        <v>83</v>
      </c>
      <c r="E2019" t="s">
        <v>18</v>
      </c>
      <c r="F2019">
        <v>164</v>
      </c>
      <c r="G2019">
        <v>19850</v>
      </c>
      <c r="H2019">
        <v>3255400</v>
      </c>
      <c r="I2019" t="s">
        <v>1235</v>
      </c>
      <c r="J2019" t="s">
        <v>1235</v>
      </c>
      <c r="K2019">
        <v>164</v>
      </c>
      <c r="L2019">
        <v>0</v>
      </c>
      <c r="M2019" t="s">
        <v>115</v>
      </c>
      <c r="N2019" t="str">
        <f t="shared" si="186"/>
        <v>PO-102018</v>
      </c>
      <c r="O2019" t="str">
        <f t="shared" si="187"/>
        <v>Delivered</v>
      </c>
      <c r="P2019" t="str">
        <f t="shared" si="188"/>
        <v>WH-PUN</v>
      </c>
      <c r="Q2019" t="str">
        <f>VLOOKUP(C2019, Lookups!$A$2:$D$10, 2, FALSE())</f>
        <v>Premium Desks Ltd</v>
      </c>
      <c r="R2019" t="str">
        <f>_xlfn.XLOOKUP(D2019, Lookups!$A$12:$A$51, Lookups!$C$12:$C$51, "Unknown")</f>
        <v>Office Furniture</v>
      </c>
      <c r="S2019" t="str">
        <f>IF(ISBLANK(I2019), B2019+VLOOKUP(C2019, Lookups!$A$2:$D$10, 4, FALSE()), I2019)</f>
        <v>2025-08-09</v>
      </c>
      <c r="T2019">
        <f t="shared" si="189"/>
        <v>12</v>
      </c>
      <c r="U2019" t="str">
        <f t="shared" si="190"/>
        <v>On-Time</v>
      </c>
      <c r="V2019">
        <f t="shared" si="191"/>
        <v>0</v>
      </c>
    </row>
    <row r="2020" spans="1:22" x14ac:dyDescent="0.45">
      <c r="A2020" t="s">
        <v>2872</v>
      </c>
      <c r="B2020" t="s">
        <v>120</v>
      </c>
      <c r="C2020" t="s">
        <v>35</v>
      </c>
      <c r="D2020" t="s">
        <v>57</v>
      </c>
      <c r="E2020" t="s">
        <v>16</v>
      </c>
      <c r="F2020">
        <v>50</v>
      </c>
      <c r="G2020">
        <v>2212</v>
      </c>
      <c r="H2020">
        <v>110600</v>
      </c>
      <c r="I2020" t="s">
        <v>726</v>
      </c>
      <c r="J2020" t="s">
        <v>726</v>
      </c>
      <c r="K2020">
        <v>31</v>
      </c>
      <c r="L2020">
        <v>0</v>
      </c>
      <c r="M2020" t="s">
        <v>115</v>
      </c>
      <c r="N2020" t="str">
        <f t="shared" si="186"/>
        <v>PO-102019</v>
      </c>
      <c r="O2020" t="str">
        <f t="shared" si="187"/>
        <v>Delivered</v>
      </c>
      <c r="P2020" t="str">
        <f t="shared" si="188"/>
        <v>WH-DEL</v>
      </c>
      <c r="Q2020" t="str">
        <f>VLOOKUP(C2020, Lookups!$A$2:$D$10, 2, FALSE())</f>
        <v>Peripheral Source</v>
      </c>
      <c r="R2020" t="str">
        <f>_xlfn.XLOOKUP(D2020, Lookups!$A$12:$A$51, Lookups!$C$12:$C$51, "Unknown")</f>
        <v>Peripherals</v>
      </c>
      <c r="S2020" t="str">
        <f>IF(ISBLANK(I2020), B2020+VLOOKUP(C2020, Lookups!$A$2:$D$10, 4, FALSE()), I2020)</f>
        <v>2025-01-13</v>
      </c>
      <c r="T2020">
        <f t="shared" si="189"/>
        <v>10</v>
      </c>
      <c r="U2020" t="str">
        <f t="shared" si="190"/>
        <v>On-Time</v>
      </c>
      <c r="V2020">
        <f t="shared" si="191"/>
        <v>0</v>
      </c>
    </row>
    <row r="2021" spans="1:22" x14ac:dyDescent="0.45">
      <c r="A2021" t="s">
        <v>2873</v>
      </c>
      <c r="B2021" t="s">
        <v>837</v>
      </c>
      <c r="C2021" t="s">
        <v>36</v>
      </c>
      <c r="D2021" t="s">
        <v>63</v>
      </c>
      <c r="E2021" t="s">
        <v>15</v>
      </c>
      <c r="F2021">
        <v>11</v>
      </c>
      <c r="G2021">
        <v>71062</v>
      </c>
      <c r="H2021">
        <v>781682</v>
      </c>
      <c r="I2021" t="s">
        <v>343</v>
      </c>
      <c r="J2021" t="s">
        <v>343</v>
      </c>
      <c r="K2021">
        <v>11</v>
      </c>
      <c r="L2021">
        <v>0</v>
      </c>
      <c r="M2021" t="s">
        <v>115</v>
      </c>
      <c r="N2021" t="str">
        <f t="shared" si="186"/>
        <v>PO-102020</v>
      </c>
      <c r="O2021" t="str">
        <f t="shared" si="187"/>
        <v>Delivered</v>
      </c>
      <c r="P2021" t="str">
        <f t="shared" si="188"/>
        <v>WH-BOM</v>
      </c>
      <c r="Q2021" t="str">
        <f>VLOOKUP(C2021, Lookups!$A$2:$D$10, 2, FALSE())</f>
        <v>NextGen Hardware</v>
      </c>
      <c r="R2021" t="str">
        <f>_xlfn.XLOOKUP(D2021, Lookups!$A$12:$A$51, Lookups!$C$12:$C$51, "Unknown")</f>
        <v>Electronics</v>
      </c>
      <c r="S2021" t="str">
        <f>IF(ISBLANK(I2021), B2021+VLOOKUP(C2021, Lookups!$A$2:$D$10, 4, FALSE()), I2021)</f>
        <v>2026-02-04</v>
      </c>
      <c r="T2021">
        <f t="shared" si="189"/>
        <v>24</v>
      </c>
      <c r="U2021" t="str">
        <f t="shared" si="190"/>
        <v>On-Time</v>
      </c>
      <c r="V2021">
        <f t="shared" si="191"/>
        <v>0</v>
      </c>
    </row>
    <row r="2022" spans="1:22" x14ac:dyDescent="0.45">
      <c r="A2022" t="s">
        <v>2874</v>
      </c>
      <c r="B2022" t="s">
        <v>434</v>
      </c>
      <c r="C2022" t="s">
        <v>31</v>
      </c>
      <c r="D2022" t="s">
        <v>56</v>
      </c>
      <c r="E2022" t="s">
        <v>16</v>
      </c>
      <c r="F2022">
        <v>72</v>
      </c>
      <c r="G2022">
        <v>39270</v>
      </c>
      <c r="H2022">
        <v>2827440</v>
      </c>
      <c r="I2022" t="s">
        <v>598</v>
      </c>
      <c r="J2022" t="s">
        <v>1200</v>
      </c>
      <c r="K2022">
        <v>72</v>
      </c>
      <c r="L2022">
        <v>0</v>
      </c>
      <c r="M2022" t="s">
        <v>115</v>
      </c>
      <c r="N2022" t="str">
        <f t="shared" si="186"/>
        <v>PO-102021</v>
      </c>
      <c r="O2022" t="str">
        <f t="shared" si="187"/>
        <v>Delivered</v>
      </c>
      <c r="P2022" t="str">
        <f t="shared" si="188"/>
        <v>WH-DEL</v>
      </c>
      <c r="Q2022" t="str">
        <f>VLOOKUP(C2022, Lookups!$A$2:$D$10, 2, FALSE())</f>
        <v>Global Networks</v>
      </c>
      <c r="R2022" t="str">
        <f>_xlfn.XLOOKUP(D2022, Lookups!$A$12:$A$51, Lookups!$C$12:$C$51, "Unknown")</f>
        <v>Networking</v>
      </c>
      <c r="S2022" t="str">
        <f>IF(ISBLANK(I2022), B2022+VLOOKUP(C2022, Lookups!$A$2:$D$10, 4, FALSE()), I2022)</f>
        <v>2025-08-31</v>
      </c>
      <c r="T2022">
        <f t="shared" si="189"/>
        <v>22</v>
      </c>
      <c r="U2022" t="str">
        <f t="shared" si="190"/>
        <v>Late</v>
      </c>
      <c r="V2022">
        <f t="shared" si="191"/>
        <v>0</v>
      </c>
    </row>
    <row r="2023" spans="1:22" x14ac:dyDescent="0.45">
      <c r="A2023" t="s">
        <v>2875</v>
      </c>
      <c r="B2023" t="s">
        <v>811</v>
      </c>
      <c r="C2023" t="s">
        <v>31</v>
      </c>
      <c r="D2023" t="s">
        <v>56</v>
      </c>
      <c r="E2023" t="s">
        <v>17</v>
      </c>
      <c r="F2023">
        <v>206</v>
      </c>
      <c r="G2023">
        <v>39270</v>
      </c>
      <c r="H2023">
        <v>8089620</v>
      </c>
      <c r="I2023" t="s">
        <v>2791</v>
      </c>
      <c r="K2023">
        <v>0</v>
      </c>
      <c r="L2023">
        <v>0</v>
      </c>
      <c r="M2023" t="s">
        <v>297</v>
      </c>
      <c r="N2023" t="str">
        <f t="shared" si="186"/>
        <v>PO-102022</v>
      </c>
      <c r="O2023" t="str">
        <f t="shared" si="187"/>
        <v>Open</v>
      </c>
      <c r="P2023" t="str">
        <f t="shared" si="188"/>
        <v>WH-BLR</v>
      </c>
      <c r="Q2023" t="str">
        <f>VLOOKUP(C2023, Lookups!$A$2:$D$10, 2, FALSE())</f>
        <v>Global Networks</v>
      </c>
      <c r="R2023" t="str">
        <f>_xlfn.XLOOKUP(D2023, Lookups!$A$12:$A$51, Lookups!$C$12:$C$51, "Unknown")</f>
        <v>Networking</v>
      </c>
      <c r="S2023" t="str">
        <f>IF(ISBLANK(I2023), B2023+VLOOKUP(C2023, Lookups!$A$2:$D$10, 4, FALSE()), I2023)</f>
        <v>2026-12-18</v>
      </c>
      <c r="T2023" t="str">
        <f t="shared" si="189"/>
        <v/>
      </c>
      <c r="U2023" t="str">
        <f t="shared" si="190"/>
        <v>Open</v>
      </c>
      <c r="V2023">
        <f t="shared" si="191"/>
        <v>0</v>
      </c>
    </row>
    <row r="2024" spans="1:22" x14ac:dyDescent="0.45">
      <c r="A2024" t="s">
        <v>2876</v>
      </c>
      <c r="B2024" t="s">
        <v>211</v>
      </c>
      <c r="C2024" t="s">
        <v>37</v>
      </c>
      <c r="D2024" t="s">
        <v>83</v>
      </c>
      <c r="E2024" t="s">
        <v>15</v>
      </c>
      <c r="F2024">
        <v>56</v>
      </c>
      <c r="G2024">
        <v>19850</v>
      </c>
      <c r="H2024">
        <v>1111600</v>
      </c>
      <c r="I2024" t="s">
        <v>425</v>
      </c>
      <c r="J2024" t="s">
        <v>1133</v>
      </c>
      <c r="K2024">
        <v>56</v>
      </c>
      <c r="L2024">
        <v>2</v>
      </c>
      <c r="M2024" t="s">
        <v>115</v>
      </c>
      <c r="N2024" t="str">
        <f t="shared" si="186"/>
        <v>PO-102023</v>
      </c>
      <c r="O2024" t="str">
        <f t="shared" si="187"/>
        <v>Delivered</v>
      </c>
      <c r="P2024" t="str">
        <f t="shared" si="188"/>
        <v>WH-BOM</v>
      </c>
      <c r="Q2024" t="str">
        <f>VLOOKUP(C2024, Lookups!$A$2:$D$10, 2, FALSE())</f>
        <v>Premium Desks Ltd</v>
      </c>
      <c r="R2024" t="str">
        <f>_xlfn.XLOOKUP(D2024, Lookups!$A$12:$A$51, Lookups!$C$12:$C$51, "Unknown")</f>
        <v>Office Furniture</v>
      </c>
      <c r="S2024" t="str">
        <f>IF(ISBLANK(I2024), B2024+VLOOKUP(C2024, Lookups!$A$2:$D$10, 4, FALSE()), I2024)</f>
        <v>2025-07-03</v>
      </c>
      <c r="T2024">
        <f t="shared" si="189"/>
        <v>13</v>
      </c>
      <c r="U2024" t="str">
        <f t="shared" si="190"/>
        <v>Late</v>
      </c>
      <c r="V2024">
        <f t="shared" si="191"/>
        <v>3.5714285714285712E-2</v>
      </c>
    </row>
    <row r="2025" spans="1:22" x14ac:dyDescent="0.45">
      <c r="A2025" t="s">
        <v>2877</v>
      </c>
      <c r="B2025" t="s">
        <v>629</v>
      </c>
      <c r="C2025" t="s">
        <v>35</v>
      </c>
      <c r="D2025" t="s">
        <v>91</v>
      </c>
      <c r="E2025" t="s">
        <v>17</v>
      </c>
      <c r="F2025">
        <v>164</v>
      </c>
      <c r="G2025">
        <v>6707</v>
      </c>
      <c r="H2025">
        <v>1099948</v>
      </c>
      <c r="I2025" t="s">
        <v>1549</v>
      </c>
      <c r="J2025" t="s">
        <v>894</v>
      </c>
      <c r="K2025">
        <v>164</v>
      </c>
      <c r="L2025">
        <v>0</v>
      </c>
      <c r="M2025" t="s">
        <v>115</v>
      </c>
      <c r="N2025" t="str">
        <f t="shared" si="186"/>
        <v>PO-102024</v>
      </c>
      <c r="O2025" t="str">
        <f t="shared" si="187"/>
        <v>Delivered</v>
      </c>
      <c r="P2025" t="str">
        <f t="shared" si="188"/>
        <v>WH-BLR</v>
      </c>
      <c r="Q2025" t="str">
        <f>VLOOKUP(C2025, Lookups!$A$2:$D$10, 2, FALSE())</f>
        <v>Peripheral Source</v>
      </c>
      <c r="R2025" t="str">
        <f>_xlfn.XLOOKUP(D2025, Lookups!$A$12:$A$51, Lookups!$C$12:$C$51, "Unknown")</f>
        <v>Peripherals</v>
      </c>
      <c r="S2025" t="str">
        <f>IF(ISBLANK(I2025), B2025+VLOOKUP(C2025, Lookups!$A$2:$D$10, 4, FALSE()), I2025)</f>
        <v>2025-07-17</v>
      </c>
      <c r="T2025">
        <f t="shared" si="189"/>
        <v>25</v>
      </c>
      <c r="U2025" t="str">
        <f t="shared" si="190"/>
        <v>Late</v>
      </c>
      <c r="V2025">
        <f t="shared" si="191"/>
        <v>0</v>
      </c>
    </row>
    <row r="2026" spans="1:22" x14ac:dyDescent="0.45">
      <c r="A2026" t="s">
        <v>2878</v>
      </c>
      <c r="B2026" t="s">
        <v>150</v>
      </c>
      <c r="C2026" t="s">
        <v>37</v>
      </c>
      <c r="D2026" t="s">
        <v>83</v>
      </c>
      <c r="E2026" t="s">
        <v>17</v>
      </c>
      <c r="F2026">
        <v>112</v>
      </c>
      <c r="G2026">
        <v>19850</v>
      </c>
      <c r="H2026">
        <v>2223200</v>
      </c>
      <c r="I2026" t="s">
        <v>1058</v>
      </c>
      <c r="J2026" t="s">
        <v>1058</v>
      </c>
      <c r="K2026">
        <v>56</v>
      </c>
      <c r="L2026">
        <v>0</v>
      </c>
      <c r="M2026" t="s">
        <v>115</v>
      </c>
      <c r="N2026" t="str">
        <f t="shared" si="186"/>
        <v>PO-102025</v>
      </c>
      <c r="O2026" t="str">
        <f t="shared" si="187"/>
        <v>Delivered</v>
      </c>
      <c r="P2026" t="str">
        <f t="shared" si="188"/>
        <v>WH-BLR</v>
      </c>
      <c r="Q2026" t="str">
        <f>VLOOKUP(C2026, Lookups!$A$2:$D$10, 2, FALSE())</f>
        <v>Premium Desks Ltd</v>
      </c>
      <c r="R2026" t="str">
        <f>_xlfn.XLOOKUP(D2026, Lookups!$A$12:$A$51, Lookups!$C$12:$C$51, "Unknown")</f>
        <v>Office Furniture</v>
      </c>
      <c r="S2026" t="str">
        <f>IF(ISBLANK(I2026), B2026+VLOOKUP(C2026, Lookups!$A$2:$D$10, 4, FALSE()), I2026)</f>
        <v>2026-04-25</v>
      </c>
      <c r="T2026">
        <f t="shared" si="189"/>
        <v>12</v>
      </c>
      <c r="U2026" t="str">
        <f t="shared" si="190"/>
        <v>On-Time</v>
      </c>
      <c r="V2026">
        <f t="shared" si="191"/>
        <v>0</v>
      </c>
    </row>
    <row r="2027" spans="1:22" x14ac:dyDescent="0.45">
      <c r="A2027" t="s">
        <v>2879</v>
      </c>
      <c r="B2027" t="s">
        <v>1822</v>
      </c>
      <c r="C2027" t="s">
        <v>33</v>
      </c>
      <c r="D2027" t="s">
        <v>89</v>
      </c>
      <c r="E2027" t="s">
        <v>15</v>
      </c>
      <c r="F2027">
        <v>128</v>
      </c>
      <c r="G2027">
        <v>11309</v>
      </c>
      <c r="H2027">
        <v>1447552</v>
      </c>
      <c r="I2027" t="s">
        <v>1170</v>
      </c>
      <c r="J2027" t="s">
        <v>877</v>
      </c>
      <c r="K2027">
        <v>128</v>
      </c>
      <c r="L2027">
        <v>0</v>
      </c>
      <c r="M2027" t="s">
        <v>115</v>
      </c>
      <c r="N2027" t="str">
        <f t="shared" si="186"/>
        <v>PO-102026</v>
      </c>
      <c r="O2027" t="str">
        <f t="shared" si="187"/>
        <v>Delivered</v>
      </c>
      <c r="P2027" t="str">
        <f t="shared" si="188"/>
        <v>WH-BOM</v>
      </c>
      <c r="Q2027" t="str">
        <f>VLOOKUP(C2027, Lookups!$A$2:$D$10, 2, FALSE())</f>
        <v>MegaFurnish</v>
      </c>
      <c r="R2027" t="str">
        <f>_xlfn.XLOOKUP(D2027, Lookups!$A$12:$A$51, Lookups!$C$12:$C$51, "Unknown")</f>
        <v>Office Furniture</v>
      </c>
      <c r="S2027" t="str">
        <f>IF(ISBLANK(I2027), B2027+VLOOKUP(C2027, Lookups!$A$2:$D$10, 4, FALSE()), I2027)</f>
        <v>2026-12-03</v>
      </c>
      <c r="T2027">
        <f t="shared" si="189"/>
        <v>31</v>
      </c>
      <c r="U2027" t="str">
        <f t="shared" si="190"/>
        <v>Late</v>
      </c>
      <c r="V2027">
        <f t="shared" si="191"/>
        <v>0</v>
      </c>
    </row>
    <row r="2028" spans="1:22" x14ac:dyDescent="0.45">
      <c r="A2028" t="s">
        <v>2880</v>
      </c>
      <c r="B2028" t="s">
        <v>215</v>
      </c>
      <c r="C2028" t="s">
        <v>35</v>
      </c>
      <c r="D2028" t="s">
        <v>70</v>
      </c>
      <c r="E2028" t="s">
        <v>17</v>
      </c>
      <c r="F2028">
        <v>145</v>
      </c>
      <c r="G2028">
        <v>4287</v>
      </c>
      <c r="H2028">
        <v>621615</v>
      </c>
      <c r="I2028" t="s">
        <v>1482</v>
      </c>
      <c r="J2028" t="s">
        <v>1482</v>
      </c>
      <c r="K2028">
        <v>145</v>
      </c>
      <c r="L2028">
        <v>0</v>
      </c>
      <c r="M2028" t="s">
        <v>115</v>
      </c>
      <c r="N2028" t="str">
        <f t="shared" si="186"/>
        <v>PO-102027</v>
      </c>
      <c r="O2028" t="str">
        <f t="shared" si="187"/>
        <v>Delivered</v>
      </c>
      <c r="P2028" t="str">
        <f t="shared" si="188"/>
        <v>WH-BLR</v>
      </c>
      <c r="Q2028" t="str">
        <f>VLOOKUP(C2028, Lookups!$A$2:$D$10, 2, FALSE())</f>
        <v>Peripheral Source</v>
      </c>
      <c r="R2028" t="str">
        <f>_xlfn.XLOOKUP(D2028, Lookups!$A$12:$A$51, Lookups!$C$12:$C$51, "Unknown")</f>
        <v>Peripherals</v>
      </c>
      <c r="S2028" t="str">
        <f>IF(ISBLANK(I2028), B2028+VLOOKUP(C2028, Lookups!$A$2:$D$10, 4, FALSE()), I2028)</f>
        <v>2025-07-08</v>
      </c>
      <c r="T2028">
        <f t="shared" si="189"/>
        <v>10</v>
      </c>
      <c r="U2028" t="str">
        <f t="shared" si="190"/>
        <v>On-Time</v>
      </c>
      <c r="V2028">
        <f t="shared" si="191"/>
        <v>0</v>
      </c>
    </row>
    <row r="2029" spans="1:22" x14ac:dyDescent="0.45">
      <c r="A2029" t="s">
        <v>2881</v>
      </c>
      <c r="B2029" t="s">
        <v>535</v>
      </c>
      <c r="C2029" t="s">
        <v>30</v>
      </c>
      <c r="D2029" t="s">
        <v>59</v>
      </c>
      <c r="E2029" t="s">
        <v>17</v>
      </c>
      <c r="F2029">
        <v>243</v>
      </c>
      <c r="G2029">
        <v>48905</v>
      </c>
      <c r="H2029">
        <v>11883915</v>
      </c>
      <c r="I2029" t="s">
        <v>123</v>
      </c>
      <c r="J2029" t="s">
        <v>1314</v>
      </c>
      <c r="K2029">
        <v>243</v>
      </c>
      <c r="L2029">
        <v>0</v>
      </c>
      <c r="M2029" t="s">
        <v>115</v>
      </c>
      <c r="N2029" t="str">
        <f t="shared" si="186"/>
        <v>PO-102028</v>
      </c>
      <c r="O2029" t="str">
        <f t="shared" si="187"/>
        <v>Delivered</v>
      </c>
      <c r="P2029" t="str">
        <f t="shared" si="188"/>
        <v>WH-BLR</v>
      </c>
      <c r="Q2029" t="str">
        <f>VLOOKUP(C2029, Lookups!$A$2:$D$10, 2, FALSE())</f>
        <v>TechSupply Corp</v>
      </c>
      <c r="R2029" t="str">
        <f>_xlfn.XLOOKUP(D2029, Lookups!$A$12:$A$51, Lookups!$C$12:$C$51, "Unknown")</f>
        <v>Electronics</v>
      </c>
      <c r="S2029" t="str">
        <f>IF(ISBLANK(I2029), B2029+VLOOKUP(C2029, Lookups!$A$2:$D$10, 4, FALSE()), I2029)</f>
        <v>2026-05-22</v>
      </c>
      <c r="T2029">
        <f t="shared" si="189"/>
        <v>20</v>
      </c>
      <c r="U2029" t="str">
        <f t="shared" si="190"/>
        <v>Late</v>
      </c>
      <c r="V2029">
        <f t="shared" si="191"/>
        <v>0</v>
      </c>
    </row>
    <row r="2030" spans="1:22" x14ac:dyDescent="0.45">
      <c r="A2030" t="s">
        <v>2882</v>
      </c>
      <c r="B2030" t="s">
        <v>1223</v>
      </c>
      <c r="C2030" t="s">
        <v>30</v>
      </c>
      <c r="D2030" t="s">
        <v>59</v>
      </c>
      <c r="E2030" t="s">
        <v>15</v>
      </c>
      <c r="F2030">
        <v>129</v>
      </c>
      <c r="G2030">
        <v>48905</v>
      </c>
      <c r="H2030">
        <v>6308745</v>
      </c>
      <c r="I2030" t="s">
        <v>1254</v>
      </c>
      <c r="J2030" t="s">
        <v>1254</v>
      </c>
      <c r="K2030">
        <v>129</v>
      </c>
      <c r="L2030">
        <v>0</v>
      </c>
      <c r="M2030" t="s">
        <v>115</v>
      </c>
      <c r="N2030" t="str">
        <f t="shared" si="186"/>
        <v>PO-102029</v>
      </c>
      <c r="O2030" t="str">
        <f t="shared" si="187"/>
        <v>Delivered</v>
      </c>
      <c r="P2030" t="str">
        <f t="shared" si="188"/>
        <v>WH-BOM</v>
      </c>
      <c r="Q2030" t="str">
        <f>VLOOKUP(C2030, Lookups!$A$2:$D$10, 2, FALSE())</f>
        <v>TechSupply Corp</v>
      </c>
      <c r="R2030" t="str">
        <f>_xlfn.XLOOKUP(D2030, Lookups!$A$12:$A$51, Lookups!$C$12:$C$51, "Unknown")</f>
        <v>Electronics</v>
      </c>
      <c r="S2030" t="str">
        <f>IF(ISBLANK(I2030), B2030+VLOOKUP(C2030, Lookups!$A$2:$D$10, 4, FALSE()), I2030)</f>
        <v>2026-10-10</v>
      </c>
      <c r="T2030">
        <f t="shared" si="189"/>
        <v>14</v>
      </c>
      <c r="U2030" t="str">
        <f t="shared" si="190"/>
        <v>On-Time</v>
      </c>
      <c r="V2030">
        <f t="shared" si="191"/>
        <v>0</v>
      </c>
    </row>
    <row r="2031" spans="1:22" x14ac:dyDescent="0.45">
      <c r="A2031" t="s">
        <v>2883</v>
      </c>
      <c r="B2031" t="s">
        <v>204</v>
      </c>
      <c r="C2031" t="s">
        <v>30</v>
      </c>
      <c r="D2031" t="s">
        <v>52</v>
      </c>
      <c r="E2031" t="s">
        <v>16</v>
      </c>
      <c r="F2031">
        <v>133</v>
      </c>
      <c r="G2031">
        <v>59592</v>
      </c>
      <c r="H2031">
        <v>7925736</v>
      </c>
      <c r="I2031" t="s">
        <v>217</v>
      </c>
      <c r="J2031" t="s">
        <v>1003</v>
      </c>
      <c r="K2031">
        <v>133</v>
      </c>
      <c r="L2031">
        <v>0</v>
      </c>
      <c r="M2031" t="s">
        <v>115</v>
      </c>
      <c r="N2031" t="str">
        <f t="shared" si="186"/>
        <v>PO-102030</v>
      </c>
      <c r="O2031" t="str">
        <f t="shared" si="187"/>
        <v>Delivered</v>
      </c>
      <c r="P2031" t="str">
        <f t="shared" si="188"/>
        <v>WH-DEL</v>
      </c>
      <c r="Q2031" t="str">
        <f>VLOOKUP(C2031, Lookups!$A$2:$D$10, 2, FALSE())</f>
        <v>TechSupply Corp</v>
      </c>
      <c r="R2031" t="str">
        <f>_xlfn.XLOOKUP(D2031, Lookups!$A$12:$A$51, Lookups!$C$12:$C$51, "Unknown")</f>
        <v>Electronics</v>
      </c>
      <c r="S2031" t="str">
        <f>IF(ISBLANK(I2031), B2031+VLOOKUP(C2031, Lookups!$A$2:$D$10, 4, FALSE()), I2031)</f>
        <v>2026-04-23</v>
      </c>
      <c r="T2031">
        <f t="shared" si="189"/>
        <v>18</v>
      </c>
      <c r="U2031" t="str">
        <f t="shared" si="190"/>
        <v>Late</v>
      </c>
      <c r="V2031">
        <f t="shared" si="191"/>
        <v>0</v>
      </c>
    </row>
    <row r="2032" spans="1:22" x14ac:dyDescent="0.45">
      <c r="A2032" t="s">
        <v>2884</v>
      </c>
      <c r="B2032" t="s">
        <v>565</v>
      </c>
      <c r="C2032" t="s">
        <v>34</v>
      </c>
      <c r="D2032" t="s">
        <v>54</v>
      </c>
      <c r="E2032" t="s">
        <v>16</v>
      </c>
      <c r="F2032">
        <v>178</v>
      </c>
      <c r="G2032">
        <v>22314</v>
      </c>
      <c r="H2032">
        <v>3971892</v>
      </c>
      <c r="I2032" t="s">
        <v>1331</v>
      </c>
      <c r="J2032" t="s">
        <v>1331</v>
      </c>
      <c r="K2032">
        <v>178</v>
      </c>
      <c r="L2032">
        <v>0</v>
      </c>
      <c r="M2032" t="s">
        <v>115</v>
      </c>
      <c r="N2032" t="str">
        <f t="shared" si="186"/>
        <v>PO-102031</v>
      </c>
      <c r="O2032" t="str">
        <f t="shared" si="187"/>
        <v>Delivered</v>
      </c>
      <c r="P2032" t="str">
        <f t="shared" si="188"/>
        <v>WH-DEL</v>
      </c>
      <c r="Q2032" t="str">
        <f>VLOOKUP(C2032, Lookups!$A$2:$D$10, 2, FALSE())</f>
        <v>FastElectronics</v>
      </c>
      <c r="R2032" t="str">
        <f>_xlfn.XLOOKUP(D2032, Lookups!$A$12:$A$51, Lookups!$C$12:$C$51, "Unknown")</f>
        <v>Networking</v>
      </c>
      <c r="S2032" t="str">
        <f>IF(ISBLANK(I2032), B2032+VLOOKUP(C2032, Lookups!$A$2:$D$10, 4, FALSE()), I2032)</f>
        <v>2025-03-14</v>
      </c>
      <c r="T2032">
        <f t="shared" si="189"/>
        <v>18</v>
      </c>
      <c r="U2032" t="str">
        <f t="shared" si="190"/>
        <v>On-Time</v>
      </c>
      <c r="V2032">
        <f t="shared" si="191"/>
        <v>0</v>
      </c>
    </row>
    <row r="2033" spans="1:22" x14ac:dyDescent="0.45">
      <c r="A2033" t="s">
        <v>2885</v>
      </c>
      <c r="B2033" t="s">
        <v>271</v>
      </c>
      <c r="C2033" t="s">
        <v>35</v>
      </c>
      <c r="D2033" t="s">
        <v>70</v>
      </c>
      <c r="E2033" t="s">
        <v>15</v>
      </c>
      <c r="F2033">
        <v>55</v>
      </c>
      <c r="G2033">
        <v>4287</v>
      </c>
      <c r="H2033">
        <v>235785</v>
      </c>
      <c r="I2033" t="s">
        <v>1300</v>
      </c>
      <c r="J2033" t="s">
        <v>1300</v>
      </c>
      <c r="K2033">
        <v>55</v>
      </c>
      <c r="L2033">
        <v>0</v>
      </c>
      <c r="M2033" t="s">
        <v>115</v>
      </c>
      <c r="N2033" t="str">
        <f t="shared" si="186"/>
        <v>PO-102032</v>
      </c>
      <c r="O2033" t="str">
        <f t="shared" si="187"/>
        <v>Delivered</v>
      </c>
      <c r="P2033" t="str">
        <f t="shared" si="188"/>
        <v>WH-BOM</v>
      </c>
      <c r="Q2033" t="str">
        <f>VLOOKUP(C2033, Lookups!$A$2:$D$10, 2, FALSE())</f>
        <v>Peripheral Source</v>
      </c>
      <c r="R2033" t="str">
        <f>_xlfn.XLOOKUP(D2033, Lookups!$A$12:$A$51, Lookups!$C$12:$C$51, "Unknown")</f>
        <v>Peripherals</v>
      </c>
      <c r="S2033" t="str">
        <f>IF(ISBLANK(I2033), B2033+VLOOKUP(C2033, Lookups!$A$2:$D$10, 4, FALSE()), I2033)</f>
        <v>2025-08-05</v>
      </c>
      <c r="T2033">
        <f t="shared" si="189"/>
        <v>10</v>
      </c>
      <c r="U2033" t="str">
        <f t="shared" si="190"/>
        <v>On-Time</v>
      </c>
      <c r="V2033">
        <f t="shared" si="191"/>
        <v>0</v>
      </c>
    </row>
    <row r="2034" spans="1:22" x14ac:dyDescent="0.45">
      <c r="A2034" t="s">
        <v>2886</v>
      </c>
      <c r="B2034" t="s">
        <v>726</v>
      </c>
      <c r="C2034" t="s">
        <v>30</v>
      </c>
      <c r="D2034" t="s">
        <v>53</v>
      </c>
      <c r="E2034" t="s">
        <v>17</v>
      </c>
      <c r="F2034">
        <v>230</v>
      </c>
      <c r="G2034">
        <v>81048</v>
      </c>
      <c r="H2034">
        <v>18641040</v>
      </c>
      <c r="I2034" t="s">
        <v>763</v>
      </c>
      <c r="J2034" t="s">
        <v>763</v>
      </c>
      <c r="K2034">
        <v>230</v>
      </c>
      <c r="L2034">
        <v>0</v>
      </c>
      <c r="M2034" t="s">
        <v>115</v>
      </c>
      <c r="N2034" t="str">
        <f t="shared" si="186"/>
        <v>PO-102033</v>
      </c>
      <c r="O2034" t="str">
        <f t="shared" si="187"/>
        <v>Delivered</v>
      </c>
      <c r="P2034" t="str">
        <f t="shared" si="188"/>
        <v>WH-BLR</v>
      </c>
      <c r="Q2034" t="str">
        <f>VLOOKUP(C2034, Lookups!$A$2:$D$10, 2, FALSE())</f>
        <v>TechSupply Corp</v>
      </c>
      <c r="R2034" t="str">
        <f>_xlfn.XLOOKUP(D2034, Lookups!$A$12:$A$51, Lookups!$C$12:$C$51, "Unknown")</f>
        <v>Electronics</v>
      </c>
      <c r="S2034" t="str">
        <f>IF(ISBLANK(I2034), B2034+VLOOKUP(C2034, Lookups!$A$2:$D$10, 4, FALSE()), I2034)</f>
        <v>2025-01-27</v>
      </c>
      <c r="T2034">
        <f t="shared" si="189"/>
        <v>14</v>
      </c>
      <c r="U2034" t="str">
        <f t="shared" si="190"/>
        <v>On-Time</v>
      </c>
      <c r="V2034">
        <f t="shared" si="191"/>
        <v>0</v>
      </c>
    </row>
    <row r="2035" spans="1:22" x14ac:dyDescent="0.45">
      <c r="A2035" t="s">
        <v>2887</v>
      </c>
      <c r="B2035" t="s">
        <v>514</v>
      </c>
      <c r="C2035" t="s">
        <v>31</v>
      </c>
      <c r="D2035" t="s">
        <v>66</v>
      </c>
      <c r="E2035" t="s">
        <v>16</v>
      </c>
      <c r="F2035">
        <v>184</v>
      </c>
      <c r="G2035">
        <v>29719</v>
      </c>
      <c r="H2035">
        <v>5468296</v>
      </c>
      <c r="I2035" t="s">
        <v>680</v>
      </c>
      <c r="J2035" t="s">
        <v>1740</v>
      </c>
      <c r="K2035">
        <v>184</v>
      </c>
      <c r="L2035">
        <v>0</v>
      </c>
      <c r="M2035" t="s">
        <v>115</v>
      </c>
      <c r="N2035" t="str">
        <f t="shared" si="186"/>
        <v>PO-102034</v>
      </c>
      <c r="O2035" t="str">
        <f t="shared" si="187"/>
        <v>Delivered</v>
      </c>
      <c r="P2035" t="str">
        <f t="shared" si="188"/>
        <v>WH-DEL</v>
      </c>
      <c r="Q2035" t="str">
        <f>VLOOKUP(C2035, Lookups!$A$2:$D$10, 2, FALSE())</f>
        <v>Global Networks</v>
      </c>
      <c r="R2035" t="str">
        <f>_xlfn.XLOOKUP(D2035, Lookups!$A$12:$A$51, Lookups!$C$12:$C$51, "Unknown")</f>
        <v>Networking</v>
      </c>
      <c r="S2035" t="str">
        <f>IF(ISBLANK(I2035), B2035+VLOOKUP(C2035, Lookups!$A$2:$D$10, 4, FALSE()), I2035)</f>
        <v>2026-08-04</v>
      </c>
      <c r="T2035">
        <f t="shared" si="189"/>
        <v>22</v>
      </c>
      <c r="U2035" t="str">
        <f t="shared" si="190"/>
        <v>Late</v>
      </c>
      <c r="V2035">
        <f t="shared" si="191"/>
        <v>0</v>
      </c>
    </row>
    <row r="2036" spans="1:22" x14ac:dyDescent="0.45">
      <c r="A2036" t="s">
        <v>2888</v>
      </c>
      <c r="B2036" t="s">
        <v>239</v>
      </c>
      <c r="C2036" t="s">
        <v>35</v>
      </c>
      <c r="D2036" t="s">
        <v>75</v>
      </c>
      <c r="E2036" t="s">
        <v>16</v>
      </c>
      <c r="F2036">
        <v>177</v>
      </c>
      <c r="G2036">
        <v>4440</v>
      </c>
      <c r="H2036">
        <v>785880</v>
      </c>
      <c r="I2036" t="s">
        <v>474</v>
      </c>
      <c r="J2036" t="s">
        <v>474</v>
      </c>
      <c r="K2036">
        <v>102</v>
      </c>
      <c r="L2036">
        <v>0</v>
      </c>
      <c r="M2036" t="s">
        <v>115</v>
      </c>
      <c r="N2036" t="str">
        <f t="shared" si="186"/>
        <v>PO-102035</v>
      </c>
      <c r="O2036" t="str">
        <f t="shared" si="187"/>
        <v>Delivered</v>
      </c>
      <c r="P2036" t="str">
        <f t="shared" si="188"/>
        <v>WH-DEL</v>
      </c>
      <c r="Q2036" t="str">
        <f>VLOOKUP(C2036, Lookups!$A$2:$D$10, 2, FALSE())</f>
        <v>Peripheral Source</v>
      </c>
      <c r="R2036" t="str">
        <f>_xlfn.XLOOKUP(D2036, Lookups!$A$12:$A$51, Lookups!$C$12:$C$51, "Unknown")</f>
        <v>Peripherals</v>
      </c>
      <c r="S2036" t="str">
        <f>IF(ISBLANK(I2036), B2036+VLOOKUP(C2036, Lookups!$A$2:$D$10, 4, FALSE()), I2036)</f>
        <v>2025-06-24</v>
      </c>
      <c r="T2036">
        <f t="shared" si="189"/>
        <v>10</v>
      </c>
      <c r="U2036" t="str">
        <f t="shared" si="190"/>
        <v>On-Time</v>
      </c>
      <c r="V2036">
        <f t="shared" si="191"/>
        <v>0</v>
      </c>
    </row>
    <row r="2037" spans="1:22" x14ac:dyDescent="0.45">
      <c r="A2037" t="s">
        <v>2889</v>
      </c>
      <c r="B2037" t="s">
        <v>218</v>
      </c>
      <c r="C2037" t="s">
        <v>30</v>
      </c>
      <c r="D2037" t="s">
        <v>88</v>
      </c>
      <c r="E2037" t="s">
        <v>17</v>
      </c>
      <c r="F2037">
        <v>195</v>
      </c>
      <c r="G2037">
        <v>75512</v>
      </c>
      <c r="H2037">
        <v>14724840</v>
      </c>
      <c r="I2037" t="s">
        <v>535</v>
      </c>
      <c r="J2037" t="s">
        <v>535</v>
      </c>
      <c r="K2037">
        <v>195</v>
      </c>
      <c r="L2037">
        <v>0</v>
      </c>
      <c r="M2037" t="s">
        <v>115</v>
      </c>
      <c r="N2037" t="str">
        <f t="shared" si="186"/>
        <v>PO-102036</v>
      </c>
      <c r="O2037" t="str">
        <f t="shared" si="187"/>
        <v>Delivered</v>
      </c>
      <c r="P2037" t="str">
        <f t="shared" si="188"/>
        <v>WH-BLR</v>
      </c>
      <c r="Q2037" t="str">
        <f>VLOOKUP(C2037, Lookups!$A$2:$D$10, 2, FALSE())</f>
        <v>TechSupply Corp</v>
      </c>
      <c r="R2037" t="str">
        <f>_xlfn.XLOOKUP(D2037, Lookups!$A$12:$A$51, Lookups!$C$12:$C$51, "Unknown")</f>
        <v>Electronics</v>
      </c>
      <c r="S2037" t="str">
        <f>IF(ISBLANK(I2037), B2037+VLOOKUP(C2037, Lookups!$A$2:$D$10, 4, FALSE()), I2037)</f>
        <v>2026-05-08</v>
      </c>
      <c r="T2037">
        <f t="shared" si="189"/>
        <v>14</v>
      </c>
      <c r="U2037" t="str">
        <f t="shared" si="190"/>
        <v>On-Time</v>
      </c>
      <c r="V2037">
        <f t="shared" si="191"/>
        <v>0</v>
      </c>
    </row>
    <row r="2038" spans="1:22" x14ac:dyDescent="0.45">
      <c r="A2038" t="s">
        <v>2890</v>
      </c>
      <c r="B2038" t="s">
        <v>811</v>
      </c>
      <c r="C2038" t="s">
        <v>30</v>
      </c>
      <c r="D2038" t="s">
        <v>53</v>
      </c>
      <c r="E2038" t="s">
        <v>15</v>
      </c>
      <c r="F2038">
        <v>201</v>
      </c>
      <c r="G2038">
        <v>81048</v>
      </c>
      <c r="H2038">
        <v>16290648</v>
      </c>
      <c r="I2038" t="s">
        <v>383</v>
      </c>
      <c r="K2038">
        <v>0</v>
      </c>
      <c r="L2038">
        <v>0</v>
      </c>
      <c r="M2038" t="s">
        <v>297</v>
      </c>
      <c r="N2038" t="str">
        <f t="shared" si="186"/>
        <v>PO-102037</v>
      </c>
      <c r="O2038" t="str">
        <f t="shared" si="187"/>
        <v>Open</v>
      </c>
      <c r="P2038" t="str">
        <f t="shared" si="188"/>
        <v>WH-BOM</v>
      </c>
      <c r="Q2038" t="str">
        <f>VLOOKUP(C2038, Lookups!$A$2:$D$10, 2, FALSE())</f>
        <v>TechSupply Corp</v>
      </c>
      <c r="R2038" t="str">
        <f>_xlfn.XLOOKUP(D2038, Lookups!$A$12:$A$51, Lookups!$C$12:$C$51, "Unknown")</f>
        <v>Electronics</v>
      </c>
      <c r="S2038" t="str">
        <f>IF(ISBLANK(I2038), B2038+VLOOKUP(C2038, Lookups!$A$2:$D$10, 4, FALSE()), I2038)</f>
        <v>2026-12-11</v>
      </c>
      <c r="T2038" t="str">
        <f t="shared" si="189"/>
        <v/>
      </c>
      <c r="U2038" t="str">
        <f t="shared" si="190"/>
        <v>Open</v>
      </c>
      <c r="V2038">
        <f t="shared" si="191"/>
        <v>0</v>
      </c>
    </row>
    <row r="2039" spans="1:22" x14ac:dyDescent="0.45">
      <c r="A2039" t="s">
        <v>2891</v>
      </c>
      <c r="B2039" t="s">
        <v>352</v>
      </c>
      <c r="C2039" t="s">
        <v>30</v>
      </c>
      <c r="D2039" t="s">
        <v>59</v>
      </c>
      <c r="E2039" t="s">
        <v>18</v>
      </c>
      <c r="F2039">
        <v>246</v>
      </c>
      <c r="G2039">
        <v>48905</v>
      </c>
      <c r="H2039">
        <v>12030630</v>
      </c>
      <c r="I2039" t="s">
        <v>984</v>
      </c>
      <c r="J2039" t="s">
        <v>1019</v>
      </c>
      <c r="K2039">
        <v>246</v>
      </c>
      <c r="L2039">
        <v>0</v>
      </c>
      <c r="M2039" t="s">
        <v>115</v>
      </c>
      <c r="N2039" t="str">
        <f t="shared" si="186"/>
        <v>PO-102038</v>
      </c>
      <c r="O2039" t="str">
        <f t="shared" si="187"/>
        <v>Delivered</v>
      </c>
      <c r="P2039" t="str">
        <f t="shared" si="188"/>
        <v>WH-PUN</v>
      </c>
      <c r="Q2039" t="str">
        <f>VLOOKUP(C2039, Lookups!$A$2:$D$10, 2, FALSE())</f>
        <v>TechSupply Corp</v>
      </c>
      <c r="R2039" t="str">
        <f>_xlfn.XLOOKUP(D2039, Lookups!$A$12:$A$51, Lookups!$C$12:$C$51, "Unknown")</f>
        <v>Electronics</v>
      </c>
      <c r="S2039" t="str">
        <f>IF(ISBLANK(I2039), B2039+VLOOKUP(C2039, Lookups!$A$2:$D$10, 4, FALSE()), I2039)</f>
        <v>2025-05-08</v>
      </c>
      <c r="T2039">
        <f t="shared" si="189"/>
        <v>15</v>
      </c>
      <c r="U2039" t="str">
        <f t="shared" si="190"/>
        <v>Late</v>
      </c>
      <c r="V2039">
        <f t="shared" si="191"/>
        <v>0</v>
      </c>
    </row>
    <row r="2040" spans="1:22" x14ac:dyDescent="0.45">
      <c r="A2040" t="s">
        <v>2892</v>
      </c>
      <c r="B2040" t="s">
        <v>2834</v>
      </c>
      <c r="C2040" t="s">
        <v>36</v>
      </c>
      <c r="D2040" t="s">
        <v>63</v>
      </c>
      <c r="E2040" t="s">
        <v>17</v>
      </c>
      <c r="F2040">
        <v>34</v>
      </c>
      <c r="G2040">
        <v>71062</v>
      </c>
      <c r="H2040">
        <v>2416108</v>
      </c>
      <c r="I2040" t="s">
        <v>1544</v>
      </c>
      <c r="J2040" t="s">
        <v>184</v>
      </c>
      <c r="K2040">
        <v>34</v>
      </c>
      <c r="L2040">
        <v>0</v>
      </c>
      <c r="M2040" t="s">
        <v>115</v>
      </c>
      <c r="N2040" t="str">
        <f t="shared" si="186"/>
        <v>PO-102039</v>
      </c>
      <c r="O2040" t="str">
        <f t="shared" si="187"/>
        <v>Delivered</v>
      </c>
      <c r="P2040" t="str">
        <f t="shared" si="188"/>
        <v>WH-BLR</v>
      </c>
      <c r="Q2040" t="str">
        <f>VLOOKUP(C2040, Lookups!$A$2:$D$10, 2, FALSE())</f>
        <v>NextGen Hardware</v>
      </c>
      <c r="R2040" t="str">
        <f>_xlfn.XLOOKUP(D2040, Lookups!$A$12:$A$51, Lookups!$C$12:$C$51, "Unknown")</f>
        <v>Electronics</v>
      </c>
      <c r="S2040" t="str">
        <f>IF(ISBLANK(I2040), B2040+VLOOKUP(C2040, Lookups!$A$2:$D$10, 4, FALSE()), I2040)</f>
        <v>2025-02-01</v>
      </c>
      <c r="T2040">
        <f t="shared" si="189"/>
        <v>25</v>
      </c>
      <c r="U2040" t="str">
        <f t="shared" si="190"/>
        <v>Late</v>
      </c>
      <c r="V2040">
        <f t="shared" si="191"/>
        <v>0</v>
      </c>
    </row>
    <row r="2041" spans="1:22" x14ac:dyDescent="0.45">
      <c r="A2041" t="s">
        <v>2893</v>
      </c>
      <c r="B2041" t="s">
        <v>619</v>
      </c>
      <c r="C2041" t="s">
        <v>34</v>
      </c>
      <c r="D2041" t="s">
        <v>80</v>
      </c>
      <c r="E2041" t="s">
        <v>16</v>
      </c>
      <c r="F2041">
        <v>209</v>
      </c>
      <c r="G2041">
        <v>19090</v>
      </c>
      <c r="H2041">
        <v>3989810</v>
      </c>
      <c r="I2041" t="s">
        <v>389</v>
      </c>
      <c r="J2041" t="s">
        <v>686</v>
      </c>
      <c r="K2041">
        <v>177</v>
      </c>
      <c r="L2041">
        <v>0</v>
      </c>
      <c r="M2041" t="s">
        <v>115</v>
      </c>
      <c r="N2041" t="str">
        <f t="shared" si="186"/>
        <v>PO-102040</v>
      </c>
      <c r="O2041" t="str">
        <f t="shared" si="187"/>
        <v>Delivered</v>
      </c>
      <c r="P2041" t="str">
        <f t="shared" si="188"/>
        <v>WH-DEL</v>
      </c>
      <c r="Q2041" t="str">
        <f>VLOOKUP(C2041, Lookups!$A$2:$D$10, 2, FALSE())</f>
        <v>FastElectronics</v>
      </c>
      <c r="R2041" t="str">
        <f>_xlfn.XLOOKUP(D2041, Lookups!$A$12:$A$51, Lookups!$C$12:$C$51, "Unknown")</f>
        <v>Networking</v>
      </c>
      <c r="S2041" t="str">
        <f>IF(ISBLANK(I2041), B2041+VLOOKUP(C2041, Lookups!$A$2:$D$10, 4, FALSE()), I2041)</f>
        <v>2026-04-06</v>
      </c>
      <c r="T2041">
        <f t="shared" si="189"/>
        <v>22</v>
      </c>
      <c r="U2041" t="str">
        <f t="shared" si="190"/>
        <v>Late</v>
      </c>
      <c r="V2041">
        <f t="shared" si="191"/>
        <v>0</v>
      </c>
    </row>
    <row r="2042" spans="1:22" x14ac:dyDescent="0.45">
      <c r="A2042" t="s">
        <v>2894</v>
      </c>
      <c r="B2042" t="s">
        <v>900</v>
      </c>
      <c r="C2042" t="s">
        <v>34</v>
      </c>
      <c r="D2042" t="s">
        <v>73</v>
      </c>
      <c r="E2042" t="s">
        <v>16</v>
      </c>
      <c r="F2042">
        <v>174</v>
      </c>
      <c r="G2042">
        <v>58396</v>
      </c>
      <c r="H2042">
        <v>10160904</v>
      </c>
      <c r="I2042" t="s">
        <v>1314</v>
      </c>
      <c r="J2042" t="s">
        <v>416</v>
      </c>
      <c r="K2042">
        <v>174</v>
      </c>
      <c r="L2042">
        <v>26</v>
      </c>
      <c r="M2042" t="s">
        <v>115</v>
      </c>
      <c r="N2042" t="str">
        <f t="shared" si="186"/>
        <v>PO-102041</v>
      </c>
      <c r="O2042" t="str">
        <f t="shared" si="187"/>
        <v>Delivered</v>
      </c>
      <c r="P2042" t="str">
        <f t="shared" si="188"/>
        <v>WH-DEL</v>
      </c>
      <c r="Q2042" t="str">
        <f>VLOOKUP(C2042, Lookups!$A$2:$D$10, 2, FALSE())</f>
        <v>FastElectronics</v>
      </c>
      <c r="R2042" t="str">
        <f>_xlfn.XLOOKUP(D2042, Lookups!$A$12:$A$51, Lookups!$C$12:$C$51, "Unknown")</f>
        <v>Electronics</v>
      </c>
      <c r="S2042" t="str">
        <f>IF(ISBLANK(I2042), B2042+VLOOKUP(C2042, Lookups!$A$2:$D$10, 4, FALSE()), I2042)</f>
        <v>2026-05-28</v>
      </c>
      <c r="T2042">
        <f t="shared" si="189"/>
        <v>19</v>
      </c>
      <c r="U2042" t="str">
        <f t="shared" si="190"/>
        <v>Late</v>
      </c>
      <c r="V2042">
        <f t="shared" si="191"/>
        <v>0.14942528735632185</v>
      </c>
    </row>
    <row r="2043" spans="1:22" x14ac:dyDescent="0.45">
      <c r="A2043" t="s">
        <v>2895</v>
      </c>
      <c r="B2043" t="s">
        <v>585</v>
      </c>
      <c r="C2043" t="s">
        <v>31</v>
      </c>
      <c r="D2043" t="s">
        <v>56</v>
      </c>
      <c r="E2043" t="s">
        <v>17</v>
      </c>
      <c r="F2043">
        <v>209</v>
      </c>
      <c r="G2043">
        <v>39270</v>
      </c>
      <c r="H2043">
        <v>8207430</v>
      </c>
      <c r="I2043" t="s">
        <v>604</v>
      </c>
      <c r="J2043" t="s">
        <v>1104</v>
      </c>
      <c r="K2043">
        <v>209</v>
      </c>
      <c r="L2043">
        <v>0</v>
      </c>
      <c r="M2043" t="s">
        <v>115</v>
      </c>
      <c r="N2043" t="str">
        <f t="shared" si="186"/>
        <v>PO-102042</v>
      </c>
      <c r="O2043" t="str">
        <f t="shared" si="187"/>
        <v>Delivered</v>
      </c>
      <c r="P2043" t="str">
        <f t="shared" si="188"/>
        <v>WH-BLR</v>
      </c>
      <c r="Q2043" t="str">
        <f>VLOOKUP(C2043, Lookups!$A$2:$D$10, 2, FALSE())</f>
        <v>Global Networks</v>
      </c>
      <c r="R2043" t="str">
        <f>_xlfn.XLOOKUP(D2043, Lookups!$A$12:$A$51, Lookups!$C$12:$C$51, "Unknown")</f>
        <v>Networking</v>
      </c>
      <c r="S2043" t="str">
        <f>IF(ISBLANK(I2043), B2043+VLOOKUP(C2043, Lookups!$A$2:$D$10, 4, FALSE()), I2043)</f>
        <v>2025-08-12</v>
      </c>
      <c r="T2043">
        <f t="shared" si="189"/>
        <v>33</v>
      </c>
      <c r="U2043" t="str">
        <f t="shared" si="190"/>
        <v>Late</v>
      </c>
      <c r="V2043">
        <f t="shared" si="191"/>
        <v>0</v>
      </c>
    </row>
    <row r="2044" spans="1:22" x14ac:dyDescent="0.45">
      <c r="A2044" t="s">
        <v>2896</v>
      </c>
      <c r="B2044" t="s">
        <v>755</v>
      </c>
      <c r="C2044" t="s">
        <v>30</v>
      </c>
      <c r="D2044" t="s">
        <v>52</v>
      </c>
      <c r="E2044" t="s">
        <v>17</v>
      </c>
      <c r="F2044">
        <v>138</v>
      </c>
      <c r="G2044">
        <v>59592</v>
      </c>
      <c r="H2044">
        <v>8223696</v>
      </c>
      <c r="I2044" t="s">
        <v>400</v>
      </c>
      <c r="J2044" t="s">
        <v>401</v>
      </c>
      <c r="K2044">
        <v>138</v>
      </c>
      <c r="L2044">
        <v>0</v>
      </c>
      <c r="M2044" t="s">
        <v>115</v>
      </c>
      <c r="N2044" t="str">
        <f t="shared" si="186"/>
        <v>PO-102043</v>
      </c>
      <c r="O2044" t="str">
        <f t="shared" si="187"/>
        <v>Delivered</v>
      </c>
      <c r="P2044" t="str">
        <f t="shared" si="188"/>
        <v>WH-BLR</v>
      </c>
      <c r="Q2044" t="str">
        <f>VLOOKUP(C2044, Lookups!$A$2:$D$10, 2, FALSE())</f>
        <v>TechSupply Corp</v>
      </c>
      <c r="R2044" t="str">
        <f>_xlfn.XLOOKUP(D2044, Lookups!$A$12:$A$51, Lookups!$C$12:$C$51, "Unknown")</f>
        <v>Electronics</v>
      </c>
      <c r="S2044" t="str">
        <f>IF(ISBLANK(I2044), B2044+VLOOKUP(C2044, Lookups!$A$2:$D$10, 4, FALSE()), I2044)</f>
        <v>2025-12-08</v>
      </c>
      <c r="T2044">
        <f t="shared" si="189"/>
        <v>15</v>
      </c>
      <c r="U2044" t="str">
        <f t="shared" si="190"/>
        <v>Late</v>
      </c>
      <c r="V2044">
        <f t="shared" si="191"/>
        <v>0</v>
      </c>
    </row>
    <row r="2045" spans="1:22" x14ac:dyDescent="0.45">
      <c r="A2045" t="s">
        <v>2897</v>
      </c>
      <c r="B2045" t="s">
        <v>741</v>
      </c>
      <c r="C2045" t="s">
        <v>31</v>
      </c>
      <c r="D2045" t="s">
        <v>66</v>
      </c>
      <c r="E2045" t="s">
        <v>18</v>
      </c>
      <c r="F2045">
        <v>139</v>
      </c>
      <c r="G2045">
        <v>29719</v>
      </c>
      <c r="H2045">
        <v>4130941</v>
      </c>
      <c r="I2045" t="s">
        <v>1168</v>
      </c>
      <c r="J2045" t="s">
        <v>396</v>
      </c>
      <c r="K2045">
        <v>139</v>
      </c>
      <c r="L2045">
        <v>1</v>
      </c>
      <c r="M2045" t="s">
        <v>178</v>
      </c>
      <c r="N2045" t="str">
        <f t="shared" si="186"/>
        <v>PO-102044</v>
      </c>
      <c r="O2045" t="str">
        <f t="shared" si="187"/>
        <v>Delivered</v>
      </c>
      <c r="P2045" t="str">
        <f t="shared" si="188"/>
        <v>WH-PUN</v>
      </c>
      <c r="Q2045" t="str">
        <f>VLOOKUP(C2045, Lookups!$A$2:$D$10, 2, FALSE())</f>
        <v>Global Networks</v>
      </c>
      <c r="R2045" t="str">
        <f>_xlfn.XLOOKUP(D2045, Lookups!$A$12:$A$51, Lookups!$C$12:$C$51, "Unknown")</f>
        <v>Networking</v>
      </c>
      <c r="S2045" t="str">
        <f>IF(ISBLANK(I2045), B2045+VLOOKUP(C2045, Lookups!$A$2:$D$10, 4, FALSE()), I2045)</f>
        <v>2025-03-26</v>
      </c>
      <c r="T2045">
        <f t="shared" si="189"/>
        <v>22</v>
      </c>
      <c r="U2045" t="str">
        <f t="shared" si="190"/>
        <v>Late</v>
      </c>
      <c r="V2045">
        <f t="shared" si="191"/>
        <v>7.1942446043165471E-3</v>
      </c>
    </row>
    <row r="2046" spans="1:22" x14ac:dyDescent="0.45">
      <c r="A2046" t="s">
        <v>2898</v>
      </c>
      <c r="B2046" t="s">
        <v>131</v>
      </c>
      <c r="C2046" t="s">
        <v>31</v>
      </c>
      <c r="D2046" t="s">
        <v>66</v>
      </c>
      <c r="E2046" t="s">
        <v>15</v>
      </c>
      <c r="F2046">
        <v>176</v>
      </c>
      <c r="G2046">
        <v>29719</v>
      </c>
      <c r="H2046">
        <v>5230544</v>
      </c>
      <c r="I2046" t="s">
        <v>683</v>
      </c>
      <c r="J2046" t="s">
        <v>998</v>
      </c>
      <c r="K2046">
        <v>176</v>
      </c>
      <c r="L2046">
        <v>0</v>
      </c>
      <c r="M2046" t="s">
        <v>115</v>
      </c>
      <c r="N2046" t="str">
        <f t="shared" si="186"/>
        <v>PO-102045</v>
      </c>
      <c r="O2046" t="str">
        <f t="shared" si="187"/>
        <v>Delivered</v>
      </c>
      <c r="P2046" t="str">
        <f t="shared" si="188"/>
        <v>WH-BOM</v>
      </c>
      <c r="Q2046" t="str">
        <f>VLOOKUP(C2046, Lookups!$A$2:$D$10, 2, FALSE())</f>
        <v>Global Networks</v>
      </c>
      <c r="R2046" t="str">
        <f>_xlfn.XLOOKUP(D2046, Lookups!$A$12:$A$51, Lookups!$C$12:$C$51, "Unknown")</f>
        <v>Networking</v>
      </c>
      <c r="S2046" t="str">
        <f>IF(ISBLANK(I2046), B2046+VLOOKUP(C2046, Lookups!$A$2:$D$10, 4, FALSE()), I2046)</f>
        <v>2026-08-17</v>
      </c>
      <c r="T2046">
        <f t="shared" si="189"/>
        <v>22</v>
      </c>
      <c r="U2046" t="str">
        <f t="shared" si="190"/>
        <v>Late</v>
      </c>
      <c r="V2046">
        <f t="shared" si="191"/>
        <v>0</v>
      </c>
    </row>
    <row r="2047" spans="1:22" x14ac:dyDescent="0.45">
      <c r="A2047" t="s">
        <v>2899</v>
      </c>
      <c r="B2047" t="s">
        <v>207</v>
      </c>
      <c r="C2047" t="s">
        <v>32</v>
      </c>
      <c r="D2047" t="s">
        <v>84</v>
      </c>
      <c r="E2047" t="s">
        <v>913</v>
      </c>
      <c r="F2047">
        <v>92</v>
      </c>
      <c r="G2047">
        <v>7271</v>
      </c>
      <c r="H2047">
        <v>668932</v>
      </c>
      <c r="I2047" t="s">
        <v>859</v>
      </c>
      <c r="J2047" t="s">
        <v>859</v>
      </c>
      <c r="K2047">
        <v>56</v>
      </c>
      <c r="L2047">
        <v>0</v>
      </c>
      <c r="M2047" t="s">
        <v>115</v>
      </c>
      <c r="N2047" t="str">
        <f t="shared" si="186"/>
        <v>PO-102046</v>
      </c>
      <c r="O2047" t="str">
        <f t="shared" si="187"/>
        <v>Delivered</v>
      </c>
      <c r="P2047" t="str">
        <f t="shared" si="188"/>
        <v>WH-DEL</v>
      </c>
      <c r="Q2047" t="str">
        <f>VLOOKUP(C2047, Lookups!$A$2:$D$10, 2, FALSE())</f>
        <v>OfficeDepot Pro</v>
      </c>
      <c r="R2047" t="str">
        <f>_xlfn.XLOOKUP(D2047, Lookups!$A$12:$A$51, Lookups!$C$12:$C$51, "Unknown")</f>
        <v>Peripherals</v>
      </c>
      <c r="S2047" t="str">
        <f>IF(ISBLANK(I2047), B2047+VLOOKUP(C2047, Lookups!$A$2:$D$10, 4, FALSE()), I2047)</f>
        <v>2025-12-21</v>
      </c>
      <c r="T2047">
        <f t="shared" si="189"/>
        <v>7</v>
      </c>
      <c r="U2047" t="str">
        <f t="shared" si="190"/>
        <v>On-Time</v>
      </c>
      <c r="V2047">
        <f t="shared" si="191"/>
        <v>0</v>
      </c>
    </row>
    <row r="2048" spans="1:22" x14ac:dyDescent="0.45">
      <c r="A2048" t="s">
        <v>2900</v>
      </c>
      <c r="B2048" t="s">
        <v>587</v>
      </c>
      <c r="C2048" t="s">
        <v>36</v>
      </c>
      <c r="D2048" t="s">
        <v>90</v>
      </c>
      <c r="E2048" t="s">
        <v>18</v>
      </c>
      <c r="F2048">
        <v>72</v>
      </c>
      <c r="G2048">
        <v>81434</v>
      </c>
      <c r="H2048">
        <v>5863248</v>
      </c>
      <c r="I2048" t="s">
        <v>1432</v>
      </c>
      <c r="J2048" t="s">
        <v>1432</v>
      </c>
      <c r="K2048">
        <v>72</v>
      </c>
      <c r="L2048">
        <v>0</v>
      </c>
      <c r="M2048" t="s">
        <v>115</v>
      </c>
      <c r="N2048" t="str">
        <f t="shared" si="186"/>
        <v>PO-102047</v>
      </c>
      <c r="O2048" t="str">
        <f t="shared" si="187"/>
        <v>Delivered</v>
      </c>
      <c r="P2048" t="str">
        <f t="shared" si="188"/>
        <v>WH-PUN</v>
      </c>
      <c r="Q2048" t="str">
        <f>VLOOKUP(C2048, Lookups!$A$2:$D$10, 2, FALSE())</f>
        <v>NextGen Hardware</v>
      </c>
      <c r="R2048" t="str">
        <f>_xlfn.XLOOKUP(D2048, Lookups!$A$12:$A$51, Lookups!$C$12:$C$51, "Unknown")</f>
        <v>Electronics</v>
      </c>
      <c r="S2048" t="str">
        <f>IF(ISBLANK(I2048), B2048+VLOOKUP(C2048, Lookups!$A$2:$D$10, 4, FALSE()), I2048)</f>
        <v>2026-05-05</v>
      </c>
      <c r="T2048">
        <f t="shared" si="189"/>
        <v>24</v>
      </c>
      <c r="U2048" t="str">
        <f t="shared" si="190"/>
        <v>On-Time</v>
      </c>
      <c r="V2048">
        <f t="shared" si="191"/>
        <v>0</v>
      </c>
    </row>
    <row r="2049" spans="1:22" x14ac:dyDescent="0.45">
      <c r="A2049" t="s">
        <v>2901</v>
      </c>
      <c r="B2049" t="s">
        <v>1241</v>
      </c>
      <c r="C2049" t="s">
        <v>36</v>
      </c>
      <c r="D2049" t="s">
        <v>87</v>
      </c>
      <c r="E2049" t="s">
        <v>16</v>
      </c>
      <c r="F2049">
        <v>43</v>
      </c>
      <c r="G2049">
        <v>82930</v>
      </c>
      <c r="H2049">
        <v>3565990</v>
      </c>
      <c r="I2049" t="s">
        <v>1329</v>
      </c>
      <c r="J2049" t="s">
        <v>993</v>
      </c>
      <c r="K2049">
        <v>26</v>
      </c>
      <c r="L2049">
        <v>1</v>
      </c>
      <c r="M2049" t="s">
        <v>115</v>
      </c>
      <c r="N2049" t="str">
        <f t="shared" si="186"/>
        <v>PO-102048</v>
      </c>
      <c r="O2049" t="str">
        <f t="shared" si="187"/>
        <v>Delivered</v>
      </c>
      <c r="P2049" t="str">
        <f t="shared" si="188"/>
        <v>WH-DEL</v>
      </c>
      <c r="Q2049" t="str">
        <f>VLOOKUP(C2049, Lookups!$A$2:$D$10, 2, FALSE())</f>
        <v>NextGen Hardware</v>
      </c>
      <c r="R2049" t="str">
        <f>_xlfn.XLOOKUP(D2049, Lookups!$A$12:$A$51, Lookups!$C$12:$C$51, "Unknown")</f>
        <v>Electronics</v>
      </c>
      <c r="S2049" t="str">
        <f>IF(ISBLANK(I2049), B2049+VLOOKUP(C2049, Lookups!$A$2:$D$10, 4, FALSE()), I2049)</f>
        <v>2025-05-25</v>
      </c>
      <c r="T2049">
        <f t="shared" si="189"/>
        <v>27</v>
      </c>
      <c r="U2049" t="str">
        <f t="shared" si="190"/>
        <v>Late</v>
      </c>
      <c r="V2049">
        <f t="shared" si="191"/>
        <v>3.8461538461538464E-2</v>
      </c>
    </row>
    <row r="2050" spans="1:22" x14ac:dyDescent="0.45">
      <c r="A2050" t="s">
        <v>2902</v>
      </c>
      <c r="B2050" t="s">
        <v>569</v>
      </c>
      <c r="C2050" t="s">
        <v>30</v>
      </c>
      <c r="D2050" t="s">
        <v>53</v>
      </c>
      <c r="E2050" t="s">
        <v>18</v>
      </c>
      <c r="F2050">
        <v>239</v>
      </c>
      <c r="G2050">
        <v>81048</v>
      </c>
      <c r="H2050">
        <v>19370472</v>
      </c>
      <c r="I2050" t="s">
        <v>600</v>
      </c>
      <c r="J2050" t="s">
        <v>609</v>
      </c>
      <c r="K2050">
        <v>239</v>
      </c>
      <c r="L2050">
        <v>3</v>
      </c>
      <c r="M2050" t="s">
        <v>115</v>
      </c>
      <c r="N2050" t="str">
        <f t="shared" ref="N2050:N2113" si="192">TRIM(A2050)</f>
        <v>PO-102049</v>
      </c>
      <c r="O2050" t="str">
        <f t="shared" ref="O2050:O2113" si="193">PROPER(TRIM(M2050))</f>
        <v>Delivered</v>
      </c>
      <c r="P2050" t="str">
        <f t="shared" ref="P2050:P2113" si="194">TRIM(E2050)</f>
        <v>WH-PUN</v>
      </c>
      <c r="Q2050" t="str">
        <f>VLOOKUP(C2050, Lookups!$A$2:$D$10, 2, FALSE())</f>
        <v>TechSupply Corp</v>
      </c>
      <c r="R2050" t="str">
        <f>_xlfn.XLOOKUP(D2050, Lookups!$A$12:$A$51, Lookups!$C$12:$C$51, "Unknown")</f>
        <v>Electronics</v>
      </c>
      <c r="S2050" t="str">
        <f>IF(ISBLANK(I2050), B2050+VLOOKUP(C2050, Lookups!$A$2:$D$10, 4, FALSE()), I2050)</f>
        <v>2025-10-03</v>
      </c>
      <c r="T2050">
        <f t="shared" ref="T2050:T2113" si="195">IF(ISBLANK(J2050), "", J2050-B2050)</f>
        <v>13</v>
      </c>
      <c r="U2050" t="str">
        <f t="shared" ref="U2050:U2113" si="196">IF(O2050="Open", "Open", IF(J2050&gt;S2050, "Late", "On-Time"))</f>
        <v>On-Time</v>
      </c>
      <c r="V2050">
        <f t="shared" ref="V2050:V2113" si="197">IF(K2050&gt;0, L2050/K2050, 0)</f>
        <v>1.2552301255230125E-2</v>
      </c>
    </row>
    <row r="2051" spans="1:22" x14ac:dyDescent="0.45">
      <c r="A2051" t="s">
        <v>2903</v>
      </c>
      <c r="B2051" t="s">
        <v>548</v>
      </c>
      <c r="C2051" t="s">
        <v>30</v>
      </c>
      <c r="D2051" t="s">
        <v>53</v>
      </c>
      <c r="E2051" t="s">
        <v>16</v>
      </c>
      <c r="F2051">
        <v>87</v>
      </c>
      <c r="G2051">
        <v>81048</v>
      </c>
      <c r="H2051">
        <v>7051176</v>
      </c>
      <c r="I2051" t="s">
        <v>720</v>
      </c>
      <c r="J2051" t="s">
        <v>501</v>
      </c>
      <c r="K2051">
        <v>86</v>
      </c>
      <c r="L2051">
        <v>0</v>
      </c>
      <c r="M2051" t="s">
        <v>115</v>
      </c>
      <c r="N2051" t="str">
        <f t="shared" si="192"/>
        <v>PO-102050</v>
      </c>
      <c r="O2051" t="str">
        <f t="shared" si="193"/>
        <v>Delivered</v>
      </c>
      <c r="P2051" t="str">
        <f t="shared" si="194"/>
        <v>WH-DEL</v>
      </c>
      <c r="Q2051" t="str">
        <f>VLOOKUP(C2051, Lookups!$A$2:$D$10, 2, FALSE())</f>
        <v>TechSupply Corp</v>
      </c>
      <c r="R2051" t="str">
        <f>_xlfn.XLOOKUP(D2051, Lookups!$A$12:$A$51, Lookups!$C$12:$C$51, "Unknown")</f>
        <v>Electronics</v>
      </c>
      <c r="S2051" t="str">
        <f>IF(ISBLANK(I2051), B2051+VLOOKUP(C2051, Lookups!$A$2:$D$10, 4, FALSE()), I2051)</f>
        <v>2026-01-22</v>
      </c>
      <c r="T2051">
        <f t="shared" si="195"/>
        <v>21</v>
      </c>
      <c r="U2051" t="str">
        <f t="shared" si="196"/>
        <v>Late</v>
      </c>
      <c r="V2051">
        <f t="shared" si="197"/>
        <v>0</v>
      </c>
    </row>
    <row r="2052" spans="1:22" x14ac:dyDescent="0.45">
      <c r="A2052" t="s">
        <v>2904</v>
      </c>
      <c r="B2052" t="s">
        <v>153</v>
      </c>
      <c r="C2052" t="s">
        <v>30</v>
      </c>
      <c r="D2052" t="s">
        <v>82</v>
      </c>
      <c r="E2052" t="s">
        <v>15</v>
      </c>
      <c r="F2052">
        <v>194</v>
      </c>
      <c r="G2052">
        <v>83427</v>
      </c>
      <c r="H2052">
        <v>16184838</v>
      </c>
      <c r="I2052" t="s">
        <v>246</v>
      </c>
      <c r="J2052" t="s">
        <v>1046</v>
      </c>
      <c r="K2052">
        <v>194</v>
      </c>
      <c r="L2052">
        <v>0</v>
      </c>
      <c r="M2052" t="s">
        <v>115</v>
      </c>
      <c r="N2052" t="str">
        <f t="shared" si="192"/>
        <v>PO-102051</v>
      </c>
      <c r="O2052" t="str">
        <f t="shared" si="193"/>
        <v>Delivered</v>
      </c>
      <c r="P2052" t="str">
        <f t="shared" si="194"/>
        <v>WH-BOM</v>
      </c>
      <c r="Q2052" t="str">
        <f>VLOOKUP(C2052, Lookups!$A$2:$D$10, 2, FALSE())</f>
        <v>TechSupply Corp</v>
      </c>
      <c r="R2052" t="str">
        <f>_xlfn.XLOOKUP(D2052, Lookups!$A$12:$A$51, Lookups!$C$12:$C$51, "Unknown")</f>
        <v>Electronics</v>
      </c>
      <c r="S2052" t="str">
        <f>IF(ISBLANK(I2052), B2052+VLOOKUP(C2052, Lookups!$A$2:$D$10, 4, FALSE()), I2052)</f>
        <v>2025-10-21</v>
      </c>
      <c r="T2052">
        <f t="shared" si="195"/>
        <v>16</v>
      </c>
      <c r="U2052" t="str">
        <f t="shared" si="196"/>
        <v>Late</v>
      </c>
      <c r="V2052">
        <f t="shared" si="197"/>
        <v>0</v>
      </c>
    </row>
    <row r="2053" spans="1:22" x14ac:dyDescent="0.45">
      <c r="A2053" t="s">
        <v>2905</v>
      </c>
      <c r="B2053" t="s">
        <v>1302</v>
      </c>
      <c r="C2053" t="s">
        <v>34</v>
      </c>
      <c r="D2053" t="s">
        <v>80</v>
      </c>
      <c r="E2053" t="s">
        <v>18</v>
      </c>
      <c r="F2053">
        <v>243</v>
      </c>
      <c r="G2053">
        <v>19090</v>
      </c>
      <c r="H2053">
        <v>4638870</v>
      </c>
      <c r="I2053" t="s">
        <v>707</v>
      </c>
      <c r="J2053" t="s">
        <v>261</v>
      </c>
      <c r="K2053">
        <v>243</v>
      </c>
      <c r="L2053">
        <v>0</v>
      </c>
      <c r="M2053" t="s">
        <v>115</v>
      </c>
      <c r="N2053" t="str">
        <f t="shared" si="192"/>
        <v>PO-102052</v>
      </c>
      <c r="O2053" t="str">
        <f t="shared" si="193"/>
        <v>Delivered</v>
      </c>
      <c r="P2053" t="str">
        <f t="shared" si="194"/>
        <v>WH-PUN</v>
      </c>
      <c r="Q2053" t="str">
        <f>VLOOKUP(C2053, Lookups!$A$2:$D$10, 2, FALSE())</f>
        <v>FastElectronics</v>
      </c>
      <c r="R2053" t="str">
        <f>_xlfn.XLOOKUP(D2053, Lookups!$A$12:$A$51, Lookups!$C$12:$C$51, "Unknown")</f>
        <v>Networking</v>
      </c>
      <c r="S2053" t="str">
        <f>IF(ISBLANK(I2053), B2053+VLOOKUP(C2053, Lookups!$A$2:$D$10, 4, FALSE()), I2053)</f>
        <v>2026-01-14</v>
      </c>
      <c r="T2053">
        <f t="shared" si="195"/>
        <v>19</v>
      </c>
      <c r="U2053" t="str">
        <f t="shared" si="196"/>
        <v>Late</v>
      </c>
      <c r="V2053">
        <f t="shared" si="197"/>
        <v>0</v>
      </c>
    </row>
    <row r="2054" spans="1:22" x14ac:dyDescent="0.45">
      <c r="A2054" t="s">
        <v>2906</v>
      </c>
      <c r="B2054" t="s">
        <v>498</v>
      </c>
      <c r="C2054" t="s">
        <v>36</v>
      </c>
      <c r="D2054" t="s">
        <v>62</v>
      </c>
      <c r="E2054" t="s">
        <v>17</v>
      </c>
      <c r="F2054">
        <v>222</v>
      </c>
      <c r="G2054">
        <v>48478</v>
      </c>
      <c r="H2054">
        <v>10762116</v>
      </c>
      <c r="I2054" t="s">
        <v>583</v>
      </c>
      <c r="J2054" t="s">
        <v>1019</v>
      </c>
      <c r="K2054">
        <v>222</v>
      </c>
      <c r="L2054">
        <v>20</v>
      </c>
      <c r="M2054" t="s">
        <v>115</v>
      </c>
      <c r="N2054" t="str">
        <f t="shared" si="192"/>
        <v>PO-102053</v>
      </c>
      <c r="O2054" t="str">
        <f t="shared" si="193"/>
        <v>Delivered</v>
      </c>
      <c r="P2054" t="str">
        <f t="shared" si="194"/>
        <v>WH-BLR</v>
      </c>
      <c r="Q2054" t="str">
        <f>VLOOKUP(C2054, Lookups!$A$2:$D$10, 2, FALSE())</f>
        <v>NextGen Hardware</v>
      </c>
      <c r="R2054" t="str">
        <f>_xlfn.XLOOKUP(D2054, Lookups!$A$12:$A$51, Lookups!$C$12:$C$51, "Unknown")</f>
        <v>Electronics</v>
      </c>
      <c r="S2054" t="str">
        <f>IF(ISBLANK(I2054), B2054+VLOOKUP(C2054, Lookups!$A$2:$D$10, 4, FALSE()), I2054)</f>
        <v>2025-04-26</v>
      </c>
      <c r="T2054">
        <f t="shared" si="195"/>
        <v>37</v>
      </c>
      <c r="U2054" t="str">
        <f t="shared" si="196"/>
        <v>Late</v>
      </c>
      <c r="V2054">
        <f t="shared" si="197"/>
        <v>9.0090090090090086E-2</v>
      </c>
    </row>
    <row r="2055" spans="1:22" x14ac:dyDescent="0.45">
      <c r="A2055" t="s">
        <v>2907</v>
      </c>
      <c r="B2055" t="s">
        <v>196</v>
      </c>
      <c r="C2055" t="s">
        <v>35</v>
      </c>
      <c r="D2055" t="s">
        <v>57</v>
      </c>
      <c r="E2055" t="s">
        <v>16</v>
      </c>
      <c r="F2055">
        <v>148</v>
      </c>
      <c r="G2055">
        <v>2212</v>
      </c>
      <c r="H2055">
        <v>327376</v>
      </c>
      <c r="I2055" t="s">
        <v>419</v>
      </c>
      <c r="J2055" t="s">
        <v>419</v>
      </c>
      <c r="K2055">
        <v>148</v>
      </c>
      <c r="L2055">
        <v>0</v>
      </c>
      <c r="M2055" t="s">
        <v>115</v>
      </c>
      <c r="N2055" t="str">
        <f t="shared" si="192"/>
        <v>PO-102054</v>
      </c>
      <c r="O2055" t="str">
        <f t="shared" si="193"/>
        <v>Delivered</v>
      </c>
      <c r="P2055" t="str">
        <f t="shared" si="194"/>
        <v>WH-DEL</v>
      </c>
      <c r="Q2055" t="str">
        <f>VLOOKUP(C2055, Lookups!$A$2:$D$10, 2, FALSE())</f>
        <v>Peripheral Source</v>
      </c>
      <c r="R2055" t="str">
        <f>_xlfn.XLOOKUP(D2055, Lookups!$A$12:$A$51, Lookups!$C$12:$C$51, "Unknown")</f>
        <v>Peripherals</v>
      </c>
      <c r="S2055" t="str">
        <f>IF(ISBLANK(I2055), B2055+VLOOKUP(C2055, Lookups!$A$2:$D$10, 4, FALSE()), I2055)</f>
        <v>2026-07-21</v>
      </c>
      <c r="T2055">
        <f t="shared" si="195"/>
        <v>10</v>
      </c>
      <c r="U2055" t="str">
        <f t="shared" si="196"/>
        <v>On-Time</v>
      </c>
      <c r="V2055">
        <f t="shared" si="197"/>
        <v>0</v>
      </c>
    </row>
    <row r="2056" spans="1:22" x14ac:dyDescent="0.45">
      <c r="A2056" t="s">
        <v>2908</v>
      </c>
      <c r="B2056" t="s">
        <v>268</v>
      </c>
      <c r="C2056" t="s">
        <v>37</v>
      </c>
      <c r="D2056" t="s">
        <v>69</v>
      </c>
      <c r="E2056" t="s">
        <v>17</v>
      </c>
      <c r="F2056">
        <v>188</v>
      </c>
      <c r="G2056">
        <v>13231</v>
      </c>
      <c r="H2056">
        <v>2487428</v>
      </c>
      <c r="I2056" t="s">
        <v>805</v>
      </c>
      <c r="J2056" t="s">
        <v>583</v>
      </c>
      <c r="K2056">
        <v>188</v>
      </c>
      <c r="L2056">
        <v>0</v>
      </c>
      <c r="M2056" t="s">
        <v>115</v>
      </c>
      <c r="N2056" t="str">
        <f t="shared" si="192"/>
        <v>PO-102055</v>
      </c>
      <c r="O2056" t="str">
        <f t="shared" si="193"/>
        <v>Delivered</v>
      </c>
      <c r="P2056" t="str">
        <f t="shared" si="194"/>
        <v>WH-BLR</v>
      </c>
      <c r="Q2056" t="str">
        <f>VLOOKUP(C2056, Lookups!$A$2:$D$10, 2, FALSE())</f>
        <v>Premium Desks Ltd</v>
      </c>
      <c r="R2056" t="str">
        <f>_xlfn.XLOOKUP(D2056, Lookups!$A$12:$A$51, Lookups!$C$12:$C$51, "Unknown")</f>
        <v>Office Furniture</v>
      </c>
      <c r="S2056" t="str">
        <f>IF(ISBLANK(I2056), B2056+VLOOKUP(C2056, Lookups!$A$2:$D$10, 4, FALSE()), I2056)</f>
        <v>2025-04-25</v>
      </c>
      <c r="T2056">
        <f t="shared" si="195"/>
        <v>13</v>
      </c>
      <c r="U2056" t="str">
        <f t="shared" si="196"/>
        <v>Late</v>
      </c>
      <c r="V2056">
        <f t="shared" si="197"/>
        <v>0</v>
      </c>
    </row>
    <row r="2057" spans="1:22" x14ac:dyDescent="0.45">
      <c r="A2057" t="s">
        <v>2909</v>
      </c>
      <c r="B2057" t="s">
        <v>1331</v>
      </c>
      <c r="C2057" t="s">
        <v>33</v>
      </c>
      <c r="D2057" t="s">
        <v>89</v>
      </c>
      <c r="E2057" t="s">
        <v>17</v>
      </c>
      <c r="F2057">
        <v>43</v>
      </c>
      <c r="G2057">
        <v>11309</v>
      </c>
      <c r="H2057">
        <v>486287</v>
      </c>
      <c r="I2057" t="s">
        <v>268</v>
      </c>
      <c r="J2057" t="s">
        <v>1018</v>
      </c>
      <c r="K2057">
        <v>43</v>
      </c>
      <c r="L2057">
        <v>0</v>
      </c>
      <c r="M2057" t="s">
        <v>115</v>
      </c>
      <c r="N2057" t="str">
        <f t="shared" si="192"/>
        <v>PO-102056</v>
      </c>
      <c r="O2057" t="str">
        <f t="shared" si="193"/>
        <v>Delivered</v>
      </c>
      <c r="P2057" t="str">
        <f t="shared" si="194"/>
        <v>WH-BLR</v>
      </c>
      <c r="Q2057" t="str">
        <f>VLOOKUP(C2057, Lookups!$A$2:$D$10, 2, FALSE())</f>
        <v>MegaFurnish</v>
      </c>
      <c r="R2057" t="str">
        <f>_xlfn.XLOOKUP(D2057, Lookups!$A$12:$A$51, Lookups!$C$12:$C$51, "Unknown")</f>
        <v>Office Furniture</v>
      </c>
      <c r="S2057" t="str">
        <f>IF(ISBLANK(I2057), B2057+VLOOKUP(C2057, Lookups!$A$2:$D$10, 4, FALSE()), I2057)</f>
        <v>2025-04-13</v>
      </c>
      <c r="T2057">
        <f t="shared" si="195"/>
        <v>31</v>
      </c>
      <c r="U2057" t="str">
        <f t="shared" si="196"/>
        <v>Late</v>
      </c>
      <c r="V2057">
        <f t="shared" si="197"/>
        <v>0</v>
      </c>
    </row>
    <row r="2058" spans="1:22" x14ac:dyDescent="0.45">
      <c r="A2058" t="s">
        <v>2910</v>
      </c>
      <c r="B2058" t="s">
        <v>711</v>
      </c>
      <c r="C2058" t="s">
        <v>30</v>
      </c>
      <c r="D2058" t="s">
        <v>88</v>
      </c>
      <c r="E2058" t="s">
        <v>16</v>
      </c>
      <c r="F2058">
        <v>212</v>
      </c>
      <c r="G2058">
        <v>75512</v>
      </c>
      <c r="H2058">
        <v>16008544</v>
      </c>
      <c r="I2058" t="s">
        <v>561</v>
      </c>
      <c r="J2058" t="s">
        <v>2461</v>
      </c>
      <c r="K2058">
        <v>212</v>
      </c>
      <c r="L2058">
        <v>29</v>
      </c>
      <c r="M2058" t="s">
        <v>115</v>
      </c>
      <c r="N2058" t="str">
        <f t="shared" si="192"/>
        <v>PO-102057</v>
      </c>
      <c r="O2058" t="str">
        <f t="shared" si="193"/>
        <v>Delivered</v>
      </c>
      <c r="P2058" t="str">
        <f t="shared" si="194"/>
        <v>WH-DEL</v>
      </c>
      <c r="Q2058" t="str">
        <f>VLOOKUP(C2058, Lookups!$A$2:$D$10, 2, FALSE())</f>
        <v>TechSupply Corp</v>
      </c>
      <c r="R2058" t="str">
        <f>_xlfn.XLOOKUP(D2058, Lookups!$A$12:$A$51, Lookups!$C$12:$C$51, "Unknown")</f>
        <v>Electronics</v>
      </c>
      <c r="S2058" t="str">
        <f>IF(ISBLANK(I2058), B2058+VLOOKUP(C2058, Lookups!$A$2:$D$10, 4, FALSE()), I2058)</f>
        <v>2025-02-23</v>
      </c>
      <c r="T2058">
        <f t="shared" si="195"/>
        <v>22</v>
      </c>
      <c r="U2058" t="str">
        <f t="shared" si="196"/>
        <v>Late</v>
      </c>
      <c r="V2058">
        <f t="shared" si="197"/>
        <v>0.13679245283018868</v>
      </c>
    </row>
    <row r="2059" spans="1:22" x14ac:dyDescent="0.45">
      <c r="A2059" t="s">
        <v>2911</v>
      </c>
      <c r="B2059" t="s">
        <v>900</v>
      </c>
      <c r="C2059" t="s">
        <v>34</v>
      </c>
      <c r="D2059" t="s">
        <v>81</v>
      </c>
      <c r="E2059" t="s">
        <v>15</v>
      </c>
      <c r="F2059">
        <v>43</v>
      </c>
      <c r="G2059">
        <v>55328</v>
      </c>
      <c r="H2059">
        <v>2379104</v>
      </c>
      <c r="I2059" t="s">
        <v>1314</v>
      </c>
      <c r="J2059" t="s">
        <v>1314</v>
      </c>
      <c r="K2059">
        <v>43</v>
      </c>
      <c r="L2059">
        <v>0</v>
      </c>
      <c r="M2059" t="s">
        <v>115</v>
      </c>
      <c r="N2059" t="str">
        <f t="shared" si="192"/>
        <v>PO-102058</v>
      </c>
      <c r="O2059" t="str">
        <f t="shared" si="193"/>
        <v>Delivered</v>
      </c>
      <c r="P2059" t="str">
        <f t="shared" si="194"/>
        <v>WH-BOM</v>
      </c>
      <c r="Q2059" t="str">
        <f>VLOOKUP(C2059, Lookups!$A$2:$D$10, 2, FALSE())</f>
        <v>FastElectronics</v>
      </c>
      <c r="R2059" t="str">
        <f>_xlfn.XLOOKUP(D2059, Lookups!$A$12:$A$51, Lookups!$C$12:$C$51, "Unknown")</f>
        <v>Electronics</v>
      </c>
      <c r="S2059" t="str">
        <f>IF(ISBLANK(I2059), B2059+VLOOKUP(C2059, Lookups!$A$2:$D$10, 4, FALSE()), I2059)</f>
        <v>2026-05-28</v>
      </c>
      <c r="T2059">
        <f t="shared" si="195"/>
        <v>18</v>
      </c>
      <c r="U2059" t="str">
        <f t="shared" si="196"/>
        <v>On-Time</v>
      </c>
      <c r="V2059">
        <f t="shared" si="197"/>
        <v>0</v>
      </c>
    </row>
    <row r="2060" spans="1:22" x14ac:dyDescent="0.45">
      <c r="A2060" t="s">
        <v>2912</v>
      </c>
      <c r="B2060" t="s">
        <v>547</v>
      </c>
      <c r="C2060" t="s">
        <v>31</v>
      </c>
      <c r="D2060" t="s">
        <v>66</v>
      </c>
      <c r="E2060" t="s">
        <v>17</v>
      </c>
      <c r="F2060">
        <v>125</v>
      </c>
      <c r="G2060">
        <v>29719</v>
      </c>
      <c r="H2060">
        <v>3714875</v>
      </c>
      <c r="I2060" t="s">
        <v>261</v>
      </c>
      <c r="J2060" t="s">
        <v>261</v>
      </c>
      <c r="K2060">
        <v>125</v>
      </c>
      <c r="L2060">
        <v>0</v>
      </c>
      <c r="M2060" t="s">
        <v>115</v>
      </c>
      <c r="N2060" t="str">
        <f t="shared" si="192"/>
        <v>PO-102059</v>
      </c>
      <c r="O2060" t="str">
        <f t="shared" si="193"/>
        <v>Delivered</v>
      </c>
      <c r="P2060" t="str">
        <f t="shared" si="194"/>
        <v>WH-BLR</v>
      </c>
      <c r="Q2060" t="str">
        <f>VLOOKUP(C2060, Lookups!$A$2:$D$10, 2, FALSE())</f>
        <v>Global Networks</v>
      </c>
      <c r="R2060" t="str">
        <f>_xlfn.XLOOKUP(D2060, Lookups!$A$12:$A$51, Lookups!$C$12:$C$51, "Unknown")</f>
        <v>Networking</v>
      </c>
      <c r="S2060" t="str">
        <f>IF(ISBLANK(I2060), B2060+VLOOKUP(C2060, Lookups!$A$2:$D$10, 4, FALSE()), I2060)</f>
        <v>2026-01-15</v>
      </c>
      <c r="T2060">
        <f t="shared" si="195"/>
        <v>21</v>
      </c>
      <c r="U2060" t="str">
        <f t="shared" si="196"/>
        <v>On-Time</v>
      </c>
      <c r="V2060">
        <f t="shared" si="197"/>
        <v>0</v>
      </c>
    </row>
    <row r="2061" spans="1:22" x14ac:dyDescent="0.45">
      <c r="A2061" t="s">
        <v>2913</v>
      </c>
      <c r="B2061" t="s">
        <v>638</v>
      </c>
      <c r="C2061" t="s">
        <v>31</v>
      </c>
      <c r="D2061" t="s">
        <v>64</v>
      </c>
      <c r="E2061" t="s">
        <v>16</v>
      </c>
      <c r="F2061">
        <v>25</v>
      </c>
      <c r="G2061">
        <v>36295</v>
      </c>
      <c r="H2061">
        <v>907375</v>
      </c>
      <c r="I2061" t="s">
        <v>448</v>
      </c>
      <c r="J2061" t="s">
        <v>1260</v>
      </c>
      <c r="K2061">
        <v>25</v>
      </c>
      <c r="L2061">
        <v>0</v>
      </c>
      <c r="M2061" t="s">
        <v>115</v>
      </c>
      <c r="N2061" t="str">
        <f t="shared" si="192"/>
        <v>PO-102060</v>
      </c>
      <c r="O2061" t="str">
        <f t="shared" si="193"/>
        <v>Delivered</v>
      </c>
      <c r="P2061" t="str">
        <f t="shared" si="194"/>
        <v>WH-DEL</v>
      </c>
      <c r="Q2061" t="str">
        <f>VLOOKUP(C2061, Lookups!$A$2:$D$10, 2, FALSE())</f>
        <v>Global Networks</v>
      </c>
      <c r="R2061" t="str">
        <f>_xlfn.XLOOKUP(D2061, Lookups!$A$12:$A$51, Lookups!$C$12:$C$51, "Unknown")</f>
        <v>Networking</v>
      </c>
      <c r="S2061" t="str">
        <f>IF(ISBLANK(I2061), B2061+VLOOKUP(C2061, Lookups!$A$2:$D$10, 4, FALSE()), I2061)</f>
        <v>2025-12-18</v>
      </c>
      <c r="T2061">
        <f t="shared" si="195"/>
        <v>22</v>
      </c>
      <c r="U2061" t="str">
        <f t="shared" si="196"/>
        <v>Late</v>
      </c>
      <c r="V2061">
        <f t="shared" si="197"/>
        <v>0</v>
      </c>
    </row>
    <row r="2062" spans="1:22" x14ac:dyDescent="0.45">
      <c r="A2062" t="s">
        <v>2914</v>
      </c>
      <c r="B2062" t="s">
        <v>792</v>
      </c>
      <c r="C2062" t="s">
        <v>30</v>
      </c>
      <c r="D2062" t="s">
        <v>86</v>
      </c>
      <c r="E2062" t="s">
        <v>17</v>
      </c>
      <c r="F2062">
        <v>144</v>
      </c>
      <c r="G2062">
        <v>74871</v>
      </c>
      <c r="H2062">
        <v>10781424</v>
      </c>
      <c r="I2062" t="s">
        <v>249</v>
      </c>
      <c r="J2062" t="s">
        <v>1641</v>
      </c>
      <c r="K2062">
        <v>144</v>
      </c>
      <c r="L2062">
        <v>0</v>
      </c>
      <c r="M2062" t="s">
        <v>115</v>
      </c>
      <c r="N2062" t="str">
        <f t="shared" si="192"/>
        <v>PO-102061</v>
      </c>
      <c r="O2062" t="str">
        <f t="shared" si="193"/>
        <v>Delivered</v>
      </c>
      <c r="P2062" t="str">
        <f t="shared" si="194"/>
        <v>WH-BLR</v>
      </c>
      <c r="Q2062" t="str">
        <f>VLOOKUP(C2062, Lookups!$A$2:$D$10, 2, FALSE())</f>
        <v>TechSupply Corp</v>
      </c>
      <c r="R2062" t="str">
        <f>_xlfn.XLOOKUP(D2062, Lookups!$A$12:$A$51, Lookups!$C$12:$C$51, "Unknown")</f>
        <v>Electronics</v>
      </c>
      <c r="S2062" t="str">
        <f>IF(ISBLANK(I2062), B2062+VLOOKUP(C2062, Lookups!$A$2:$D$10, 4, FALSE()), I2062)</f>
        <v>2025-07-20</v>
      </c>
      <c r="T2062">
        <f t="shared" si="195"/>
        <v>15</v>
      </c>
      <c r="U2062" t="str">
        <f t="shared" si="196"/>
        <v>Late</v>
      </c>
      <c r="V2062">
        <f t="shared" si="197"/>
        <v>0</v>
      </c>
    </row>
    <row r="2063" spans="1:22" x14ac:dyDescent="0.45">
      <c r="A2063" t="s">
        <v>2915</v>
      </c>
      <c r="B2063" t="s">
        <v>1661</v>
      </c>
      <c r="C2063" t="s">
        <v>37</v>
      </c>
      <c r="D2063" t="s">
        <v>83</v>
      </c>
      <c r="E2063" t="s">
        <v>16</v>
      </c>
      <c r="F2063">
        <v>127</v>
      </c>
      <c r="G2063">
        <v>19850</v>
      </c>
      <c r="H2063">
        <v>2520950</v>
      </c>
      <c r="I2063" t="s">
        <v>1177</v>
      </c>
      <c r="J2063" t="s">
        <v>1177</v>
      </c>
      <c r="K2063">
        <v>127</v>
      </c>
      <c r="L2063">
        <v>0</v>
      </c>
      <c r="M2063" t="s">
        <v>115</v>
      </c>
      <c r="N2063" t="str">
        <f t="shared" si="192"/>
        <v>PO-102062</v>
      </c>
      <c r="O2063" t="str">
        <f t="shared" si="193"/>
        <v>Delivered</v>
      </c>
      <c r="P2063" t="str">
        <f t="shared" si="194"/>
        <v>WH-DEL</v>
      </c>
      <c r="Q2063" t="str">
        <f>VLOOKUP(C2063, Lookups!$A$2:$D$10, 2, FALSE())</f>
        <v>Premium Desks Ltd</v>
      </c>
      <c r="R2063" t="str">
        <f>_xlfn.XLOOKUP(D2063, Lookups!$A$12:$A$51, Lookups!$C$12:$C$51, "Unknown")</f>
        <v>Office Furniture</v>
      </c>
      <c r="S2063" t="str">
        <f>IF(ISBLANK(I2063), B2063+VLOOKUP(C2063, Lookups!$A$2:$D$10, 4, FALSE()), I2063)</f>
        <v>2026-06-11</v>
      </c>
      <c r="T2063">
        <f t="shared" si="195"/>
        <v>12</v>
      </c>
      <c r="U2063" t="str">
        <f t="shared" si="196"/>
        <v>On-Time</v>
      </c>
      <c r="V2063">
        <f t="shared" si="197"/>
        <v>0</v>
      </c>
    </row>
    <row r="2064" spans="1:22" x14ac:dyDescent="0.45">
      <c r="A2064" t="s">
        <v>2916</v>
      </c>
      <c r="B2064" t="s">
        <v>688</v>
      </c>
      <c r="C2064" t="s">
        <v>30</v>
      </c>
      <c r="D2064" t="s">
        <v>53</v>
      </c>
      <c r="E2064" t="s">
        <v>16</v>
      </c>
      <c r="F2064">
        <v>189</v>
      </c>
      <c r="G2064">
        <v>81048</v>
      </c>
      <c r="H2064">
        <v>15318072</v>
      </c>
      <c r="I2064" t="s">
        <v>1780</v>
      </c>
      <c r="J2064" t="s">
        <v>1780</v>
      </c>
      <c r="K2064">
        <v>189</v>
      </c>
      <c r="L2064">
        <v>0</v>
      </c>
      <c r="M2064" t="s">
        <v>115</v>
      </c>
      <c r="N2064" t="str">
        <f t="shared" si="192"/>
        <v>PO-102063</v>
      </c>
      <c r="O2064" t="str">
        <f t="shared" si="193"/>
        <v>Delivered</v>
      </c>
      <c r="P2064" t="str">
        <f t="shared" si="194"/>
        <v>WH-DEL</v>
      </c>
      <c r="Q2064" t="str">
        <f>VLOOKUP(C2064, Lookups!$A$2:$D$10, 2, FALSE())</f>
        <v>TechSupply Corp</v>
      </c>
      <c r="R2064" t="str">
        <f>_xlfn.XLOOKUP(D2064, Lookups!$A$12:$A$51, Lookups!$C$12:$C$51, "Unknown")</f>
        <v>Electronics</v>
      </c>
      <c r="S2064" t="str">
        <f>IF(ISBLANK(I2064), B2064+VLOOKUP(C2064, Lookups!$A$2:$D$10, 4, FALSE()), I2064)</f>
        <v>2026-05-13</v>
      </c>
      <c r="T2064">
        <f t="shared" si="195"/>
        <v>14</v>
      </c>
      <c r="U2064" t="str">
        <f t="shared" si="196"/>
        <v>On-Time</v>
      </c>
      <c r="V2064">
        <f t="shared" si="197"/>
        <v>0</v>
      </c>
    </row>
    <row r="2065" spans="1:22" x14ac:dyDescent="0.45">
      <c r="A2065" t="s">
        <v>2917</v>
      </c>
      <c r="B2065" t="s">
        <v>455</v>
      </c>
      <c r="C2065" t="s">
        <v>32</v>
      </c>
      <c r="D2065" t="s">
        <v>84</v>
      </c>
      <c r="E2065" t="s">
        <v>18</v>
      </c>
      <c r="F2065">
        <v>180</v>
      </c>
      <c r="G2065">
        <v>7271</v>
      </c>
      <c r="H2065">
        <v>1308780</v>
      </c>
      <c r="I2065" t="s">
        <v>1348</v>
      </c>
      <c r="J2065" t="s">
        <v>1615</v>
      </c>
      <c r="K2065">
        <v>180</v>
      </c>
      <c r="L2065">
        <v>0</v>
      </c>
      <c r="M2065" t="s">
        <v>115</v>
      </c>
      <c r="N2065" t="str">
        <f t="shared" si="192"/>
        <v>PO-102064</v>
      </c>
      <c r="O2065" t="str">
        <f t="shared" si="193"/>
        <v>Delivered</v>
      </c>
      <c r="P2065" t="str">
        <f t="shared" si="194"/>
        <v>WH-PUN</v>
      </c>
      <c r="Q2065" t="str">
        <f>VLOOKUP(C2065, Lookups!$A$2:$D$10, 2, FALSE())</f>
        <v>OfficeDepot Pro</v>
      </c>
      <c r="R2065" t="str">
        <f>_xlfn.XLOOKUP(D2065, Lookups!$A$12:$A$51, Lookups!$C$12:$C$51, "Unknown")</f>
        <v>Peripherals</v>
      </c>
      <c r="S2065" t="str">
        <f>IF(ISBLANK(I2065), B2065+VLOOKUP(C2065, Lookups!$A$2:$D$10, 4, FALSE()), I2065)</f>
        <v>2026-08-20</v>
      </c>
      <c r="T2065">
        <f t="shared" si="195"/>
        <v>8</v>
      </c>
      <c r="U2065" t="str">
        <f t="shared" si="196"/>
        <v>Late</v>
      </c>
      <c r="V2065">
        <f t="shared" si="197"/>
        <v>0</v>
      </c>
    </row>
    <row r="2066" spans="1:22" x14ac:dyDescent="0.45">
      <c r="A2066" t="s">
        <v>2918</v>
      </c>
      <c r="B2066" t="s">
        <v>642</v>
      </c>
      <c r="C2066" t="s">
        <v>37</v>
      </c>
      <c r="D2066" t="s">
        <v>69</v>
      </c>
      <c r="E2066" t="s">
        <v>16</v>
      </c>
      <c r="F2066">
        <v>183</v>
      </c>
      <c r="G2066">
        <v>13231</v>
      </c>
      <c r="H2066">
        <v>2421273</v>
      </c>
      <c r="I2066" t="s">
        <v>898</v>
      </c>
      <c r="J2066" t="s">
        <v>898</v>
      </c>
      <c r="K2066">
        <v>183</v>
      </c>
      <c r="L2066">
        <v>0</v>
      </c>
      <c r="M2066" t="s">
        <v>115</v>
      </c>
      <c r="N2066" t="str">
        <f t="shared" si="192"/>
        <v>PO-102065</v>
      </c>
      <c r="O2066" t="str">
        <f t="shared" si="193"/>
        <v>Delivered</v>
      </c>
      <c r="P2066" t="str">
        <f t="shared" si="194"/>
        <v>WH-DEL</v>
      </c>
      <c r="Q2066" t="str">
        <f>VLOOKUP(C2066, Lookups!$A$2:$D$10, 2, FALSE())</f>
        <v>Premium Desks Ltd</v>
      </c>
      <c r="R2066" t="str">
        <f>_xlfn.XLOOKUP(D2066, Lookups!$A$12:$A$51, Lookups!$C$12:$C$51, "Unknown")</f>
        <v>Office Furniture</v>
      </c>
      <c r="S2066" t="str">
        <f>IF(ISBLANK(I2066), B2066+VLOOKUP(C2066, Lookups!$A$2:$D$10, 4, FALSE()), I2066)</f>
        <v>2025-11-01</v>
      </c>
      <c r="T2066">
        <f t="shared" si="195"/>
        <v>12</v>
      </c>
      <c r="U2066" t="str">
        <f t="shared" si="196"/>
        <v>On-Time</v>
      </c>
      <c r="V2066">
        <f t="shared" si="197"/>
        <v>0</v>
      </c>
    </row>
    <row r="2067" spans="1:22" x14ac:dyDescent="0.45">
      <c r="A2067" t="s">
        <v>2919</v>
      </c>
      <c r="B2067" t="s">
        <v>744</v>
      </c>
      <c r="C2067" t="s">
        <v>34</v>
      </c>
      <c r="D2067" t="s">
        <v>74</v>
      </c>
      <c r="E2067" t="s">
        <v>16</v>
      </c>
      <c r="F2067">
        <v>191</v>
      </c>
      <c r="G2067">
        <v>94797</v>
      </c>
      <c r="H2067">
        <v>18106227</v>
      </c>
      <c r="K2067">
        <v>0</v>
      </c>
      <c r="L2067">
        <v>0</v>
      </c>
      <c r="M2067" t="s">
        <v>297</v>
      </c>
      <c r="N2067" t="str">
        <f t="shared" si="192"/>
        <v>PO-102066</v>
      </c>
      <c r="O2067" t="str">
        <f t="shared" si="193"/>
        <v>Open</v>
      </c>
      <c r="P2067" t="str">
        <f t="shared" si="194"/>
        <v>WH-DEL</v>
      </c>
      <c r="Q2067" t="str">
        <f>VLOOKUP(C2067, Lookups!$A$2:$D$10, 2, FALSE())</f>
        <v>FastElectronics</v>
      </c>
      <c r="R2067" t="str">
        <f>_xlfn.XLOOKUP(D2067, Lookups!$A$12:$A$51, Lookups!$C$12:$C$51, "Unknown")</f>
        <v>Electronics</v>
      </c>
      <c r="S2067">
        <f>IF(ISBLANK(I2067), B2067+VLOOKUP(C2067, Lookups!$A$2:$D$10, 4, FALSE()), I2067)</f>
        <v>46369</v>
      </c>
      <c r="T2067" t="str">
        <f t="shared" si="195"/>
        <v/>
      </c>
      <c r="U2067" t="str">
        <f t="shared" si="196"/>
        <v>Open</v>
      </c>
      <c r="V2067">
        <f t="shared" si="197"/>
        <v>0</v>
      </c>
    </row>
    <row r="2068" spans="1:22" x14ac:dyDescent="0.45">
      <c r="A2068" t="s">
        <v>2920</v>
      </c>
      <c r="B2068" t="s">
        <v>419</v>
      </c>
      <c r="C2068" t="s">
        <v>37</v>
      </c>
      <c r="D2068" t="s">
        <v>78</v>
      </c>
      <c r="E2068" t="s">
        <v>18</v>
      </c>
      <c r="F2068">
        <v>113</v>
      </c>
      <c r="G2068">
        <v>9423</v>
      </c>
      <c r="H2068">
        <v>1064799</v>
      </c>
      <c r="I2068" t="s">
        <v>142</v>
      </c>
      <c r="J2068" t="s">
        <v>2246</v>
      </c>
      <c r="K2068">
        <v>113</v>
      </c>
      <c r="L2068">
        <v>0</v>
      </c>
      <c r="M2068" t="s">
        <v>115</v>
      </c>
      <c r="N2068" t="str">
        <f t="shared" si="192"/>
        <v>PO-102067</v>
      </c>
      <c r="O2068" t="str">
        <f t="shared" si="193"/>
        <v>Delivered</v>
      </c>
      <c r="P2068" t="str">
        <f t="shared" si="194"/>
        <v>WH-PUN</v>
      </c>
      <c r="Q2068" t="str">
        <f>VLOOKUP(C2068, Lookups!$A$2:$D$10, 2, FALSE())</f>
        <v>Premium Desks Ltd</v>
      </c>
      <c r="R2068" t="str">
        <f>_xlfn.XLOOKUP(D2068, Lookups!$A$12:$A$51, Lookups!$C$12:$C$51, "Unknown")</f>
        <v>Office Furniture</v>
      </c>
      <c r="S2068" t="str">
        <f>IF(ISBLANK(I2068), B2068+VLOOKUP(C2068, Lookups!$A$2:$D$10, 4, FALSE()), I2068)</f>
        <v>2026-08-02</v>
      </c>
      <c r="T2068">
        <f t="shared" si="195"/>
        <v>16</v>
      </c>
      <c r="U2068" t="str">
        <f t="shared" si="196"/>
        <v>Late</v>
      </c>
      <c r="V2068">
        <f t="shared" si="197"/>
        <v>0</v>
      </c>
    </row>
    <row r="2069" spans="1:22" x14ac:dyDescent="0.45">
      <c r="A2069" t="s">
        <v>2921</v>
      </c>
      <c r="B2069" t="s">
        <v>435</v>
      </c>
      <c r="C2069" t="s">
        <v>32</v>
      </c>
      <c r="D2069" t="s">
        <v>67</v>
      </c>
      <c r="E2069" t="s">
        <v>17</v>
      </c>
      <c r="F2069">
        <v>239</v>
      </c>
      <c r="G2069">
        <v>1553</v>
      </c>
      <c r="H2069">
        <v>371167</v>
      </c>
      <c r="I2069" t="s">
        <v>235</v>
      </c>
      <c r="J2069" t="s">
        <v>293</v>
      </c>
      <c r="K2069">
        <v>239</v>
      </c>
      <c r="L2069">
        <v>7</v>
      </c>
      <c r="M2069" t="s">
        <v>115</v>
      </c>
      <c r="N2069" t="str">
        <f t="shared" si="192"/>
        <v>PO-102068</v>
      </c>
      <c r="O2069" t="str">
        <f t="shared" si="193"/>
        <v>Delivered</v>
      </c>
      <c r="P2069" t="str">
        <f t="shared" si="194"/>
        <v>WH-BLR</v>
      </c>
      <c r="Q2069" t="str">
        <f>VLOOKUP(C2069, Lookups!$A$2:$D$10, 2, FALSE())</f>
        <v>OfficeDepot Pro</v>
      </c>
      <c r="R2069" t="str">
        <f>_xlfn.XLOOKUP(D2069, Lookups!$A$12:$A$51, Lookups!$C$12:$C$51, "Unknown")</f>
        <v>Peripherals</v>
      </c>
      <c r="S2069" t="str">
        <f>IF(ISBLANK(I2069), B2069+VLOOKUP(C2069, Lookups!$A$2:$D$10, 4, FALSE()), I2069)</f>
        <v>2025-08-27</v>
      </c>
      <c r="T2069">
        <f t="shared" si="195"/>
        <v>15</v>
      </c>
      <c r="U2069" t="str">
        <f t="shared" si="196"/>
        <v>Late</v>
      </c>
      <c r="V2069">
        <f t="shared" si="197"/>
        <v>2.9288702928870293E-2</v>
      </c>
    </row>
    <row r="2070" spans="1:22" x14ac:dyDescent="0.45">
      <c r="A2070" t="s">
        <v>2922</v>
      </c>
      <c r="B2070" t="s">
        <v>1767</v>
      </c>
      <c r="C2070" t="s">
        <v>37</v>
      </c>
      <c r="D2070" t="s">
        <v>79</v>
      </c>
      <c r="E2070" t="s">
        <v>16</v>
      </c>
      <c r="F2070">
        <v>72</v>
      </c>
      <c r="G2070">
        <v>23054</v>
      </c>
      <c r="H2070">
        <v>1659888</v>
      </c>
      <c r="I2070" t="s">
        <v>1395</v>
      </c>
      <c r="J2070" t="s">
        <v>1395</v>
      </c>
      <c r="K2070">
        <v>72</v>
      </c>
      <c r="L2070">
        <v>0</v>
      </c>
      <c r="M2070" t="s">
        <v>115</v>
      </c>
      <c r="N2070" t="str">
        <f t="shared" si="192"/>
        <v>PO-102069</v>
      </c>
      <c r="O2070" t="str">
        <f t="shared" si="193"/>
        <v>Delivered</v>
      </c>
      <c r="P2070" t="str">
        <f t="shared" si="194"/>
        <v>WH-DEL</v>
      </c>
      <c r="Q2070" t="str">
        <f>VLOOKUP(C2070, Lookups!$A$2:$D$10, 2, FALSE())</f>
        <v>Premium Desks Ltd</v>
      </c>
      <c r="R2070" t="str">
        <f>_xlfn.XLOOKUP(D2070, Lookups!$A$12:$A$51, Lookups!$C$12:$C$51, "Unknown")</f>
        <v>Office Furniture</v>
      </c>
      <c r="S2070" t="str">
        <f>IF(ISBLANK(I2070), B2070+VLOOKUP(C2070, Lookups!$A$2:$D$10, 4, FALSE()), I2070)</f>
        <v>2026-03-09</v>
      </c>
      <c r="T2070">
        <f t="shared" si="195"/>
        <v>12</v>
      </c>
      <c r="U2070" t="str">
        <f t="shared" si="196"/>
        <v>On-Time</v>
      </c>
      <c r="V2070">
        <f t="shared" si="197"/>
        <v>0</v>
      </c>
    </row>
    <row r="2071" spans="1:22" x14ac:dyDescent="0.45">
      <c r="A2071" t="s">
        <v>2923</v>
      </c>
      <c r="B2071" t="s">
        <v>2179</v>
      </c>
      <c r="C2071" t="s">
        <v>35</v>
      </c>
      <c r="D2071" t="s">
        <v>57</v>
      </c>
      <c r="E2071" t="s">
        <v>17</v>
      </c>
      <c r="F2071">
        <v>111</v>
      </c>
      <c r="G2071">
        <v>2212</v>
      </c>
      <c r="H2071">
        <v>245532</v>
      </c>
      <c r="I2071" t="s">
        <v>1593</v>
      </c>
      <c r="J2071" t="s">
        <v>993</v>
      </c>
      <c r="K2071">
        <v>111</v>
      </c>
      <c r="L2071">
        <v>0</v>
      </c>
      <c r="M2071" t="s">
        <v>115</v>
      </c>
      <c r="N2071" t="str">
        <f t="shared" si="192"/>
        <v>PO-102070</v>
      </c>
      <c r="O2071" t="str">
        <f t="shared" si="193"/>
        <v>Delivered</v>
      </c>
      <c r="P2071" t="str">
        <f t="shared" si="194"/>
        <v>WH-BLR</v>
      </c>
      <c r="Q2071" t="str">
        <f>VLOOKUP(C2071, Lookups!$A$2:$D$10, 2, FALSE())</f>
        <v>Peripheral Source</v>
      </c>
      <c r="R2071" t="str">
        <f>_xlfn.XLOOKUP(D2071, Lookups!$A$12:$A$51, Lookups!$C$12:$C$51, "Unknown")</f>
        <v>Peripherals</v>
      </c>
      <c r="S2071" t="str">
        <f>IF(ISBLANK(I2071), B2071+VLOOKUP(C2071, Lookups!$A$2:$D$10, 4, FALSE()), I2071)</f>
        <v>2025-05-27</v>
      </c>
      <c r="T2071">
        <f t="shared" si="195"/>
        <v>11</v>
      </c>
      <c r="U2071" t="str">
        <f t="shared" si="196"/>
        <v>Late</v>
      </c>
      <c r="V2071">
        <f t="shared" si="197"/>
        <v>0</v>
      </c>
    </row>
    <row r="2072" spans="1:22" x14ac:dyDescent="0.45">
      <c r="A2072" t="s">
        <v>2924</v>
      </c>
      <c r="B2072" t="s">
        <v>1187</v>
      </c>
      <c r="C2072" t="s">
        <v>37</v>
      </c>
      <c r="D2072" t="s">
        <v>78</v>
      </c>
      <c r="E2072" t="s">
        <v>16</v>
      </c>
      <c r="F2072">
        <v>112</v>
      </c>
      <c r="G2072">
        <v>9423</v>
      </c>
      <c r="H2072">
        <v>1055376</v>
      </c>
      <c r="I2072" t="s">
        <v>228</v>
      </c>
      <c r="J2072" t="s">
        <v>648</v>
      </c>
      <c r="K2072">
        <v>112</v>
      </c>
      <c r="L2072">
        <v>0</v>
      </c>
      <c r="M2072" t="s">
        <v>115</v>
      </c>
      <c r="N2072" t="str">
        <f t="shared" si="192"/>
        <v>PO-102071</v>
      </c>
      <c r="O2072" t="str">
        <f t="shared" si="193"/>
        <v>Delivered</v>
      </c>
      <c r="P2072" t="str">
        <f t="shared" si="194"/>
        <v>WH-DEL</v>
      </c>
      <c r="Q2072" t="str">
        <f>VLOOKUP(C2072, Lookups!$A$2:$D$10, 2, FALSE())</f>
        <v>Premium Desks Ltd</v>
      </c>
      <c r="R2072" t="str">
        <f>_xlfn.XLOOKUP(D2072, Lookups!$A$12:$A$51, Lookups!$C$12:$C$51, "Unknown")</f>
        <v>Office Furniture</v>
      </c>
      <c r="S2072" t="str">
        <f>IF(ISBLANK(I2072), B2072+VLOOKUP(C2072, Lookups!$A$2:$D$10, 4, FALSE()), I2072)</f>
        <v>2025-07-13</v>
      </c>
      <c r="T2072">
        <f t="shared" si="195"/>
        <v>27</v>
      </c>
      <c r="U2072" t="str">
        <f t="shared" si="196"/>
        <v>Late</v>
      </c>
      <c r="V2072">
        <f t="shared" si="197"/>
        <v>0</v>
      </c>
    </row>
    <row r="2073" spans="1:22" x14ac:dyDescent="0.45">
      <c r="A2073" t="s">
        <v>2925</v>
      </c>
      <c r="B2073" t="s">
        <v>716</v>
      </c>
      <c r="C2073" t="s">
        <v>31</v>
      </c>
      <c r="D2073" t="s">
        <v>64</v>
      </c>
      <c r="E2073" t="s">
        <v>17</v>
      </c>
      <c r="F2073">
        <v>127</v>
      </c>
      <c r="G2073">
        <v>36295</v>
      </c>
      <c r="H2073">
        <v>4609465</v>
      </c>
      <c r="I2073" t="s">
        <v>1200</v>
      </c>
      <c r="J2073" t="s">
        <v>1604</v>
      </c>
      <c r="K2073">
        <v>127</v>
      </c>
      <c r="L2073">
        <v>0</v>
      </c>
      <c r="M2073" t="s">
        <v>115</v>
      </c>
      <c r="N2073" t="str">
        <f t="shared" si="192"/>
        <v>PO-102072</v>
      </c>
      <c r="O2073" t="str">
        <f t="shared" si="193"/>
        <v>Delivered</v>
      </c>
      <c r="P2073" t="str">
        <f t="shared" si="194"/>
        <v>WH-BLR</v>
      </c>
      <c r="Q2073" t="str">
        <f>VLOOKUP(C2073, Lookups!$A$2:$D$10, 2, FALSE())</f>
        <v>Global Networks</v>
      </c>
      <c r="R2073" t="str">
        <f>_xlfn.XLOOKUP(D2073, Lookups!$A$12:$A$51, Lookups!$C$12:$C$51, "Unknown")</f>
        <v>Networking</v>
      </c>
      <c r="S2073" t="str">
        <f>IF(ISBLANK(I2073), B2073+VLOOKUP(C2073, Lookups!$A$2:$D$10, 4, FALSE()), I2073)</f>
        <v>2025-09-01</v>
      </c>
      <c r="T2073">
        <f t="shared" si="195"/>
        <v>27</v>
      </c>
      <c r="U2073" t="str">
        <f t="shared" si="196"/>
        <v>Late</v>
      </c>
      <c r="V2073">
        <f t="shared" si="197"/>
        <v>0</v>
      </c>
    </row>
    <row r="2074" spans="1:22" x14ac:dyDescent="0.45">
      <c r="A2074" t="s">
        <v>2926</v>
      </c>
      <c r="B2074" t="s">
        <v>1241</v>
      </c>
      <c r="C2074" t="s">
        <v>36</v>
      </c>
      <c r="D2074" t="s">
        <v>71</v>
      </c>
      <c r="E2074" t="s">
        <v>16</v>
      </c>
      <c r="F2074">
        <v>79</v>
      </c>
      <c r="G2074">
        <v>65379</v>
      </c>
      <c r="H2074">
        <v>5164941</v>
      </c>
      <c r="I2074" t="s">
        <v>1329</v>
      </c>
      <c r="J2074" t="s">
        <v>1329</v>
      </c>
      <c r="K2074">
        <v>45</v>
      </c>
      <c r="L2074">
        <v>0</v>
      </c>
      <c r="M2074" t="s">
        <v>115</v>
      </c>
      <c r="N2074" t="str">
        <f t="shared" si="192"/>
        <v>PO-102073</v>
      </c>
      <c r="O2074" t="str">
        <f t="shared" si="193"/>
        <v>Delivered</v>
      </c>
      <c r="P2074" t="str">
        <f t="shared" si="194"/>
        <v>WH-DEL</v>
      </c>
      <c r="Q2074" t="str">
        <f>VLOOKUP(C2074, Lookups!$A$2:$D$10, 2, FALSE())</f>
        <v>NextGen Hardware</v>
      </c>
      <c r="R2074" t="str">
        <f>_xlfn.XLOOKUP(D2074, Lookups!$A$12:$A$51, Lookups!$C$12:$C$51, "Unknown")</f>
        <v>Electronics</v>
      </c>
      <c r="S2074" t="str">
        <f>IF(ISBLANK(I2074), B2074+VLOOKUP(C2074, Lookups!$A$2:$D$10, 4, FALSE()), I2074)</f>
        <v>2025-05-25</v>
      </c>
      <c r="T2074">
        <f t="shared" si="195"/>
        <v>24</v>
      </c>
      <c r="U2074" t="str">
        <f t="shared" si="196"/>
        <v>On-Time</v>
      </c>
      <c r="V2074">
        <f t="shared" si="197"/>
        <v>0</v>
      </c>
    </row>
    <row r="2075" spans="1:22" x14ac:dyDescent="0.45">
      <c r="A2075" t="s">
        <v>2927</v>
      </c>
      <c r="B2075" t="s">
        <v>139</v>
      </c>
      <c r="C2075" t="s">
        <v>30</v>
      </c>
      <c r="D2075" t="s">
        <v>88</v>
      </c>
      <c r="E2075" t="s">
        <v>17</v>
      </c>
      <c r="F2075">
        <v>85</v>
      </c>
      <c r="G2075">
        <v>75512</v>
      </c>
      <c r="H2075">
        <v>6418520</v>
      </c>
      <c r="I2075" t="s">
        <v>2110</v>
      </c>
      <c r="J2075" t="s">
        <v>319</v>
      </c>
      <c r="K2075">
        <v>85</v>
      </c>
      <c r="L2075">
        <v>0</v>
      </c>
      <c r="M2075" t="s">
        <v>115</v>
      </c>
      <c r="N2075" t="str">
        <f t="shared" si="192"/>
        <v>PO-102074</v>
      </c>
      <c r="O2075" t="str">
        <f t="shared" si="193"/>
        <v>Delivered</v>
      </c>
      <c r="P2075" t="str">
        <f t="shared" si="194"/>
        <v>WH-BLR</v>
      </c>
      <c r="Q2075" t="str">
        <f>VLOOKUP(C2075, Lookups!$A$2:$D$10, 2, FALSE())</f>
        <v>TechSupply Corp</v>
      </c>
      <c r="R2075" t="str">
        <f>_xlfn.XLOOKUP(D2075, Lookups!$A$12:$A$51, Lookups!$C$12:$C$51, "Unknown")</f>
        <v>Electronics</v>
      </c>
      <c r="S2075" t="str">
        <f>IF(ISBLANK(I2075), B2075+VLOOKUP(C2075, Lookups!$A$2:$D$10, 4, FALSE()), I2075)</f>
        <v>2025-10-13</v>
      </c>
      <c r="T2075">
        <f t="shared" si="195"/>
        <v>15</v>
      </c>
      <c r="U2075" t="str">
        <f t="shared" si="196"/>
        <v>Late</v>
      </c>
      <c r="V2075">
        <f t="shared" si="197"/>
        <v>0</v>
      </c>
    </row>
    <row r="2076" spans="1:22" x14ac:dyDescent="0.45">
      <c r="A2076" t="s">
        <v>2928</v>
      </c>
      <c r="B2076" t="s">
        <v>516</v>
      </c>
      <c r="C2076" t="s">
        <v>36</v>
      </c>
      <c r="D2076" t="s">
        <v>87</v>
      </c>
      <c r="E2076" t="s">
        <v>17</v>
      </c>
      <c r="F2076">
        <v>55</v>
      </c>
      <c r="G2076">
        <v>82930</v>
      </c>
      <c r="H2076">
        <v>4561150</v>
      </c>
      <c r="I2076" t="s">
        <v>1377</v>
      </c>
      <c r="J2076" t="s">
        <v>1537</v>
      </c>
      <c r="K2076">
        <v>55</v>
      </c>
      <c r="L2076">
        <v>0</v>
      </c>
      <c r="M2076" t="s">
        <v>115</v>
      </c>
      <c r="N2076" t="str">
        <f t="shared" si="192"/>
        <v>PO-102075</v>
      </c>
      <c r="O2076" t="str">
        <f t="shared" si="193"/>
        <v>Delivered</v>
      </c>
      <c r="P2076" t="str">
        <f t="shared" si="194"/>
        <v>WH-BLR</v>
      </c>
      <c r="Q2076" t="str">
        <f>VLOOKUP(C2076, Lookups!$A$2:$D$10, 2, FALSE())</f>
        <v>NextGen Hardware</v>
      </c>
      <c r="R2076" t="str">
        <f>_xlfn.XLOOKUP(D2076, Lookups!$A$12:$A$51, Lookups!$C$12:$C$51, "Unknown")</f>
        <v>Electronics</v>
      </c>
      <c r="S2076" t="str">
        <f>IF(ISBLANK(I2076), B2076+VLOOKUP(C2076, Lookups!$A$2:$D$10, 4, FALSE()), I2076)</f>
        <v>2025-04-17</v>
      </c>
      <c r="T2076">
        <f t="shared" si="195"/>
        <v>25</v>
      </c>
      <c r="U2076" t="str">
        <f t="shared" si="196"/>
        <v>Late</v>
      </c>
      <c r="V2076">
        <f t="shared" si="197"/>
        <v>0</v>
      </c>
    </row>
    <row r="2077" spans="1:22" x14ac:dyDescent="0.45">
      <c r="A2077" t="s">
        <v>2929</v>
      </c>
      <c r="B2077" t="s">
        <v>837</v>
      </c>
      <c r="C2077" t="s">
        <v>31</v>
      </c>
      <c r="D2077" t="s">
        <v>56</v>
      </c>
      <c r="E2077" t="s">
        <v>16</v>
      </c>
      <c r="F2077">
        <v>169</v>
      </c>
      <c r="G2077">
        <v>39270</v>
      </c>
      <c r="H2077">
        <v>6636630</v>
      </c>
      <c r="I2077" t="s">
        <v>721</v>
      </c>
      <c r="J2077" t="s">
        <v>873</v>
      </c>
      <c r="K2077">
        <v>169</v>
      </c>
      <c r="L2077">
        <v>0</v>
      </c>
      <c r="M2077" t="s">
        <v>115</v>
      </c>
      <c r="N2077" t="str">
        <f t="shared" si="192"/>
        <v>PO-102076</v>
      </c>
      <c r="O2077" t="str">
        <f t="shared" si="193"/>
        <v>Delivered</v>
      </c>
      <c r="P2077" t="str">
        <f t="shared" si="194"/>
        <v>WH-DEL</v>
      </c>
      <c r="Q2077" t="str">
        <f>VLOOKUP(C2077, Lookups!$A$2:$D$10, 2, FALSE())</f>
        <v>Global Networks</v>
      </c>
      <c r="R2077" t="str">
        <f>_xlfn.XLOOKUP(D2077, Lookups!$A$12:$A$51, Lookups!$C$12:$C$51, "Unknown")</f>
        <v>Networking</v>
      </c>
      <c r="S2077" t="str">
        <f>IF(ISBLANK(I2077), B2077+VLOOKUP(C2077, Lookups!$A$2:$D$10, 4, FALSE()), I2077)</f>
        <v>2026-02-01</v>
      </c>
      <c r="T2077">
        <f t="shared" si="195"/>
        <v>29</v>
      </c>
      <c r="U2077" t="str">
        <f t="shared" si="196"/>
        <v>Late</v>
      </c>
      <c r="V2077">
        <f t="shared" si="197"/>
        <v>0</v>
      </c>
    </row>
    <row r="2078" spans="1:22" x14ac:dyDescent="0.45">
      <c r="A2078" t="s">
        <v>2930</v>
      </c>
      <c r="B2078" t="s">
        <v>494</v>
      </c>
      <c r="C2078" t="s">
        <v>36</v>
      </c>
      <c r="D2078" t="s">
        <v>63</v>
      </c>
      <c r="E2078" t="s">
        <v>17</v>
      </c>
      <c r="F2078">
        <v>179</v>
      </c>
      <c r="G2078">
        <v>71062</v>
      </c>
      <c r="H2078">
        <v>12720098</v>
      </c>
      <c r="I2078" t="s">
        <v>980</v>
      </c>
      <c r="J2078" t="s">
        <v>980</v>
      </c>
      <c r="K2078">
        <v>179</v>
      </c>
      <c r="L2078">
        <v>0</v>
      </c>
      <c r="M2078" t="s">
        <v>115</v>
      </c>
      <c r="N2078" t="str">
        <f t="shared" si="192"/>
        <v>PO-102077</v>
      </c>
      <c r="O2078" t="str">
        <f t="shared" si="193"/>
        <v>Delivered</v>
      </c>
      <c r="P2078" t="str">
        <f t="shared" si="194"/>
        <v>WH-BLR</v>
      </c>
      <c r="Q2078" t="str">
        <f>VLOOKUP(C2078, Lookups!$A$2:$D$10, 2, FALSE())</f>
        <v>NextGen Hardware</v>
      </c>
      <c r="R2078" t="str">
        <f>_xlfn.XLOOKUP(D2078, Lookups!$A$12:$A$51, Lookups!$C$12:$C$51, "Unknown")</f>
        <v>Electronics</v>
      </c>
      <c r="S2078" t="str">
        <f>IF(ISBLANK(I2078), B2078+VLOOKUP(C2078, Lookups!$A$2:$D$10, 4, FALSE()), I2078)</f>
        <v>2026-10-12</v>
      </c>
      <c r="T2078">
        <f t="shared" si="195"/>
        <v>24</v>
      </c>
      <c r="U2078" t="str">
        <f t="shared" si="196"/>
        <v>On-Time</v>
      </c>
      <c r="V2078">
        <f t="shared" si="197"/>
        <v>0</v>
      </c>
    </row>
    <row r="2079" spans="1:22" x14ac:dyDescent="0.45">
      <c r="A2079" t="s">
        <v>2931</v>
      </c>
      <c r="B2079" t="s">
        <v>365</v>
      </c>
      <c r="C2079" t="s">
        <v>36</v>
      </c>
      <c r="D2079" t="s">
        <v>63</v>
      </c>
      <c r="E2079" t="s">
        <v>17</v>
      </c>
      <c r="F2079">
        <v>122</v>
      </c>
      <c r="G2079">
        <v>71062</v>
      </c>
      <c r="H2079">
        <v>8669564</v>
      </c>
      <c r="I2079" t="s">
        <v>1221</v>
      </c>
      <c r="J2079" t="s">
        <v>217</v>
      </c>
      <c r="K2079">
        <v>122</v>
      </c>
      <c r="L2079">
        <v>0</v>
      </c>
      <c r="M2079" t="s">
        <v>115</v>
      </c>
      <c r="N2079" t="str">
        <f t="shared" si="192"/>
        <v>PO-102078</v>
      </c>
      <c r="O2079" t="str">
        <f t="shared" si="193"/>
        <v>Delivered</v>
      </c>
      <c r="P2079" t="str">
        <f t="shared" si="194"/>
        <v>WH-BLR</v>
      </c>
      <c r="Q2079" t="str">
        <f>VLOOKUP(C2079, Lookups!$A$2:$D$10, 2, FALSE())</f>
        <v>NextGen Hardware</v>
      </c>
      <c r="R2079" t="str">
        <f>_xlfn.XLOOKUP(D2079, Lookups!$A$12:$A$51, Lookups!$C$12:$C$51, "Unknown")</f>
        <v>Electronics</v>
      </c>
      <c r="S2079" t="str">
        <f>IF(ISBLANK(I2079), B2079+VLOOKUP(C2079, Lookups!$A$2:$D$10, 4, FALSE()), I2079)</f>
        <v>2026-04-22</v>
      </c>
      <c r="T2079">
        <f t="shared" si="195"/>
        <v>25</v>
      </c>
      <c r="U2079" t="str">
        <f t="shared" si="196"/>
        <v>Late</v>
      </c>
      <c r="V2079">
        <f t="shared" si="197"/>
        <v>0</v>
      </c>
    </row>
    <row r="2080" spans="1:22" x14ac:dyDescent="0.45">
      <c r="A2080" t="s">
        <v>2932</v>
      </c>
      <c r="B2080" t="s">
        <v>1223</v>
      </c>
      <c r="C2080" t="s">
        <v>31</v>
      </c>
      <c r="D2080" t="s">
        <v>85</v>
      </c>
      <c r="E2080" t="s">
        <v>18</v>
      </c>
      <c r="F2080">
        <v>105</v>
      </c>
      <c r="G2080">
        <v>16501</v>
      </c>
      <c r="H2080">
        <v>1732605</v>
      </c>
      <c r="I2080" t="s">
        <v>1041</v>
      </c>
      <c r="J2080" t="s">
        <v>1041</v>
      </c>
      <c r="K2080">
        <v>105</v>
      </c>
      <c r="L2080">
        <v>0</v>
      </c>
      <c r="M2080" t="s">
        <v>115</v>
      </c>
      <c r="N2080" t="str">
        <f t="shared" si="192"/>
        <v>PO-102079</v>
      </c>
      <c r="O2080" t="str">
        <f t="shared" si="193"/>
        <v>Delivered</v>
      </c>
      <c r="P2080" t="str">
        <f t="shared" si="194"/>
        <v>WH-PUN</v>
      </c>
      <c r="Q2080" t="str">
        <f>VLOOKUP(C2080, Lookups!$A$2:$D$10, 2, FALSE())</f>
        <v>Global Networks</v>
      </c>
      <c r="R2080" t="str">
        <f>_xlfn.XLOOKUP(D2080, Lookups!$A$12:$A$51, Lookups!$C$12:$C$51, "Unknown")</f>
        <v>Networking</v>
      </c>
      <c r="S2080" t="str">
        <f>IF(ISBLANK(I2080), B2080+VLOOKUP(C2080, Lookups!$A$2:$D$10, 4, FALSE()), I2080)</f>
        <v>2026-10-17</v>
      </c>
      <c r="T2080">
        <f t="shared" si="195"/>
        <v>21</v>
      </c>
      <c r="U2080" t="str">
        <f t="shared" si="196"/>
        <v>On-Time</v>
      </c>
      <c r="V2080">
        <f t="shared" si="197"/>
        <v>0</v>
      </c>
    </row>
    <row r="2081" spans="1:22" x14ac:dyDescent="0.45">
      <c r="A2081" t="s">
        <v>2933</v>
      </c>
      <c r="B2081" t="s">
        <v>430</v>
      </c>
      <c r="C2081" t="s">
        <v>34</v>
      </c>
      <c r="D2081" t="s">
        <v>81</v>
      </c>
      <c r="E2081" t="s">
        <v>17</v>
      </c>
      <c r="F2081">
        <v>217</v>
      </c>
      <c r="G2081">
        <v>55328</v>
      </c>
      <c r="H2081">
        <v>12006176</v>
      </c>
      <c r="I2081" t="s">
        <v>1092</v>
      </c>
      <c r="J2081" t="s">
        <v>478</v>
      </c>
      <c r="K2081">
        <v>217</v>
      </c>
      <c r="L2081">
        <v>0</v>
      </c>
      <c r="M2081" t="s">
        <v>115</v>
      </c>
      <c r="N2081" t="str">
        <f t="shared" si="192"/>
        <v>PO-102080</v>
      </c>
      <c r="O2081" t="str">
        <f t="shared" si="193"/>
        <v>Delivered</v>
      </c>
      <c r="P2081" t="str">
        <f t="shared" si="194"/>
        <v>WH-BLR</v>
      </c>
      <c r="Q2081" t="str">
        <f>VLOOKUP(C2081, Lookups!$A$2:$D$10, 2, FALSE())</f>
        <v>FastElectronics</v>
      </c>
      <c r="R2081" t="str">
        <f>_xlfn.XLOOKUP(D2081, Lookups!$A$12:$A$51, Lookups!$C$12:$C$51, "Unknown")</f>
        <v>Electronics</v>
      </c>
      <c r="S2081" t="str">
        <f>IF(ISBLANK(I2081), B2081+VLOOKUP(C2081, Lookups!$A$2:$D$10, 4, FALSE()), I2081)</f>
        <v>2025-03-22</v>
      </c>
      <c r="T2081">
        <f t="shared" si="195"/>
        <v>25</v>
      </c>
      <c r="U2081" t="str">
        <f t="shared" si="196"/>
        <v>Late</v>
      </c>
      <c r="V2081">
        <f t="shared" si="197"/>
        <v>0</v>
      </c>
    </row>
    <row r="2082" spans="1:22" x14ac:dyDescent="0.45">
      <c r="A2082" t="s">
        <v>2934</v>
      </c>
      <c r="B2082" t="s">
        <v>510</v>
      </c>
      <c r="C2082" t="s">
        <v>31</v>
      </c>
      <c r="D2082" t="s">
        <v>66</v>
      </c>
      <c r="E2082" t="s">
        <v>17</v>
      </c>
      <c r="F2082">
        <v>132</v>
      </c>
      <c r="G2082">
        <v>29719</v>
      </c>
      <c r="H2082">
        <v>3922908</v>
      </c>
      <c r="I2082" t="s">
        <v>428</v>
      </c>
      <c r="J2082" t="s">
        <v>428</v>
      </c>
      <c r="K2082">
        <v>132</v>
      </c>
      <c r="L2082">
        <v>0</v>
      </c>
      <c r="M2082" t="s">
        <v>115</v>
      </c>
      <c r="N2082" t="str">
        <f t="shared" si="192"/>
        <v>PO-102081</v>
      </c>
      <c r="O2082" t="str">
        <f t="shared" si="193"/>
        <v>Delivered</v>
      </c>
      <c r="P2082" t="str">
        <f t="shared" si="194"/>
        <v>WH-BLR</v>
      </c>
      <c r="Q2082" t="str">
        <f>VLOOKUP(C2082, Lookups!$A$2:$D$10, 2, FALSE())</f>
        <v>Global Networks</v>
      </c>
      <c r="R2082" t="str">
        <f>_xlfn.XLOOKUP(D2082, Lookups!$A$12:$A$51, Lookups!$C$12:$C$51, "Unknown")</f>
        <v>Networking</v>
      </c>
      <c r="S2082" t="str">
        <f>IF(ISBLANK(I2082), B2082+VLOOKUP(C2082, Lookups!$A$2:$D$10, 4, FALSE()), I2082)</f>
        <v>2026-07-17</v>
      </c>
      <c r="T2082">
        <f t="shared" si="195"/>
        <v>21</v>
      </c>
      <c r="U2082" t="str">
        <f t="shared" si="196"/>
        <v>On-Time</v>
      </c>
      <c r="V2082">
        <f t="shared" si="197"/>
        <v>0</v>
      </c>
    </row>
    <row r="2083" spans="1:22" x14ac:dyDescent="0.45">
      <c r="A2083" t="s">
        <v>2935</v>
      </c>
      <c r="B2083" t="s">
        <v>764</v>
      </c>
      <c r="C2083" t="s">
        <v>34</v>
      </c>
      <c r="D2083" t="s">
        <v>73</v>
      </c>
      <c r="E2083" t="s">
        <v>18</v>
      </c>
      <c r="F2083">
        <v>218</v>
      </c>
      <c r="G2083">
        <v>58396</v>
      </c>
      <c r="H2083">
        <v>12730328</v>
      </c>
      <c r="I2083" t="s">
        <v>566</v>
      </c>
      <c r="J2083" t="s">
        <v>566</v>
      </c>
      <c r="K2083">
        <v>218</v>
      </c>
      <c r="L2083">
        <v>0</v>
      </c>
      <c r="M2083" t="s">
        <v>115</v>
      </c>
      <c r="N2083" t="str">
        <f t="shared" si="192"/>
        <v>PO-102082</v>
      </c>
      <c r="O2083" t="str">
        <f t="shared" si="193"/>
        <v>Delivered</v>
      </c>
      <c r="P2083" t="str">
        <f t="shared" si="194"/>
        <v>WH-PUN</v>
      </c>
      <c r="Q2083" t="str">
        <f>VLOOKUP(C2083, Lookups!$A$2:$D$10, 2, FALSE())</f>
        <v>FastElectronics</v>
      </c>
      <c r="R2083" t="str">
        <f>_xlfn.XLOOKUP(D2083, Lookups!$A$12:$A$51, Lookups!$C$12:$C$51, "Unknown")</f>
        <v>Electronics</v>
      </c>
      <c r="S2083" t="str">
        <f>IF(ISBLANK(I2083), B2083+VLOOKUP(C2083, Lookups!$A$2:$D$10, 4, FALSE()), I2083)</f>
        <v>2025-03-09</v>
      </c>
      <c r="T2083">
        <f t="shared" si="195"/>
        <v>18</v>
      </c>
      <c r="U2083" t="str">
        <f t="shared" si="196"/>
        <v>On-Time</v>
      </c>
      <c r="V2083">
        <f t="shared" si="197"/>
        <v>0</v>
      </c>
    </row>
    <row r="2084" spans="1:22" x14ac:dyDescent="0.45">
      <c r="A2084" t="s">
        <v>2936</v>
      </c>
      <c r="B2084" t="s">
        <v>300</v>
      </c>
      <c r="C2084" t="s">
        <v>30</v>
      </c>
      <c r="D2084" t="s">
        <v>53</v>
      </c>
      <c r="E2084" t="s">
        <v>15</v>
      </c>
      <c r="F2084">
        <v>45</v>
      </c>
      <c r="G2084">
        <v>81048</v>
      </c>
      <c r="H2084">
        <v>3647160</v>
      </c>
      <c r="I2084" t="s">
        <v>499</v>
      </c>
      <c r="J2084" t="s">
        <v>2937</v>
      </c>
      <c r="K2084">
        <v>45</v>
      </c>
      <c r="L2084">
        <v>0</v>
      </c>
      <c r="M2084" t="s">
        <v>115</v>
      </c>
      <c r="N2084" t="str">
        <f t="shared" si="192"/>
        <v>PO-102083</v>
      </c>
      <c r="O2084" t="str">
        <f t="shared" si="193"/>
        <v>Delivered</v>
      </c>
      <c r="P2084" t="str">
        <f t="shared" si="194"/>
        <v>WH-BOM</v>
      </c>
      <c r="Q2084" t="str">
        <f>VLOOKUP(C2084, Lookups!$A$2:$D$10, 2, FALSE())</f>
        <v>TechSupply Corp</v>
      </c>
      <c r="R2084" t="str">
        <f>_xlfn.XLOOKUP(D2084, Lookups!$A$12:$A$51, Lookups!$C$12:$C$51, "Unknown")</f>
        <v>Electronics</v>
      </c>
      <c r="S2084" t="str">
        <f>IF(ISBLANK(I2084), B2084+VLOOKUP(C2084, Lookups!$A$2:$D$10, 4, FALSE()), I2084)</f>
        <v>2025-04-03</v>
      </c>
      <c r="T2084">
        <f t="shared" si="195"/>
        <v>15</v>
      </c>
      <c r="U2084" t="str">
        <f t="shared" si="196"/>
        <v>Late</v>
      </c>
      <c r="V2084">
        <f t="shared" si="197"/>
        <v>0</v>
      </c>
    </row>
    <row r="2085" spans="1:22" x14ac:dyDescent="0.45">
      <c r="A2085" t="s">
        <v>2938</v>
      </c>
      <c r="B2085" t="s">
        <v>1432</v>
      </c>
      <c r="C2085" t="s">
        <v>30</v>
      </c>
      <c r="D2085" t="s">
        <v>86</v>
      </c>
      <c r="E2085" t="s">
        <v>18</v>
      </c>
      <c r="F2085">
        <v>250</v>
      </c>
      <c r="G2085">
        <v>74871</v>
      </c>
      <c r="H2085">
        <v>18717750</v>
      </c>
      <c r="I2085" t="s">
        <v>542</v>
      </c>
      <c r="J2085" t="s">
        <v>1508</v>
      </c>
      <c r="K2085">
        <v>250</v>
      </c>
      <c r="L2085">
        <v>0</v>
      </c>
      <c r="M2085" t="s">
        <v>301</v>
      </c>
      <c r="N2085" t="str">
        <f t="shared" si="192"/>
        <v>PO-102084</v>
      </c>
      <c r="O2085" t="str">
        <f t="shared" si="193"/>
        <v>Delivered</v>
      </c>
      <c r="P2085" t="str">
        <f t="shared" si="194"/>
        <v>WH-PUN</v>
      </c>
      <c r="Q2085" t="str">
        <f>VLOOKUP(C2085, Lookups!$A$2:$D$10, 2, FALSE())</f>
        <v>TechSupply Corp</v>
      </c>
      <c r="R2085" t="str">
        <f>_xlfn.XLOOKUP(D2085, Lookups!$A$12:$A$51, Lookups!$C$12:$C$51, "Unknown")</f>
        <v>Electronics</v>
      </c>
      <c r="S2085" t="str">
        <f>IF(ISBLANK(I2085), B2085+VLOOKUP(C2085, Lookups!$A$2:$D$10, 4, FALSE()), I2085)</f>
        <v>2026-05-19</v>
      </c>
      <c r="T2085">
        <f t="shared" si="195"/>
        <v>19</v>
      </c>
      <c r="U2085" t="str">
        <f t="shared" si="196"/>
        <v>Late</v>
      </c>
      <c r="V2085">
        <f t="shared" si="197"/>
        <v>0</v>
      </c>
    </row>
    <row r="2086" spans="1:22" x14ac:dyDescent="0.45">
      <c r="A2086" t="s">
        <v>2939</v>
      </c>
      <c r="B2086" t="s">
        <v>981</v>
      </c>
      <c r="C2086" t="s">
        <v>31</v>
      </c>
      <c r="D2086" t="s">
        <v>56</v>
      </c>
      <c r="E2086" t="s">
        <v>17</v>
      </c>
      <c r="F2086">
        <v>171</v>
      </c>
      <c r="G2086">
        <v>39270</v>
      </c>
      <c r="H2086">
        <v>6715170</v>
      </c>
      <c r="I2086" t="s">
        <v>1822</v>
      </c>
      <c r="J2086" t="s">
        <v>986</v>
      </c>
      <c r="K2086">
        <v>171</v>
      </c>
      <c r="L2086">
        <v>0</v>
      </c>
      <c r="M2086" t="s">
        <v>115</v>
      </c>
      <c r="N2086" t="str">
        <f t="shared" si="192"/>
        <v>PO-102085</v>
      </c>
      <c r="O2086" t="str">
        <f t="shared" si="193"/>
        <v>Delivered</v>
      </c>
      <c r="P2086" t="str">
        <f t="shared" si="194"/>
        <v>WH-BLR</v>
      </c>
      <c r="Q2086" t="str">
        <f>VLOOKUP(C2086, Lookups!$A$2:$D$10, 2, FALSE())</f>
        <v>Global Networks</v>
      </c>
      <c r="R2086" t="str">
        <f>_xlfn.XLOOKUP(D2086, Lookups!$A$12:$A$51, Lookups!$C$12:$C$51, "Unknown")</f>
        <v>Networking</v>
      </c>
      <c r="S2086" t="str">
        <f>IF(ISBLANK(I2086), B2086+VLOOKUP(C2086, Lookups!$A$2:$D$10, 4, FALSE()), I2086)</f>
        <v>2026-11-03</v>
      </c>
      <c r="T2086">
        <f t="shared" si="195"/>
        <v>22</v>
      </c>
      <c r="U2086" t="str">
        <f t="shared" si="196"/>
        <v>Late</v>
      </c>
      <c r="V2086">
        <f t="shared" si="197"/>
        <v>0</v>
      </c>
    </row>
    <row r="2087" spans="1:22" x14ac:dyDescent="0.45">
      <c r="A2087" t="s">
        <v>2940</v>
      </c>
      <c r="B2087" t="s">
        <v>342</v>
      </c>
      <c r="C2087" t="s">
        <v>30</v>
      </c>
      <c r="D2087" t="s">
        <v>59</v>
      </c>
      <c r="E2087" t="s">
        <v>15</v>
      </c>
      <c r="F2087">
        <v>106</v>
      </c>
      <c r="G2087">
        <v>48905</v>
      </c>
      <c r="H2087">
        <v>5183930</v>
      </c>
      <c r="I2087" t="s">
        <v>1206</v>
      </c>
      <c r="J2087" t="s">
        <v>441</v>
      </c>
      <c r="K2087">
        <v>106</v>
      </c>
      <c r="L2087">
        <v>0</v>
      </c>
      <c r="M2087" t="s">
        <v>115</v>
      </c>
      <c r="N2087" t="str">
        <f t="shared" si="192"/>
        <v>PO-102086</v>
      </c>
      <c r="O2087" t="str">
        <f t="shared" si="193"/>
        <v>Delivered</v>
      </c>
      <c r="P2087" t="str">
        <f t="shared" si="194"/>
        <v>WH-BOM</v>
      </c>
      <c r="Q2087" t="str">
        <f>VLOOKUP(C2087, Lookups!$A$2:$D$10, 2, FALSE())</f>
        <v>TechSupply Corp</v>
      </c>
      <c r="R2087" t="str">
        <f>_xlfn.XLOOKUP(D2087, Lookups!$A$12:$A$51, Lookups!$C$12:$C$51, "Unknown")</f>
        <v>Electronics</v>
      </c>
      <c r="S2087" t="str">
        <f>IF(ISBLANK(I2087), B2087+VLOOKUP(C2087, Lookups!$A$2:$D$10, 4, FALSE()), I2087)</f>
        <v>2026-02-17</v>
      </c>
      <c r="T2087">
        <f t="shared" si="195"/>
        <v>15</v>
      </c>
      <c r="U2087" t="str">
        <f t="shared" si="196"/>
        <v>Late</v>
      </c>
      <c r="V2087">
        <f t="shared" si="197"/>
        <v>0</v>
      </c>
    </row>
    <row r="2088" spans="1:22" x14ac:dyDescent="0.45">
      <c r="A2088" t="s">
        <v>2941</v>
      </c>
      <c r="B2088" t="s">
        <v>989</v>
      </c>
      <c r="C2088" t="s">
        <v>36</v>
      </c>
      <c r="D2088" t="s">
        <v>90</v>
      </c>
      <c r="E2088" t="s">
        <v>15</v>
      </c>
      <c r="F2088">
        <v>235</v>
      </c>
      <c r="G2088">
        <v>81434</v>
      </c>
      <c r="H2088">
        <v>19136990</v>
      </c>
      <c r="I2088" t="s">
        <v>206</v>
      </c>
      <c r="J2088" t="s">
        <v>206</v>
      </c>
      <c r="K2088">
        <v>235</v>
      </c>
      <c r="L2088">
        <v>0</v>
      </c>
      <c r="M2088" t="s">
        <v>115</v>
      </c>
      <c r="N2088" t="str">
        <f t="shared" si="192"/>
        <v>PO-102087</v>
      </c>
      <c r="O2088" t="str">
        <f t="shared" si="193"/>
        <v>Delivered</v>
      </c>
      <c r="P2088" t="str">
        <f t="shared" si="194"/>
        <v>WH-BOM</v>
      </c>
      <c r="Q2088" t="str">
        <f>VLOOKUP(C2088, Lookups!$A$2:$D$10, 2, FALSE())</f>
        <v>NextGen Hardware</v>
      </c>
      <c r="R2088" t="str">
        <f>_xlfn.XLOOKUP(D2088, Lookups!$A$12:$A$51, Lookups!$C$12:$C$51, "Unknown")</f>
        <v>Electronics</v>
      </c>
      <c r="S2088" t="str">
        <f>IF(ISBLANK(I2088), B2088+VLOOKUP(C2088, Lookups!$A$2:$D$10, 4, FALSE()), I2088)</f>
        <v>2025-12-07</v>
      </c>
      <c r="T2088">
        <f t="shared" si="195"/>
        <v>24</v>
      </c>
      <c r="U2088" t="str">
        <f t="shared" si="196"/>
        <v>On-Time</v>
      </c>
      <c r="V2088">
        <f t="shared" si="197"/>
        <v>0</v>
      </c>
    </row>
    <row r="2089" spans="1:22" x14ac:dyDescent="0.45">
      <c r="A2089" t="s">
        <v>2942</v>
      </c>
      <c r="B2089" t="s">
        <v>663</v>
      </c>
      <c r="C2089" t="s">
        <v>34</v>
      </c>
      <c r="D2089" t="s">
        <v>54</v>
      </c>
      <c r="E2089" t="s">
        <v>18</v>
      </c>
      <c r="F2089">
        <v>96</v>
      </c>
      <c r="G2089">
        <v>22314</v>
      </c>
      <c r="H2089">
        <v>2142144</v>
      </c>
      <c r="I2089" t="s">
        <v>1401</v>
      </c>
      <c r="J2089" t="s">
        <v>282</v>
      </c>
      <c r="K2089">
        <v>96</v>
      </c>
      <c r="L2089">
        <v>0</v>
      </c>
      <c r="M2089" t="s">
        <v>115</v>
      </c>
      <c r="N2089" t="str">
        <f t="shared" si="192"/>
        <v>PO-102088</v>
      </c>
      <c r="O2089" t="str">
        <f t="shared" si="193"/>
        <v>Delivered</v>
      </c>
      <c r="P2089" t="str">
        <f t="shared" si="194"/>
        <v>WH-PUN</v>
      </c>
      <c r="Q2089" t="str">
        <f>VLOOKUP(C2089, Lookups!$A$2:$D$10, 2, FALSE())</f>
        <v>FastElectronics</v>
      </c>
      <c r="R2089" t="str">
        <f>_xlfn.XLOOKUP(D2089, Lookups!$A$12:$A$51, Lookups!$C$12:$C$51, "Unknown")</f>
        <v>Networking</v>
      </c>
      <c r="S2089" t="str">
        <f>IF(ISBLANK(I2089), B2089+VLOOKUP(C2089, Lookups!$A$2:$D$10, 4, FALSE()), I2089)</f>
        <v>2026-10-24</v>
      </c>
      <c r="T2089">
        <f t="shared" si="195"/>
        <v>21</v>
      </c>
      <c r="U2089" t="str">
        <f t="shared" si="196"/>
        <v>Late</v>
      </c>
      <c r="V2089">
        <f t="shared" si="197"/>
        <v>0</v>
      </c>
    </row>
    <row r="2090" spans="1:22" x14ac:dyDescent="0.45">
      <c r="A2090" t="s">
        <v>2943</v>
      </c>
      <c r="B2090" t="s">
        <v>396</v>
      </c>
      <c r="C2090" t="s">
        <v>34</v>
      </c>
      <c r="D2090" t="s">
        <v>74</v>
      </c>
      <c r="E2090" t="s">
        <v>15</v>
      </c>
      <c r="F2090">
        <v>36</v>
      </c>
      <c r="G2090">
        <v>94797</v>
      </c>
      <c r="H2090">
        <v>3412692</v>
      </c>
      <c r="I2090" t="s">
        <v>1018</v>
      </c>
      <c r="J2090" t="s">
        <v>1537</v>
      </c>
      <c r="K2090">
        <v>36</v>
      </c>
      <c r="L2090">
        <v>0</v>
      </c>
      <c r="M2090" t="s">
        <v>115</v>
      </c>
      <c r="N2090" t="str">
        <f t="shared" si="192"/>
        <v>PO-102089</v>
      </c>
      <c r="O2090" t="str">
        <f t="shared" si="193"/>
        <v>Delivered</v>
      </c>
      <c r="P2090" t="str">
        <f t="shared" si="194"/>
        <v>WH-BOM</v>
      </c>
      <c r="Q2090" t="str">
        <f>VLOOKUP(C2090, Lookups!$A$2:$D$10, 2, FALSE())</f>
        <v>FastElectronics</v>
      </c>
      <c r="R2090" t="str">
        <f>_xlfn.XLOOKUP(D2090, Lookups!$A$12:$A$51, Lookups!$C$12:$C$51, "Unknown")</f>
        <v>Electronics</v>
      </c>
      <c r="S2090" t="str">
        <f>IF(ISBLANK(I2090), B2090+VLOOKUP(C2090, Lookups!$A$2:$D$10, 4, FALSE()), I2090)</f>
        <v>2025-04-14</v>
      </c>
      <c r="T2090">
        <f t="shared" si="195"/>
        <v>22</v>
      </c>
      <c r="U2090" t="str">
        <f t="shared" si="196"/>
        <v>Late</v>
      </c>
      <c r="V2090">
        <f t="shared" si="197"/>
        <v>0</v>
      </c>
    </row>
    <row r="2091" spans="1:22" x14ac:dyDescent="0.45">
      <c r="A2091" t="s">
        <v>2944</v>
      </c>
      <c r="B2091" t="s">
        <v>469</v>
      </c>
      <c r="C2091" t="s">
        <v>35</v>
      </c>
      <c r="D2091" t="s">
        <v>57</v>
      </c>
      <c r="E2091" t="s">
        <v>18</v>
      </c>
      <c r="F2091">
        <v>21</v>
      </c>
      <c r="G2091">
        <v>2212</v>
      </c>
      <c r="H2091">
        <v>46452</v>
      </c>
      <c r="I2091" t="s">
        <v>191</v>
      </c>
      <c r="J2091" t="s">
        <v>2204</v>
      </c>
      <c r="K2091">
        <v>21</v>
      </c>
      <c r="L2091">
        <v>0</v>
      </c>
      <c r="M2091" t="s">
        <v>115</v>
      </c>
      <c r="N2091" t="str">
        <f t="shared" si="192"/>
        <v>PO-102090</v>
      </c>
      <c r="O2091" t="str">
        <f t="shared" si="193"/>
        <v>Delivered</v>
      </c>
      <c r="P2091" t="str">
        <f t="shared" si="194"/>
        <v>WH-PUN</v>
      </c>
      <c r="Q2091" t="str">
        <f>VLOOKUP(C2091, Lookups!$A$2:$D$10, 2, FALSE())</f>
        <v>Peripheral Source</v>
      </c>
      <c r="R2091" t="str">
        <f>_xlfn.XLOOKUP(D2091, Lookups!$A$12:$A$51, Lookups!$C$12:$C$51, "Unknown")</f>
        <v>Peripherals</v>
      </c>
      <c r="S2091" t="str">
        <f>IF(ISBLANK(I2091), B2091+VLOOKUP(C2091, Lookups!$A$2:$D$10, 4, FALSE()), I2091)</f>
        <v>2025-07-25</v>
      </c>
      <c r="T2091">
        <f t="shared" si="195"/>
        <v>16</v>
      </c>
      <c r="U2091" t="str">
        <f t="shared" si="196"/>
        <v>Late</v>
      </c>
      <c r="V2091">
        <f t="shared" si="197"/>
        <v>0</v>
      </c>
    </row>
    <row r="2092" spans="1:22" x14ac:dyDescent="0.45">
      <c r="A2092" t="s">
        <v>2945</v>
      </c>
      <c r="B2092" t="s">
        <v>535</v>
      </c>
      <c r="C2092" t="s">
        <v>36</v>
      </c>
      <c r="D2092" t="s">
        <v>62</v>
      </c>
      <c r="E2092" t="s">
        <v>532</v>
      </c>
      <c r="F2092">
        <v>212</v>
      </c>
      <c r="G2092">
        <v>48478</v>
      </c>
      <c r="H2092">
        <v>10277336</v>
      </c>
      <c r="I2092" t="s">
        <v>483</v>
      </c>
      <c r="J2092" t="s">
        <v>483</v>
      </c>
      <c r="K2092">
        <v>212</v>
      </c>
      <c r="L2092">
        <v>0</v>
      </c>
      <c r="M2092" t="s">
        <v>115</v>
      </c>
      <c r="N2092" t="str">
        <f t="shared" si="192"/>
        <v>PO-102091</v>
      </c>
      <c r="O2092" t="str">
        <f t="shared" si="193"/>
        <v>Delivered</v>
      </c>
      <c r="P2092" t="str">
        <f t="shared" si="194"/>
        <v>WH-PUN</v>
      </c>
      <c r="Q2092" t="str">
        <f>VLOOKUP(C2092, Lookups!$A$2:$D$10, 2, FALSE())</f>
        <v>NextGen Hardware</v>
      </c>
      <c r="R2092" t="str">
        <f>_xlfn.XLOOKUP(D2092, Lookups!$A$12:$A$51, Lookups!$C$12:$C$51, "Unknown")</f>
        <v>Electronics</v>
      </c>
      <c r="S2092" t="str">
        <f>IF(ISBLANK(I2092), B2092+VLOOKUP(C2092, Lookups!$A$2:$D$10, 4, FALSE()), I2092)</f>
        <v>2026-06-01</v>
      </c>
      <c r="T2092">
        <f t="shared" si="195"/>
        <v>24</v>
      </c>
      <c r="U2092" t="str">
        <f t="shared" si="196"/>
        <v>On-Time</v>
      </c>
      <c r="V2092">
        <f t="shared" si="197"/>
        <v>0</v>
      </c>
    </row>
    <row r="2093" spans="1:22" x14ac:dyDescent="0.45">
      <c r="A2093" t="s">
        <v>2946</v>
      </c>
      <c r="B2093" t="s">
        <v>487</v>
      </c>
      <c r="C2093" t="s">
        <v>36</v>
      </c>
      <c r="D2093" t="s">
        <v>55</v>
      </c>
      <c r="E2093" t="s">
        <v>18</v>
      </c>
      <c r="F2093">
        <v>237</v>
      </c>
      <c r="G2093">
        <v>58434</v>
      </c>
      <c r="H2093">
        <v>13848858</v>
      </c>
      <c r="I2093" t="s">
        <v>249</v>
      </c>
      <c r="J2093" t="s">
        <v>1068</v>
      </c>
      <c r="K2093">
        <v>237</v>
      </c>
      <c r="L2093">
        <v>0</v>
      </c>
      <c r="M2093" t="s">
        <v>115</v>
      </c>
      <c r="N2093" t="str">
        <f t="shared" si="192"/>
        <v>PO-102092</v>
      </c>
      <c r="O2093" t="str">
        <f t="shared" si="193"/>
        <v>Delivered</v>
      </c>
      <c r="P2093" t="str">
        <f t="shared" si="194"/>
        <v>WH-PUN</v>
      </c>
      <c r="Q2093" t="str">
        <f>VLOOKUP(C2093, Lookups!$A$2:$D$10, 2, FALSE())</f>
        <v>NextGen Hardware</v>
      </c>
      <c r="R2093" t="str">
        <f>_xlfn.XLOOKUP(D2093, Lookups!$A$12:$A$51, Lookups!$C$12:$C$51, "Unknown")</f>
        <v>Electronics</v>
      </c>
      <c r="S2093" t="str">
        <f>IF(ISBLANK(I2093), B2093+VLOOKUP(C2093, Lookups!$A$2:$D$10, 4, FALSE()), I2093)</f>
        <v>2025-07-20</v>
      </c>
      <c r="T2093">
        <f t="shared" si="195"/>
        <v>37</v>
      </c>
      <c r="U2093" t="str">
        <f t="shared" si="196"/>
        <v>Late</v>
      </c>
      <c r="V2093">
        <f t="shared" si="197"/>
        <v>0</v>
      </c>
    </row>
    <row r="2094" spans="1:22" x14ac:dyDescent="0.45">
      <c r="A2094" t="s">
        <v>2947</v>
      </c>
      <c r="B2094" t="s">
        <v>1329</v>
      </c>
      <c r="C2094" t="s">
        <v>35</v>
      </c>
      <c r="D2094" t="s">
        <v>75</v>
      </c>
      <c r="E2094" t="s">
        <v>15</v>
      </c>
      <c r="F2094">
        <v>227</v>
      </c>
      <c r="G2094">
        <v>4440</v>
      </c>
      <c r="H2094">
        <v>1007880</v>
      </c>
      <c r="I2094" t="s">
        <v>238</v>
      </c>
      <c r="J2094" t="s">
        <v>327</v>
      </c>
      <c r="K2094">
        <v>227</v>
      </c>
      <c r="L2094">
        <v>0</v>
      </c>
      <c r="M2094" t="s">
        <v>115</v>
      </c>
      <c r="N2094" t="str">
        <f t="shared" si="192"/>
        <v>PO-102093</v>
      </c>
      <c r="O2094" t="str">
        <f t="shared" si="193"/>
        <v>Delivered</v>
      </c>
      <c r="P2094" t="str">
        <f t="shared" si="194"/>
        <v>WH-BOM</v>
      </c>
      <c r="Q2094" t="str">
        <f>VLOOKUP(C2094, Lookups!$A$2:$D$10, 2, FALSE())</f>
        <v>Peripheral Source</v>
      </c>
      <c r="R2094" t="str">
        <f>_xlfn.XLOOKUP(D2094, Lookups!$A$12:$A$51, Lookups!$C$12:$C$51, "Unknown")</f>
        <v>Peripherals</v>
      </c>
      <c r="S2094" t="str">
        <f>IF(ISBLANK(I2094), B2094+VLOOKUP(C2094, Lookups!$A$2:$D$10, 4, FALSE()), I2094)</f>
        <v>2025-06-04</v>
      </c>
      <c r="T2094">
        <f t="shared" si="195"/>
        <v>11</v>
      </c>
      <c r="U2094" t="str">
        <f t="shared" si="196"/>
        <v>Late</v>
      </c>
      <c r="V2094">
        <f t="shared" si="197"/>
        <v>0</v>
      </c>
    </row>
    <row r="2095" spans="1:22" x14ac:dyDescent="0.45">
      <c r="A2095" t="s">
        <v>2948</v>
      </c>
      <c r="B2095" t="s">
        <v>1111</v>
      </c>
      <c r="C2095" t="s">
        <v>34</v>
      </c>
      <c r="D2095" t="s">
        <v>80</v>
      </c>
      <c r="E2095" t="s">
        <v>17</v>
      </c>
      <c r="F2095">
        <v>51</v>
      </c>
      <c r="G2095">
        <v>19090</v>
      </c>
      <c r="H2095">
        <v>973590</v>
      </c>
      <c r="I2095" t="s">
        <v>847</v>
      </c>
      <c r="J2095" t="s">
        <v>1822</v>
      </c>
      <c r="K2095">
        <v>51</v>
      </c>
      <c r="L2095">
        <v>0</v>
      </c>
      <c r="M2095" t="s">
        <v>115</v>
      </c>
      <c r="N2095" t="str">
        <f t="shared" si="192"/>
        <v>PO-102094</v>
      </c>
      <c r="O2095" t="str">
        <f t="shared" si="193"/>
        <v>Delivered</v>
      </c>
      <c r="P2095" t="str">
        <f t="shared" si="194"/>
        <v>WH-BLR</v>
      </c>
      <c r="Q2095" t="str">
        <f>VLOOKUP(C2095, Lookups!$A$2:$D$10, 2, FALSE())</f>
        <v>FastElectronics</v>
      </c>
      <c r="R2095" t="str">
        <f>_xlfn.XLOOKUP(D2095, Lookups!$A$12:$A$51, Lookups!$C$12:$C$51, "Unknown")</f>
        <v>Networking</v>
      </c>
      <c r="S2095" t="str">
        <f>IF(ISBLANK(I2095), B2095+VLOOKUP(C2095, Lookups!$A$2:$D$10, 4, FALSE()), I2095)</f>
        <v>2026-11-01</v>
      </c>
      <c r="T2095">
        <f t="shared" si="195"/>
        <v>20</v>
      </c>
      <c r="U2095" t="str">
        <f t="shared" si="196"/>
        <v>Late</v>
      </c>
      <c r="V2095">
        <f t="shared" si="197"/>
        <v>0</v>
      </c>
    </row>
    <row r="2096" spans="1:22" x14ac:dyDescent="0.45">
      <c r="A2096" t="s">
        <v>2949</v>
      </c>
      <c r="B2096" t="s">
        <v>332</v>
      </c>
      <c r="C2096" t="s">
        <v>37</v>
      </c>
      <c r="D2096" t="s">
        <v>69</v>
      </c>
      <c r="E2096" t="s">
        <v>16</v>
      </c>
      <c r="F2096">
        <v>75</v>
      </c>
      <c r="G2096">
        <v>13231</v>
      </c>
      <c r="H2096">
        <v>992325</v>
      </c>
      <c r="I2096" t="s">
        <v>871</v>
      </c>
      <c r="J2096" t="s">
        <v>404</v>
      </c>
      <c r="K2096">
        <v>75</v>
      </c>
      <c r="L2096">
        <v>0</v>
      </c>
      <c r="M2096" t="s">
        <v>115</v>
      </c>
      <c r="N2096" t="str">
        <f t="shared" si="192"/>
        <v>PO-102095</v>
      </c>
      <c r="O2096" t="str">
        <f t="shared" si="193"/>
        <v>Delivered</v>
      </c>
      <c r="P2096" t="str">
        <f t="shared" si="194"/>
        <v>WH-DEL</v>
      </c>
      <c r="Q2096" t="str">
        <f>VLOOKUP(C2096, Lookups!$A$2:$D$10, 2, FALSE())</f>
        <v>Premium Desks Ltd</v>
      </c>
      <c r="R2096" t="str">
        <f>_xlfn.XLOOKUP(D2096, Lookups!$A$12:$A$51, Lookups!$C$12:$C$51, "Unknown")</f>
        <v>Office Furniture</v>
      </c>
      <c r="S2096" t="str">
        <f>IF(ISBLANK(I2096), B2096+VLOOKUP(C2096, Lookups!$A$2:$D$10, 4, FALSE()), I2096)</f>
        <v>2025-10-24</v>
      </c>
      <c r="T2096">
        <f t="shared" si="195"/>
        <v>13</v>
      </c>
      <c r="U2096" t="str">
        <f t="shared" si="196"/>
        <v>Late</v>
      </c>
      <c r="V2096">
        <f t="shared" si="197"/>
        <v>0</v>
      </c>
    </row>
    <row r="2097" spans="1:22" x14ac:dyDescent="0.45">
      <c r="A2097" t="s">
        <v>2950</v>
      </c>
      <c r="B2097" t="s">
        <v>728</v>
      </c>
      <c r="C2097" t="s">
        <v>30</v>
      </c>
      <c r="D2097" t="s">
        <v>86</v>
      </c>
      <c r="E2097" t="s">
        <v>18</v>
      </c>
      <c r="F2097">
        <v>27</v>
      </c>
      <c r="G2097">
        <v>74871</v>
      </c>
      <c r="H2097">
        <v>2021517</v>
      </c>
      <c r="I2097" t="s">
        <v>145</v>
      </c>
      <c r="J2097" t="s">
        <v>1129</v>
      </c>
      <c r="K2097">
        <v>27</v>
      </c>
      <c r="L2097">
        <v>0</v>
      </c>
      <c r="M2097" t="s">
        <v>115</v>
      </c>
      <c r="N2097" t="str">
        <f t="shared" si="192"/>
        <v>PO-102096</v>
      </c>
      <c r="O2097" t="str">
        <f t="shared" si="193"/>
        <v>Delivered</v>
      </c>
      <c r="P2097" t="str">
        <f t="shared" si="194"/>
        <v>WH-PUN</v>
      </c>
      <c r="Q2097" t="str">
        <f>VLOOKUP(C2097, Lookups!$A$2:$D$10, 2, FALSE())</f>
        <v>TechSupply Corp</v>
      </c>
      <c r="R2097" t="str">
        <f>_xlfn.XLOOKUP(D2097, Lookups!$A$12:$A$51, Lookups!$C$12:$C$51, "Unknown")</f>
        <v>Electronics</v>
      </c>
      <c r="S2097" t="str">
        <f>IF(ISBLANK(I2097), B2097+VLOOKUP(C2097, Lookups!$A$2:$D$10, 4, FALSE()), I2097)</f>
        <v>2025-09-24</v>
      </c>
      <c r="T2097">
        <f t="shared" si="195"/>
        <v>15</v>
      </c>
      <c r="U2097" t="str">
        <f t="shared" si="196"/>
        <v>Late</v>
      </c>
      <c r="V2097">
        <f t="shared" si="197"/>
        <v>0</v>
      </c>
    </row>
    <row r="2098" spans="1:22" x14ac:dyDescent="0.45">
      <c r="A2098" t="s">
        <v>2951</v>
      </c>
      <c r="B2098" t="s">
        <v>399</v>
      </c>
      <c r="C2098" t="s">
        <v>36</v>
      </c>
      <c r="D2098" t="s">
        <v>90</v>
      </c>
      <c r="E2098" t="s">
        <v>17</v>
      </c>
      <c r="F2098">
        <v>126</v>
      </c>
      <c r="G2098">
        <v>81434</v>
      </c>
      <c r="H2098">
        <v>10260684</v>
      </c>
      <c r="I2098" t="s">
        <v>1776</v>
      </c>
      <c r="J2098" t="s">
        <v>859</v>
      </c>
      <c r="K2098">
        <v>126</v>
      </c>
      <c r="L2098">
        <v>0</v>
      </c>
      <c r="M2098" t="s">
        <v>115</v>
      </c>
      <c r="N2098" t="str">
        <f t="shared" si="192"/>
        <v>PO-102097</v>
      </c>
      <c r="O2098" t="str">
        <f t="shared" si="193"/>
        <v>Delivered</v>
      </c>
      <c r="P2098" t="str">
        <f t="shared" si="194"/>
        <v>WH-BLR</v>
      </c>
      <c r="Q2098" t="str">
        <f>VLOOKUP(C2098, Lookups!$A$2:$D$10, 2, FALSE())</f>
        <v>NextGen Hardware</v>
      </c>
      <c r="R2098" t="str">
        <f>_xlfn.XLOOKUP(D2098, Lookups!$A$12:$A$51, Lookups!$C$12:$C$51, "Unknown")</f>
        <v>Electronics</v>
      </c>
      <c r="S2098" t="str">
        <f>IF(ISBLANK(I2098), B2098+VLOOKUP(C2098, Lookups!$A$2:$D$10, 4, FALSE()), I2098)</f>
        <v>2025-12-20</v>
      </c>
      <c r="T2098">
        <f t="shared" si="195"/>
        <v>25</v>
      </c>
      <c r="U2098" t="str">
        <f t="shared" si="196"/>
        <v>Late</v>
      </c>
      <c r="V2098">
        <f t="shared" si="197"/>
        <v>0</v>
      </c>
    </row>
    <row r="2099" spans="1:22" x14ac:dyDescent="0.45">
      <c r="A2099" t="s">
        <v>2952</v>
      </c>
      <c r="B2099" t="s">
        <v>415</v>
      </c>
      <c r="C2099" t="s">
        <v>36</v>
      </c>
      <c r="D2099" t="s">
        <v>90</v>
      </c>
      <c r="E2099" t="s">
        <v>16</v>
      </c>
      <c r="F2099">
        <v>161</v>
      </c>
      <c r="G2099">
        <v>81434</v>
      </c>
      <c r="H2099">
        <v>13110874</v>
      </c>
      <c r="I2099" t="s">
        <v>375</v>
      </c>
      <c r="J2099" t="s">
        <v>703</v>
      </c>
      <c r="K2099">
        <v>161</v>
      </c>
      <c r="L2099">
        <v>0</v>
      </c>
      <c r="M2099" t="s">
        <v>115</v>
      </c>
      <c r="N2099" t="str">
        <f t="shared" si="192"/>
        <v>PO-102098</v>
      </c>
      <c r="O2099" t="str">
        <f t="shared" si="193"/>
        <v>Delivered</v>
      </c>
      <c r="P2099" t="str">
        <f t="shared" si="194"/>
        <v>WH-DEL</v>
      </c>
      <c r="Q2099" t="str">
        <f>VLOOKUP(C2099, Lookups!$A$2:$D$10, 2, FALSE())</f>
        <v>NextGen Hardware</v>
      </c>
      <c r="R2099" t="str">
        <f>_xlfn.XLOOKUP(D2099, Lookups!$A$12:$A$51, Lookups!$C$12:$C$51, "Unknown")</f>
        <v>Electronics</v>
      </c>
      <c r="S2099" t="str">
        <f>IF(ISBLANK(I2099), B2099+VLOOKUP(C2099, Lookups!$A$2:$D$10, 4, FALSE()), I2099)</f>
        <v>2026-06-10</v>
      </c>
      <c r="T2099">
        <f t="shared" si="195"/>
        <v>22</v>
      </c>
      <c r="U2099" t="str">
        <f t="shared" si="196"/>
        <v>On-Time</v>
      </c>
      <c r="V2099">
        <f t="shared" si="197"/>
        <v>0</v>
      </c>
    </row>
    <row r="2100" spans="1:22" x14ac:dyDescent="0.45">
      <c r="A2100" t="s">
        <v>2953</v>
      </c>
      <c r="B2100" t="s">
        <v>1002</v>
      </c>
      <c r="C2100" t="s">
        <v>36</v>
      </c>
      <c r="D2100" t="s">
        <v>90</v>
      </c>
      <c r="E2100" t="s">
        <v>16</v>
      </c>
      <c r="F2100">
        <v>109</v>
      </c>
      <c r="G2100">
        <v>81434</v>
      </c>
      <c r="H2100">
        <v>8876306</v>
      </c>
      <c r="I2100" t="s">
        <v>529</v>
      </c>
      <c r="J2100" t="s">
        <v>529</v>
      </c>
      <c r="K2100">
        <v>109</v>
      </c>
      <c r="L2100">
        <v>0</v>
      </c>
      <c r="M2100" t="s">
        <v>115</v>
      </c>
      <c r="N2100" t="str">
        <f t="shared" si="192"/>
        <v>PO-102099</v>
      </c>
      <c r="O2100" t="str">
        <f t="shared" si="193"/>
        <v>Delivered</v>
      </c>
      <c r="P2100" t="str">
        <f t="shared" si="194"/>
        <v>WH-DEL</v>
      </c>
      <c r="Q2100" t="str">
        <f>VLOOKUP(C2100, Lookups!$A$2:$D$10, 2, FALSE())</f>
        <v>NextGen Hardware</v>
      </c>
      <c r="R2100" t="str">
        <f>_xlfn.XLOOKUP(D2100, Lookups!$A$12:$A$51, Lookups!$C$12:$C$51, "Unknown")</f>
        <v>Electronics</v>
      </c>
      <c r="S2100" t="str">
        <f>IF(ISBLANK(I2100), B2100+VLOOKUP(C2100, Lookups!$A$2:$D$10, 4, FALSE()), I2100)</f>
        <v>2026-05-20</v>
      </c>
      <c r="T2100">
        <f t="shared" si="195"/>
        <v>24</v>
      </c>
      <c r="U2100" t="str">
        <f t="shared" si="196"/>
        <v>On-Time</v>
      </c>
      <c r="V2100">
        <f t="shared" si="197"/>
        <v>0</v>
      </c>
    </row>
    <row r="2101" spans="1:22" x14ac:dyDescent="0.45">
      <c r="A2101" t="s">
        <v>2954</v>
      </c>
      <c r="B2101" t="s">
        <v>268</v>
      </c>
      <c r="C2101" t="s">
        <v>34</v>
      </c>
      <c r="D2101" t="s">
        <v>54</v>
      </c>
      <c r="E2101" t="s">
        <v>17</v>
      </c>
      <c r="F2101">
        <v>160</v>
      </c>
      <c r="G2101">
        <v>22314</v>
      </c>
      <c r="H2101">
        <v>3570240</v>
      </c>
      <c r="I2101" t="s">
        <v>1241</v>
      </c>
      <c r="J2101" t="s">
        <v>1190</v>
      </c>
      <c r="K2101">
        <v>160</v>
      </c>
      <c r="L2101">
        <v>0</v>
      </c>
      <c r="M2101" t="s">
        <v>115</v>
      </c>
      <c r="N2101" t="str">
        <f t="shared" si="192"/>
        <v>PO-102100</v>
      </c>
      <c r="O2101" t="str">
        <f t="shared" si="193"/>
        <v>Delivered</v>
      </c>
      <c r="P2101" t="str">
        <f t="shared" si="194"/>
        <v>WH-BLR</v>
      </c>
      <c r="Q2101" t="str">
        <f>VLOOKUP(C2101, Lookups!$A$2:$D$10, 2, FALSE())</f>
        <v>FastElectronics</v>
      </c>
      <c r="R2101" t="str">
        <f>_xlfn.XLOOKUP(D2101, Lookups!$A$12:$A$51, Lookups!$C$12:$C$51, "Unknown")</f>
        <v>Networking</v>
      </c>
      <c r="S2101" t="str">
        <f>IF(ISBLANK(I2101), B2101+VLOOKUP(C2101, Lookups!$A$2:$D$10, 4, FALSE()), I2101)</f>
        <v>2025-05-01</v>
      </c>
      <c r="T2101">
        <f t="shared" si="195"/>
        <v>16</v>
      </c>
      <c r="U2101" t="str">
        <f t="shared" si="196"/>
        <v>On-Time</v>
      </c>
      <c r="V2101">
        <f t="shared" si="197"/>
        <v>0</v>
      </c>
    </row>
    <row r="2102" spans="1:22" x14ac:dyDescent="0.45">
      <c r="A2102" t="s">
        <v>2955</v>
      </c>
      <c r="B2102" t="s">
        <v>1075</v>
      </c>
      <c r="C2102" t="s">
        <v>30</v>
      </c>
      <c r="D2102" t="s">
        <v>52</v>
      </c>
      <c r="E2102" t="s">
        <v>17</v>
      </c>
      <c r="F2102">
        <v>219</v>
      </c>
      <c r="G2102">
        <v>59592</v>
      </c>
      <c r="H2102">
        <v>13050648</v>
      </c>
      <c r="I2102" t="s">
        <v>1597</v>
      </c>
      <c r="J2102" t="s">
        <v>1597</v>
      </c>
      <c r="K2102">
        <v>219</v>
      </c>
      <c r="L2102">
        <v>0</v>
      </c>
      <c r="M2102" t="s">
        <v>115</v>
      </c>
      <c r="N2102" t="str">
        <f t="shared" si="192"/>
        <v>PO-102101</v>
      </c>
      <c r="O2102" t="str">
        <f t="shared" si="193"/>
        <v>Delivered</v>
      </c>
      <c r="P2102" t="str">
        <f t="shared" si="194"/>
        <v>WH-BLR</v>
      </c>
      <c r="Q2102" t="str">
        <f>VLOOKUP(C2102, Lookups!$A$2:$D$10, 2, FALSE())</f>
        <v>TechSupply Corp</v>
      </c>
      <c r="R2102" t="str">
        <f>_xlfn.XLOOKUP(D2102, Lookups!$A$12:$A$51, Lookups!$C$12:$C$51, "Unknown")</f>
        <v>Electronics</v>
      </c>
      <c r="S2102" t="str">
        <f>IF(ISBLANK(I2102), B2102+VLOOKUP(C2102, Lookups!$A$2:$D$10, 4, FALSE()), I2102)</f>
        <v>2025-12-05</v>
      </c>
      <c r="T2102">
        <f t="shared" si="195"/>
        <v>14</v>
      </c>
      <c r="U2102" t="str">
        <f t="shared" si="196"/>
        <v>On-Time</v>
      </c>
      <c r="V2102">
        <f t="shared" si="197"/>
        <v>0</v>
      </c>
    </row>
    <row r="2103" spans="1:22" x14ac:dyDescent="0.45">
      <c r="A2103" t="s">
        <v>2956</v>
      </c>
      <c r="B2103" t="s">
        <v>1497</v>
      </c>
      <c r="C2103" t="s">
        <v>30</v>
      </c>
      <c r="D2103" t="s">
        <v>53</v>
      </c>
      <c r="E2103" t="s">
        <v>16</v>
      </c>
      <c r="F2103">
        <v>145</v>
      </c>
      <c r="G2103">
        <v>81048</v>
      </c>
      <c r="H2103">
        <v>11751960</v>
      </c>
      <c r="I2103" t="s">
        <v>323</v>
      </c>
      <c r="J2103" t="s">
        <v>338</v>
      </c>
      <c r="K2103">
        <v>145</v>
      </c>
      <c r="L2103">
        <v>0</v>
      </c>
      <c r="M2103" t="s">
        <v>115</v>
      </c>
      <c r="N2103" t="str">
        <f t="shared" si="192"/>
        <v>PO-102102</v>
      </c>
      <c r="O2103" t="str">
        <f t="shared" si="193"/>
        <v>Delivered</v>
      </c>
      <c r="P2103" t="str">
        <f t="shared" si="194"/>
        <v>WH-DEL</v>
      </c>
      <c r="Q2103" t="str">
        <f>VLOOKUP(C2103, Lookups!$A$2:$D$10, 2, FALSE())</f>
        <v>TechSupply Corp</v>
      </c>
      <c r="R2103" t="str">
        <f>_xlfn.XLOOKUP(D2103, Lookups!$A$12:$A$51, Lookups!$C$12:$C$51, "Unknown")</f>
        <v>Electronics</v>
      </c>
      <c r="S2103" t="str">
        <f>IF(ISBLANK(I2103), B2103+VLOOKUP(C2103, Lookups!$A$2:$D$10, 4, FALSE()), I2103)</f>
        <v>2026-04-04</v>
      </c>
      <c r="T2103">
        <f t="shared" si="195"/>
        <v>15</v>
      </c>
      <c r="U2103" t="str">
        <f t="shared" si="196"/>
        <v>Late</v>
      </c>
      <c r="V2103">
        <f t="shared" si="197"/>
        <v>0</v>
      </c>
    </row>
    <row r="2104" spans="1:22" x14ac:dyDescent="0.45">
      <c r="A2104" t="s">
        <v>2957</v>
      </c>
      <c r="B2104" t="s">
        <v>337</v>
      </c>
      <c r="C2104" t="s">
        <v>30</v>
      </c>
      <c r="D2104" t="s">
        <v>52</v>
      </c>
      <c r="E2104" t="s">
        <v>18</v>
      </c>
      <c r="F2104">
        <v>64</v>
      </c>
      <c r="G2104">
        <v>59592</v>
      </c>
      <c r="H2104">
        <v>3813888</v>
      </c>
      <c r="I2104" t="s">
        <v>512</v>
      </c>
      <c r="J2104" t="s">
        <v>202</v>
      </c>
      <c r="K2104">
        <v>64</v>
      </c>
      <c r="L2104">
        <v>0</v>
      </c>
      <c r="M2104" t="s">
        <v>115</v>
      </c>
      <c r="N2104" t="str">
        <f t="shared" si="192"/>
        <v>PO-102103</v>
      </c>
      <c r="O2104" t="str">
        <f t="shared" si="193"/>
        <v>Delivered</v>
      </c>
      <c r="P2104" t="str">
        <f t="shared" si="194"/>
        <v>WH-PUN</v>
      </c>
      <c r="Q2104" t="str">
        <f>VLOOKUP(C2104, Lookups!$A$2:$D$10, 2, FALSE())</f>
        <v>TechSupply Corp</v>
      </c>
      <c r="R2104" t="str">
        <f>_xlfn.XLOOKUP(D2104, Lookups!$A$12:$A$51, Lookups!$C$12:$C$51, "Unknown")</f>
        <v>Electronics</v>
      </c>
      <c r="S2104" t="str">
        <f>IF(ISBLANK(I2104), B2104+VLOOKUP(C2104, Lookups!$A$2:$D$10, 4, FALSE()), I2104)</f>
        <v>2026-03-26</v>
      </c>
      <c r="T2104">
        <f t="shared" si="195"/>
        <v>15</v>
      </c>
      <c r="U2104" t="str">
        <f t="shared" si="196"/>
        <v>Late</v>
      </c>
      <c r="V2104">
        <f t="shared" si="197"/>
        <v>0</v>
      </c>
    </row>
    <row r="2105" spans="1:22" x14ac:dyDescent="0.45">
      <c r="A2105" t="s">
        <v>2958</v>
      </c>
      <c r="B2105" t="s">
        <v>1780</v>
      </c>
      <c r="C2105" t="s">
        <v>35</v>
      </c>
      <c r="D2105" t="s">
        <v>72</v>
      </c>
      <c r="E2105" t="s">
        <v>15</v>
      </c>
      <c r="F2105">
        <v>214</v>
      </c>
      <c r="G2105">
        <v>7754</v>
      </c>
      <c r="H2105">
        <v>1659356</v>
      </c>
      <c r="I2105" t="s">
        <v>1405</v>
      </c>
      <c r="J2105" t="s">
        <v>724</v>
      </c>
      <c r="K2105">
        <v>144</v>
      </c>
      <c r="L2105">
        <v>0</v>
      </c>
      <c r="M2105" t="s">
        <v>115</v>
      </c>
      <c r="N2105" t="str">
        <f t="shared" si="192"/>
        <v>PO-102104</v>
      </c>
      <c r="O2105" t="str">
        <f t="shared" si="193"/>
        <v>Delivered</v>
      </c>
      <c r="P2105" t="str">
        <f t="shared" si="194"/>
        <v>WH-BOM</v>
      </c>
      <c r="Q2105" t="str">
        <f>VLOOKUP(C2105, Lookups!$A$2:$D$10, 2, FALSE())</f>
        <v>Peripheral Source</v>
      </c>
      <c r="R2105" t="str">
        <f>_xlfn.XLOOKUP(D2105, Lookups!$A$12:$A$51, Lookups!$C$12:$C$51, "Unknown")</f>
        <v>Peripherals</v>
      </c>
      <c r="S2105" t="str">
        <f>IF(ISBLANK(I2105), B2105+VLOOKUP(C2105, Lookups!$A$2:$D$10, 4, FALSE()), I2105)</f>
        <v>2026-05-23</v>
      </c>
      <c r="T2105">
        <f t="shared" si="195"/>
        <v>12</v>
      </c>
      <c r="U2105" t="str">
        <f t="shared" si="196"/>
        <v>Late</v>
      </c>
      <c r="V2105">
        <f t="shared" si="197"/>
        <v>0</v>
      </c>
    </row>
    <row r="2106" spans="1:22" x14ac:dyDescent="0.45">
      <c r="A2106" t="s">
        <v>2959</v>
      </c>
      <c r="B2106" t="s">
        <v>1288</v>
      </c>
      <c r="C2106" t="s">
        <v>35</v>
      </c>
      <c r="D2106" t="s">
        <v>60</v>
      </c>
      <c r="E2106" t="s">
        <v>18</v>
      </c>
      <c r="F2106">
        <v>89</v>
      </c>
      <c r="G2106">
        <v>3291</v>
      </c>
      <c r="H2106">
        <v>292899</v>
      </c>
      <c r="I2106" t="s">
        <v>880</v>
      </c>
      <c r="J2106" t="s">
        <v>636</v>
      </c>
      <c r="K2106">
        <v>89</v>
      </c>
      <c r="L2106">
        <v>0</v>
      </c>
      <c r="M2106" t="s">
        <v>115</v>
      </c>
      <c r="N2106" t="str">
        <f t="shared" si="192"/>
        <v>PO-102105</v>
      </c>
      <c r="O2106" t="str">
        <f t="shared" si="193"/>
        <v>Delivered</v>
      </c>
      <c r="P2106" t="str">
        <f t="shared" si="194"/>
        <v>WH-PUN</v>
      </c>
      <c r="Q2106" t="str">
        <f>VLOOKUP(C2106, Lookups!$A$2:$D$10, 2, FALSE())</f>
        <v>Peripheral Source</v>
      </c>
      <c r="R2106" t="str">
        <f>_xlfn.XLOOKUP(D2106, Lookups!$A$12:$A$51, Lookups!$C$12:$C$51, "Unknown")</f>
        <v>Peripherals</v>
      </c>
      <c r="S2106" t="str">
        <f>IF(ISBLANK(I2106), B2106+VLOOKUP(C2106, Lookups!$A$2:$D$10, 4, FALSE()), I2106)</f>
        <v>2025-06-29</v>
      </c>
      <c r="T2106">
        <f t="shared" si="195"/>
        <v>11</v>
      </c>
      <c r="U2106" t="str">
        <f t="shared" si="196"/>
        <v>Late</v>
      </c>
      <c r="V2106">
        <f t="shared" si="197"/>
        <v>0</v>
      </c>
    </row>
    <row r="2107" spans="1:22" x14ac:dyDescent="0.45">
      <c r="A2107" t="s">
        <v>2960</v>
      </c>
      <c r="B2107" t="s">
        <v>408</v>
      </c>
      <c r="C2107" t="s">
        <v>37</v>
      </c>
      <c r="D2107" t="s">
        <v>69</v>
      </c>
      <c r="E2107" t="s">
        <v>17</v>
      </c>
      <c r="F2107">
        <v>159</v>
      </c>
      <c r="G2107">
        <v>13231</v>
      </c>
      <c r="H2107">
        <v>2103729</v>
      </c>
      <c r="I2107" t="s">
        <v>325</v>
      </c>
      <c r="J2107" t="s">
        <v>1593</v>
      </c>
      <c r="K2107">
        <v>159</v>
      </c>
      <c r="L2107">
        <v>0</v>
      </c>
      <c r="M2107" t="s">
        <v>115</v>
      </c>
      <c r="N2107" t="str">
        <f t="shared" si="192"/>
        <v>PO-102106</v>
      </c>
      <c r="O2107" t="str">
        <f t="shared" si="193"/>
        <v>Delivered</v>
      </c>
      <c r="P2107" t="str">
        <f t="shared" si="194"/>
        <v>WH-BLR</v>
      </c>
      <c r="Q2107" t="str">
        <f>VLOOKUP(C2107, Lookups!$A$2:$D$10, 2, FALSE())</f>
        <v>Premium Desks Ltd</v>
      </c>
      <c r="R2107" t="str">
        <f>_xlfn.XLOOKUP(D2107, Lookups!$A$12:$A$51, Lookups!$C$12:$C$51, "Unknown")</f>
        <v>Office Furniture</v>
      </c>
      <c r="S2107" t="str">
        <f>IF(ISBLANK(I2107), B2107+VLOOKUP(C2107, Lookups!$A$2:$D$10, 4, FALSE()), I2107)</f>
        <v>2025-05-26</v>
      </c>
      <c r="T2107">
        <f t="shared" si="195"/>
        <v>13</v>
      </c>
      <c r="U2107" t="str">
        <f t="shared" si="196"/>
        <v>Late</v>
      </c>
      <c r="V2107">
        <f t="shared" si="197"/>
        <v>0</v>
      </c>
    </row>
    <row r="2108" spans="1:22" x14ac:dyDescent="0.45">
      <c r="A2108" t="s">
        <v>2961</v>
      </c>
      <c r="B2108" t="s">
        <v>236</v>
      </c>
      <c r="C2108" t="s">
        <v>35</v>
      </c>
      <c r="D2108" t="s">
        <v>72</v>
      </c>
      <c r="E2108" t="s">
        <v>18</v>
      </c>
      <c r="F2108">
        <v>105</v>
      </c>
      <c r="G2108">
        <v>7754</v>
      </c>
      <c r="H2108">
        <v>814170</v>
      </c>
      <c r="I2108" t="s">
        <v>1604</v>
      </c>
      <c r="J2108" t="s">
        <v>1604</v>
      </c>
      <c r="K2108">
        <v>105</v>
      </c>
      <c r="L2108">
        <v>0</v>
      </c>
      <c r="M2108" t="s">
        <v>115</v>
      </c>
      <c r="N2108" t="str">
        <f t="shared" si="192"/>
        <v>PO-102107</v>
      </c>
      <c r="O2108" t="str">
        <f t="shared" si="193"/>
        <v>Delivered</v>
      </c>
      <c r="P2108" t="str">
        <f t="shared" si="194"/>
        <v>WH-PUN</v>
      </c>
      <c r="Q2108" t="str">
        <f>VLOOKUP(C2108, Lookups!$A$2:$D$10, 2, FALSE())</f>
        <v>Peripheral Source</v>
      </c>
      <c r="R2108" t="str">
        <f>_xlfn.XLOOKUP(D2108, Lookups!$A$12:$A$51, Lookups!$C$12:$C$51, "Unknown")</f>
        <v>Peripherals</v>
      </c>
      <c r="S2108" t="str">
        <f>IF(ISBLANK(I2108), B2108+VLOOKUP(C2108, Lookups!$A$2:$D$10, 4, FALSE()), I2108)</f>
        <v>2025-09-07</v>
      </c>
      <c r="T2108">
        <f t="shared" si="195"/>
        <v>10</v>
      </c>
      <c r="U2108" t="str">
        <f t="shared" si="196"/>
        <v>On-Time</v>
      </c>
      <c r="V2108">
        <f t="shared" si="197"/>
        <v>0</v>
      </c>
    </row>
    <row r="2109" spans="1:22" x14ac:dyDescent="0.45">
      <c r="A2109" t="s">
        <v>2962</v>
      </c>
      <c r="B2109" t="s">
        <v>1003</v>
      </c>
      <c r="C2109" t="s">
        <v>34</v>
      </c>
      <c r="D2109" t="s">
        <v>81</v>
      </c>
      <c r="E2109" t="s">
        <v>17</v>
      </c>
      <c r="F2109">
        <v>19</v>
      </c>
      <c r="G2109">
        <v>55328</v>
      </c>
      <c r="H2109">
        <v>1051232</v>
      </c>
      <c r="I2109" t="s">
        <v>798</v>
      </c>
      <c r="J2109" t="s">
        <v>1463</v>
      </c>
      <c r="K2109">
        <v>19</v>
      </c>
      <c r="L2109">
        <v>0</v>
      </c>
      <c r="M2109" t="s">
        <v>115</v>
      </c>
      <c r="N2109" t="str">
        <f t="shared" si="192"/>
        <v>PO-102108</v>
      </c>
      <c r="O2109" t="str">
        <f t="shared" si="193"/>
        <v>Delivered</v>
      </c>
      <c r="P2109" t="str">
        <f t="shared" si="194"/>
        <v>WH-BLR</v>
      </c>
      <c r="Q2109" t="str">
        <f>VLOOKUP(C2109, Lookups!$A$2:$D$10, 2, FALSE())</f>
        <v>FastElectronics</v>
      </c>
      <c r="R2109" t="str">
        <f>_xlfn.XLOOKUP(D2109, Lookups!$A$12:$A$51, Lookups!$C$12:$C$51, "Unknown")</f>
        <v>Electronics</v>
      </c>
      <c r="S2109" t="str">
        <f>IF(ISBLANK(I2109), B2109+VLOOKUP(C2109, Lookups!$A$2:$D$10, 4, FALSE()), I2109)</f>
        <v>2026-05-15</v>
      </c>
      <c r="T2109">
        <f t="shared" si="195"/>
        <v>19</v>
      </c>
      <c r="U2109" t="str">
        <f t="shared" si="196"/>
        <v>Late</v>
      </c>
      <c r="V2109">
        <f t="shared" si="197"/>
        <v>0</v>
      </c>
    </row>
    <row r="2110" spans="1:22" x14ac:dyDescent="0.45">
      <c r="A2110" t="s">
        <v>2963</v>
      </c>
      <c r="B2110" t="s">
        <v>638</v>
      </c>
      <c r="C2110" t="s">
        <v>34</v>
      </c>
      <c r="D2110" t="s">
        <v>81</v>
      </c>
      <c r="E2110" t="s">
        <v>16</v>
      </c>
      <c r="F2110">
        <v>134</v>
      </c>
      <c r="G2110">
        <v>55328</v>
      </c>
      <c r="H2110">
        <v>7413952</v>
      </c>
      <c r="I2110" t="s">
        <v>885</v>
      </c>
      <c r="J2110" t="s">
        <v>1770</v>
      </c>
      <c r="K2110">
        <v>134</v>
      </c>
      <c r="L2110">
        <v>0</v>
      </c>
      <c r="M2110" t="s">
        <v>115</v>
      </c>
      <c r="N2110" t="str">
        <f t="shared" si="192"/>
        <v>PO-102109</v>
      </c>
      <c r="O2110" t="str">
        <f t="shared" si="193"/>
        <v>Delivered</v>
      </c>
      <c r="P2110" t="str">
        <f t="shared" si="194"/>
        <v>WH-DEL</v>
      </c>
      <c r="Q2110" t="str">
        <f>VLOOKUP(C2110, Lookups!$A$2:$D$10, 2, FALSE())</f>
        <v>FastElectronics</v>
      </c>
      <c r="R2110" t="str">
        <f>_xlfn.XLOOKUP(D2110, Lookups!$A$12:$A$51, Lookups!$C$12:$C$51, "Unknown")</f>
        <v>Electronics</v>
      </c>
      <c r="S2110" t="str">
        <f>IF(ISBLANK(I2110), B2110+VLOOKUP(C2110, Lookups!$A$2:$D$10, 4, FALSE()), I2110)</f>
        <v>2025-12-15</v>
      </c>
      <c r="T2110">
        <f t="shared" si="195"/>
        <v>19</v>
      </c>
      <c r="U2110" t="str">
        <f t="shared" si="196"/>
        <v>Late</v>
      </c>
      <c r="V2110">
        <f t="shared" si="197"/>
        <v>0</v>
      </c>
    </row>
    <row r="2111" spans="1:22" x14ac:dyDescent="0.45">
      <c r="A2111" t="s">
        <v>2964</v>
      </c>
      <c r="B2111" t="s">
        <v>1430</v>
      </c>
      <c r="C2111" t="s">
        <v>30</v>
      </c>
      <c r="D2111" t="s">
        <v>61</v>
      </c>
      <c r="E2111" t="s">
        <v>17</v>
      </c>
      <c r="F2111">
        <v>29</v>
      </c>
      <c r="G2111">
        <v>111237</v>
      </c>
      <c r="H2111">
        <v>3225873</v>
      </c>
      <c r="I2111" t="s">
        <v>837</v>
      </c>
      <c r="J2111" t="s">
        <v>1079</v>
      </c>
      <c r="K2111">
        <v>29</v>
      </c>
      <c r="L2111">
        <v>0</v>
      </c>
      <c r="M2111" t="s">
        <v>115</v>
      </c>
      <c r="N2111" t="str">
        <f t="shared" si="192"/>
        <v>PO-102110</v>
      </c>
      <c r="O2111" t="str">
        <f t="shared" si="193"/>
        <v>Delivered</v>
      </c>
      <c r="P2111" t="str">
        <f t="shared" si="194"/>
        <v>WH-BLR</v>
      </c>
      <c r="Q2111" t="str">
        <f>VLOOKUP(C2111, Lookups!$A$2:$D$10, 2, FALSE())</f>
        <v>TechSupply Corp</v>
      </c>
      <c r="R2111" t="str">
        <f>_xlfn.XLOOKUP(D2111, Lookups!$A$12:$A$51, Lookups!$C$12:$C$51, "Unknown")</f>
        <v>Electronics</v>
      </c>
      <c r="S2111" t="str">
        <f>IF(ISBLANK(I2111), B2111+VLOOKUP(C2111, Lookups!$A$2:$D$10, 4, FALSE()), I2111)</f>
        <v>2026-01-11</v>
      </c>
      <c r="T2111">
        <f t="shared" si="195"/>
        <v>21</v>
      </c>
      <c r="U2111" t="str">
        <f t="shared" si="196"/>
        <v>Late</v>
      </c>
      <c r="V2111">
        <f t="shared" si="197"/>
        <v>0</v>
      </c>
    </row>
    <row r="2112" spans="1:22" x14ac:dyDescent="0.45">
      <c r="A2112" t="s">
        <v>2965</v>
      </c>
      <c r="B2112" t="s">
        <v>404</v>
      </c>
      <c r="C2112" t="s">
        <v>37</v>
      </c>
      <c r="D2112" t="s">
        <v>78</v>
      </c>
      <c r="E2112" t="s">
        <v>18</v>
      </c>
      <c r="F2112">
        <v>213</v>
      </c>
      <c r="G2112">
        <v>9423</v>
      </c>
      <c r="H2112">
        <v>2007099</v>
      </c>
      <c r="I2112" t="s">
        <v>1005</v>
      </c>
      <c r="J2112" t="s">
        <v>1005</v>
      </c>
      <c r="K2112">
        <v>168</v>
      </c>
      <c r="L2112">
        <v>0</v>
      </c>
      <c r="M2112" t="s">
        <v>115</v>
      </c>
      <c r="N2112" t="str">
        <f t="shared" si="192"/>
        <v>PO-102111</v>
      </c>
      <c r="O2112" t="str">
        <f t="shared" si="193"/>
        <v>Delivered</v>
      </c>
      <c r="P2112" t="str">
        <f t="shared" si="194"/>
        <v>WH-PUN</v>
      </c>
      <c r="Q2112" t="str">
        <f>VLOOKUP(C2112, Lookups!$A$2:$D$10, 2, FALSE())</f>
        <v>Premium Desks Ltd</v>
      </c>
      <c r="R2112" t="str">
        <f>_xlfn.XLOOKUP(D2112, Lookups!$A$12:$A$51, Lookups!$C$12:$C$51, "Unknown")</f>
        <v>Office Furniture</v>
      </c>
      <c r="S2112" t="str">
        <f>IF(ISBLANK(I2112), B2112+VLOOKUP(C2112, Lookups!$A$2:$D$10, 4, FALSE()), I2112)</f>
        <v>2025-11-06</v>
      </c>
      <c r="T2112">
        <f t="shared" si="195"/>
        <v>12</v>
      </c>
      <c r="U2112" t="str">
        <f t="shared" si="196"/>
        <v>On-Time</v>
      </c>
      <c r="V2112">
        <f t="shared" si="197"/>
        <v>0</v>
      </c>
    </row>
    <row r="2113" spans="1:22" x14ac:dyDescent="0.45">
      <c r="A2113" t="s">
        <v>2966</v>
      </c>
      <c r="B2113" t="s">
        <v>635</v>
      </c>
      <c r="C2113" t="s">
        <v>36</v>
      </c>
      <c r="D2113" t="s">
        <v>62</v>
      </c>
      <c r="E2113" t="s">
        <v>18</v>
      </c>
      <c r="F2113">
        <v>160</v>
      </c>
      <c r="G2113">
        <v>48478</v>
      </c>
      <c r="H2113">
        <v>7756480</v>
      </c>
      <c r="I2113" t="s">
        <v>1549</v>
      </c>
      <c r="J2113" t="s">
        <v>1549</v>
      </c>
      <c r="K2113">
        <v>160</v>
      </c>
      <c r="L2113">
        <v>0</v>
      </c>
      <c r="M2113" t="s">
        <v>115</v>
      </c>
      <c r="N2113" t="str">
        <f t="shared" si="192"/>
        <v>PO-102112</v>
      </c>
      <c r="O2113" t="str">
        <f t="shared" si="193"/>
        <v>Delivered</v>
      </c>
      <c r="P2113" t="str">
        <f t="shared" si="194"/>
        <v>WH-PUN</v>
      </c>
      <c r="Q2113" t="str">
        <f>VLOOKUP(C2113, Lookups!$A$2:$D$10, 2, FALSE())</f>
        <v>NextGen Hardware</v>
      </c>
      <c r="R2113" t="str">
        <f>_xlfn.XLOOKUP(D2113, Lookups!$A$12:$A$51, Lookups!$C$12:$C$51, "Unknown")</f>
        <v>Electronics</v>
      </c>
      <c r="S2113" t="str">
        <f>IF(ISBLANK(I2113), B2113+VLOOKUP(C2113, Lookups!$A$2:$D$10, 4, FALSE()), I2113)</f>
        <v>2025-07-17</v>
      </c>
      <c r="T2113">
        <f t="shared" si="195"/>
        <v>24</v>
      </c>
      <c r="U2113" t="str">
        <f t="shared" si="196"/>
        <v>On-Time</v>
      </c>
      <c r="V2113">
        <f t="shared" si="197"/>
        <v>0</v>
      </c>
    </row>
    <row r="2114" spans="1:22" x14ac:dyDescent="0.45">
      <c r="A2114" t="s">
        <v>2967</v>
      </c>
      <c r="B2114" t="s">
        <v>625</v>
      </c>
      <c r="C2114" t="s">
        <v>35</v>
      </c>
      <c r="D2114" t="s">
        <v>72</v>
      </c>
      <c r="E2114" t="s">
        <v>16</v>
      </c>
      <c r="F2114">
        <v>63</v>
      </c>
      <c r="G2114">
        <v>7754</v>
      </c>
      <c r="H2114">
        <v>488502</v>
      </c>
      <c r="I2114" t="s">
        <v>388</v>
      </c>
      <c r="J2114" t="s">
        <v>512</v>
      </c>
      <c r="K2114">
        <v>63</v>
      </c>
      <c r="L2114">
        <v>0</v>
      </c>
      <c r="M2114" t="s">
        <v>115</v>
      </c>
      <c r="N2114" t="str">
        <f t="shared" ref="N2114:N2177" si="198">TRIM(A2114)</f>
        <v>PO-102113</v>
      </c>
      <c r="O2114" t="str">
        <f t="shared" ref="O2114:O2177" si="199">PROPER(TRIM(M2114))</f>
        <v>Delivered</v>
      </c>
      <c r="P2114" t="str">
        <f t="shared" ref="P2114:P2177" si="200">TRIM(E2114)</f>
        <v>WH-DEL</v>
      </c>
      <c r="Q2114" t="str">
        <f>VLOOKUP(C2114, Lookups!$A$2:$D$10, 2, FALSE())</f>
        <v>Peripheral Source</v>
      </c>
      <c r="R2114" t="str">
        <f>_xlfn.XLOOKUP(D2114, Lookups!$A$12:$A$51, Lookups!$C$12:$C$51, "Unknown")</f>
        <v>Peripherals</v>
      </c>
      <c r="S2114" t="str">
        <f>IF(ISBLANK(I2114), B2114+VLOOKUP(C2114, Lookups!$A$2:$D$10, 4, FALSE()), I2114)</f>
        <v>2026-03-25</v>
      </c>
      <c r="T2114">
        <f t="shared" ref="T2114:T2177" si="201">IF(ISBLANK(J2114), "", J2114-B2114)</f>
        <v>11</v>
      </c>
      <c r="U2114" t="str">
        <f t="shared" ref="U2114:U2177" si="202">IF(O2114="Open", "Open", IF(J2114&gt;S2114, "Late", "On-Time"))</f>
        <v>Late</v>
      </c>
      <c r="V2114">
        <f t="shared" ref="V2114:V2177" si="203">IF(K2114&gt;0, L2114/K2114, 0)</f>
        <v>0</v>
      </c>
    </row>
    <row r="2115" spans="1:22" x14ac:dyDescent="0.45">
      <c r="A2115" t="s">
        <v>2968</v>
      </c>
      <c r="B2115" t="s">
        <v>1610</v>
      </c>
      <c r="C2115" t="s">
        <v>30</v>
      </c>
      <c r="D2115" t="s">
        <v>88</v>
      </c>
      <c r="E2115" t="s">
        <v>15</v>
      </c>
      <c r="F2115">
        <v>46</v>
      </c>
      <c r="G2115">
        <v>75512</v>
      </c>
      <c r="H2115">
        <v>3473552</v>
      </c>
      <c r="I2115" t="s">
        <v>350</v>
      </c>
      <c r="J2115" t="s">
        <v>865</v>
      </c>
      <c r="K2115">
        <v>46</v>
      </c>
      <c r="L2115">
        <v>0</v>
      </c>
      <c r="M2115" t="s">
        <v>115</v>
      </c>
      <c r="N2115" t="str">
        <f t="shared" si="198"/>
        <v>PO-102114</v>
      </c>
      <c r="O2115" t="str">
        <f t="shared" si="199"/>
        <v>Delivered</v>
      </c>
      <c r="P2115" t="str">
        <f t="shared" si="200"/>
        <v>WH-BOM</v>
      </c>
      <c r="Q2115" t="str">
        <f>VLOOKUP(C2115, Lookups!$A$2:$D$10, 2, FALSE())</f>
        <v>TechSupply Corp</v>
      </c>
      <c r="R2115" t="str">
        <f>_xlfn.XLOOKUP(D2115, Lookups!$A$12:$A$51, Lookups!$C$12:$C$51, "Unknown")</f>
        <v>Electronics</v>
      </c>
      <c r="S2115" t="str">
        <f>IF(ISBLANK(I2115), B2115+VLOOKUP(C2115, Lookups!$A$2:$D$10, 4, FALSE()), I2115)</f>
        <v>2026-09-05</v>
      </c>
      <c r="T2115">
        <f t="shared" si="201"/>
        <v>19</v>
      </c>
      <c r="U2115" t="str">
        <f t="shared" si="202"/>
        <v>Late</v>
      </c>
      <c r="V2115">
        <f t="shared" si="203"/>
        <v>0</v>
      </c>
    </row>
    <row r="2116" spans="1:22" x14ac:dyDescent="0.45">
      <c r="A2116" t="s">
        <v>2969</v>
      </c>
      <c r="B2116" t="s">
        <v>259</v>
      </c>
      <c r="C2116" t="s">
        <v>34</v>
      </c>
      <c r="D2116" t="s">
        <v>80</v>
      </c>
      <c r="E2116" t="s">
        <v>15</v>
      </c>
      <c r="F2116">
        <v>25</v>
      </c>
      <c r="G2116">
        <v>19090</v>
      </c>
      <c r="H2116">
        <v>477250</v>
      </c>
      <c r="I2116" t="s">
        <v>185</v>
      </c>
      <c r="J2116" t="s">
        <v>185</v>
      </c>
      <c r="K2116">
        <v>25</v>
      </c>
      <c r="L2116">
        <v>0</v>
      </c>
      <c r="M2116" t="s">
        <v>115</v>
      </c>
      <c r="N2116" t="str">
        <f t="shared" si="198"/>
        <v>PO-102115</v>
      </c>
      <c r="O2116" t="str">
        <f t="shared" si="199"/>
        <v>Delivered</v>
      </c>
      <c r="P2116" t="str">
        <f t="shared" si="200"/>
        <v>WH-BOM</v>
      </c>
      <c r="Q2116" t="str">
        <f>VLOOKUP(C2116, Lookups!$A$2:$D$10, 2, FALSE())</f>
        <v>FastElectronics</v>
      </c>
      <c r="R2116" t="str">
        <f>_xlfn.XLOOKUP(D2116, Lookups!$A$12:$A$51, Lookups!$C$12:$C$51, "Unknown")</f>
        <v>Networking</v>
      </c>
      <c r="S2116" t="str">
        <f>IF(ISBLANK(I2116), B2116+VLOOKUP(C2116, Lookups!$A$2:$D$10, 4, FALSE()), I2116)</f>
        <v>2025-02-26</v>
      </c>
      <c r="T2116">
        <f t="shared" si="201"/>
        <v>18</v>
      </c>
      <c r="U2116" t="str">
        <f t="shared" si="202"/>
        <v>On-Time</v>
      </c>
      <c r="V2116">
        <f t="shared" si="203"/>
        <v>0</v>
      </c>
    </row>
    <row r="2117" spans="1:22" x14ac:dyDescent="0.45">
      <c r="A2117" t="s">
        <v>2970</v>
      </c>
      <c r="B2117" t="s">
        <v>277</v>
      </c>
      <c r="C2117" t="s">
        <v>35</v>
      </c>
      <c r="D2117" t="s">
        <v>70</v>
      </c>
      <c r="E2117" t="s">
        <v>16</v>
      </c>
      <c r="F2117">
        <v>116</v>
      </c>
      <c r="G2117">
        <v>4287</v>
      </c>
      <c r="H2117">
        <v>497292</v>
      </c>
      <c r="I2117" t="s">
        <v>160</v>
      </c>
      <c r="J2117" t="s">
        <v>518</v>
      </c>
      <c r="K2117">
        <v>116</v>
      </c>
      <c r="L2117">
        <v>0</v>
      </c>
      <c r="M2117" t="s">
        <v>115</v>
      </c>
      <c r="N2117" t="str">
        <f t="shared" si="198"/>
        <v>PO-102116</v>
      </c>
      <c r="O2117" t="str">
        <f t="shared" si="199"/>
        <v>Delivered</v>
      </c>
      <c r="P2117" t="str">
        <f t="shared" si="200"/>
        <v>WH-DEL</v>
      </c>
      <c r="Q2117" t="str">
        <f>VLOOKUP(C2117, Lookups!$A$2:$D$10, 2, FALSE())</f>
        <v>Peripheral Source</v>
      </c>
      <c r="R2117" t="str">
        <f>_xlfn.XLOOKUP(D2117, Lookups!$A$12:$A$51, Lookups!$C$12:$C$51, "Unknown")</f>
        <v>Peripherals</v>
      </c>
      <c r="S2117" t="str">
        <f>IF(ISBLANK(I2117), B2117+VLOOKUP(C2117, Lookups!$A$2:$D$10, 4, FALSE()), I2117)</f>
        <v>2025-05-22</v>
      </c>
      <c r="T2117">
        <f t="shared" si="201"/>
        <v>11</v>
      </c>
      <c r="U2117" t="str">
        <f t="shared" si="202"/>
        <v>Late</v>
      </c>
      <c r="V2117">
        <f t="shared" si="203"/>
        <v>0</v>
      </c>
    </row>
    <row r="2118" spans="1:22" x14ac:dyDescent="0.45">
      <c r="A2118" t="s">
        <v>2971</v>
      </c>
      <c r="B2118" t="s">
        <v>801</v>
      </c>
      <c r="C2118" t="s">
        <v>30</v>
      </c>
      <c r="D2118" t="s">
        <v>86</v>
      </c>
      <c r="E2118" t="s">
        <v>17</v>
      </c>
      <c r="F2118">
        <v>27</v>
      </c>
      <c r="G2118">
        <v>74871</v>
      </c>
      <c r="H2118">
        <v>2021517</v>
      </c>
      <c r="I2118" t="s">
        <v>2972</v>
      </c>
      <c r="J2118" t="s">
        <v>2972</v>
      </c>
      <c r="K2118">
        <v>27</v>
      </c>
      <c r="L2118">
        <v>0</v>
      </c>
      <c r="M2118" t="s">
        <v>115</v>
      </c>
      <c r="N2118" t="str">
        <f t="shared" si="198"/>
        <v>PO-102117</v>
      </c>
      <c r="O2118" t="str">
        <f t="shared" si="199"/>
        <v>Delivered</v>
      </c>
      <c r="P2118" t="str">
        <f t="shared" si="200"/>
        <v>WH-BLR</v>
      </c>
      <c r="Q2118" t="str">
        <f>VLOOKUP(C2118, Lookups!$A$2:$D$10, 2, FALSE())</f>
        <v>TechSupply Corp</v>
      </c>
      <c r="R2118" t="str">
        <f>_xlfn.XLOOKUP(D2118, Lookups!$A$12:$A$51, Lookups!$C$12:$C$51, "Unknown")</f>
        <v>Electronics</v>
      </c>
      <c r="S2118" t="str">
        <f>IF(ISBLANK(I2118), B2118+VLOOKUP(C2118, Lookups!$A$2:$D$10, 4, FALSE()), I2118)</f>
        <v>2026-12-27</v>
      </c>
      <c r="T2118">
        <f t="shared" si="201"/>
        <v>14</v>
      </c>
      <c r="U2118" t="str">
        <f t="shared" si="202"/>
        <v>On-Time</v>
      </c>
      <c r="V2118">
        <f t="shared" si="203"/>
        <v>0</v>
      </c>
    </row>
    <row r="2119" spans="1:22" x14ac:dyDescent="0.45">
      <c r="A2119" t="s">
        <v>2973</v>
      </c>
      <c r="B2119" t="s">
        <v>875</v>
      </c>
      <c r="C2119" t="s">
        <v>34</v>
      </c>
      <c r="D2119" t="s">
        <v>73</v>
      </c>
      <c r="E2119" t="s">
        <v>913</v>
      </c>
      <c r="F2119">
        <v>167</v>
      </c>
      <c r="G2119">
        <v>58396</v>
      </c>
      <c r="H2119">
        <v>9752132</v>
      </c>
      <c r="I2119" t="s">
        <v>139</v>
      </c>
      <c r="J2119" t="s">
        <v>139</v>
      </c>
      <c r="K2119">
        <v>167</v>
      </c>
      <c r="L2119">
        <v>0</v>
      </c>
      <c r="M2119" t="s">
        <v>115</v>
      </c>
      <c r="N2119" t="str">
        <f t="shared" si="198"/>
        <v>PO-102118</v>
      </c>
      <c r="O2119" t="str">
        <f t="shared" si="199"/>
        <v>Delivered</v>
      </c>
      <c r="P2119" t="str">
        <f t="shared" si="200"/>
        <v>WH-DEL</v>
      </c>
      <c r="Q2119" t="str">
        <f>VLOOKUP(C2119, Lookups!$A$2:$D$10, 2, FALSE())</f>
        <v>FastElectronics</v>
      </c>
      <c r="R2119" t="str">
        <f>_xlfn.XLOOKUP(D2119, Lookups!$A$12:$A$51, Lookups!$C$12:$C$51, "Unknown")</f>
        <v>Electronics</v>
      </c>
      <c r="S2119" t="str">
        <f>IF(ISBLANK(I2119), B2119+VLOOKUP(C2119, Lookups!$A$2:$D$10, 4, FALSE()), I2119)</f>
        <v>2025-09-29</v>
      </c>
      <c r="T2119">
        <f t="shared" si="201"/>
        <v>18</v>
      </c>
      <c r="U2119" t="str">
        <f t="shared" si="202"/>
        <v>On-Time</v>
      </c>
      <c r="V2119">
        <f t="shared" si="203"/>
        <v>0</v>
      </c>
    </row>
    <row r="2120" spans="1:22" x14ac:dyDescent="0.45">
      <c r="A2120" t="s">
        <v>2974</v>
      </c>
      <c r="B2120" t="s">
        <v>211</v>
      </c>
      <c r="C2120" t="s">
        <v>30</v>
      </c>
      <c r="D2120" t="s">
        <v>53</v>
      </c>
      <c r="E2120" t="s">
        <v>17</v>
      </c>
      <c r="F2120">
        <v>25</v>
      </c>
      <c r="G2120">
        <v>81048</v>
      </c>
      <c r="H2120">
        <v>2026200</v>
      </c>
      <c r="I2120" t="s">
        <v>242</v>
      </c>
      <c r="J2120" t="s">
        <v>242</v>
      </c>
      <c r="K2120">
        <v>24</v>
      </c>
      <c r="L2120">
        <v>0</v>
      </c>
      <c r="M2120" t="s">
        <v>115</v>
      </c>
      <c r="N2120" t="str">
        <f t="shared" si="198"/>
        <v>PO-102119</v>
      </c>
      <c r="O2120" t="str">
        <f t="shared" si="199"/>
        <v>Delivered</v>
      </c>
      <c r="P2120" t="str">
        <f t="shared" si="200"/>
        <v>WH-BLR</v>
      </c>
      <c r="Q2120" t="str">
        <f>VLOOKUP(C2120, Lookups!$A$2:$D$10, 2, FALSE())</f>
        <v>TechSupply Corp</v>
      </c>
      <c r="R2120" t="str">
        <f>_xlfn.XLOOKUP(D2120, Lookups!$A$12:$A$51, Lookups!$C$12:$C$51, "Unknown")</f>
        <v>Electronics</v>
      </c>
      <c r="S2120" t="str">
        <f>IF(ISBLANK(I2120), B2120+VLOOKUP(C2120, Lookups!$A$2:$D$10, 4, FALSE()), I2120)</f>
        <v>2025-07-05</v>
      </c>
      <c r="T2120">
        <f t="shared" si="201"/>
        <v>14</v>
      </c>
      <c r="U2120" t="str">
        <f t="shared" si="202"/>
        <v>On-Time</v>
      </c>
      <c r="V2120">
        <f t="shared" si="203"/>
        <v>0</v>
      </c>
    </row>
    <row r="2121" spans="1:22" x14ac:dyDescent="0.45">
      <c r="A2121" t="s">
        <v>2975</v>
      </c>
      <c r="B2121" t="s">
        <v>356</v>
      </c>
      <c r="C2121" t="s">
        <v>37</v>
      </c>
      <c r="D2121" t="s">
        <v>78</v>
      </c>
      <c r="E2121" t="s">
        <v>15</v>
      </c>
      <c r="F2121">
        <v>27</v>
      </c>
      <c r="G2121">
        <v>9423</v>
      </c>
      <c r="H2121">
        <v>254421</v>
      </c>
      <c r="I2121" t="s">
        <v>460</v>
      </c>
      <c r="J2121" t="s">
        <v>346</v>
      </c>
      <c r="K2121">
        <v>27</v>
      </c>
      <c r="L2121">
        <v>0</v>
      </c>
      <c r="M2121" t="s">
        <v>115</v>
      </c>
      <c r="N2121" t="str">
        <f t="shared" si="198"/>
        <v>PO-102120</v>
      </c>
      <c r="O2121" t="str">
        <f t="shared" si="199"/>
        <v>Delivered</v>
      </c>
      <c r="P2121" t="str">
        <f t="shared" si="200"/>
        <v>WH-BOM</v>
      </c>
      <c r="Q2121" t="str">
        <f>VLOOKUP(C2121, Lookups!$A$2:$D$10, 2, FALSE())</f>
        <v>Premium Desks Ltd</v>
      </c>
      <c r="R2121" t="str">
        <f>_xlfn.XLOOKUP(D2121, Lookups!$A$12:$A$51, Lookups!$C$12:$C$51, "Unknown")</f>
        <v>Office Furniture</v>
      </c>
      <c r="S2121" t="str">
        <f>IF(ISBLANK(I2121), B2121+VLOOKUP(C2121, Lookups!$A$2:$D$10, 4, FALSE()), I2121)</f>
        <v>2025-10-09</v>
      </c>
      <c r="T2121">
        <f t="shared" si="201"/>
        <v>13</v>
      </c>
      <c r="U2121" t="str">
        <f t="shared" si="202"/>
        <v>Late</v>
      </c>
      <c r="V2121">
        <f t="shared" si="203"/>
        <v>0</v>
      </c>
    </row>
    <row r="2122" spans="1:22" x14ac:dyDescent="0.45">
      <c r="A2122" t="s">
        <v>2976</v>
      </c>
      <c r="B2122" t="s">
        <v>993</v>
      </c>
      <c r="C2122" t="s">
        <v>31</v>
      </c>
      <c r="D2122" t="s">
        <v>85</v>
      </c>
      <c r="E2122" t="s">
        <v>16</v>
      </c>
      <c r="F2122">
        <v>176</v>
      </c>
      <c r="G2122">
        <v>16501</v>
      </c>
      <c r="H2122">
        <v>2904176</v>
      </c>
      <c r="I2122" t="s">
        <v>732</v>
      </c>
      <c r="J2122" t="s">
        <v>1288</v>
      </c>
      <c r="K2122">
        <v>176</v>
      </c>
      <c r="L2122">
        <v>0</v>
      </c>
      <c r="M2122" t="s">
        <v>115</v>
      </c>
      <c r="N2122" t="str">
        <f t="shared" si="198"/>
        <v>PO-102121</v>
      </c>
      <c r="O2122" t="str">
        <f t="shared" si="199"/>
        <v>Delivered</v>
      </c>
      <c r="P2122" t="str">
        <f t="shared" si="200"/>
        <v>WH-DEL</v>
      </c>
      <c r="Q2122" t="str">
        <f>VLOOKUP(C2122, Lookups!$A$2:$D$10, 2, FALSE())</f>
        <v>Global Networks</v>
      </c>
      <c r="R2122" t="str">
        <f>_xlfn.XLOOKUP(D2122, Lookups!$A$12:$A$51, Lookups!$C$12:$C$51, "Unknown")</f>
        <v>Networking</v>
      </c>
      <c r="S2122" t="str">
        <f>IF(ISBLANK(I2122), B2122+VLOOKUP(C2122, Lookups!$A$2:$D$10, 4, FALSE()), I2122)</f>
        <v>2025-06-18</v>
      </c>
      <c r="T2122">
        <f t="shared" si="201"/>
        <v>22</v>
      </c>
      <c r="U2122" t="str">
        <f t="shared" si="202"/>
        <v>Late</v>
      </c>
      <c r="V2122">
        <f t="shared" si="203"/>
        <v>0</v>
      </c>
    </row>
    <row r="2123" spans="1:22" x14ac:dyDescent="0.45">
      <c r="A2123" t="s">
        <v>2977</v>
      </c>
      <c r="B2123" t="s">
        <v>228</v>
      </c>
      <c r="C2123" t="s">
        <v>35</v>
      </c>
      <c r="D2123" t="s">
        <v>65</v>
      </c>
      <c r="E2123" t="s">
        <v>15</v>
      </c>
      <c r="F2123">
        <v>83</v>
      </c>
      <c r="G2123">
        <v>4936</v>
      </c>
      <c r="H2123">
        <v>409688</v>
      </c>
      <c r="I2123" t="s">
        <v>1326</v>
      </c>
      <c r="J2123" t="s">
        <v>234</v>
      </c>
      <c r="K2123">
        <v>46</v>
      </c>
      <c r="L2123">
        <v>0</v>
      </c>
      <c r="M2123" t="s">
        <v>115</v>
      </c>
      <c r="N2123" t="str">
        <f t="shared" si="198"/>
        <v>PO-102122</v>
      </c>
      <c r="O2123" t="str">
        <f t="shared" si="199"/>
        <v>Delivered</v>
      </c>
      <c r="P2123" t="str">
        <f t="shared" si="200"/>
        <v>WH-BOM</v>
      </c>
      <c r="Q2123" t="str">
        <f>VLOOKUP(C2123, Lookups!$A$2:$D$10, 2, FALSE())</f>
        <v>Peripheral Source</v>
      </c>
      <c r="R2123" t="str">
        <f>_xlfn.XLOOKUP(D2123, Lookups!$A$12:$A$51, Lookups!$C$12:$C$51, "Unknown")</f>
        <v>Peripherals</v>
      </c>
      <c r="S2123" t="str">
        <f>IF(ISBLANK(I2123), B2123+VLOOKUP(C2123, Lookups!$A$2:$D$10, 4, FALSE()), I2123)</f>
        <v>2025-07-23</v>
      </c>
      <c r="T2123">
        <f t="shared" si="201"/>
        <v>21</v>
      </c>
      <c r="U2123" t="str">
        <f t="shared" si="202"/>
        <v>Late</v>
      </c>
      <c r="V2123">
        <f t="shared" si="203"/>
        <v>0</v>
      </c>
    </row>
    <row r="2124" spans="1:22" x14ac:dyDescent="0.45">
      <c r="A2124" t="s">
        <v>2978</v>
      </c>
      <c r="B2124" t="s">
        <v>501</v>
      </c>
      <c r="C2124" t="s">
        <v>36</v>
      </c>
      <c r="D2124" t="s">
        <v>55</v>
      </c>
      <c r="E2124" t="s">
        <v>16</v>
      </c>
      <c r="F2124">
        <v>61</v>
      </c>
      <c r="G2124">
        <v>58434</v>
      </c>
      <c r="H2124">
        <v>3564474</v>
      </c>
      <c r="I2124" t="s">
        <v>502</v>
      </c>
      <c r="J2124" t="s">
        <v>502</v>
      </c>
      <c r="K2124">
        <v>53</v>
      </c>
      <c r="L2124">
        <v>0</v>
      </c>
      <c r="M2124" t="s">
        <v>115</v>
      </c>
      <c r="N2124" t="str">
        <f t="shared" si="198"/>
        <v>PO-102123</v>
      </c>
      <c r="O2124" t="str">
        <f t="shared" si="199"/>
        <v>Delivered</v>
      </c>
      <c r="P2124" t="str">
        <f t="shared" si="200"/>
        <v>WH-DEL</v>
      </c>
      <c r="Q2124" t="str">
        <f>VLOOKUP(C2124, Lookups!$A$2:$D$10, 2, FALSE())</f>
        <v>NextGen Hardware</v>
      </c>
      <c r="R2124" t="str">
        <f>_xlfn.XLOOKUP(D2124, Lookups!$A$12:$A$51, Lookups!$C$12:$C$51, "Unknown")</f>
        <v>Electronics</v>
      </c>
      <c r="S2124" t="str">
        <f>IF(ISBLANK(I2124), B2124+VLOOKUP(C2124, Lookups!$A$2:$D$10, 4, FALSE()), I2124)</f>
        <v>2026-02-22</v>
      </c>
      <c r="T2124">
        <f t="shared" si="201"/>
        <v>24</v>
      </c>
      <c r="U2124" t="str">
        <f t="shared" si="202"/>
        <v>On-Time</v>
      </c>
      <c r="V2124">
        <f t="shared" si="203"/>
        <v>0</v>
      </c>
    </row>
    <row r="2125" spans="1:22" x14ac:dyDescent="0.45">
      <c r="A2125" t="s">
        <v>2979</v>
      </c>
      <c r="B2125" t="s">
        <v>1158</v>
      </c>
      <c r="C2125" t="s">
        <v>31</v>
      </c>
      <c r="D2125" t="s">
        <v>85</v>
      </c>
      <c r="E2125" t="s">
        <v>17</v>
      </c>
      <c r="F2125">
        <v>73</v>
      </c>
      <c r="G2125">
        <v>16501</v>
      </c>
      <c r="H2125">
        <v>1204573</v>
      </c>
      <c r="I2125" t="s">
        <v>269</v>
      </c>
      <c r="J2125" t="s">
        <v>582</v>
      </c>
      <c r="K2125">
        <v>47</v>
      </c>
      <c r="L2125">
        <v>0</v>
      </c>
      <c r="M2125" t="s">
        <v>115</v>
      </c>
      <c r="N2125" t="str">
        <f t="shared" si="198"/>
        <v>PO-102124</v>
      </c>
      <c r="O2125" t="str">
        <f t="shared" si="199"/>
        <v>Delivered</v>
      </c>
      <c r="P2125" t="str">
        <f t="shared" si="200"/>
        <v>WH-BLR</v>
      </c>
      <c r="Q2125" t="str">
        <f>VLOOKUP(C2125, Lookups!$A$2:$D$10, 2, FALSE())</f>
        <v>Global Networks</v>
      </c>
      <c r="R2125" t="str">
        <f>_xlfn.XLOOKUP(D2125, Lookups!$A$12:$A$51, Lookups!$C$12:$C$51, "Unknown")</f>
        <v>Networking</v>
      </c>
      <c r="S2125" t="str">
        <f>IF(ISBLANK(I2125), B2125+VLOOKUP(C2125, Lookups!$A$2:$D$10, 4, FALSE()), I2125)</f>
        <v>2025-04-20</v>
      </c>
      <c r="T2125">
        <f t="shared" si="201"/>
        <v>22</v>
      </c>
      <c r="U2125" t="str">
        <f t="shared" si="202"/>
        <v>Late</v>
      </c>
      <c r="V2125">
        <f t="shared" si="203"/>
        <v>0</v>
      </c>
    </row>
    <row r="2126" spans="1:22" x14ac:dyDescent="0.45">
      <c r="A2126" t="s">
        <v>2980</v>
      </c>
      <c r="B2126" t="s">
        <v>280</v>
      </c>
      <c r="C2126" t="s">
        <v>36</v>
      </c>
      <c r="D2126" t="s">
        <v>90</v>
      </c>
      <c r="E2126" t="s">
        <v>16</v>
      </c>
      <c r="F2126">
        <v>32</v>
      </c>
      <c r="G2126">
        <v>81434</v>
      </c>
      <c r="H2126">
        <v>2605888</v>
      </c>
      <c r="I2126" t="s">
        <v>847</v>
      </c>
      <c r="J2126" t="s">
        <v>1112</v>
      </c>
      <c r="K2126">
        <v>32</v>
      </c>
      <c r="L2126">
        <v>0</v>
      </c>
      <c r="M2126" t="s">
        <v>115</v>
      </c>
      <c r="N2126" t="str">
        <f t="shared" si="198"/>
        <v>PO-102125</v>
      </c>
      <c r="O2126" t="str">
        <f t="shared" si="199"/>
        <v>Delivered</v>
      </c>
      <c r="P2126" t="str">
        <f t="shared" si="200"/>
        <v>WH-DEL</v>
      </c>
      <c r="Q2126" t="str">
        <f>VLOOKUP(C2126, Lookups!$A$2:$D$10, 2, FALSE())</f>
        <v>NextGen Hardware</v>
      </c>
      <c r="R2126" t="str">
        <f>_xlfn.XLOOKUP(D2126, Lookups!$A$12:$A$51, Lookups!$C$12:$C$51, "Unknown")</f>
        <v>Electronics</v>
      </c>
      <c r="S2126" t="str">
        <f>IF(ISBLANK(I2126), B2126+VLOOKUP(C2126, Lookups!$A$2:$D$10, 4, FALSE()), I2126)</f>
        <v>2026-11-01</v>
      </c>
      <c r="T2126">
        <f t="shared" si="201"/>
        <v>20</v>
      </c>
      <c r="U2126" t="str">
        <f t="shared" si="202"/>
        <v>On-Time</v>
      </c>
      <c r="V2126">
        <f t="shared" si="203"/>
        <v>0</v>
      </c>
    </row>
    <row r="2127" spans="1:22" x14ac:dyDescent="0.45">
      <c r="A2127" t="s">
        <v>2981</v>
      </c>
      <c r="B2127" t="s">
        <v>476</v>
      </c>
      <c r="C2127" t="s">
        <v>34</v>
      </c>
      <c r="D2127" t="s">
        <v>54</v>
      </c>
      <c r="E2127" t="s">
        <v>16</v>
      </c>
      <c r="F2127">
        <v>248</v>
      </c>
      <c r="G2127">
        <v>22314</v>
      </c>
      <c r="H2127">
        <v>5533872</v>
      </c>
      <c r="I2127" t="s">
        <v>477</v>
      </c>
      <c r="J2127" t="s">
        <v>478</v>
      </c>
      <c r="K2127">
        <v>248</v>
      </c>
      <c r="L2127">
        <v>0</v>
      </c>
      <c r="M2127" t="s">
        <v>115</v>
      </c>
      <c r="N2127" t="str">
        <f t="shared" si="198"/>
        <v>PO-102126</v>
      </c>
      <c r="O2127" t="str">
        <f t="shared" si="199"/>
        <v>Delivered</v>
      </c>
      <c r="P2127" t="str">
        <f t="shared" si="200"/>
        <v>WH-DEL</v>
      </c>
      <c r="Q2127" t="str">
        <f>VLOOKUP(C2127, Lookups!$A$2:$D$10, 2, FALSE())</f>
        <v>FastElectronics</v>
      </c>
      <c r="R2127" t="str">
        <f>_xlfn.XLOOKUP(D2127, Lookups!$A$12:$A$51, Lookups!$C$12:$C$51, "Unknown")</f>
        <v>Networking</v>
      </c>
      <c r="S2127" t="str">
        <f>IF(ISBLANK(I2127), B2127+VLOOKUP(C2127, Lookups!$A$2:$D$10, 4, FALSE()), I2127)</f>
        <v>2025-03-28</v>
      </c>
      <c r="T2127">
        <f t="shared" si="201"/>
        <v>19</v>
      </c>
      <c r="U2127" t="str">
        <f t="shared" si="202"/>
        <v>Late</v>
      </c>
      <c r="V2127">
        <f t="shared" si="203"/>
        <v>0</v>
      </c>
    </row>
    <row r="2128" spans="1:22" x14ac:dyDescent="0.45">
      <c r="A2128" t="s">
        <v>2982</v>
      </c>
      <c r="B2128" t="s">
        <v>339</v>
      </c>
      <c r="C2128" t="s">
        <v>34</v>
      </c>
      <c r="D2128" t="s">
        <v>81</v>
      </c>
      <c r="E2128" t="s">
        <v>16</v>
      </c>
      <c r="F2128">
        <v>228</v>
      </c>
      <c r="G2128">
        <v>55328</v>
      </c>
      <c r="H2128">
        <v>12614784</v>
      </c>
      <c r="I2128" t="s">
        <v>535</v>
      </c>
      <c r="J2128" t="s">
        <v>411</v>
      </c>
      <c r="K2128">
        <v>228</v>
      </c>
      <c r="L2128">
        <v>0</v>
      </c>
      <c r="M2128" t="s">
        <v>115</v>
      </c>
      <c r="N2128" t="str">
        <f t="shared" si="198"/>
        <v>PO-102127</v>
      </c>
      <c r="O2128" t="str">
        <f t="shared" si="199"/>
        <v>Delivered</v>
      </c>
      <c r="P2128" t="str">
        <f t="shared" si="200"/>
        <v>WH-DEL</v>
      </c>
      <c r="Q2128" t="str">
        <f>VLOOKUP(C2128, Lookups!$A$2:$D$10, 2, FALSE())</f>
        <v>FastElectronics</v>
      </c>
      <c r="R2128" t="str">
        <f>_xlfn.XLOOKUP(D2128, Lookups!$A$12:$A$51, Lookups!$C$12:$C$51, "Unknown")</f>
        <v>Electronics</v>
      </c>
      <c r="S2128" t="str">
        <f>IF(ISBLANK(I2128), B2128+VLOOKUP(C2128, Lookups!$A$2:$D$10, 4, FALSE()), I2128)</f>
        <v>2026-05-08</v>
      </c>
      <c r="T2128">
        <f t="shared" si="201"/>
        <v>19</v>
      </c>
      <c r="U2128" t="str">
        <f t="shared" si="202"/>
        <v>Late</v>
      </c>
      <c r="V2128">
        <f t="shared" si="203"/>
        <v>0</v>
      </c>
    </row>
    <row r="2129" spans="1:22" x14ac:dyDescent="0.45">
      <c r="A2129" t="s">
        <v>2983</v>
      </c>
      <c r="B2129" t="s">
        <v>247</v>
      </c>
      <c r="C2129" t="s">
        <v>34</v>
      </c>
      <c r="D2129" t="s">
        <v>73</v>
      </c>
      <c r="E2129" t="s">
        <v>15</v>
      </c>
      <c r="F2129">
        <v>63</v>
      </c>
      <c r="G2129">
        <v>58396</v>
      </c>
      <c r="H2129">
        <v>3678948</v>
      </c>
      <c r="I2129" t="s">
        <v>464</v>
      </c>
      <c r="J2129" t="s">
        <v>464</v>
      </c>
      <c r="K2129">
        <v>63</v>
      </c>
      <c r="L2129">
        <v>0</v>
      </c>
      <c r="M2129" t="s">
        <v>115</v>
      </c>
      <c r="N2129" t="str">
        <f t="shared" si="198"/>
        <v>PO-102128</v>
      </c>
      <c r="O2129" t="str">
        <f t="shared" si="199"/>
        <v>Delivered</v>
      </c>
      <c r="P2129" t="str">
        <f t="shared" si="200"/>
        <v>WH-BOM</v>
      </c>
      <c r="Q2129" t="str">
        <f>VLOOKUP(C2129, Lookups!$A$2:$D$10, 2, FALSE())</f>
        <v>FastElectronics</v>
      </c>
      <c r="R2129" t="str">
        <f>_xlfn.XLOOKUP(D2129, Lookups!$A$12:$A$51, Lookups!$C$12:$C$51, "Unknown")</f>
        <v>Electronics</v>
      </c>
      <c r="S2129" t="str">
        <f>IF(ISBLANK(I2129), B2129+VLOOKUP(C2129, Lookups!$A$2:$D$10, 4, FALSE()), I2129)</f>
        <v>2025-11-20</v>
      </c>
      <c r="T2129">
        <f t="shared" si="201"/>
        <v>18</v>
      </c>
      <c r="U2129" t="str">
        <f t="shared" si="202"/>
        <v>On-Time</v>
      </c>
      <c r="V2129">
        <f t="shared" si="203"/>
        <v>0</v>
      </c>
    </row>
    <row r="2130" spans="1:22" x14ac:dyDescent="0.45">
      <c r="A2130" t="s">
        <v>2984</v>
      </c>
      <c r="B2130" t="s">
        <v>653</v>
      </c>
      <c r="C2130" t="s">
        <v>34</v>
      </c>
      <c r="D2130" t="s">
        <v>68</v>
      </c>
      <c r="E2130" t="s">
        <v>16</v>
      </c>
      <c r="F2130">
        <v>101</v>
      </c>
      <c r="G2130">
        <v>41405</v>
      </c>
      <c r="H2130">
        <v>4181905</v>
      </c>
      <c r="K2130">
        <v>0</v>
      </c>
      <c r="L2130">
        <v>0</v>
      </c>
      <c r="M2130" t="s">
        <v>297</v>
      </c>
      <c r="N2130" t="str">
        <f t="shared" si="198"/>
        <v>PO-102129</v>
      </c>
      <c r="O2130" t="str">
        <f t="shared" si="199"/>
        <v>Open</v>
      </c>
      <c r="P2130" t="str">
        <f t="shared" si="200"/>
        <v>WH-DEL</v>
      </c>
      <c r="Q2130" t="str">
        <f>VLOOKUP(C2130, Lookups!$A$2:$D$10, 2, FALSE())</f>
        <v>FastElectronics</v>
      </c>
      <c r="R2130" t="str">
        <f>_xlfn.XLOOKUP(D2130, Lookups!$A$12:$A$51, Lookups!$C$12:$C$51, "Unknown")</f>
        <v>Networking</v>
      </c>
      <c r="S2130">
        <f>IF(ISBLANK(I2130), B2130+VLOOKUP(C2130, Lookups!$A$2:$D$10, 4, FALSE()), I2130)</f>
        <v>46388</v>
      </c>
      <c r="T2130" t="str">
        <f t="shared" si="201"/>
        <v/>
      </c>
      <c r="U2130" t="str">
        <f t="shared" si="202"/>
        <v>Open</v>
      </c>
      <c r="V2130">
        <f t="shared" si="203"/>
        <v>0</v>
      </c>
    </row>
    <row r="2131" spans="1:22" x14ac:dyDescent="0.45">
      <c r="A2131" t="s">
        <v>2985</v>
      </c>
      <c r="B2131" t="s">
        <v>1484</v>
      </c>
      <c r="C2131" t="s">
        <v>35</v>
      </c>
      <c r="D2131" t="s">
        <v>60</v>
      </c>
      <c r="E2131" t="s">
        <v>18</v>
      </c>
      <c r="F2131">
        <v>169</v>
      </c>
      <c r="G2131">
        <v>3291</v>
      </c>
      <c r="H2131">
        <v>556179</v>
      </c>
      <c r="I2131" t="s">
        <v>2461</v>
      </c>
      <c r="J2131" t="s">
        <v>285</v>
      </c>
      <c r="K2131">
        <v>169</v>
      </c>
      <c r="L2131">
        <v>0</v>
      </c>
      <c r="M2131" t="s">
        <v>927</v>
      </c>
      <c r="N2131" t="str">
        <f t="shared" si="198"/>
        <v>PO-102130</v>
      </c>
      <c r="O2131" t="str">
        <f t="shared" si="199"/>
        <v>Delivered</v>
      </c>
      <c r="P2131" t="str">
        <f t="shared" si="200"/>
        <v>WH-PUN</v>
      </c>
      <c r="Q2131" t="str">
        <f>VLOOKUP(C2131, Lookups!$A$2:$D$10, 2, FALSE())</f>
        <v>Peripheral Source</v>
      </c>
      <c r="R2131" t="str">
        <f>_xlfn.XLOOKUP(D2131, Lookups!$A$12:$A$51, Lookups!$C$12:$C$51, "Unknown")</f>
        <v>Peripherals</v>
      </c>
      <c r="S2131" t="str">
        <f>IF(ISBLANK(I2131), B2131+VLOOKUP(C2131, Lookups!$A$2:$D$10, 4, FALSE()), I2131)</f>
        <v>2025-03-03</v>
      </c>
      <c r="T2131">
        <f t="shared" si="201"/>
        <v>8</v>
      </c>
      <c r="U2131" t="str">
        <f t="shared" si="202"/>
        <v>On-Time</v>
      </c>
      <c r="V2131">
        <f t="shared" si="203"/>
        <v>0</v>
      </c>
    </row>
    <row r="2132" spans="1:22" x14ac:dyDescent="0.45">
      <c r="A2132" t="s">
        <v>2986</v>
      </c>
      <c r="B2132" t="s">
        <v>925</v>
      </c>
      <c r="C2132" t="s">
        <v>30</v>
      </c>
      <c r="D2132" t="s">
        <v>86</v>
      </c>
      <c r="E2132" t="s">
        <v>16</v>
      </c>
      <c r="F2132">
        <v>59</v>
      </c>
      <c r="G2132">
        <v>74871</v>
      </c>
      <c r="H2132">
        <v>4417389</v>
      </c>
      <c r="I2132" t="s">
        <v>380</v>
      </c>
      <c r="J2132" t="s">
        <v>380</v>
      </c>
      <c r="K2132">
        <v>59</v>
      </c>
      <c r="L2132">
        <v>0</v>
      </c>
      <c r="M2132" t="s">
        <v>115</v>
      </c>
      <c r="N2132" t="str">
        <f t="shared" si="198"/>
        <v>PO-102131</v>
      </c>
      <c r="O2132" t="str">
        <f t="shared" si="199"/>
        <v>Delivered</v>
      </c>
      <c r="P2132" t="str">
        <f t="shared" si="200"/>
        <v>WH-DEL</v>
      </c>
      <c r="Q2132" t="str">
        <f>VLOOKUP(C2132, Lookups!$A$2:$D$10, 2, FALSE())</f>
        <v>TechSupply Corp</v>
      </c>
      <c r="R2132" t="str">
        <f>_xlfn.XLOOKUP(D2132, Lookups!$A$12:$A$51, Lookups!$C$12:$C$51, "Unknown")</f>
        <v>Electronics</v>
      </c>
      <c r="S2132" t="str">
        <f>IF(ISBLANK(I2132), B2132+VLOOKUP(C2132, Lookups!$A$2:$D$10, 4, FALSE()), I2132)</f>
        <v>2025-03-06</v>
      </c>
      <c r="T2132">
        <f t="shared" si="201"/>
        <v>14</v>
      </c>
      <c r="U2132" t="str">
        <f t="shared" si="202"/>
        <v>On-Time</v>
      </c>
      <c r="V2132">
        <f t="shared" si="203"/>
        <v>0</v>
      </c>
    </row>
    <row r="2133" spans="1:22" x14ac:dyDescent="0.45">
      <c r="A2133" t="s">
        <v>2987</v>
      </c>
      <c r="B2133" t="s">
        <v>2381</v>
      </c>
      <c r="C2133" t="s">
        <v>35</v>
      </c>
      <c r="D2133" t="s">
        <v>75</v>
      </c>
      <c r="E2133" t="s">
        <v>15</v>
      </c>
      <c r="F2133">
        <v>89</v>
      </c>
      <c r="G2133">
        <v>4440</v>
      </c>
      <c r="H2133">
        <v>395160</v>
      </c>
      <c r="I2133" t="s">
        <v>1235</v>
      </c>
      <c r="J2133" t="s">
        <v>434</v>
      </c>
      <c r="K2133">
        <v>89</v>
      </c>
      <c r="L2133">
        <v>0</v>
      </c>
      <c r="M2133" t="s">
        <v>115</v>
      </c>
      <c r="N2133" t="str">
        <f t="shared" si="198"/>
        <v>PO-102132</v>
      </c>
      <c r="O2133" t="str">
        <f t="shared" si="199"/>
        <v>Delivered</v>
      </c>
      <c r="P2133" t="str">
        <f t="shared" si="200"/>
        <v>WH-BOM</v>
      </c>
      <c r="Q2133" t="str">
        <f>VLOOKUP(C2133, Lookups!$A$2:$D$10, 2, FALSE())</f>
        <v>Peripheral Source</v>
      </c>
      <c r="R2133" t="str">
        <f>_xlfn.XLOOKUP(D2133, Lookups!$A$12:$A$51, Lookups!$C$12:$C$51, "Unknown")</f>
        <v>Peripherals</v>
      </c>
      <c r="S2133" t="str">
        <f>IF(ISBLANK(I2133), B2133+VLOOKUP(C2133, Lookups!$A$2:$D$10, 4, FALSE()), I2133)</f>
        <v>2025-08-09</v>
      </c>
      <c r="T2133">
        <f t="shared" si="201"/>
        <v>11</v>
      </c>
      <c r="U2133" t="str">
        <f t="shared" si="202"/>
        <v>Late</v>
      </c>
      <c r="V2133">
        <f t="shared" si="203"/>
        <v>0</v>
      </c>
    </row>
    <row r="2134" spans="1:22" x14ac:dyDescent="0.45">
      <c r="A2134" t="s">
        <v>2988</v>
      </c>
      <c r="B2134" t="s">
        <v>963</v>
      </c>
      <c r="C2134" t="s">
        <v>30</v>
      </c>
      <c r="D2134" t="s">
        <v>53</v>
      </c>
      <c r="E2134" t="s">
        <v>16</v>
      </c>
      <c r="F2134">
        <v>106</v>
      </c>
      <c r="G2134">
        <v>81048</v>
      </c>
      <c r="H2134">
        <v>8591088</v>
      </c>
      <c r="I2134" t="s">
        <v>1432</v>
      </c>
      <c r="J2134" t="s">
        <v>1433</v>
      </c>
      <c r="K2134">
        <v>106</v>
      </c>
      <c r="L2134">
        <v>0</v>
      </c>
      <c r="M2134" t="s">
        <v>115</v>
      </c>
      <c r="N2134" t="str">
        <f t="shared" si="198"/>
        <v>PO-102133</v>
      </c>
      <c r="O2134" t="str">
        <f t="shared" si="199"/>
        <v>Delivered</v>
      </c>
      <c r="P2134" t="str">
        <f t="shared" si="200"/>
        <v>WH-DEL</v>
      </c>
      <c r="Q2134" t="str">
        <f>VLOOKUP(C2134, Lookups!$A$2:$D$10, 2, FALSE())</f>
        <v>TechSupply Corp</v>
      </c>
      <c r="R2134" t="str">
        <f>_xlfn.XLOOKUP(D2134, Lookups!$A$12:$A$51, Lookups!$C$12:$C$51, "Unknown")</f>
        <v>Electronics</v>
      </c>
      <c r="S2134" t="str">
        <f>IF(ISBLANK(I2134), B2134+VLOOKUP(C2134, Lookups!$A$2:$D$10, 4, FALSE()), I2134)</f>
        <v>2026-05-05</v>
      </c>
      <c r="T2134">
        <f t="shared" si="201"/>
        <v>15</v>
      </c>
      <c r="U2134" t="str">
        <f t="shared" si="202"/>
        <v>Late</v>
      </c>
      <c r="V2134">
        <f t="shared" si="203"/>
        <v>0</v>
      </c>
    </row>
    <row r="2135" spans="1:22" x14ac:dyDescent="0.45">
      <c r="A2135" t="s">
        <v>2989</v>
      </c>
      <c r="B2135" t="s">
        <v>965</v>
      </c>
      <c r="C2135" t="s">
        <v>34</v>
      </c>
      <c r="D2135" t="s">
        <v>76</v>
      </c>
      <c r="E2135" t="s">
        <v>18</v>
      </c>
      <c r="F2135">
        <v>82</v>
      </c>
      <c r="G2135">
        <v>26270</v>
      </c>
      <c r="H2135">
        <v>2154140</v>
      </c>
      <c r="I2135" t="s">
        <v>184</v>
      </c>
      <c r="J2135" t="s">
        <v>437</v>
      </c>
      <c r="K2135">
        <v>82</v>
      </c>
      <c r="L2135">
        <v>0</v>
      </c>
      <c r="M2135" t="s">
        <v>115</v>
      </c>
      <c r="N2135" t="str">
        <f t="shared" si="198"/>
        <v>PO-102134</v>
      </c>
      <c r="O2135" t="str">
        <f t="shared" si="199"/>
        <v>Delivered</v>
      </c>
      <c r="P2135" t="str">
        <f t="shared" si="200"/>
        <v>WH-PUN</v>
      </c>
      <c r="Q2135" t="str">
        <f>VLOOKUP(C2135, Lookups!$A$2:$D$10, 2, FALSE())</f>
        <v>FastElectronics</v>
      </c>
      <c r="R2135" t="str">
        <f>_xlfn.XLOOKUP(D2135, Lookups!$A$12:$A$51, Lookups!$C$12:$C$51, "Unknown")</f>
        <v>Networking</v>
      </c>
      <c r="S2135" t="str">
        <f>IF(ISBLANK(I2135), B2135+VLOOKUP(C2135, Lookups!$A$2:$D$10, 4, FALSE()), I2135)</f>
        <v>2025-02-02</v>
      </c>
      <c r="T2135">
        <f t="shared" si="201"/>
        <v>19</v>
      </c>
      <c r="U2135" t="str">
        <f t="shared" si="202"/>
        <v>Late</v>
      </c>
      <c r="V2135">
        <f t="shared" si="203"/>
        <v>0</v>
      </c>
    </row>
    <row r="2136" spans="1:22" x14ac:dyDescent="0.45">
      <c r="A2136" t="s">
        <v>2990</v>
      </c>
      <c r="B2136" t="s">
        <v>898</v>
      </c>
      <c r="C2136" t="s">
        <v>36</v>
      </c>
      <c r="D2136" t="s">
        <v>71</v>
      </c>
      <c r="E2136" t="s">
        <v>18</v>
      </c>
      <c r="F2136">
        <v>121</v>
      </c>
      <c r="G2136">
        <v>65379</v>
      </c>
      <c r="H2136">
        <v>7910859</v>
      </c>
      <c r="I2136" t="s">
        <v>777</v>
      </c>
      <c r="J2136" t="s">
        <v>545</v>
      </c>
      <c r="K2136">
        <v>121</v>
      </c>
      <c r="L2136">
        <v>0</v>
      </c>
      <c r="M2136" t="s">
        <v>115</v>
      </c>
      <c r="N2136" t="str">
        <f t="shared" si="198"/>
        <v>PO-102135</v>
      </c>
      <c r="O2136" t="str">
        <f t="shared" si="199"/>
        <v>Delivered</v>
      </c>
      <c r="P2136" t="str">
        <f t="shared" si="200"/>
        <v>WH-PUN</v>
      </c>
      <c r="Q2136" t="str">
        <f>VLOOKUP(C2136, Lookups!$A$2:$D$10, 2, FALSE())</f>
        <v>NextGen Hardware</v>
      </c>
      <c r="R2136" t="str">
        <f>_xlfn.XLOOKUP(D2136, Lookups!$A$12:$A$51, Lookups!$C$12:$C$51, "Unknown")</f>
        <v>Electronics</v>
      </c>
      <c r="S2136" t="str">
        <f>IF(ISBLANK(I2136), B2136+VLOOKUP(C2136, Lookups!$A$2:$D$10, 4, FALSE()), I2136)</f>
        <v>2025-11-25</v>
      </c>
      <c r="T2136">
        <f t="shared" si="201"/>
        <v>32</v>
      </c>
      <c r="U2136" t="str">
        <f t="shared" si="202"/>
        <v>Late</v>
      </c>
      <c r="V2136">
        <f t="shared" si="203"/>
        <v>0</v>
      </c>
    </row>
    <row r="2137" spans="1:22" x14ac:dyDescent="0.45">
      <c r="A2137" t="s">
        <v>2991</v>
      </c>
      <c r="B2137" t="s">
        <v>137</v>
      </c>
      <c r="C2137" t="s">
        <v>34</v>
      </c>
      <c r="D2137" t="s">
        <v>68</v>
      </c>
      <c r="E2137" t="s">
        <v>16</v>
      </c>
      <c r="F2137">
        <v>126</v>
      </c>
      <c r="G2137">
        <v>41405</v>
      </c>
      <c r="H2137">
        <v>5217030</v>
      </c>
      <c r="I2137" t="s">
        <v>138</v>
      </c>
      <c r="J2137" t="s">
        <v>356</v>
      </c>
      <c r="K2137">
        <v>126</v>
      </c>
      <c r="L2137">
        <v>0</v>
      </c>
      <c r="M2137" t="s">
        <v>115</v>
      </c>
      <c r="N2137" t="str">
        <f t="shared" si="198"/>
        <v>PO-102136</v>
      </c>
      <c r="O2137" t="str">
        <f t="shared" si="199"/>
        <v>Delivered</v>
      </c>
      <c r="P2137" t="str">
        <f t="shared" si="200"/>
        <v>WH-DEL</v>
      </c>
      <c r="Q2137" t="str">
        <f>VLOOKUP(C2137, Lookups!$A$2:$D$10, 2, FALSE())</f>
        <v>FastElectronics</v>
      </c>
      <c r="R2137" t="str">
        <f>_xlfn.XLOOKUP(D2137, Lookups!$A$12:$A$51, Lookups!$C$12:$C$51, "Unknown")</f>
        <v>Networking</v>
      </c>
      <c r="S2137" t="str">
        <f>IF(ISBLANK(I2137), B2137+VLOOKUP(C2137, Lookups!$A$2:$D$10, 4, FALSE()), I2137)</f>
        <v>2025-09-26</v>
      </c>
      <c r="T2137">
        <f t="shared" si="201"/>
        <v>19</v>
      </c>
      <c r="U2137" t="str">
        <f t="shared" si="202"/>
        <v>Late</v>
      </c>
      <c r="V2137">
        <f t="shared" si="203"/>
        <v>0</v>
      </c>
    </row>
    <row r="2138" spans="1:22" x14ac:dyDescent="0.45">
      <c r="A2138" t="s">
        <v>2992</v>
      </c>
      <c r="B2138" t="s">
        <v>199</v>
      </c>
      <c r="C2138" t="s">
        <v>36</v>
      </c>
      <c r="D2138" t="s">
        <v>55</v>
      </c>
      <c r="E2138" t="s">
        <v>18</v>
      </c>
      <c r="F2138">
        <v>155</v>
      </c>
      <c r="G2138">
        <v>58434</v>
      </c>
      <c r="H2138">
        <v>9057270</v>
      </c>
      <c r="I2138" t="s">
        <v>890</v>
      </c>
      <c r="J2138" t="s">
        <v>254</v>
      </c>
      <c r="K2138">
        <v>155</v>
      </c>
      <c r="L2138">
        <v>0</v>
      </c>
      <c r="M2138" t="s">
        <v>115</v>
      </c>
      <c r="N2138" t="str">
        <f t="shared" si="198"/>
        <v>PO-102137</v>
      </c>
      <c r="O2138" t="str">
        <f t="shared" si="199"/>
        <v>Delivered</v>
      </c>
      <c r="P2138" t="str">
        <f t="shared" si="200"/>
        <v>WH-PUN</v>
      </c>
      <c r="Q2138" t="str">
        <f>VLOOKUP(C2138, Lookups!$A$2:$D$10, 2, FALSE())</f>
        <v>NextGen Hardware</v>
      </c>
      <c r="R2138" t="str">
        <f>_xlfn.XLOOKUP(D2138, Lookups!$A$12:$A$51, Lookups!$C$12:$C$51, "Unknown")</f>
        <v>Electronics</v>
      </c>
      <c r="S2138" t="str">
        <f>IF(ISBLANK(I2138), B2138+VLOOKUP(C2138, Lookups!$A$2:$D$10, 4, FALSE()), I2138)</f>
        <v>2025-11-09</v>
      </c>
      <c r="T2138">
        <f t="shared" si="201"/>
        <v>25</v>
      </c>
      <c r="U2138" t="str">
        <f t="shared" si="202"/>
        <v>Late</v>
      </c>
      <c r="V2138">
        <f t="shared" si="203"/>
        <v>0</v>
      </c>
    </row>
    <row r="2139" spans="1:22" x14ac:dyDescent="0.45">
      <c r="A2139" t="s">
        <v>2993</v>
      </c>
      <c r="B2139" t="s">
        <v>672</v>
      </c>
      <c r="C2139" t="s">
        <v>34</v>
      </c>
      <c r="D2139" t="s">
        <v>54</v>
      </c>
      <c r="E2139" t="s">
        <v>16</v>
      </c>
      <c r="F2139">
        <v>68</v>
      </c>
      <c r="G2139">
        <v>22314</v>
      </c>
      <c r="H2139">
        <v>1517352</v>
      </c>
      <c r="I2139" t="s">
        <v>1359</v>
      </c>
      <c r="J2139" t="s">
        <v>1170</v>
      </c>
      <c r="K2139">
        <v>68</v>
      </c>
      <c r="L2139">
        <v>0</v>
      </c>
      <c r="M2139" t="s">
        <v>115</v>
      </c>
      <c r="N2139" t="str">
        <f t="shared" si="198"/>
        <v>PO-102138</v>
      </c>
      <c r="O2139" t="str">
        <f t="shared" si="199"/>
        <v>Delivered</v>
      </c>
      <c r="P2139" t="str">
        <f t="shared" si="200"/>
        <v>WH-DEL</v>
      </c>
      <c r="Q2139" t="str">
        <f>VLOOKUP(C2139, Lookups!$A$2:$D$10, 2, FALSE())</f>
        <v>FastElectronics</v>
      </c>
      <c r="R2139" t="str">
        <f>_xlfn.XLOOKUP(D2139, Lookups!$A$12:$A$51, Lookups!$C$12:$C$51, "Unknown")</f>
        <v>Networking</v>
      </c>
      <c r="S2139" t="str">
        <f>IF(ISBLANK(I2139), B2139+VLOOKUP(C2139, Lookups!$A$2:$D$10, 4, FALSE()), I2139)</f>
        <v>2026-12-02</v>
      </c>
      <c r="T2139">
        <f t="shared" si="201"/>
        <v>19</v>
      </c>
      <c r="U2139" t="str">
        <f t="shared" si="202"/>
        <v>Late</v>
      </c>
      <c r="V2139">
        <f t="shared" si="203"/>
        <v>0</v>
      </c>
    </row>
    <row r="2140" spans="1:22" x14ac:dyDescent="0.45">
      <c r="A2140" t="s">
        <v>2994</v>
      </c>
      <c r="B2140" t="s">
        <v>559</v>
      </c>
      <c r="C2140" t="s">
        <v>30</v>
      </c>
      <c r="D2140" t="s">
        <v>59</v>
      </c>
      <c r="E2140" t="s">
        <v>16</v>
      </c>
      <c r="F2140">
        <v>105</v>
      </c>
      <c r="G2140">
        <v>48905</v>
      </c>
      <c r="H2140">
        <v>5135025</v>
      </c>
      <c r="I2140" t="s">
        <v>1227</v>
      </c>
      <c r="J2140" t="s">
        <v>723</v>
      </c>
      <c r="K2140">
        <v>105</v>
      </c>
      <c r="L2140">
        <v>0</v>
      </c>
      <c r="M2140" t="s">
        <v>115</v>
      </c>
      <c r="N2140" t="str">
        <f t="shared" si="198"/>
        <v>PO-102139</v>
      </c>
      <c r="O2140" t="str">
        <f t="shared" si="199"/>
        <v>Delivered</v>
      </c>
      <c r="P2140" t="str">
        <f t="shared" si="200"/>
        <v>WH-DEL</v>
      </c>
      <c r="Q2140" t="str">
        <f>VLOOKUP(C2140, Lookups!$A$2:$D$10, 2, FALSE())</f>
        <v>TechSupply Corp</v>
      </c>
      <c r="R2140" t="str">
        <f>_xlfn.XLOOKUP(D2140, Lookups!$A$12:$A$51, Lookups!$C$12:$C$51, "Unknown")</f>
        <v>Electronics</v>
      </c>
      <c r="S2140" t="str">
        <f>IF(ISBLANK(I2140), B2140+VLOOKUP(C2140, Lookups!$A$2:$D$10, 4, FALSE()), I2140)</f>
        <v>2026-05-03</v>
      </c>
      <c r="T2140">
        <f t="shared" si="201"/>
        <v>15</v>
      </c>
      <c r="U2140" t="str">
        <f t="shared" si="202"/>
        <v>Late</v>
      </c>
      <c r="V2140">
        <f t="shared" si="203"/>
        <v>0</v>
      </c>
    </row>
    <row r="2141" spans="1:22" x14ac:dyDescent="0.45">
      <c r="A2141" t="s">
        <v>2995</v>
      </c>
      <c r="B2141" t="s">
        <v>865</v>
      </c>
      <c r="C2141" t="s">
        <v>35</v>
      </c>
      <c r="D2141" t="s">
        <v>57</v>
      </c>
      <c r="E2141" t="s">
        <v>17</v>
      </c>
      <c r="F2141">
        <v>222</v>
      </c>
      <c r="G2141">
        <v>2212</v>
      </c>
      <c r="H2141">
        <v>491064</v>
      </c>
      <c r="I2141" t="s">
        <v>866</v>
      </c>
      <c r="J2141" t="s">
        <v>866</v>
      </c>
      <c r="K2141">
        <v>222</v>
      </c>
      <c r="L2141">
        <v>0</v>
      </c>
      <c r="M2141" t="s">
        <v>115</v>
      </c>
      <c r="N2141" t="str">
        <f t="shared" si="198"/>
        <v>PO-102140</v>
      </c>
      <c r="O2141" t="str">
        <f t="shared" si="199"/>
        <v>Delivered</v>
      </c>
      <c r="P2141" t="str">
        <f t="shared" si="200"/>
        <v>WH-BLR</v>
      </c>
      <c r="Q2141" t="str">
        <f>VLOOKUP(C2141, Lookups!$A$2:$D$10, 2, FALSE())</f>
        <v>Peripheral Source</v>
      </c>
      <c r="R2141" t="str">
        <f>_xlfn.XLOOKUP(D2141, Lookups!$A$12:$A$51, Lookups!$C$12:$C$51, "Unknown")</f>
        <v>Peripherals</v>
      </c>
      <c r="S2141" t="str">
        <f>IF(ISBLANK(I2141), B2141+VLOOKUP(C2141, Lookups!$A$2:$D$10, 4, FALSE()), I2141)</f>
        <v>2026-09-20</v>
      </c>
      <c r="T2141">
        <f t="shared" si="201"/>
        <v>10</v>
      </c>
      <c r="U2141" t="str">
        <f t="shared" si="202"/>
        <v>On-Time</v>
      </c>
      <c r="V2141">
        <f t="shared" si="203"/>
        <v>0</v>
      </c>
    </row>
    <row r="2142" spans="1:22" x14ac:dyDescent="0.45">
      <c r="A2142" t="s">
        <v>2996</v>
      </c>
      <c r="B2142" t="s">
        <v>1338</v>
      </c>
      <c r="C2142" t="s">
        <v>33</v>
      </c>
      <c r="D2142" t="s">
        <v>89</v>
      </c>
      <c r="E2142" t="s">
        <v>15</v>
      </c>
      <c r="F2142">
        <v>201</v>
      </c>
      <c r="G2142">
        <v>11309</v>
      </c>
      <c r="H2142">
        <v>2273109</v>
      </c>
      <c r="I2142" t="s">
        <v>847</v>
      </c>
      <c r="J2142" t="s">
        <v>1403</v>
      </c>
      <c r="K2142">
        <v>201</v>
      </c>
      <c r="L2142">
        <v>0</v>
      </c>
      <c r="M2142" t="s">
        <v>115</v>
      </c>
      <c r="N2142" t="str">
        <f t="shared" si="198"/>
        <v>PO-102141</v>
      </c>
      <c r="O2142" t="str">
        <f t="shared" si="199"/>
        <v>Delivered</v>
      </c>
      <c r="P2142" t="str">
        <f t="shared" si="200"/>
        <v>WH-BOM</v>
      </c>
      <c r="Q2142" t="str">
        <f>VLOOKUP(C2142, Lookups!$A$2:$D$10, 2, FALSE())</f>
        <v>MegaFurnish</v>
      </c>
      <c r="R2142" t="str">
        <f>_xlfn.XLOOKUP(D2142, Lookups!$A$12:$A$51, Lookups!$C$12:$C$51, "Unknown")</f>
        <v>Office Furniture</v>
      </c>
      <c r="S2142" t="str">
        <f>IF(ISBLANK(I2142), B2142+VLOOKUP(C2142, Lookups!$A$2:$D$10, 4, FALSE()), I2142)</f>
        <v>2026-11-01</v>
      </c>
      <c r="T2142">
        <f t="shared" si="201"/>
        <v>31</v>
      </c>
      <c r="U2142" t="str">
        <f t="shared" si="202"/>
        <v>Late</v>
      </c>
      <c r="V2142">
        <f t="shared" si="203"/>
        <v>0</v>
      </c>
    </row>
    <row r="2143" spans="1:22" x14ac:dyDescent="0.45">
      <c r="A2143" t="s">
        <v>2997</v>
      </c>
      <c r="B2143" t="s">
        <v>986</v>
      </c>
      <c r="C2143" t="s">
        <v>35</v>
      </c>
      <c r="D2143" t="s">
        <v>70</v>
      </c>
      <c r="E2143" t="s">
        <v>17</v>
      </c>
      <c r="F2143">
        <v>120</v>
      </c>
      <c r="G2143">
        <v>4287</v>
      </c>
      <c r="H2143">
        <v>514440</v>
      </c>
      <c r="I2143" t="s">
        <v>672</v>
      </c>
      <c r="J2143" t="s">
        <v>743</v>
      </c>
      <c r="K2143">
        <v>120</v>
      </c>
      <c r="L2143">
        <v>0</v>
      </c>
      <c r="M2143" t="s">
        <v>115</v>
      </c>
      <c r="N2143" t="str">
        <f t="shared" si="198"/>
        <v>PO-102142</v>
      </c>
      <c r="O2143" t="str">
        <f t="shared" si="199"/>
        <v>Delivered</v>
      </c>
      <c r="P2143" t="str">
        <f t="shared" si="200"/>
        <v>WH-BLR</v>
      </c>
      <c r="Q2143" t="str">
        <f>VLOOKUP(C2143, Lookups!$A$2:$D$10, 2, FALSE())</f>
        <v>Peripheral Source</v>
      </c>
      <c r="R2143" t="str">
        <f>_xlfn.XLOOKUP(D2143, Lookups!$A$12:$A$51, Lookups!$C$12:$C$51, "Unknown")</f>
        <v>Peripherals</v>
      </c>
      <c r="S2143" t="str">
        <f>IF(ISBLANK(I2143), B2143+VLOOKUP(C2143, Lookups!$A$2:$D$10, 4, FALSE()), I2143)</f>
        <v>2026-11-14</v>
      </c>
      <c r="T2143">
        <f t="shared" si="201"/>
        <v>11</v>
      </c>
      <c r="U2143" t="str">
        <f t="shared" si="202"/>
        <v>Late</v>
      </c>
      <c r="V2143">
        <f t="shared" si="203"/>
        <v>0</v>
      </c>
    </row>
    <row r="2144" spans="1:22" x14ac:dyDescent="0.45">
      <c r="A2144" t="s">
        <v>2998</v>
      </c>
      <c r="B2144" t="s">
        <v>2009</v>
      </c>
      <c r="C2144" t="s">
        <v>30</v>
      </c>
      <c r="D2144" t="s">
        <v>53</v>
      </c>
      <c r="E2144" t="s">
        <v>17</v>
      </c>
      <c r="F2144">
        <v>28</v>
      </c>
      <c r="G2144">
        <v>81048</v>
      </c>
      <c r="H2144">
        <v>2269344</v>
      </c>
      <c r="I2144" t="s">
        <v>941</v>
      </c>
      <c r="J2144" t="s">
        <v>941</v>
      </c>
      <c r="K2144">
        <v>28</v>
      </c>
      <c r="L2144">
        <v>0</v>
      </c>
      <c r="M2144" t="s">
        <v>115</v>
      </c>
      <c r="N2144" t="str">
        <f t="shared" si="198"/>
        <v>PO-102143</v>
      </c>
      <c r="O2144" t="str">
        <f t="shared" si="199"/>
        <v>Delivered</v>
      </c>
      <c r="P2144" t="str">
        <f t="shared" si="200"/>
        <v>WH-BLR</v>
      </c>
      <c r="Q2144" t="str">
        <f>VLOOKUP(C2144, Lookups!$A$2:$D$10, 2, FALSE())</f>
        <v>TechSupply Corp</v>
      </c>
      <c r="R2144" t="str">
        <f>_xlfn.XLOOKUP(D2144, Lookups!$A$12:$A$51, Lookups!$C$12:$C$51, "Unknown")</f>
        <v>Electronics</v>
      </c>
      <c r="S2144" t="str">
        <f>IF(ISBLANK(I2144), B2144+VLOOKUP(C2144, Lookups!$A$2:$D$10, 4, FALSE()), I2144)</f>
        <v>2025-01-21</v>
      </c>
      <c r="T2144">
        <f t="shared" si="201"/>
        <v>14</v>
      </c>
      <c r="U2144" t="str">
        <f t="shared" si="202"/>
        <v>On-Time</v>
      </c>
      <c r="V2144">
        <f t="shared" si="203"/>
        <v>0</v>
      </c>
    </row>
    <row r="2145" spans="1:22" x14ac:dyDescent="0.45">
      <c r="A2145" t="s">
        <v>2999</v>
      </c>
      <c r="B2145" t="s">
        <v>304</v>
      </c>
      <c r="C2145" t="s">
        <v>34</v>
      </c>
      <c r="D2145" t="s">
        <v>76</v>
      </c>
      <c r="E2145" t="s">
        <v>18</v>
      </c>
      <c r="F2145">
        <v>147</v>
      </c>
      <c r="G2145">
        <v>26270</v>
      </c>
      <c r="H2145">
        <v>3861690</v>
      </c>
      <c r="I2145" t="s">
        <v>196</v>
      </c>
      <c r="J2145" t="s">
        <v>290</v>
      </c>
      <c r="K2145">
        <v>147</v>
      </c>
      <c r="L2145">
        <v>3</v>
      </c>
      <c r="M2145" t="s">
        <v>115</v>
      </c>
      <c r="N2145" t="str">
        <f t="shared" si="198"/>
        <v>PO-102144</v>
      </c>
      <c r="O2145" t="str">
        <f t="shared" si="199"/>
        <v>Delivered</v>
      </c>
      <c r="P2145" t="str">
        <f t="shared" si="200"/>
        <v>WH-PUN</v>
      </c>
      <c r="Q2145" t="str">
        <f>VLOOKUP(C2145, Lookups!$A$2:$D$10, 2, FALSE())</f>
        <v>FastElectronics</v>
      </c>
      <c r="R2145" t="str">
        <f>_xlfn.XLOOKUP(D2145, Lookups!$A$12:$A$51, Lookups!$C$12:$C$51, "Unknown")</f>
        <v>Networking</v>
      </c>
      <c r="S2145" t="str">
        <f>IF(ISBLANK(I2145), B2145+VLOOKUP(C2145, Lookups!$A$2:$D$10, 4, FALSE()), I2145)</f>
        <v>2026-07-11</v>
      </c>
      <c r="T2145">
        <f t="shared" si="201"/>
        <v>19</v>
      </c>
      <c r="U2145" t="str">
        <f t="shared" si="202"/>
        <v>Late</v>
      </c>
      <c r="V2145">
        <f t="shared" si="203"/>
        <v>2.0408163265306121E-2</v>
      </c>
    </row>
    <row r="2146" spans="1:22" x14ac:dyDescent="0.45">
      <c r="A2146" t="s">
        <v>3000</v>
      </c>
      <c r="B2146" t="s">
        <v>1661</v>
      </c>
      <c r="C2146" t="s">
        <v>33</v>
      </c>
      <c r="D2146" t="s">
        <v>89</v>
      </c>
      <c r="E2146" t="s">
        <v>18</v>
      </c>
      <c r="F2146">
        <v>205</v>
      </c>
      <c r="G2146">
        <v>11309</v>
      </c>
      <c r="H2146">
        <v>2318345</v>
      </c>
      <c r="I2146" t="s">
        <v>1386</v>
      </c>
      <c r="J2146" t="s">
        <v>194</v>
      </c>
      <c r="K2146">
        <v>205</v>
      </c>
      <c r="L2146">
        <v>0</v>
      </c>
      <c r="M2146" t="s">
        <v>115</v>
      </c>
      <c r="N2146" t="str">
        <f t="shared" si="198"/>
        <v>PO-102145</v>
      </c>
      <c r="O2146" t="str">
        <f t="shared" si="199"/>
        <v>Delivered</v>
      </c>
      <c r="P2146" t="str">
        <f t="shared" si="200"/>
        <v>WH-PUN</v>
      </c>
      <c r="Q2146" t="str">
        <f>VLOOKUP(C2146, Lookups!$A$2:$D$10, 2, FALSE())</f>
        <v>MegaFurnish</v>
      </c>
      <c r="R2146" t="str">
        <f>_xlfn.XLOOKUP(D2146, Lookups!$A$12:$A$51, Lookups!$C$12:$C$51, "Unknown")</f>
        <v>Office Furniture</v>
      </c>
      <c r="S2146" t="str">
        <f>IF(ISBLANK(I2146), B2146+VLOOKUP(C2146, Lookups!$A$2:$D$10, 4, FALSE()), I2146)</f>
        <v>2026-06-29</v>
      </c>
      <c r="T2146">
        <f t="shared" si="201"/>
        <v>31</v>
      </c>
      <c r="U2146" t="str">
        <f t="shared" si="202"/>
        <v>Late</v>
      </c>
      <c r="V2146">
        <f t="shared" si="203"/>
        <v>0</v>
      </c>
    </row>
    <row r="2147" spans="1:22" x14ac:dyDescent="0.45">
      <c r="A2147" t="s">
        <v>3001</v>
      </c>
      <c r="B2147" t="s">
        <v>1170</v>
      </c>
      <c r="C2147" t="s">
        <v>36</v>
      </c>
      <c r="D2147" t="s">
        <v>71</v>
      </c>
      <c r="E2147" t="s">
        <v>18</v>
      </c>
      <c r="F2147">
        <v>125</v>
      </c>
      <c r="G2147">
        <v>65379</v>
      </c>
      <c r="H2147">
        <v>8172375</v>
      </c>
      <c r="I2147" t="s">
        <v>2972</v>
      </c>
      <c r="K2147">
        <v>0</v>
      </c>
      <c r="L2147">
        <v>0</v>
      </c>
      <c r="M2147" t="s">
        <v>297</v>
      </c>
      <c r="N2147" t="str">
        <f t="shared" si="198"/>
        <v>PO-102146</v>
      </c>
      <c r="O2147" t="str">
        <f t="shared" si="199"/>
        <v>Open</v>
      </c>
      <c r="P2147" t="str">
        <f t="shared" si="200"/>
        <v>WH-PUN</v>
      </c>
      <c r="Q2147" t="str">
        <f>VLOOKUP(C2147, Lookups!$A$2:$D$10, 2, FALSE())</f>
        <v>NextGen Hardware</v>
      </c>
      <c r="R2147" t="str">
        <f>_xlfn.XLOOKUP(D2147, Lookups!$A$12:$A$51, Lookups!$C$12:$C$51, "Unknown")</f>
        <v>Electronics</v>
      </c>
      <c r="S2147" t="str">
        <f>IF(ISBLANK(I2147), B2147+VLOOKUP(C2147, Lookups!$A$2:$D$10, 4, FALSE()), I2147)</f>
        <v>2026-12-27</v>
      </c>
      <c r="T2147" t="str">
        <f t="shared" si="201"/>
        <v/>
      </c>
      <c r="U2147" t="str">
        <f t="shared" si="202"/>
        <v>Open</v>
      </c>
      <c r="V2147">
        <f t="shared" si="203"/>
        <v>0</v>
      </c>
    </row>
    <row r="2148" spans="1:22" x14ac:dyDescent="0.45">
      <c r="A2148" t="s">
        <v>3002</v>
      </c>
      <c r="B2148" t="s">
        <v>1593</v>
      </c>
      <c r="C2148" t="s">
        <v>34</v>
      </c>
      <c r="D2148" t="s">
        <v>73</v>
      </c>
      <c r="E2148" t="s">
        <v>15</v>
      </c>
      <c r="F2148">
        <v>200</v>
      </c>
      <c r="G2148">
        <v>58396</v>
      </c>
      <c r="H2148">
        <v>11679200</v>
      </c>
      <c r="I2148" t="s">
        <v>239</v>
      </c>
      <c r="J2148" t="s">
        <v>474</v>
      </c>
      <c r="K2148">
        <v>200</v>
      </c>
      <c r="L2148">
        <v>23</v>
      </c>
      <c r="M2148" t="s">
        <v>115</v>
      </c>
      <c r="N2148" t="str">
        <f t="shared" si="198"/>
        <v>PO-102147</v>
      </c>
      <c r="O2148" t="str">
        <f t="shared" si="199"/>
        <v>Delivered</v>
      </c>
      <c r="P2148" t="str">
        <f t="shared" si="200"/>
        <v>WH-BOM</v>
      </c>
      <c r="Q2148" t="str">
        <f>VLOOKUP(C2148, Lookups!$A$2:$D$10, 2, FALSE())</f>
        <v>FastElectronics</v>
      </c>
      <c r="R2148" t="str">
        <f>_xlfn.XLOOKUP(D2148, Lookups!$A$12:$A$51, Lookups!$C$12:$C$51, "Unknown")</f>
        <v>Electronics</v>
      </c>
      <c r="S2148" t="str">
        <f>IF(ISBLANK(I2148), B2148+VLOOKUP(C2148, Lookups!$A$2:$D$10, 4, FALSE()), I2148)</f>
        <v>2025-06-14</v>
      </c>
      <c r="T2148">
        <f t="shared" si="201"/>
        <v>28</v>
      </c>
      <c r="U2148" t="str">
        <f t="shared" si="202"/>
        <v>Late</v>
      </c>
      <c r="V2148">
        <f t="shared" si="203"/>
        <v>0.115</v>
      </c>
    </row>
    <row r="2149" spans="1:22" x14ac:dyDescent="0.45">
      <c r="A2149" t="s">
        <v>3003</v>
      </c>
      <c r="B2149" t="s">
        <v>232</v>
      </c>
      <c r="C2149" t="s">
        <v>31</v>
      </c>
      <c r="D2149" t="s">
        <v>56</v>
      </c>
      <c r="E2149" t="s">
        <v>18</v>
      </c>
      <c r="F2149">
        <v>133</v>
      </c>
      <c r="G2149">
        <v>39270</v>
      </c>
      <c r="H2149">
        <v>5222910</v>
      </c>
      <c r="I2149" t="s">
        <v>1597</v>
      </c>
      <c r="J2149" t="s">
        <v>1597</v>
      </c>
      <c r="K2149">
        <v>133</v>
      </c>
      <c r="L2149">
        <v>0</v>
      </c>
      <c r="M2149" t="s">
        <v>115</v>
      </c>
      <c r="N2149" t="str">
        <f t="shared" si="198"/>
        <v>PO-102148</v>
      </c>
      <c r="O2149" t="str">
        <f t="shared" si="199"/>
        <v>Delivered</v>
      </c>
      <c r="P2149" t="str">
        <f t="shared" si="200"/>
        <v>WH-PUN</v>
      </c>
      <c r="Q2149" t="str">
        <f>VLOOKUP(C2149, Lookups!$A$2:$D$10, 2, FALSE())</f>
        <v>Global Networks</v>
      </c>
      <c r="R2149" t="str">
        <f>_xlfn.XLOOKUP(D2149, Lookups!$A$12:$A$51, Lookups!$C$12:$C$51, "Unknown")</f>
        <v>Networking</v>
      </c>
      <c r="S2149" t="str">
        <f>IF(ISBLANK(I2149), B2149+VLOOKUP(C2149, Lookups!$A$2:$D$10, 4, FALSE()), I2149)</f>
        <v>2025-12-05</v>
      </c>
      <c r="T2149">
        <f t="shared" si="201"/>
        <v>21</v>
      </c>
      <c r="U2149" t="str">
        <f t="shared" si="202"/>
        <v>On-Time</v>
      </c>
      <c r="V2149">
        <f t="shared" si="203"/>
        <v>0</v>
      </c>
    </row>
    <row r="2150" spans="1:22" x14ac:dyDescent="0.45">
      <c r="A2150" t="s">
        <v>3004</v>
      </c>
      <c r="B2150" t="s">
        <v>968</v>
      </c>
      <c r="C2150" t="s">
        <v>37</v>
      </c>
      <c r="D2150" t="s">
        <v>79</v>
      </c>
      <c r="E2150" t="s">
        <v>15</v>
      </c>
      <c r="F2150">
        <v>182</v>
      </c>
      <c r="G2150">
        <v>23054</v>
      </c>
      <c r="H2150">
        <v>4195828</v>
      </c>
      <c r="I2150" t="s">
        <v>199</v>
      </c>
      <c r="J2150" t="s">
        <v>809</v>
      </c>
      <c r="K2150">
        <v>175</v>
      </c>
      <c r="L2150">
        <v>0</v>
      </c>
      <c r="M2150" t="s">
        <v>115</v>
      </c>
      <c r="N2150" t="str">
        <f t="shared" si="198"/>
        <v>PO-102149</v>
      </c>
      <c r="O2150" t="str">
        <f t="shared" si="199"/>
        <v>Delivered</v>
      </c>
      <c r="P2150" t="str">
        <f t="shared" si="200"/>
        <v>WH-BOM</v>
      </c>
      <c r="Q2150" t="str">
        <f>VLOOKUP(C2150, Lookups!$A$2:$D$10, 2, FALSE())</f>
        <v>Premium Desks Ltd</v>
      </c>
      <c r="R2150" t="str">
        <f>_xlfn.XLOOKUP(D2150, Lookups!$A$12:$A$51, Lookups!$C$12:$C$51, "Unknown")</f>
        <v>Office Furniture</v>
      </c>
      <c r="S2150" t="str">
        <f>IF(ISBLANK(I2150), B2150+VLOOKUP(C2150, Lookups!$A$2:$D$10, 4, FALSE()), I2150)</f>
        <v>2025-10-16</v>
      </c>
      <c r="T2150">
        <f t="shared" si="201"/>
        <v>13</v>
      </c>
      <c r="U2150" t="str">
        <f t="shared" si="202"/>
        <v>Late</v>
      </c>
      <c r="V2150">
        <f t="shared" si="203"/>
        <v>0</v>
      </c>
    </row>
    <row r="2151" spans="1:22" x14ac:dyDescent="0.45">
      <c r="A2151" t="s">
        <v>3005</v>
      </c>
      <c r="B2151" t="s">
        <v>798</v>
      </c>
      <c r="C2151" t="s">
        <v>33</v>
      </c>
      <c r="D2151" t="s">
        <v>89</v>
      </c>
      <c r="E2151" t="s">
        <v>16</v>
      </c>
      <c r="F2151">
        <v>215</v>
      </c>
      <c r="G2151">
        <v>11309</v>
      </c>
      <c r="H2151">
        <v>2431435</v>
      </c>
      <c r="I2151" t="s">
        <v>391</v>
      </c>
      <c r="J2151" t="s">
        <v>391</v>
      </c>
      <c r="K2151">
        <v>215</v>
      </c>
      <c r="L2151">
        <v>0</v>
      </c>
      <c r="M2151" t="s">
        <v>115</v>
      </c>
      <c r="N2151" t="str">
        <f t="shared" si="198"/>
        <v>PO-102150</v>
      </c>
      <c r="O2151" t="str">
        <f t="shared" si="199"/>
        <v>Delivered</v>
      </c>
      <c r="P2151" t="str">
        <f t="shared" si="200"/>
        <v>WH-DEL</v>
      </c>
      <c r="Q2151" t="str">
        <f>VLOOKUP(C2151, Lookups!$A$2:$D$10, 2, FALSE())</f>
        <v>MegaFurnish</v>
      </c>
      <c r="R2151" t="str">
        <f>_xlfn.XLOOKUP(D2151, Lookups!$A$12:$A$51, Lookups!$C$12:$C$51, "Unknown")</f>
        <v>Office Furniture</v>
      </c>
      <c r="S2151" t="str">
        <f>IF(ISBLANK(I2151), B2151+VLOOKUP(C2151, Lookups!$A$2:$D$10, 4, FALSE()), I2151)</f>
        <v>2026-06-14</v>
      </c>
      <c r="T2151">
        <f t="shared" si="201"/>
        <v>30</v>
      </c>
      <c r="U2151" t="str">
        <f t="shared" si="202"/>
        <v>On-Time</v>
      </c>
      <c r="V2151">
        <f t="shared" si="203"/>
        <v>0</v>
      </c>
    </row>
    <row r="2152" spans="1:22" x14ac:dyDescent="0.45">
      <c r="A2152" t="s">
        <v>3006</v>
      </c>
      <c r="B2152" t="s">
        <v>535</v>
      </c>
      <c r="C2152" t="s">
        <v>35</v>
      </c>
      <c r="D2152" t="s">
        <v>72</v>
      </c>
      <c r="E2152" t="s">
        <v>16</v>
      </c>
      <c r="F2152">
        <v>134</v>
      </c>
      <c r="G2152">
        <v>7754</v>
      </c>
      <c r="H2152">
        <v>1039036</v>
      </c>
      <c r="I2152" t="s">
        <v>1459</v>
      </c>
      <c r="J2152" t="s">
        <v>1459</v>
      </c>
      <c r="K2152">
        <v>134</v>
      </c>
      <c r="L2152">
        <v>0</v>
      </c>
      <c r="M2152" t="s">
        <v>115</v>
      </c>
      <c r="N2152" t="str">
        <f t="shared" si="198"/>
        <v>PO-102151</v>
      </c>
      <c r="O2152" t="str">
        <f t="shared" si="199"/>
        <v>Delivered</v>
      </c>
      <c r="P2152" t="str">
        <f t="shared" si="200"/>
        <v>WH-DEL</v>
      </c>
      <c r="Q2152" t="str">
        <f>VLOOKUP(C2152, Lookups!$A$2:$D$10, 2, FALSE())</f>
        <v>Peripheral Source</v>
      </c>
      <c r="R2152" t="str">
        <f>_xlfn.XLOOKUP(D2152, Lookups!$A$12:$A$51, Lookups!$C$12:$C$51, "Unknown")</f>
        <v>Peripherals</v>
      </c>
      <c r="S2152" t="str">
        <f>IF(ISBLANK(I2152), B2152+VLOOKUP(C2152, Lookups!$A$2:$D$10, 4, FALSE()), I2152)</f>
        <v>2026-05-18</v>
      </c>
      <c r="T2152">
        <f t="shared" si="201"/>
        <v>10</v>
      </c>
      <c r="U2152" t="str">
        <f t="shared" si="202"/>
        <v>On-Time</v>
      </c>
      <c r="V2152">
        <f t="shared" si="203"/>
        <v>0</v>
      </c>
    </row>
    <row r="2153" spans="1:22" x14ac:dyDescent="0.45">
      <c r="A2153" t="s">
        <v>3007</v>
      </c>
      <c r="B2153" t="s">
        <v>672</v>
      </c>
      <c r="C2153" t="s">
        <v>31</v>
      </c>
      <c r="D2153" t="s">
        <v>64</v>
      </c>
      <c r="E2153" t="s">
        <v>16</v>
      </c>
      <c r="F2153">
        <v>204</v>
      </c>
      <c r="G2153">
        <v>36295</v>
      </c>
      <c r="H2153">
        <v>7404180</v>
      </c>
      <c r="I2153" t="s">
        <v>1102</v>
      </c>
      <c r="J2153" t="s">
        <v>745</v>
      </c>
      <c r="K2153">
        <v>204</v>
      </c>
      <c r="L2153">
        <v>0</v>
      </c>
      <c r="M2153" t="s">
        <v>115</v>
      </c>
      <c r="N2153" t="str">
        <f t="shared" si="198"/>
        <v>PO-102152</v>
      </c>
      <c r="O2153" t="str">
        <f t="shared" si="199"/>
        <v>Delivered</v>
      </c>
      <c r="P2153" t="str">
        <f t="shared" si="200"/>
        <v>WH-DEL</v>
      </c>
      <c r="Q2153" t="str">
        <f>VLOOKUP(C2153, Lookups!$A$2:$D$10, 2, FALSE())</f>
        <v>Global Networks</v>
      </c>
      <c r="R2153" t="str">
        <f>_xlfn.XLOOKUP(D2153, Lookups!$A$12:$A$51, Lookups!$C$12:$C$51, "Unknown")</f>
        <v>Networking</v>
      </c>
      <c r="S2153" t="str">
        <f>IF(ISBLANK(I2153), B2153+VLOOKUP(C2153, Lookups!$A$2:$D$10, 4, FALSE()), I2153)</f>
        <v>2026-12-05</v>
      </c>
      <c r="T2153">
        <f t="shared" si="201"/>
        <v>22</v>
      </c>
      <c r="U2153" t="str">
        <f t="shared" si="202"/>
        <v>Late</v>
      </c>
      <c r="V2153">
        <f t="shared" si="203"/>
        <v>0</v>
      </c>
    </row>
    <row r="2154" spans="1:22" x14ac:dyDescent="0.45">
      <c r="A2154" t="s">
        <v>3008</v>
      </c>
      <c r="B2154" t="s">
        <v>778</v>
      </c>
      <c r="C2154" t="s">
        <v>35</v>
      </c>
      <c r="D2154" t="s">
        <v>57</v>
      </c>
      <c r="E2154" t="s">
        <v>17</v>
      </c>
      <c r="F2154">
        <v>184</v>
      </c>
      <c r="G2154">
        <v>2212</v>
      </c>
      <c r="H2154">
        <v>407008</v>
      </c>
      <c r="I2154" t="s">
        <v>753</v>
      </c>
      <c r="J2154" t="s">
        <v>1263</v>
      </c>
      <c r="K2154">
        <v>184</v>
      </c>
      <c r="L2154">
        <v>0</v>
      </c>
      <c r="M2154" t="s">
        <v>115</v>
      </c>
      <c r="N2154" t="str">
        <f t="shared" si="198"/>
        <v>PO-102153</v>
      </c>
      <c r="O2154" t="str">
        <f t="shared" si="199"/>
        <v>Delivered</v>
      </c>
      <c r="P2154" t="str">
        <f t="shared" si="200"/>
        <v>WH-BLR</v>
      </c>
      <c r="Q2154" t="str">
        <f>VLOOKUP(C2154, Lookups!$A$2:$D$10, 2, FALSE())</f>
        <v>Peripheral Source</v>
      </c>
      <c r="R2154" t="str">
        <f>_xlfn.XLOOKUP(D2154, Lookups!$A$12:$A$51, Lookups!$C$12:$C$51, "Unknown")</f>
        <v>Peripherals</v>
      </c>
      <c r="S2154" t="str">
        <f>IF(ISBLANK(I2154), B2154+VLOOKUP(C2154, Lookups!$A$2:$D$10, 4, FALSE()), I2154)</f>
        <v>2025-12-23</v>
      </c>
      <c r="T2154">
        <f t="shared" si="201"/>
        <v>18</v>
      </c>
      <c r="U2154" t="str">
        <f t="shared" si="202"/>
        <v>Late</v>
      </c>
      <c r="V2154">
        <f t="shared" si="203"/>
        <v>0</v>
      </c>
    </row>
    <row r="2155" spans="1:22" x14ac:dyDescent="0.45">
      <c r="A2155" t="s">
        <v>3009</v>
      </c>
      <c r="B2155" t="s">
        <v>752</v>
      </c>
      <c r="C2155" t="s">
        <v>34</v>
      </c>
      <c r="D2155" t="s">
        <v>74</v>
      </c>
      <c r="E2155" t="s">
        <v>18</v>
      </c>
      <c r="F2155">
        <v>38</v>
      </c>
      <c r="G2155">
        <v>94797</v>
      </c>
      <c r="H2155">
        <v>3602286</v>
      </c>
      <c r="I2155" t="s">
        <v>1415</v>
      </c>
      <c r="J2155" t="s">
        <v>836</v>
      </c>
      <c r="K2155">
        <v>38</v>
      </c>
      <c r="L2155">
        <v>0</v>
      </c>
      <c r="M2155" t="s">
        <v>115</v>
      </c>
      <c r="N2155" t="str">
        <f t="shared" si="198"/>
        <v>PO-102154</v>
      </c>
      <c r="O2155" t="str">
        <f t="shared" si="199"/>
        <v>Delivered</v>
      </c>
      <c r="P2155" t="str">
        <f t="shared" si="200"/>
        <v>WH-PUN</v>
      </c>
      <c r="Q2155" t="str">
        <f>VLOOKUP(C2155, Lookups!$A$2:$D$10, 2, FALSE())</f>
        <v>FastElectronics</v>
      </c>
      <c r="R2155" t="str">
        <f>_xlfn.XLOOKUP(D2155, Lookups!$A$12:$A$51, Lookups!$C$12:$C$51, "Unknown")</f>
        <v>Electronics</v>
      </c>
      <c r="S2155" t="str">
        <f>IF(ISBLANK(I2155), B2155+VLOOKUP(C2155, Lookups!$A$2:$D$10, 4, FALSE()), I2155)</f>
        <v>2026-01-09</v>
      </c>
      <c r="T2155">
        <f t="shared" si="201"/>
        <v>19</v>
      </c>
      <c r="U2155" t="str">
        <f t="shared" si="202"/>
        <v>Late</v>
      </c>
      <c r="V2155">
        <f t="shared" si="203"/>
        <v>0</v>
      </c>
    </row>
    <row r="2156" spans="1:22" x14ac:dyDescent="0.45">
      <c r="A2156" t="s">
        <v>3010</v>
      </c>
      <c r="B2156" t="s">
        <v>516</v>
      </c>
      <c r="C2156" t="s">
        <v>37</v>
      </c>
      <c r="D2156" t="s">
        <v>78</v>
      </c>
      <c r="E2156" t="s">
        <v>18</v>
      </c>
      <c r="F2156">
        <v>153</v>
      </c>
      <c r="G2156">
        <v>9423</v>
      </c>
      <c r="H2156">
        <v>1441719</v>
      </c>
      <c r="I2156" t="s">
        <v>1921</v>
      </c>
      <c r="J2156" t="s">
        <v>397</v>
      </c>
      <c r="K2156">
        <v>153</v>
      </c>
      <c r="L2156">
        <v>0</v>
      </c>
      <c r="M2156" t="s">
        <v>115</v>
      </c>
      <c r="N2156" t="str">
        <f t="shared" si="198"/>
        <v>PO-102155</v>
      </c>
      <c r="O2156" t="str">
        <f t="shared" si="199"/>
        <v>Delivered</v>
      </c>
      <c r="P2156" t="str">
        <f t="shared" si="200"/>
        <v>WH-PUN</v>
      </c>
      <c r="Q2156" t="str">
        <f>VLOOKUP(C2156, Lookups!$A$2:$D$10, 2, FALSE())</f>
        <v>Premium Desks Ltd</v>
      </c>
      <c r="R2156" t="str">
        <f>_xlfn.XLOOKUP(D2156, Lookups!$A$12:$A$51, Lookups!$C$12:$C$51, "Unknown")</f>
        <v>Office Furniture</v>
      </c>
      <c r="S2156" t="str">
        <f>IF(ISBLANK(I2156), B2156+VLOOKUP(C2156, Lookups!$A$2:$D$10, 4, FALSE()), I2156)</f>
        <v>2025-04-05</v>
      </c>
      <c r="T2156">
        <f t="shared" si="201"/>
        <v>13</v>
      </c>
      <c r="U2156" t="str">
        <f t="shared" si="202"/>
        <v>Late</v>
      </c>
      <c r="V2156">
        <f t="shared" si="203"/>
        <v>0</v>
      </c>
    </row>
    <row r="2157" spans="1:22" x14ac:dyDescent="0.45">
      <c r="A2157" t="s">
        <v>3011</v>
      </c>
      <c r="B2157" t="s">
        <v>315</v>
      </c>
      <c r="C2157" t="s">
        <v>32</v>
      </c>
      <c r="D2157" t="s">
        <v>67</v>
      </c>
      <c r="E2157" t="s">
        <v>18</v>
      </c>
      <c r="F2157">
        <v>74</v>
      </c>
      <c r="G2157">
        <v>1553</v>
      </c>
      <c r="H2157">
        <v>114922</v>
      </c>
      <c r="I2157" t="s">
        <v>935</v>
      </c>
      <c r="J2157" t="s">
        <v>935</v>
      </c>
      <c r="K2157">
        <v>74</v>
      </c>
      <c r="L2157">
        <v>0</v>
      </c>
      <c r="M2157" t="s">
        <v>115</v>
      </c>
      <c r="N2157" t="str">
        <f t="shared" si="198"/>
        <v>PO-102156</v>
      </c>
      <c r="O2157" t="str">
        <f t="shared" si="199"/>
        <v>Delivered</v>
      </c>
      <c r="P2157" t="str">
        <f t="shared" si="200"/>
        <v>WH-PUN</v>
      </c>
      <c r="Q2157" t="str">
        <f>VLOOKUP(C2157, Lookups!$A$2:$D$10, 2, FALSE())</f>
        <v>OfficeDepot Pro</v>
      </c>
      <c r="R2157" t="str">
        <f>_xlfn.XLOOKUP(D2157, Lookups!$A$12:$A$51, Lookups!$C$12:$C$51, "Unknown")</f>
        <v>Peripherals</v>
      </c>
      <c r="S2157" t="str">
        <f>IF(ISBLANK(I2157), B2157+VLOOKUP(C2157, Lookups!$A$2:$D$10, 4, FALSE()), I2157)</f>
        <v>2026-03-14</v>
      </c>
      <c r="T2157">
        <f t="shared" si="201"/>
        <v>7</v>
      </c>
      <c r="U2157" t="str">
        <f t="shared" si="202"/>
        <v>On-Time</v>
      </c>
      <c r="V2157">
        <f t="shared" si="203"/>
        <v>0</v>
      </c>
    </row>
    <row r="2158" spans="1:22" x14ac:dyDescent="0.45">
      <c r="A2158" t="s">
        <v>3012</v>
      </c>
      <c r="B2158" t="s">
        <v>255</v>
      </c>
      <c r="C2158" t="s">
        <v>30</v>
      </c>
      <c r="D2158" t="s">
        <v>59</v>
      </c>
      <c r="E2158" t="s">
        <v>18</v>
      </c>
      <c r="F2158">
        <v>39</v>
      </c>
      <c r="G2158">
        <v>48905</v>
      </c>
      <c r="H2158">
        <v>1907295</v>
      </c>
      <c r="I2158" t="s">
        <v>371</v>
      </c>
      <c r="J2158" t="s">
        <v>371</v>
      </c>
      <c r="K2158">
        <v>39</v>
      </c>
      <c r="L2158">
        <v>0</v>
      </c>
      <c r="M2158" t="s">
        <v>115</v>
      </c>
      <c r="N2158" t="str">
        <f t="shared" si="198"/>
        <v>PO-102157</v>
      </c>
      <c r="O2158" t="str">
        <f t="shared" si="199"/>
        <v>Delivered</v>
      </c>
      <c r="P2158" t="str">
        <f t="shared" si="200"/>
        <v>WH-PUN</v>
      </c>
      <c r="Q2158" t="str">
        <f>VLOOKUP(C2158, Lookups!$A$2:$D$10, 2, FALSE())</f>
        <v>TechSupply Corp</v>
      </c>
      <c r="R2158" t="str">
        <f>_xlfn.XLOOKUP(D2158, Lookups!$A$12:$A$51, Lookups!$C$12:$C$51, "Unknown")</f>
        <v>Electronics</v>
      </c>
      <c r="S2158" t="str">
        <f>IF(ISBLANK(I2158), B2158+VLOOKUP(C2158, Lookups!$A$2:$D$10, 4, FALSE()), I2158)</f>
        <v>2025-12-02</v>
      </c>
      <c r="T2158">
        <f t="shared" si="201"/>
        <v>14</v>
      </c>
      <c r="U2158" t="str">
        <f t="shared" si="202"/>
        <v>On-Time</v>
      </c>
      <c r="V2158">
        <f t="shared" si="203"/>
        <v>0</v>
      </c>
    </row>
    <row r="2159" spans="1:22" x14ac:dyDescent="0.45">
      <c r="A2159" t="s">
        <v>3013</v>
      </c>
      <c r="B2159" t="s">
        <v>1413</v>
      </c>
      <c r="C2159" t="s">
        <v>31</v>
      </c>
      <c r="D2159" t="s">
        <v>64</v>
      </c>
      <c r="E2159" t="s">
        <v>16</v>
      </c>
      <c r="F2159">
        <v>43</v>
      </c>
      <c r="G2159">
        <v>36295</v>
      </c>
      <c r="H2159">
        <v>1560685</v>
      </c>
      <c r="I2159" t="s">
        <v>887</v>
      </c>
      <c r="J2159" t="s">
        <v>322</v>
      </c>
      <c r="K2159">
        <v>43</v>
      </c>
      <c r="L2159">
        <v>0</v>
      </c>
      <c r="M2159" t="s">
        <v>115</v>
      </c>
      <c r="N2159" t="str">
        <f t="shared" si="198"/>
        <v>PO-102158</v>
      </c>
      <c r="O2159" t="str">
        <f t="shared" si="199"/>
        <v>Delivered</v>
      </c>
      <c r="P2159" t="str">
        <f t="shared" si="200"/>
        <v>WH-DEL</v>
      </c>
      <c r="Q2159" t="str">
        <f>VLOOKUP(C2159, Lookups!$A$2:$D$10, 2, FALSE())</f>
        <v>Global Networks</v>
      </c>
      <c r="R2159" t="str">
        <f>_xlfn.XLOOKUP(D2159, Lookups!$A$12:$A$51, Lookups!$C$12:$C$51, "Unknown")</f>
        <v>Networking</v>
      </c>
      <c r="S2159" t="str">
        <f>IF(ISBLANK(I2159), B2159+VLOOKUP(C2159, Lookups!$A$2:$D$10, 4, FALSE()), I2159)</f>
        <v>2026-03-23</v>
      </c>
      <c r="T2159">
        <f t="shared" si="201"/>
        <v>22</v>
      </c>
      <c r="U2159" t="str">
        <f t="shared" si="202"/>
        <v>Late</v>
      </c>
      <c r="V2159">
        <f t="shared" si="203"/>
        <v>0</v>
      </c>
    </row>
    <row r="2160" spans="1:22" x14ac:dyDescent="0.45">
      <c r="A2160" t="s">
        <v>3014</v>
      </c>
      <c r="B2160" t="s">
        <v>1079</v>
      </c>
      <c r="C2160" t="s">
        <v>31</v>
      </c>
      <c r="D2160" t="s">
        <v>77</v>
      </c>
      <c r="E2160" t="s">
        <v>18</v>
      </c>
      <c r="F2160">
        <v>27</v>
      </c>
      <c r="G2160">
        <v>23667</v>
      </c>
      <c r="H2160">
        <v>639009</v>
      </c>
      <c r="I2160" t="s">
        <v>262</v>
      </c>
      <c r="J2160" t="s">
        <v>262</v>
      </c>
      <c r="K2160">
        <v>27</v>
      </c>
      <c r="L2160">
        <v>0</v>
      </c>
      <c r="M2160" t="s">
        <v>115</v>
      </c>
      <c r="N2160" t="str">
        <f t="shared" si="198"/>
        <v>PO-102159</v>
      </c>
      <c r="O2160" t="str">
        <f t="shared" si="199"/>
        <v>Delivered</v>
      </c>
      <c r="P2160" t="str">
        <f t="shared" si="200"/>
        <v>WH-PUN</v>
      </c>
      <c r="Q2160" t="str">
        <f>VLOOKUP(C2160, Lookups!$A$2:$D$10, 2, FALSE())</f>
        <v>Global Networks</v>
      </c>
      <c r="R2160" t="str">
        <f>_xlfn.XLOOKUP(D2160, Lookups!$A$12:$A$51, Lookups!$C$12:$C$51, "Unknown")</f>
        <v>Networking</v>
      </c>
      <c r="S2160" t="str">
        <f>IF(ISBLANK(I2160), B2160+VLOOKUP(C2160, Lookups!$A$2:$D$10, 4, FALSE()), I2160)</f>
        <v>2026-02-08</v>
      </c>
      <c r="T2160">
        <f t="shared" si="201"/>
        <v>21</v>
      </c>
      <c r="U2160" t="str">
        <f t="shared" si="202"/>
        <v>On-Time</v>
      </c>
      <c r="V2160">
        <f t="shared" si="203"/>
        <v>0</v>
      </c>
    </row>
    <row r="2161" spans="1:22" x14ac:dyDescent="0.45">
      <c r="A2161" t="s">
        <v>3015</v>
      </c>
      <c r="B2161" t="s">
        <v>700</v>
      </c>
      <c r="C2161" t="s">
        <v>30</v>
      </c>
      <c r="D2161" t="s">
        <v>88</v>
      </c>
      <c r="E2161" t="s">
        <v>18</v>
      </c>
      <c r="F2161">
        <v>226</v>
      </c>
      <c r="G2161">
        <v>75512</v>
      </c>
      <c r="H2161">
        <v>17065712</v>
      </c>
      <c r="I2161" t="s">
        <v>577</v>
      </c>
      <c r="J2161" t="s">
        <v>443</v>
      </c>
      <c r="K2161">
        <v>226</v>
      </c>
      <c r="L2161">
        <v>0</v>
      </c>
      <c r="M2161" t="s">
        <v>115</v>
      </c>
      <c r="N2161" t="str">
        <f t="shared" si="198"/>
        <v>PO-102160</v>
      </c>
      <c r="O2161" t="str">
        <f t="shared" si="199"/>
        <v>Delivered</v>
      </c>
      <c r="P2161" t="str">
        <f t="shared" si="200"/>
        <v>WH-PUN</v>
      </c>
      <c r="Q2161" t="str">
        <f>VLOOKUP(C2161, Lookups!$A$2:$D$10, 2, FALSE())</f>
        <v>TechSupply Corp</v>
      </c>
      <c r="R2161" t="str">
        <f>_xlfn.XLOOKUP(D2161, Lookups!$A$12:$A$51, Lookups!$C$12:$C$51, "Unknown")</f>
        <v>Electronics</v>
      </c>
      <c r="S2161" t="str">
        <f>IF(ISBLANK(I2161), B2161+VLOOKUP(C2161, Lookups!$A$2:$D$10, 4, FALSE()), I2161)</f>
        <v>2026-03-30</v>
      </c>
      <c r="T2161">
        <f t="shared" si="201"/>
        <v>15</v>
      </c>
      <c r="U2161" t="str">
        <f t="shared" si="202"/>
        <v>Late</v>
      </c>
      <c r="V2161">
        <f t="shared" si="203"/>
        <v>0</v>
      </c>
    </row>
    <row r="2162" spans="1:22" x14ac:dyDescent="0.45">
      <c r="A2162" t="s">
        <v>3016</v>
      </c>
      <c r="B2162" t="s">
        <v>127</v>
      </c>
      <c r="C2162" t="s">
        <v>33</v>
      </c>
      <c r="D2162" t="s">
        <v>89</v>
      </c>
      <c r="E2162" t="s">
        <v>18</v>
      </c>
      <c r="F2162">
        <v>151</v>
      </c>
      <c r="G2162">
        <v>11309</v>
      </c>
      <c r="H2162">
        <v>1707659</v>
      </c>
      <c r="I2162" t="s">
        <v>787</v>
      </c>
      <c r="J2162" t="s">
        <v>576</v>
      </c>
      <c r="K2162">
        <v>151</v>
      </c>
      <c r="L2162">
        <v>0</v>
      </c>
      <c r="M2162" t="s">
        <v>115</v>
      </c>
      <c r="N2162" t="str">
        <f t="shared" si="198"/>
        <v>PO-102161</v>
      </c>
      <c r="O2162" t="str">
        <f t="shared" si="199"/>
        <v>Delivered</v>
      </c>
      <c r="P2162" t="str">
        <f t="shared" si="200"/>
        <v>WH-PUN</v>
      </c>
      <c r="Q2162" t="str">
        <f>VLOOKUP(C2162, Lookups!$A$2:$D$10, 2, FALSE())</f>
        <v>MegaFurnish</v>
      </c>
      <c r="R2162" t="str">
        <f>_xlfn.XLOOKUP(D2162, Lookups!$A$12:$A$51, Lookups!$C$12:$C$51, "Unknown")</f>
        <v>Office Furniture</v>
      </c>
      <c r="S2162" t="str">
        <f>IF(ISBLANK(I2162), B2162+VLOOKUP(C2162, Lookups!$A$2:$D$10, 4, FALSE()), I2162)</f>
        <v>2026-03-04</v>
      </c>
      <c r="T2162">
        <f t="shared" si="201"/>
        <v>31</v>
      </c>
      <c r="U2162" t="str">
        <f t="shared" si="202"/>
        <v>Late</v>
      </c>
      <c r="V2162">
        <f t="shared" si="203"/>
        <v>0</v>
      </c>
    </row>
    <row r="2163" spans="1:22" x14ac:dyDescent="0.45">
      <c r="A2163" t="s">
        <v>3017</v>
      </c>
      <c r="B2163" t="s">
        <v>662</v>
      </c>
      <c r="C2163" t="s">
        <v>36</v>
      </c>
      <c r="D2163" t="s">
        <v>90</v>
      </c>
      <c r="E2163" t="s">
        <v>18</v>
      </c>
      <c r="F2163">
        <v>199</v>
      </c>
      <c r="G2163">
        <v>81434</v>
      </c>
      <c r="H2163">
        <v>16205366</v>
      </c>
      <c r="I2163" t="s">
        <v>692</v>
      </c>
      <c r="J2163" t="s">
        <v>1112</v>
      </c>
      <c r="K2163">
        <v>199</v>
      </c>
      <c r="L2163">
        <v>6</v>
      </c>
      <c r="M2163" t="s">
        <v>115</v>
      </c>
      <c r="N2163" t="str">
        <f t="shared" si="198"/>
        <v>PO-102162</v>
      </c>
      <c r="O2163" t="str">
        <f t="shared" si="199"/>
        <v>Delivered</v>
      </c>
      <c r="P2163" t="str">
        <f t="shared" si="200"/>
        <v>WH-PUN</v>
      </c>
      <c r="Q2163" t="str">
        <f>VLOOKUP(C2163, Lookups!$A$2:$D$10, 2, FALSE())</f>
        <v>NextGen Hardware</v>
      </c>
      <c r="R2163" t="str">
        <f>_xlfn.XLOOKUP(D2163, Lookups!$A$12:$A$51, Lookups!$C$12:$C$51, "Unknown")</f>
        <v>Electronics</v>
      </c>
      <c r="S2163" t="str">
        <f>IF(ISBLANK(I2163), B2163+VLOOKUP(C2163, Lookups!$A$2:$D$10, 4, FALSE()), I2163)</f>
        <v>2026-10-29</v>
      </c>
      <c r="T2163">
        <f t="shared" si="201"/>
        <v>23</v>
      </c>
      <c r="U2163" t="str">
        <f t="shared" si="202"/>
        <v>On-Time</v>
      </c>
      <c r="V2163">
        <f t="shared" si="203"/>
        <v>3.015075376884422E-2</v>
      </c>
    </row>
    <row r="2164" spans="1:22" x14ac:dyDescent="0.45">
      <c r="A2164" t="s">
        <v>3018</v>
      </c>
      <c r="B2164" t="s">
        <v>123</v>
      </c>
      <c r="C2164" t="s">
        <v>36</v>
      </c>
      <c r="D2164" t="s">
        <v>55</v>
      </c>
      <c r="E2164" t="s">
        <v>17</v>
      </c>
      <c r="F2164">
        <v>191</v>
      </c>
      <c r="G2164">
        <v>58434</v>
      </c>
      <c r="H2164">
        <v>11160894</v>
      </c>
      <c r="I2164" t="s">
        <v>842</v>
      </c>
      <c r="J2164" t="s">
        <v>124</v>
      </c>
      <c r="K2164">
        <v>191</v>
      </c>
      <c r="L2164">
        <v>0</v>
      </c>
      <c r="M2164" t="s">
        <v>115</v>
      </c>
      <c r="N2164" t="str">
        <f t="shared" si="198"/>
        <v>PO-102163</v>
      </c>
      <c r="O2164" t="str">
        <f t="shared" si="199"/>
        <v>Delivered</v>
      </c>
      <c r="P2164" t="str">
        <f t="shared" si="200"/>
        <v>WH-BLR</v>
      </c>
      <c r="Q2164" t="str">
        <f>VLOOKUP(C2164, Lookups!$A$2:$D$10, 2, FALSE())</f>
        <v>NextGen Hardware</v>
      </c>
      <c r="R2164" t="str">
        <f>_xlfn.XLOOKUP(D2164, Lookups!$A$12:$A$51, Lookups!$C$12:$C$51, "Unknown")</f>
        <v>Electronics</v>
      </c>
      <c r="S2164" t="str">
        <f>IF(ISBLANK(I2164), B2164+VLOOKUP(C2164, Lookups!$A$2:$D$10, 4, FALSE()), I2164)</f>
        <v>2026-06-15</v>
      </c>
      <c r="T2164">
        <f t="shared" si="201"/>
        <v>21</v>
      </c>
      <c r="U2164" t="str">
        <f t="shared" si="202"/>
        <v>On-Time</v>
      </c>
      <c r="V2164">
        <f t="shared" si="203"/>
        <v>0</v>
      </c>
    </row>
    <row r="2165" spans="1:22" x14ac:dyDescent="0.45">
      <c r="A2165" t="s">
        <v>3019</v>
      </c>
      <c r="B2165" t="s">
        <v>225</v>
      </c>
      <c r="C2165" t="s">
        <v>35</v>
      </c>
      <c r="D2165" t="s">
        <v>57</v>
      </c>
      <c r="E2165" t="s">
        <v>18</v>
      </c>
      <c r="F2165">
        <v>74</v>
      </c>
      <c r="G2165">
        <v>2212</v>
      </c>
      <c r="H2165">
        <v>163688</v>
      </c>
      <c r="I2165" t="s">
        <v>1044</v>
      </c>
      <c r="J2165" t="s">
        <v>454</v>
      </c>
      <c r="K2165">
        <v>74</v>
      </c>
      <c r="L2165">
        <v>0</v>
      </c>
      <c r="M2165" t="s">
        <v>115</v>
      </c>
      <c r="N2165" t="str">
        <f t="shared" si="198"/>
        <v>PO-102164</v>
      </c>
      <c r="O2165" t="str">
        <f t="shared" si="199"/>
        <v>Delivered</v>
      </c>
      <c r="P2165" t="str">
        <f t="shared" si="200"/>
        <v>WH-PUN</v>
      </c>
      <c r="Q2165" t="str">
        <f>VLOOKUP(C2165, Lookups!$A$2:$D$10, 2, FALSE())</f>
        <v>Peripheral Source</v>
      </c>
      <c r="R2165" t="str">
        <f>_xlfn.XLOOKUP(D2165, Lookups!$A$12:$A$51, Lookups!$C$12:$C$51, "Unknown")</f>
        <v>Peripherals</v>
      </c>
      <c r="S2165" t="str">
        <f>IF(ISBLANK(I2165), B2165+VLOOKUP(C2165, Lookups!$A$2:$D$10, 4, FALSE()), I2165)</f>
        <v>2026-08-10</v>
      </c>
      <c r="T2165">
        <f t="shared" si="201"/>
        <v>12</v>
      </c>
      <c r="U2165" t="str">
        <f t="shared" si="202"/>
        <v>Late</v>
      </c>
      <c r="V2165">
        <f t="shared" si="203"/>
        <v>0</v>
      </c>
    </row>
    <row r="2166" spans="1:22" x14ac:dyDescent="0.45">
      <c r="A2166" t="s">
        <v>3020</v>
      </c>
      <c r="B2166" t="s">
        <v>199</v>
      </c>
      <c r="C2166" t="s">
        <v>31</v>
      </c>
      <c r="D2166" t="s">
        <v>77</v>
      </c>
      <c r="E2166" t="s">
        <v>15</v>
      </c>
      <c r="F2166">
        <v>38</v>
      </c>
      <c r="G2166">
        <v>23667</v>
      </c>
      <c r="H2166">
        <v>899346</v>
      </c>
      <c r="I2166" t="s">
        <v>1005</v>
      </c>
      <c r="J2166" t="s">
        <v>1005</v>
      </c>
      <c r="K2166">
        <v>38</v>
      </c>
      <c r="L2166">
        <v>0</v>
      </c>
      <c r="M2166" t="s">
        <v>115</v>
      </c>
      <c r="N2166" t="str">
        <f t="shared" si="198"/>
        <v>PO-102165</v>
      </c>
      <c r="O2166" t="str">
        <f t="shared" si="199"/>
        <v>Delivered</v>
      </c>
      <c r="P2166" t="str">
        <f t="shared" si="200"/>
        <v>WH-BOM</v>
      </c>
      <c r="Q2166" t="str">
        <f>VLOOKUP(C2166, Lookups!$A$2:$D$10, 2, FALSE())</f>
        <v>Global Networks</v>
      </c>
      <c r="R2166" t="str">
        <f>_xlfn.XLOOKUP(D2166, Lookups!$A$12:$A$51, Lookups!$C$12:$C$51, "Unknown")</f>
        <v>Networking</v>
      </c>
      <c r="S2166" t="str">
        <f>IF(ISBLANK(I2166), B2166+VLOOKUP(C2166, Lookups!$A$2:$D$10, 4, FALSE()), I2166)</f>
        <v>2025-11-06</v>
      </c>
      <c r="T2166">
        <f t="shared" si="201"/>
        <v>21</v>
      </c>
      <c r="U2166" t="str">
        <f t="shared" si="202"/>
        <v>On-Time</v>
      </c>
      <c r="V2166">
        <f t="shared" si="203"/>
        <v>0</v>
      </c>
    </row>
    <row r="2167" spans="1:22" x14ac:dyDescent="0.45">
      <c r="A2167" t="s">
        <v>3021</v>
      </c>
      <c r="B2167" t="s">
        <v>499</v>
      </c>
      <c r="C2167" t="s">
        <v>30</v>
      </c>
      <c r="D2167" t="s">
        <v>88</v>
      </c>
      <c r="E2167" t="s">
        <v>18</v>
      </c>
      <c r="F2167">
        <v>72</v>
      </c>
      <c r="G2167">
        <v>75512</v>
      </c>
      <c r="H2167">
        <v>5436864</v>
      </c>
      <c r="I2167" t="s">
        <v>1377</v>
      </c>
      <c r="J2167" t="s">
        <v>1377</v>
      </c>
      <c r="K2167">
        <v>72</v>
      </c>
      <c r="L2167">
        <v>0</v>
      </c>
      <c r="M2167" t="s">
        <v>115</v>
      </c>
      <c r="N2167" t="str">
        <f t="shared" si="198"/>
        <v>PO-102166</v>
      </c>
      <c r="O2167" t="str">
        <f t="shared" si="199"/>
        <v>Delivered</v>
      </c>
      <c r="P2167" t="str">
        <f t="shared" si="200"/>
        <v>WH-PUN</v>
      </c>
      <c r="Q2167" t="str">
        <f>VLOOKUP(C2167, Lookups!$A$2:$D$10, 2, FALSE())</f>
        <v>TechSupply Corp</v>
      </c>
      <c r="R2167" t="str">
        <f>_xlfn.XLOOKUP(D2167, Lookups!$A$12:$A$51, Lookups!$C$12:$C$51, "Unknown")</f>
        <v>Electronics</v>
      </c>
      <c r="S2167" t="str">
        <f>IF(ISBLANK(I2167), B2167+VLOOKUP(C2167, Lookups!$A$2:$D$10, 4, FALSE()), I2167)</f>
        <v>2025-04-17</v>
      </c>
      <c r="T2167">
        <f t="shared" si="201"/>
        <v>14</v>
      </c>
      <c r="U2167" t="str">
        <f t="shared" si="202"/>
        <v>On-Time</v>
      </c>
      <c r="V2167">
        <f t="shared" si="203"/>
        <v>0</v>
      </c>
    </row>
    <row r="2168" spans="1:22" x14ac:dyDescent="0.45">
      <c r="A2168" t="s">
        <v>3022</v>
      </c>
      <c r="B2168" t="s">
        <v>859</v>
      </c>
      <c r="C2168" t="s">
        <v>31</v>
      </c>
      <c r="D2168" t="s">
        <v>66</v>
      </c>
      <c r="E2168" t="s">
        <v>18</v>
      </c>
      <c r="F2168">
        <v>11</v>
      </c>
      <c r="G2168">
        <v>29719</v>
      </c>
      <c r="H2168">
        <v>326909</v>
      </c>
      <c r="I2168" t="s">
        <v>837</v>
      </c>
      <c r="J2168" t="s">
        <v>837</v>
      </c>
      <c r="K2168">
        <v>11</v>
      </c>
      <c r="L2168">
        <v>0</v>
      </c>
      <c r="M2168" t="s">
        <v>115</v>
      </c>
      <c r="N2168" t="str">
        <f t="shared" si="198"/>
        <v>PO-102167</v>
      </c>
      <c r="O2168" t="str">
        <f t="shared" si="199"/>
        <v>Delivered</v>
      </c>
      <c r="P2168" t="str">
        <f t="shared" si="200"/>
        <v>WH-PUN</v>
      </c>
      <c r="Q2168" t="str">
        <f>VLOOKUP(C2168, Lookups!$A$2:$D$10, 2, FALSE())</f>
        <v>Global Networks</v>
      </c>
      <c r="R2168" t="str">
        <f>_xlfn.XLOOKUP(D2168, Lookups!$A$12:$A$51, Lookups!$C$12:$C$51, "Unknown")</f>
        <v>Networking</v>
      </c>
      <c r="S2168" t="str">
        <f>IF(ISBLANK(I2168), B2168+VLOOKUP(C2168, Lookups!$A$2:$D$10, 4, FALSE()), I2168)</f>
        <v>2026-01-11</v>
      </c>
      <c r="T2168">
        <f t="shared" si="201"/>
        <v>21</v>
      </c>
      <c r="U2168" t="str">
        <f t="shared" si="202"/>
        <v>On-Time</v>
      </c>
      <c r="V2168">
        <f t="shared" si="203"/>
        <v>0</v>
      </c>
    </row>
    <row r="2169" spans="1:22" x14ac:dyDescent="0.45">
      <c r="A2169" t="s">
        <v>3023</v>
      </c>
      <c r="B2169" t="s">
        <v>228</v>
      </c>
      <c r="C2169" t="s">
        <v>34</v>
      </c>
      <c r="D2169" t="s">
        <v>74</v>
      </c>
      <c r="E2169" t="s">
        <v>18</v>
      </c>
      <c r="F2169">
        <v>130</v>
      </c>
      <c r="G2169">
        <v>94797</v>
      </c>
      <c r="H2169">
        <v>12323610</v>
      </c>
      <c r="I2169" t="s">
        <v>2204</v>
      </c>
      <c r="J2169" t="s">
        <v>739</v>
      </c>
      <c r="K2169">
        <v>130</v>
      </c>
      <c r="L2169">
        <v>0</v>
      </c>
      <c r="M2169" t="s">
        <v>115</v>
      </c>
      <c r="N2169" t="str">
        <f t="shared" si="198"/>
        <v>PO-102168</v>
      </c>
      <c r="O2169" t="str">
        <f t="shared" si="199"/>
        <v>Delivered</v>
      </c>
      <c r="P2169" t="str">
        <f t="shared" si="200"/>
        <v>WH-PUN</v>
      </c>
      <c r="Q2169" t="str">
        <f>VLOOKUP(C2169, Lookups!$A$2:$D$10, 2, FALSE())</f>
        <v>FastElectronics</v>
      </c>
      <c r="R2169" t="str">
        <f>_xlfn.XLOOKUP(D2169, Lookups!$A$12:$A$51, Lookups!$C$12:$C$51, "Unknown")</f>
        <v>Electronics</v>
      </c>
      <c r="S2169" t="str">
        <f>IF(ISBLANK(I2169), B2169+VLOOKUP(C2169, Lookups!$A$2:$D$10, 4, FALSE()), I2169)</f>
        <v>2025-07-31</v>
      </c>
      <c r="T2169">
        <f t="shared" si="201"/>
        <v>16</v>
      </c>
      <c r="U2169" t="str">
        <f t="shared" si="202"/>
        <v>On-Time</v>
      </c>
      <c r="V2169">
        <f t="shared" si="203"/>
        <v>0</v>
      </c>
    </row>
    <row r="2170" spans="1:22" x14ac:dyDescent="0.45">
      <c r="A2170" t="s">
        <v>3024</v>
      </c>
      <c r="B2170" t="s">
        <v>1428</v>
      </c>
      <c r="C2170" t="s">
        <v>35</v>
      </c>
      <c r="D2170" t="s">
        <v>70</v>
      </c>
      <c r="E2170" t="s">
        <v>16</v>
      </c>
      <c r="F2170">
        <v>206</v>
      </c>
      <c r="G2170">
        <v>4287</v>
      </c>
      <c r="H2170">
        <v>883122</v>
      </c>
      <c r="I2170" t="s">
        <v>280</v>
      </c>
      <c r="J2170" t="s">
        <v>180</v>
      </c>
      <c r="K2170">
        <v>206</v>
      </c>
      <c r="L2170">
        <v>10</v>
      </c>
      <c r="M2170" t="s">
        <v>115</v>
      </c>
      <c r="N2170" t="str">
        <f t="shared" si="198"/>
        <v>PO-102169</v>
      </c>
      <c r="O2170" t="str">
        <f t="shared" si="199"/>
        <v>Delivered</v>
      </c>
      <c r="P2170" t="str">
        <f t="shared" si="200"/>
        <v>WH-DEL</v>
      </c>
      <c r="Q2170" t="str">
        <f>VLOOKUP(C2170, Lookups!$A$2:$D$10, 2, FALSE())</f>
        <v>Peripheral Source</v>
      </c>
      <c r="R2170" t="str">
        <f>_xlfn.XLOOKUP(D2170, Lookups!$A$12:$A$51, Lookups!$C$12:$C$51, "Unknown")</f>
        <v>Peripherals</v>
      </c>
      <c r="S2170" t="str">
        <f>IF(ISBLANK(I2170), B2170+VLOOKUP(C2170, Lookups!$A$2:$D$10, 4, FALSE()), I2170)</f>
        <v>2026-10-08</v>
      </c>
      <c r="T2170">
        <f t="shared" si="201"/>
        <v>11</v>
      </c>
      <c r="U2170" t="str">
        <f t="shared" si="202"/>
        <v>Late</v>
      </c>
      <c r="V2170">
        <f t="shared" si="203"/>
        <v>4.8543689320388349E-2</v>
      </c>
    </row>
    <row r="2171" spans="1:22" x14ac:dyDescent="0.45">
      <c r="A2171" t="s">
        <v>3025</v>
      </c>
      <c r="B2171" t="s">
        <v>820</v>
      </c>
      <c r="C2171" t="s">
        <v>34</v>
      </c>
      <c r="D2171" t="s">
        <v>54</v>
      </c>
      <c r="E2171" t="s">
        <v>16</v>
      </c>
      <c r="F2171">
        <v>228</v>
      </c>
      <c r="G2171">
        <v>22314</v>
      </c>
      <c r="H2171">
        <v>5087592</v>
      </c>
      <c r="I2171" t="s">
        <v>763</v>
      </c>
      <c r="J2171" t="s">
        <v>489</v>
      </c>
      <c r="K2171">
        <v>228</v>
      </c>
      <c r="L2171">
        <v>0</v>
      </c>
      <c r="M2171" t="s">
        <v>115</v>
      </c>
      <c r="N2171" t="str">
        <f t="shared" si="198"/>
        <v>PO-102170</v>
      </c>
      <c r="O2171" t="str">
        <f t="shared" si="199"/>
        <v>Delivered</v>
      </c>
      <c r="P2171" t="str">
        <f t="shared" si="200"/>
        <v>WH-DEL</v>
      </c>
      <c r="Q2171" t="str">
        <f>VLOOKUP(C2171, Lookups!$A$2:$D$10, 2, FALSE())</f>
        <v>FastElectronics</v>
      </c>
      <c r="R2171" t="str">
        <f>_xlfn.XLOOKUP(D2171, Lookups!$A$12:$A$51, Lookups!$C$12:$C$51, "Unknown")</f>
        <v>Networking</v>
      </c>
      <c r="S2171" t="str">
        <f>IF(ISBLANK(I2171), B2171+VLOOKUP(C2171, Lookups!$A$2:$D$10, 4, FALSE()), I2171)</f>
        <v>2025-01-27</v>
      </c>
      <c r="T2171">
        <f t="shared" si="201"/>
        <v>19</v>
      </c>
      <c r="U2171" t="str">
        <f t="shared" si="202"/>
        <v>Late</v>
      </c>
      <c r="V2171">
        <f t="shared" si="203"/>
        <v>0</v>
      </c>
    </row>
    <row r="2172" spans="1:22" x14ac:dyDescent="0.45">
      <c r="A2172" t="s">
        <v>3026</v>
      </c>
      <c r="B2172" t="s">
        <v>506</v>
      </c>
      <c r="C2172" t="s">
        <v>36</v>
      </c>
      <c r="D2172" t="s">
        <v>71</v>
      </c>
      <c r="E2172" t="s">
        <v>16</v>
      </c>
      <c r="F2172">
        <v>191</v>
      </c>
      <c r="G2172">
        <v>65379</v>
      </c>
      <c r="H2172">
        <v>12487389</v>
      </c>
      <c r="I2172" t="s">
        <v>238</v>
      </c>
      <c r="J2172" t="s">
        <v>327</v>
      </c>
      <c r="K2172">
        <v>191</v>
      </c>
      <c r="L2172">
        <v>0</v>
      </c>
      <c r="M2172" t="s">
        <v>166</v>
      </c>
      <c r="N2172" t="str">
        <f t="shared" si="198"/>
        <v>PO-102171</v>
      </c>
      <c r="O2172" t="str">
        <f t="shared" si="199"/>
        <v>Delivered</v>
      </c>
      <c r="P2172" t="str">
        <f t="shared" si="200"/>
        <v>WH-DEL</v>
      </c>
      <c r="Q2172" t="str">
        <f>VLOOKUP(C2172, Lookups!$A$2:$D$10, 2, FALSE())</f>
        <v>NextGen Hardware</v>
      </c>
      <c r="R2172" t="str">
        <f>_xlfn.XLOOKUP(D2172, Lookups!$A$12:$A$51, Lookups!$C$12:$C$51, "Unknown")</f>
        <v>Electronics</v>
      </c>
      <c r="S2172" t="str">
        <f>IF(ISBLANK(I2172), B2172+VLOOKUP(C2172, Lookups!$A$2:$D$10, 4, FALSE()), I2172)</f>
        <v>2025-06-04</v>
      </c>
      <c r="T2172">
        <f t="shared" si="201"/>
        <v>25</v>
      </c>
      <c r="U2172" t="str">
        <f t="shared" si="202"/>
        <v>Late</v>
      </c>
      <c r="V2172">
        <f t="shared" si="203"/>
        <v>0</v>
      </c>
    </row>
    <row r="2173" spans="1:22" x14ac:dyDescent="0.45">
      <c r="A2173" t="s">
        <v>3027</v>
      </c>
      <c r="B2173" t="s">
        <v>506</v>
      </c>
      <c r="C2173" t="s">
        <v>31</v>
      </c>
      <c r="D2173" t="s">
        <v>66</v>
      </c>
      <c r="E2173" t="s">
        <v>17</v>
      </c>
      <c r="F2173">
        <v>224</v>
      </c>
      <c r="G2173">
        <v>29719</v>
      </c>
      <c r="H2173">
        <v>6657056</v>
      </c>
      <c r="I2173" t="s">
        <v>409</v>
      </c>
      <c r="J2173" t="s">
        <v>409</v>
      </c>
      <c r="K2173">
        <v>224</v>
      </c>
      <c r="L2173">
        <v>0</v>
      </c>
      <c r="M2173" t="s">
        <v>115</v>
      </c>
      <c r="N2173" t="str">
        <f t="shared" si="198"/>
        <v>PO-102172</v>
      </c>
      <c r="O2173" t="str">
        <f t="shared" si="199"/>
        <v>Delivered</v>
      </c>
      <c r="P2173" t="str">
        <f t="shared" si="200"/>
        <v>WH-BLR</v>
      </c>
      <c r="Q2173" t="str">
        <f>VLOOKUP(C2173, Lookups!$A$2:$D$10, 2, FALSE())</f>
        <v>Global Networks</v>
      </c>
      <c r="R2173" t="str">
        <f>_xlfn.XLOOKUP(D2173, Lookups!$A$12:$A$51, Lookups!$C$12:$C$51, "Unknown")</f>
        <v>Networking</v>
      </c>
      <c r="S2173" t="str">
        <f>IF(ISBLANK(I2173), B2173+VLOOKUP(C2173, Lookups!$A$2:$D$10, 4, FALSE()), I2173)</f>
        <v>2025-06-01</v>
      </c>
      <c r="T2173">
        <f t="shared" si="201"/>
        <v>21</v>
      </c>
      <c r="U2173" t="str">
        <f t="shared" si="202"/>
        <v>On-Time</v>
      </c>
      <c r="V2173">
        <f t="shared" si="203"/>
        <v>0</v>
      </c>
    </row>
    <row r="2174" spans="1:22" x14ac:dyDescent="0.45">
      <c r="A2174" t="s">
        <v>3028</v>
      </c>
      <c r="B2174" t="s">
        <v>238</v>
      </c>
      <c r="C2174" t="s">
        <v>30</v>
      </c>
      <c r="D2174" t="s">
        <v>52</v>
      </c>
      <c r="E2174" t="s">
        <v>16</v>
      </c>
      <c r="F2174">
        <v>223</v>
      </c>
      <c r="G2174">
        <v>59592</v>
      </c>
      <c r="H2174">
        <v>13289016</v>
      </c>
      <c r="I2174" t="s">
        <v>732</v>
      </c>
      <c r="J2174" t="s">
        <v>732</v>
      </c>
      <c r="K2174">
        <v>223</v>
      </c>
      <c r="L2174">
        <v>0</v>
      </c>
      <c r="M2174" t="s">
        <v>115</v>
      </c>
      <c r="N2174" t="str">
        <f t="shared" si="198"/>
        <v>PO-102173</v>
      </c>
      <c r="O2174" t="str">
        <f t="shared" si="199"/>
        <v>Delivered</v>
      </c>
      <c r="P2174" t="str">
        <f t="shared" si="200"/>
        <v>WH-DEL</v>
      </c>
      <c r="Q2174" t="str">
        <f>VLOOKUP(C2174, Lookups!$A$2:$D$10, 2, FALSE())</f>
        <v>TechSupply Corp</v>
      </c>
      <c r="R2174" t="str">
        <f>_xlfn.XLOOKUP(D2174, Lookups!$A$12:$A$51, Lookups!$C$12:$C$51, "Unknown")</f>
        <v>Electronics</v>
      </c>
      <c r="S2174" t="str">
        <f>IF(ISBLANK(I2174), B2174+VLOOKUP(C2174, Lookups!$A$2:$D$10, 4, FALSE()), I2174)</f>
        <v>2025-06-18</v>
      </c>
      <c r="T2174">
        <f t="shared" si="201"/>
        <v>14</v>
      </c>
      <c r="U2174" t="str">
        <f t="shared" si="202"/>
        <v>On-Time</v>
      </c>
      <c r="V2174">
        <f t="shared" si="203"/>
        <v>0</v>
      </c>
    </row>
    <row r="2175" spans="1:22" x14ac:dyDescent="0.45">
      <c r="A2175" t="s">
        <v>3029</v>
      </c>
      <c r="B2175" t="s">
        <v>737</v>
      </c>
      <c r="C2175" t="s">
        <v>33</v>
      </c>
      <c r="D2175" t="s">
        <v>89</v>
      </c>
      <c r="E2175" t="s">
        <v>17</v>
      </c>
      <c r="F2175">
        <v>139</v>
      </c>
      <c r="G2175">
        <v>11309</v>
      </c>
      <c r="H2175">
        <v>1571951</v>
      </c>
      <c r="I2175" t="s">
        <v>1983</v>
      </c>
      <c r="J2175" t="s">
        <v>1357</v>
      </c>
      <c r="K2175">
        <v>139</v>
      </c>
      <c r="L2175">
        <v>0</v>
      </c>
      <c r="M2175" t="s">
        <v>115</v>
      </c>
      <c r="N2175" t="str">
        <f t="shared" si="198"/>
        <v>PO-102174</v>
      </c>
      <c r="O2175" t="str">
        <f t="shared" si="199"/>
        <v>Delivered</v>
      </c>
      <c r="P2175" t="str">
        <f t="shared" si="200"/>
        <v>WH-BLR</v>
      </c>
      <c r="Q2175" t="str">
        <f>VLOOKUP(C2175, Lookups!$A$2:$D$10, 2, FALSE())</f>
        <v>MegaFurnish</v>
      </c>
      <c r="R2175" t="str">
        <f>_xlfn.XLOOKUP(D2175, Lookups!$A$12:$A$51, Lookups!$C$12:$C$51, "Unknown")</f>
        <v>Office Furniture</v>
      </c>
      <c r="S2175" t="str">
        <f>IF(ISBLANK(I2175), B2175+VLOOKUP(C2175, Lookups!$A$2:$D$10, 4, FALSE()), I2175)</f>
        <v>2026-12-20</v>
      </c>
      <c r="T2175">
        <f t="shared" si="201"/>
        <v>31</v>
      </c>
      <c r="U2175" t="str">
        <f t="shared" si="202"/>
        <v>Late</v>
      </c>
      <c r="V2175">
        <f t="shared" si="203"/>
        <v>0</v>
      </c>
    </row>
    <row r="2176" spans="1:22" x14ac:dyDescent="0.45">
      <c r="A2176" t="s">
        <v>3030</v>
      </c>
      <c r="B2176" t="s">
        <v>1562</v>
      </c>
      <c r="C2176" t="s">
        <v>34</v>
      </c>
      <c r="D2176" t="s">
        <v>73</v>
      </c>
      <c r="E2176" t="s">
        <v>16</v>
      </c>
      <c r="F2176">
        <v>245</v>
      </c>
      <c r="G2176">
        <v>58396</v>
      </c>
      <c r="H2176">
        <v>14307020</v>
      </c>
      <c r="I2176" t="s">
        <v>683</v>
      </c>
      <c r="J2176" t="s">
        <v>683</v>
      </c>
      <c r="K2176">
        <v>245</v>
      </c>
      <c r="L2176">
        <v>0</v>
      </c>
      <c r="M2176" t="s">
        <v>115</v>
      </c>
      <c r="N2176" t="str">
        <f t="shared" si="198"/>
        <v>PO-102175</v>
      </c>
      <c r="O2176" t="str">
        <f t="shared" si="199"/>
        <v>Delivered</v>
      </c>
      <c r="P2176" t="str">
        <f t="shared" si="200"/>
        <v>WH-DEL</v>
      </c>
      <c r="Q2176" t="str">
        <f>VLOOKUP(C2176, Lookups!$A$2:$D$10, 2, FALSE())</f>
        <v>FastElectronics</v>
      </c>
      <c r="R2176" t="str">
        <f>_xlfn.XLOOKUP(D2176, Lookups!$A$12:$A$51, Lookups!$C$12:$C$51, "Unknown")</f>
        <v>Electronics</v>
      </c>
      <c r="S2176" t="str">
        <f>IF(ISBLANK(I2176), B2176+VLOOKUP(C2176, Lookups!$A$2:$D$10, 4, FALSE()), I2176)</f>
        <v>2026-08-17</v>
      </c>
      <c r="T2176">
        <f t="shared" si="201"/>
        <v>18</v>
      </c>
      <c r="U2176" t="str">
        <f t="shared" si="202"/>
        <v>On-Time</v>
      </c>
      <c r="V2176">
        <f t="shared" si="203"/>
        <v>0</v>
      </c>
    </row>
    <row r="2177" spans="1:22" x14ac:dyDescent="0.45">
      <c r="A2177" t="s">
        <v>3031</v>
      </c>
      <c r="B2177" t="s">
        <v>213</v>
      </c>
      <c r="C2177" t="s">
        <v>32</v>
      </c>
      <c r="D2177" t="s">
        <v>84</v>
      </c>
      <c r="E2177" t="s">
        <v>15</v>
      </c>
      <c r="F2177">
        <v>129</v>
      </c>
      <c r="G2177">
        <v>7271</v>
      </c>
      <c r="H2177">
        <v>937959</v>
      </c>
      <c r="I2177" t="s">
        <v>474</v>
      </c>
      <c r="J2177" t="s">
        <v>474</v>
      </c>
      <c r="K2177">
        <v>129</v>
      </c>
      <c r="L2177">
        <v>0</v>
      </c>
      <c r="M2177" t="s">
        <v>115</v>
      </c>
      <c r="N2177" t="str">
        <f t="shared" si="198"/>
        <v>PO-102176</v>
      </c>
      <c r="O2177" t="str">
        <f t="shared" si="199"/>
        <v>Delivered</v>
      </c>
      <c r="P2177" t="str">
        <f t="shared" si="200"/>
        <v>WH-BOM</v>
      </c>
      <c r="Q2177" t="str">
        <f>VLOOKUP(C2177, Lookups!$A$2:$D$10, 2, FALSE())</f>
        <v>OfficeDepot Pro</v>
      </c>
      <c r="R2177" t="str">
        <f>_xlfn.XLOOKUP(D2177, Lookups!$A$12:$A$51, Lookups!$C$12:$C$51, "Unknown")</f>
        <v>Peripherals</v>
      </c>
      <c r="S2177" t="str">
        <f>IF(ISBLANK(I2177), B2177+VLOOKUP(C2177, Lookups!$A$2:$D$10, 4, FALSE()), I2177)</f>
        <v>2025-06-24</v>
      </c>
      <c r="T2177">
        <f t="shared" si="201"/>
        <v>7</v>
      </c>
      <c r="U2177" t="str">
        <f t="shared" si="202"/>
        <v>On-Time</v>
      </c>
      <c r="V2177">
        <f t="shared" si="203"/>
        <v>0</v>
      </c>
    </row>
    <row r="2178" spans="1:22" x14ac:dyDescent="0.45">
      <c r="A2178" t="s">
        <v>3032</v>
      </c>
      <c r="B2178" t="s">
        <v>164</v>
      </c>
      <c r="C2178" t="s">
        <v>37</v>
      </c>
      <c r="D2178" t="s">
        <v>79</v>
      </c>
      <c r="E2178" t="s">
        <v>18</v>
      </c>
      <c r="F2178">
        <v>110</v>
      </c>
      <c r="G2178">
        <v>23054</v>
      </c>
      <c r="H2178">
        <v>2535940</v>
      </c>
      <c r="I2178" t="s">
        <v>1206</v>
      </c>
      <c r="J2178" t="s">
        <v>385</v>
      </c>
      <c r="K2178">
        <v>110</v>
      </c>
      <c r="L2178">
        <v>0</v>
      </c>
      <c r="M2178" t="s">
        <v>115</v>
      </c>
      <c r="N2178" t="str">
        <f t="shared" ref="N2178:N2241" si="204">TRIM(A2178)</f>
        <v>PO-102177</v>
      </c>
      <c r="O2178" t="str">
        <f t="shared" ref="O2178:O2241" si="205">PROPER(TRIM(M2178))</f>
        <v>Delivered</v>
      </c>
      <c r="P2178" t="str">
        <f t="shared" ref="P2178:P2241" si="206">TRIM(E2178)</f>
        <v>WH-PUN</v>
      </c>
      <c r="Q2178" t="str">
        <f>VLOOKUP(C2178, Lookups!$A$2:$D$10, 2, FALSE())</f>
        <v>Premium Desks Ltd</v>
      </c>
      <c r="R2178" t="str">
        <f>_xlfn.XLOOKUP(D2178, Lookups!$A$12:$A$51, Lookups!$C$12:$C$51, "Unknown")</f>
        <v>Office Furniture</v>
      </c>
      <c r="S2178" t="str">
        <f>IF(ISBLANK(I2178), B2178+VLOOKUP(C2178, Lookups!$A$2:$D$10, 4, FALSE()), I2178)</f>
        <v>2026-02-17</v>
      </c>
      <c r="T2178">
        <f t="shared" ref="T2178:T2241" si="207">IF(ISBLANK(J2178), "", J2178-B2178)</f>
        <v>10</v>
      </c>
      <c r="U2178" t="str">
        <f t="shared" ref="U2178:U2241" si="208">IF(O2178="Open", "Open", IF(J2178&gt;S2178, "Late", "On-Time"))</f>
        <v>On-Time</v>
      </c>
      <c r="V2178">
        <f t="shared" ref="V2178:V2241" si="209">IF(K2178&gt;0, L2178/K2178, 0)</f>
        <v>0</v>
      </c>
    </row>
    <row r="2179" spans="1:22" x14ac:dyDescent="0.45">
      <c r="A2179" t="s">
        <v>3033</v>
      </c>
      <c r="B2179" t="s">
        <v>1112</v>
      </c>
      <c r="C2179" t="s">
        <v>32</v>
      </c>
      <c r="D2179" t="s">
        <v>67</v>
      </c>
      <c r="E2179" t="s">
        <v>16</v>
      </c>
      <c r="F2179">
        <v>116</v>
      </c>
      <c r="G2179">
        <v>1553</v>
      </c>
      <c r="H2179">
        <v>180148</v>
      </c>
      <c r="I2179" t="s">
        <v>986</v>
      </c>
      <c r="J2179" t="s">
        <v>158</v>
      </c>
      <c r="K2179">
        <v>116</v>
      </c>
      <c r="L2179">
        <v>0</v>
      </c>
      <c r="M2179" t="s">
        <v>115</v>
      </c>
      <c r="N2179" t="str">
        <f t="shared" si="204"/>
        <v>PO-102178</v>
      </c>
      <c r="O2179" t="str">
        <f t="shared" si="205"/>
        <v>Delivered</v>
      </c>
      <c r="P2179" t="str">
        <f t="shared" si="206"/>
        <v>WH-DEL</v>
      </c>
      <c r="Q2179" t="str">
        <f>VLOOKUP(C2179, Lookups!$A$2:$D$10, 2, FALSE())</f>
        <v>OfficeDepot Pro</v>
      </c>
      <c r="R2179" t="str">
        <f>_xlfn.XLOOKUP(D2179, Lookups!$A$12:$A$51, Lookups!$C$12:$C$51, "Unknown")</f>
        <v>Peripherals</v>
      </c>
      <c r="S2179" t="str">
        <f>IF(ISBLANK(I2179), B2179+VLOOKUP(C2179, Lookups!$A$2:$D$10, 4, FALSE()), I2179)</f>
        <v>2026-11-04</v>
      </c>
      <c r="T2179">
        <f t="shared" si="207"/>
        <v>8</v>
      </c>
      <c r="U2179" t="str">
        <f t="shared" si="208"/>
        <v>Late</v>
      </c>
      <c r="V2179">
        <f t="shared" si="209"/>
        <v>0</v>
      </c>
    </row>
    <row r="2180" spans="1:22" x14ac:dyDescent="0.45">
      <c r="A2180" t="s">
        <v>3034</v>
      </c>
      <c r="B2180" t="s">
        <v>1468</v>
      </c>
      <c r="C2180" t="s">
        <v>31</v>
      </c>
      <c r="D2180" t="s">
        <v>64</v>
      </c>
      <c r="E2180" t="s">
        <v>16</v>
      </c>
      <c r="F2180">
        <v>185</v>
      </c>
      <c r="G2180">
        <v>36295</v>
      </c>
      <c r="H2180">
        <v>6714575</v>
      </c>
      <c r="I2180" t="s">
        <v>1544</v>
      </c>
      <c r="J2180" t="s">
        <v>1544</v>
      </c>
      <c r="K2180">
        <v>185</v>
      </c>
      <c r="L2180">
        <v>0</v>
      </c>
      <c r="M2180" t="s">
        <v>115</v>
      </c>
      <c r="N2180" t="str">
        <f t="shared" si="204"/>
        <v>PO-102179</v>
      </c>
      <c r="O2180" t="str">
        <f t="shared" si="205"/>
        <v>Delivered</v>
      </c>
      <c r="P2180" t="str">
        <f t="shared" si="206"/>
        <v>WH-DEL</v>
      </c>
      <c r="Q2180" t="str">
        <f>VLOOKUP(C2180, Lookups!$A$2:$D$10, 2, FALSE())</f>
        <v>Global Networks</v>
      </c>
      <c r="R2180" t="str">
        <f>_xlfn.XLOOKUP(D2180, Lookups!$A$12:$A$51, Lookups!$C$12:$C$51, "Unknown")</f>
        <v>Networking</v>
      </c>
      <c r="S2180" t="str">
        <f>IF(ISBLANK(I2180), B2180+VLOOKUP(C2180, Lookups!$A$2:$D$10, 4, FALSE()), I2180)</f>
        <v>2025-02-01</v>
      </c>
      <c r="T2180">
        <f t="shared" si="207"/>
        <v>21</v>
      </c>
      <c r="U2180" t="str">
        <f t="shared" si="208"/>
        <v>On-Time</v>
      </c>
      <c r="V2180">
        <f t="shared" si="209"/>
        <v>0</v>
      </c>
    </row>
    <row r="2181" spans="1:22" x14ac:dyDescent="0.45">
      <c r="A2181" t="s">
        <v>3035</v>
      </c>
      <c r="B2181" t="s">
        <v>493</v>
      </c>
      <c r="C2181" t="s">
        <v>37</v>
      </c>
      <c r="D2181" t="s">
        <v>69</v>
      </c>
      <c r="E2181" t="s">
        <v>15</v>
      </c>
      <c r="F2181">
        <v>223</v>
      </c>
      <c r="G2181">
        <v>13231</v>
      </c>
      <c r="H2181">
        <v>2950513</v>
      </c>
      <c r="I2181" t="s">
        <v>866</v>
      </c>
      <c r="J2181" t="s">
        <v>494</v>
      </c>
      <c r="K2181">
        <v>223</v>
      </c>
      <c r="L2181">
        <v>0</v>
      </c>
      <c r="M2181" t="s">
        <v>115</v>
      </c>
      <c r="N2181" t="str">
        <f t="shared" si="204"/>
        <v>PO-102180</v>
      </c>
      <c r="O2181" t="str">
        <f t="shared" si="205"/>
        <v>Delivered</v>
      </c>
      <c r="P2181" t="str">
        <f t="shared" si="206"/>
        <v>WH-BOM</v>
      </c>
      <c r="Q2181" t="str">
        <f>VLOOKUP(C2181, Lookups!$A$2:$D$10, 2, FALSE())</f>
        <v>Premium Desks Ltd</v>
      </c>
      <c r="R2181" t="str">
        <f>_xlfn.XLOOKUP(D2181, Lookups!$A$12:$A$51, Lookups!$C$12:$C$51, "Unknown")</f>
        <v>Office Furniture</v>
      </c>
      <c r="S2181" t="str">
        <f>IF(ISBLANK(I2181), B2181+VLOOKUP(C2181, Lookups!$A$2:$D$10, 4, FALSE()), I2181)</f>
        <v>2026-09-20</v>
      </c>
      <c r="T2181">
        <f t="shared" si="207"/>
        <v>10</v>
      </c>
      <c r="U2181" t="str">
        <f t="shared" si="208"/>
        <v>On-Time</v>
      </c>
      <c r="V2181">
        <f t="shared" si="209"/>
        <v>0</v>
      </c>
    </row>
    <row r="2182" spans="1:22" x14ac:dyDescent="0.45">
      <c r="A2182" t="s">
        <v>3036</v>
      </c>
      <c r="B2182" t="s">
        <v>585</v>
      </c>
      <c r="C2182" t="s">
        <v>34</v>
      </c>
      <c r="D2182" t="s">
        <v>58</v>
      </c>
      <c r="E2182" t="s">
        <v>16</v>
      </c>
      <c r="F2182">
        <v>49</v>
      </c>
      <c r="G2182">
        <v>100302</v>
      </c>
      <c r="H2182">
        <v>4914798</v>
      </c>
      <c r="I2182" t="s">
        <v>1235</v>
      </c>
      <c r="J2182" t="s">
        <v>434</v>
      </c>
      <c r="K2182">
        <v>49</v>
      </c>
      <c r="L2182">
        <v>0</v>
      </c>
      <c r="M2182" t="s">
        <v>115</v>
      </c>
      <c r="N2182" t="str">
        <f t="shared" si="204"/>
        <v>PO-102181</v>
      </c>
      <c r="O2182" t="str">
        <f t="shared" si="205"/>
        <v>Delivered</v>
      </c>
      <c r="P2182" t="str">
        <f t="shared" si="206"/>
        <v>WH-DEL</v>
      </c>
      <c r="Q2182" t="str">
        <f>VLOOKUP(C2182, Lookups!$A$2:$D$10, 2, FALSE())</f>
        <v>FastElectronics</v>
      </c>
      <c r="R2182" t="str">
        <f>_xlfn.XLOOKUP(D2182, Lookups!$A$12:$A$51, Lookups!$C$12:$C$51, "Unknown")</f>
        <v>Electronics</v>
      </c>
      <c r="S2182" t="str">
        <f>IF(ISBLANK(I2182), B2182+VLOOKUP(C2182, Lookups!$A$2:$D$10, 4, FALSE()), I2182)</f>
        <v>2025-08-09</v>
      </c>
      <c r="T2182">
        <f t="shared" si="207"/>
        <v>19</v>
      </c>
      <c r="U2182" t="str">
        <f t="shared" si="208"/>
        <v>Late</v>
      </c>
      <c r="V2182">
        <f t="shared" si="209"/>
        <v>0</v>
      </c>
    </row>
    <row r="2183" spans="1:22" x14ac:dyDescent="0.45">
      <c r="A2183" t="s">
        <v>3037</v>
      </c>
      <c r="B2183" t="s">
        <v>824</v>
      </c>
      <c r="C2183" t="s">
        <v>34</v>
      </c>
      <c r="D2183" t="s">
        <v>73</v>
      </c>
      <c r="E2183" t="s">
        <v>18</v>
      </c>
      <c r="F2183">
        <v>125</v>
      </c>
      <c r="G2183">
        <v>58396</v>
      </c>
      <c r="H2183">
        <v>7299500</v>
      </c>
      <c r="K2183">
        <v>0</v>
      </c>
      <c r="L2183">
        <v>0</v>
      </c>
      <c r="M2183" t="s">
        <v>297</v>
      </c>
      <c r="N2183" t="str">
        <f t="shared" si="204"/>
        <v>PO-102182</v>
      </c>
      <c r="O2183" t="str">
        <f t="shared" si="205"/>
        <v>Open</v>
      </c>
      <c r="P2183" t="str">
        <f t="shared" si="206"/>
        <v>WH-PUN</v>
      </c>
      <c r="Q2183" t="str">
        <f>VLOOKUP(C2183, Lookups!$A$2:$D$10, 2, FALSE())</f>
        <v>FastElectronics</v>
      </c>
      <c r="R2183" t="str">
        <f>_xlfn.XLOOKUP(D2183, Lookups!$A$12:$A$51, Lookups!$C$12:$C$51, "Unknown")</f>
        <v>Electronics</v>
      </c>
      <c r="S2183">
        <f>IF(ISBLANK(I2183), B2183+VLOOKUP(C2183, Lookups!$A$2:$D$10, 4, FALSE()), I2183)</f>
        <v>46381</v>
      </c>
      <c r="T2183" t="str">
        <f t="shared" si="207"/>
        <v/>
      </c>
      <c r="U2183" t="str">
        <f t="shared" si="208"/>
        <v>Open</v>
      </c>
      <c r="V2183">
        <f t="shared" si="209"/>
        <v>0</v>
      </c>
    </row>
    <row r="2184" spans="1:22" x14ac:dyDescent="0.45">
      <c r="A2184" t="s">
        <v>3038</v>
      </c>
      <c r="B2184" t="s">
        <v>294</v>
      </c>
      <c r="C2184" t="s">
        <v>36</v>
      </c>
      <c r="D2184" t="s">
        <v>55</v>
      </c>
      <c r="E2184" t="s">
        <v>17</v>
      </c>
      <c r="F2184">
        <v>113</v>
      </c>
      <c r="G2184">
        <v>58434</v>
      </c>
      <c r="H2184">
        <v>6603042</v>
      </c>
      <c r="I2184" t="s">
        <v>153</v>
      </c>
      <c r="J2184" t="s">
        <v>153</v>
      </c>
      <c r="K2184">
        <v>113</v>
      </c>
      <c r="L2184">
        <v>13</v>
      </c>
      <c r="M2184" t="s">
        <v>115</v>
      </c>
      <c r="N2184" t="str">
        <f t="shared" si="204"/>
        <v>PO-102183</v>
      </c>
      <c r="O2184" t="str">
        <f t="shared" si="205"/>
        <v>Delivered</v>
      </c>
      <c r="P2184" t="str">
        <f t="shared" si="206"/>
        <v>WH-BLR</v>
      </c>
      <c r="Q2184" t="str">
        <f>VLOOKUP(C2184, Lookups!$A$2:$D$10, 2, FALSE())</f>
        <v>NextGen Hardware</v>
      </c>
      <c r="R2184" t="str">
        <f>_xlfn.XLOOKUP(D2184, Lookups!$A$12:$A$51, Lookups!$C$12:$C$51, "Unknown")</f>
        <v>Electronics</v>
      </c>
      <c r="S2184" t="str">
        <f>IF(ISBLANK(I2184), B2184+VLOOKUP(C2184, Lookups!$A$2:$D$10, 4, FALSE()), I2184)</f>
        <v>2025-10-07</v>
      </c>
      <c r="T2184">
        <f t="shared" si="207"/>
        <v>24</v>
      </c>
      <c r="U2184" t="str">
        <f t="shared" si="208"/>
        <v>On-Time</v>
      </c>
      <c r="V2184">
        <f t="shared" si="209"/>
        <v>0.11504424778761062</v>
      </c>
    </row>
    <row r="2185" spans="1:22" x14ac:dyDescent="0.45">
      <c r="A2185" t="s">
        <v>3039</v>
      </c>
      <c r="B2185" t="s">
        <v>2813</v>
      </c>
      <c r="C2185" t="s">
        <v>30</v>
      </c>
      <c r="D2185" t="s">
        <v>61</v>
      </c>
      <c r="E2185" t="s">
        <v>17</v>
      </c>
      <c r="F2185">
        <v>227</v>
      </c>
      <c r="G2185">
        <v>111237</v>
      </c>
      <c r="H2185">
        <v>25250799</v>
      </c>
      <c r="I2185" t="s">
        <v>448</v>
      </c>
      <c r="J2185" t="s">
        <v>1260</v>
      </c>
      <c r="K2185">
        <v>227</v>
      </c>
      <c r="L2185">
        <v>0</v>
      </c>
      <c r="M2185" t="s">
        <v>115</v>
      </c>
      <c r="N2185" t="str">
        <f t="shared" si="204"/>
        <v>PO-102184</v>
      </c>
      <c r="O2185" t="str">
        <f t="shared" si="205"/>
        <v>Delivered</v>
      </c>
      <c r="P2185" t="str">
        <f t="shared" si="206"/>
        <v>WH-BLR</v>
      </c>
      <c r="Q2185" t="str">
        <f>VLOOKUP(C2185, Lookups!$A$2:$D$10, 2, FALSE())</f>
        <v>TechSupply Corp</v>
      </c>
      <c r="R2185" t="str">
        <f>_xlfn.XLOOKUP(D2185, Lookups!$A$12:$A$51, Lookups!$C$12:$C$51, "Unknown")</f>
        <v>Electronics</v>
      </c>
      <c r="S2185" t="str">
        <f>IF(ISBLANK(I2185), B2185+VLOOKUP(C2185, Lookups!$A$2:$D$10, 4, FALSE()), I2185)</f>
        <v>2025-12-18</v>
      </c>
      <c r="T2185">
        <f t="shared" si="207"/>
        <v>15</v>
      </c>
      <c r="U2185" t="str">
        <f t="shared" si="208"/>
        <v>Late</v>
      </c>
      <c r="V2185">
        <f t="shared" si="209"/>
        <v>0</v>
      </c>
    </row>
    <row r="2186" spans="1:22" x14ac:dyDescent="0.45">
      <c r="A2186" t="s">
        <v>3040</v>
      </c>
      <c r="B2186" t="s">
        <v>1314</v>
      </c>
      <c r="C2186" t="s">
        <v>34</v>
      </c>
      <c r="D2186" t="s">
        <v>74</v>
      </c>
      <c r="E2186" t="s">
        <v>16</v>
      </c>
      <c r="F2186">
        <v>214</v>
      </c>
      <c r="G2186">
        <v>94797</v>
      </c>
      <c r="H2186">
        <v>20286558</v>
      </c>
      <c r="I2186" t="s">
        <v>842</v>
      </c>
      <c r="J2186" t="s">
        <v>842</v>
      </c>
      <c r="K2186">
        <v>214</v>
      </c>
      <c r="L2186">
        <v>0</v>
      </c>
      <c r="M2186" t="s">
        <v>115</v>
      </c>
      <c r="N2186" t="str">
        <f t="shared" si="204"/>
        <v>PO-102185</v>
      </c>
      <c r="O2186" t="str">
        <f t="shared" si="205"/>
        <v>Delivered</v>
      </c>
      <c r="P2186" t="str">
        <f t="shared" si="206"/>
        <v>WH-DEL</v>
      </c>
      <c r="Q2186" t="str">
        <f>VLOOKUP(C2186, Lookups!$A$2:$D$10, 2, FALSE())</f>
        <v>FastElectronics</v>
      </c>
      <c r="R2186" t="str">
        <f>_xlfn.XLOOKUP(D2186, Lookups!$A$12:$A$51, Lookups!$C$12:$C$51, "Unknown")</f>
        <v>Electronics</v>
      </c>
      <c r="S2186" t="str">
        <f>IF(ISBLANK(I2186), B2186+VLOOKUP(C2186, Lookups!$A$2:$D$10, 4, FALSE()), I2186)</f>
        <v>2026-06-15</v>
      </c>
      <c r="T2186">
        <f t="shared" si="207"/>
        <v>18</v>
      </c>
      <c r="U2186" t="str">
        <f t="shared" si="208"/>
        <v>On-Time</v>
      </c>
      <c r="V2186">
        <f t="shared" si="209"/>
        <v>0</v>
      </c>
    </row>
    <row r="2187" spans="1:22" x14ac:dyDescent="0.45">
      <c r="A2187" t="s">
        <v>3041</v>
      </c>
      <c r="B2187" t="s">
        <v>1321</v>
      </c>
      <c r="C2187" t="s">
        <v>31</v>
      </c>
      <c r="D2187" t="s">
        <v>56</v>
      </c>
      <c r="E2187" t="s">
        <v>17</v>
      </c>
      <c r="F2187">
        <v>40</v>
      </c>
      <c r="G2187">
        <v>39270</v>
      </c>
      <c r="H2187">
        <v>1570800</v>
      </c>
      <c r="I2187" t="s">
        <v>1202</v>
      </c>
      <c r="J2187" t="s">
        <v>763</v>
      </c>
      <c r="K2187">
        <v>40</v>
      </c>
      <c r="L2187">
        <v>0</v>
      </c>
      <c r="M2187" t="s">
        <v>115</v>
      </c>
      <c r="N2187" t="str">
        <f t="shared" si="204"/>
        <v>PO-102186</v>
      </c>
      <c r="O2187" t="str">
        <f t="shared" si="205"/>
        <v>Delivered</v>
      </c>
      <c r="P2187" t="str">
        <f t="shared" si="206"/>
        <v>WH-BLR</v>
      </c>
      <c r="Q2187" t="str">
        <f>VLOOKUP(C2187, Lookups!$A$2:$D$10, 2, FALSE())</f>
        <v>Global Networks</v>
      </c>
      <c r="R2187" t="str">
        <f>_xlfn.XLOOKUP(D2187, Lookups!$A$12:$A$51, Lookups!$C$12:$C$51, "Unknown")</f>
        <v>Networking</v>
      </c>
      <c r="S2187" t="str">
        <f>IF(ISBLANK(I2187), B2187+VLOOKUP(C2187, Lookups!$A$2:$D$10, 4, FALSE()), I2187)</f>
        <v>2025-01-26</v>
      </c>
      <c r="T2187">
        <f t="shared" si="207"/>
        <v>22</v>
      </c>
      <c r="U2187" t="str">
        <f t="shared" si="208"/>
        <v>Late</v>
      </c>
      <c r="V2187">
        <f t="shared" si="209"/>
        <v>0</v>
      </c>
    </row>
    <row r="2188" spans="1:22" x14ac:dyDescent="0.45">
      <c r="A2188" t="s">
        <v>3042</v>
      </c>
      <c r="B2188" t="s">
        <v>454</v>
      </c>
      <c r="C2188" t="s">
        <v>35</v>
      </c>
      <c r="D2188" t="s">
        <v>57</v>
      </c>
      <c r="E2188" t="s">
        <v>16</v>
      </c>
      <c r="F2188">
        <v>112</v>
      </c>
      <c r="G2188">
        <v>2212</v>
      </c>
      <c r="H2188">
        <v>247744</v>
      </c>
      <c r="I2188" t="s">
        <v>1610</v>
      </c>
      <c r="J2188" t="s">
        <v>348</v>
      </c>
      <c r="K2188">
        <v>112</v>
      </c>
      <c r="L2188">
        <v>0</v>
      </c>
      <c r="M2188" t="s">
        <v>115</v>
      </c>
      <c r="N2188" t="str">
        <f t="shared" si="204"/>
        <v>PO-102187</v>
      </c>
      <c r="O2188" t="str">
        <f t="shared" si="205"/>
        <v>Delivered</v>
      </c>
      <c r="P2188" t="str">
        <f t="shared" si="206"/>
        <v>WH-DEL</v>
      </c>
      <c r="Q2188" t="str">
        <f>VLOOKUP(C2188, Lookups!$A$2:$D$10, 2, FALSE())</f>
        <v>Peripheral Source</v>
      </c>
      <c r="R2188" t="str">
        <f>_xlfn.XLOOKUP(D2188, Lookups!$A$12:$A$51, Lookups!$C$12:$C$51, "Unknown")</f>
        <v>Peripherals</v>
      </c>
      <c r="S2188" t="str">
        <f>IF(ISBLANK(I2188), B2188+VLOOKUP(C2188, Lookups!$A$2:$D$10, 4, FALSE()), I2188)</f>
        <v>2026-08-22</v>
      </c>
      <c r="T2188">
        <f t="shared" si="207"/>
        <v>11</v>
      </c>
      <c r="U2188" t="str">
        <f t="shared" si="208"/>
        <v>Late</v>
      </c>
      <c r="V2188">
        <f t="shared" si="209"/>
        <v>0</v>
      </c>
    </row>
    <row r="2189" spans="1:22" x14ac:dyDescent="0.45">
      <c r="A2189" t="s">
        <v>3043</v>
      </c>
      <c r="B2189" t="s">
        <v>859</v>
      </c>
      <c r="C2189" t="s">
        <v>35</v>
      </c>
      <c r="D2189" t="s">
        <v>60</v>
      </c>
      <c r="E2189" t="s">
        <v>16</v>
      </c>
      <c r="F2189">
        <v>44</v>
      </c>
      <c r="G2189">
        <v>3291</v>
      </c>
      <c r="H2189">
        <v>144804</v>
      </c>
      <c r="I2189" t="s">
        <v>1263</v>
      </c>
      <c r="J2189" t="s">
        <v>772</v>
      </c>
      <c r="K2189">
        <v>44</v>
      </c>
      <c r="L2189">
        <v>0</v>
      </c>
      <c r="M2189" t="s">
        <v>115</v>
      </c>
      <c r="N2189" t="str">
        <f t="shared" si="204"/>
        <v>PO-102188</v>
      </c>
      <c r="O2189" t="str">
        <f t="shared" si="205"/>
        <v>Delivered</v>
      </c>
      <c r="P2189" t="str">
        <f t="shared" si="206"/>
        <v>WH-DEL</v>
      </c>
      <c r="Q2189" t="str">
        <f>VLOOKUP(C2189, Lookups!$A$2:$D$10, 2, FALSE())</f>
        <v>Peripheral Source</v>
      </c>
      <c r="R2189" t="str">
        <f>_xlfn.XLOOKUP(D2189, Lookups!$A$12:$A$51, Lookups!$C$12:$C$51, "Unknown")</f>
        <v>Peripherals</v>
      </c>
      <c r="S2189" t="str">
        <f>IF(ISBLANK(I2189), B2189+VLOOKUP(C2189, Lookups!$A$2:$D$10, 4, FALSE()), I2189)</f>
        <v>2025-12-31</v>
      </c>
      <c r="T2189">
        <f t="shared" si="207"/>
        <v>11</v>
      </c>
      <c r="U2189" t="str">
        <f t="shared" si="208"/>
        <v>Late</v>
      </c>
      <c r="V2189">
        <f t="shared" si="209"/>
        <v>0</v>
      </c>
    </row>
    <row r="2190" spans="1:22" x14ac:dyDescent="0.45">
      <c r="A2190" t="s">
        <v>3044</v>
      </c>
      <c r="B2190" t="s">
        <v>371</v>
      </c>
      <c r="C2190" t="s">
        <v>37</v>
      </c>
      <c r="D2190" t="s">
        <v>69</v>
      </c>
      <c r="E2190" t="s">
        <v>15</v>
      </c>
      <c r="F2190">
        <v>237</v>
      </c>
      <c r="G2190">
        <v>13231</v>
      </c>
      <c r="H2190">
        <v>3135747</v>
      </c>
      <c r="I2190" t="s">
        <v>207</v>
      </c>
      <c r="J2190" t="s">
        <v>207</v>
      </c>
      <c r="K2190">
        <v>237</v>
      </c>
      <c r="L2190">
        <v>0</v>
      </c>
      <c r="M2190" t="s">
        <v>115</v>
      </c>
      <c r="N2190" t="str">
        <f t="shared" si="204"/>
        <v>PO-102189</v>
      </c>
      <c r="O2190" t="str">
        <f t="shared" si="205"/>
        <v>Delivered</v>
      </c>
      <c r="P2190" t="str">
        <f t="shared" si="206"/>
        <v>WH-BOM</v>
      </c>
      <c r="Q2190" t="str">
        <f>VLOOKUP(C2190, Lookups!$A$2:$D$10, 2, FALSE())</f>
        <v>Premium Desks Ltd</v>
      </c>
      <c r="R2190" t="str">
        <f>_xlfn.XLOOKUP(D2190, Lookups!$A$12:$A$51, Lookups!$C$12:$C$51, "Unknown")</f>
        <v>Office Furniture</v>
      </c>
      <c r="S2190" t="str">
        <f>IF(ISBLANK(I2190), B2190+VLOOKUP(C2190, Lookups!$A$2:$D$10, 4, FALSE()), I2190)</f>
        <v>2025-12-14</v>
      </c>
      <c r="T2190">
        <f t="shared" si="207"/>
        <v>12</v>
      </c>
      <c r="U2190" t="str">
        <f t="shared" si="208"/>
        <v>On-Time</v>
      </c>
      <c r="V2190">
        <f t="shared" si="209"/>
        <v>0</v>
      </c>
    </row>
    <row r="2191" spans="1:22" x14ac:dyDescent="0.45">
      <c r="A2191" t="s">
        <v>3045</v>
      </c>
      <c r="B2191" t="s">
        <v>356</v>
      </c>
      <c r="C2191" t="s">
        <v>33</v>
      </c>
      <c r="D2191" t="s">
        <v>89</v>
      </c>
      <c r="E2191" t="s">
        <v>17</v>
      </c>
      <c r="F2191">
        <v>58</v>
      </c>
      <c r="G2191">
        <v>11309</v>
      </c>
      <c r="H2191">
        <v>655922</v>
      </c>
      <c r="I2191" t="s">
        <v>1077</v>
      </c>
      <c r="J2191" t="s">
        <v>154</v>
      </c>
      <c r="K2191">
        <v>58</v>
      </c>
      <c r="L2191">
        <v>0</v>
      </c>
      <c r="M2191" t="s">
        <v>927</v>
      </c>
      <c r="N2191" t="str">
        <f t="shared" si="204"/>
        <v>PO-102190</v>
      </c>
      <c r="O2191" t="str">
        <f t="shared" si="205"/>
        <v>Delivered</v>
      </c>
      <c r="P2191" t="str">
        <f t="shared" si="206"/>
        <v>WH-BLR</v>
      </c>
      <c r="Q2191" t="str">
        <f>VLOOKUP(C2191, Lookups!$A$2:$D$10, 2, FALSE())</f>
        <v>MegaFurnish</v>
      </c>
      <c r="R2191" t="str">
        <f>_xlfn.XLOOKUP(D2191, Lookups!$A$12:$A$51, Lookups!$C$12:$C$51, "Unknown")</f>
        <v>Office Furniture</v>
      </c>
      <c r="S2191" t="str">
        <f>IF(ISBLANK(I2191), B2191+VLOOKUP(C2191, Lookups!$A$2:$D$10, 4, FALSE()), I2191)</f>
        <v>2025-10-27</v>
      </c>
      <c r="T2191">
        <f t="shared" si="207"/>
        <v>31</v>
      </c>
      <c r="U2191" t="str">
        <f t="shared" si="208"/>
        <v>Late</v>
      </c>
      <c r="V2191">
        <f t="shared" si="209"/>
        <v>0</v>
      </c>
    </row>
    <row r="2192" spans="1:22" x14ac:dyDescent="0.45">
      <c r="A2192" t="s">
        <v>3046</v>
      </c>
      <c r="B2192" t="s">
        <v>1095</v>
      </c>
      <c r="C2192" t="s">
        <v>37</v>
      </c>
      <c r="D2192" t="s">
        <v>78</v>
      </c>
      <c r="E2192" t="s">
        <v>18</v>
      </c>
      <c r="F2192">
        <v>29</v>
      </c>
      <c r="G2192">
        <v>9423</v>
      </c>
      <c r="H2192">
        <v>273267</v>
      </c>
      <c r="I2192" t="s">
        <v>542</v>
      </c>
      <c r="J2192" t="s">
        <v>542</v>
      </c>
      <c r="K2192">
        <v>29</v>
      </c>
      <c r="L2192">
        <v>0</v>
      </c>
      <c r="M2192" t="s">
        <v>115</v>
      </c>
      <c r="N2192" t="str">
        <f t="shared" si="204"/>
        <v>PO-102191</v>
      </c>
      <c r="O2192" t="str">
        <f t="shared" si="205"/>
        <v>Delivered</v>
      </c>
      <c r="P2192" t="str">
        <f t="shared" si="206"/>
        <v>WH-PUN</v>
      </c>
      <c r="Q2192" t="str">
        <f>VLOOKUP(C2192, Lookups!$A$2:$D$10, 2, FALSE())</f>
        <v>Premium Desks Ltd</v>
      </c>
      <c r="R2192" t="str">
        <f>_xlfn.XLOOKUP(D2192, Lookups!$A$12:$A$51, Lookups!$C$12:$C$51, "Unknown")</f>
        <v>Office Furniture</v>
      </c>
      <c r="S2192" t="str">
        <f>IF(ISBLANK(I2192), B2192+VLOOKUP(C2192, Lookups!$A$2:$D$10, 4, FALSE()), I2192)</f>
        <v>2026-05-19</v>
      </c>
      <c r="T2192">
        <f t="shared" si="207"/>
        <v>12</v>
      </c>
      <c r="U2192" t="str">
        <f t="shared" si="208"/>
        <v>On-Time</v>
      </c>
      <c r="V2192">
        <f t="shared" si="209"/>
        <v>0</v>
      </c>
    </row>
    <row r="2193" spans="1:22" x14ac:dyDescent="0.45">
      <c r="A2193" t="s">
        <v>3047</v>
      </c>
      <c r="B2193" t="s">
        <v>322</v>
      </c>
      <c r="C2193" t="s">
        <v>34</v>
      </c>
      <c r="D2193" t="s">
        <v>73</v>
      </c>
      <c r="E2193" t="s">
        <v>17</v>
      </c>
      <c r="F2193">
        <v>14</v>
      </c>
      <c r="G2193">
        <v>58396</v>
      </c>
      <c r="H2193">
        <v>817544</v>
      </c>
      <c r="I2193" t="s">
        <v>587</v>
      </c>
      <c r="J2193" t="s">
        <v>587</v>
      </c>
      <c r="K2193">
        <v>14</v>
      </c>
      <c r="L2193">
        <v>0</v>
      </c>
      <c r="M2193" t="s">
        <v>115</v>
      </c>
      <c r="N2193" t="str">
        <f t="shared" si="204"/>
        <v>PO-102192</v>
      </c>
      <c r="O2193" t="str">
        <f t="shared" si="205"/>
        <v>Delivered</v>
      </c>
      <c r="P2193" t="str">
        <f t="shared" si="206"/>
        <v>WH-BLR</v>
      </c>
      <c r="Q2193" t="str">
        <f>VLOOKUP(C2193, Lookups!$A$2:$D$10, 2, FALSE())</f>
        <v>FastElectronics</v>
      </c>
      <c r="R2193" t="str">
        <f>_xlfn.XLOOKUP(D2193, Lookups!$A$12:$A$51, Lookups!$C$12:$C$51, "Unknown")</f>
        <v>Electronics</v>
      </c>
      <c r="S2193" t="str">
        <f>IF(ISBLANK(I2193), B2193+VLOOKUP(C2193, Lookups!$A$2:$D$10, 4, FALSE()), I2193)</f>
        <v>2026-04-11</v>
      </c>
      <c r="T2193">
        <f t="shared" si="207"/>
        <v>18</v>
      </c>
      <c r="U2193" t="str">
        <f t="shared" si="208"/>
        <v>On-Time</v>
      </c>
      <c r="V2193">
        <f t="shared" si="209"/>
        <v>0</v>
      </c>
    </row>
    <row r="2194" spans="1:22" x14ac:dyDescent="0.45">
      <c r="A2194" t="s">
        <v>3048</v>
      </c>
      <c r="B2194" t="s">
        <v>499</v>
      </c>
      <c r="C2194" t="s">
        <v>35</v>
      </c>
      <c r="D2194" t="s">
        <v>75</v>
      </c>
      <c r="E2194" t="s">
        <v>17</v>
      </c>
      <c r="F2194">
        <v>194</v>
      </c>
      <c r="G2194">
        <v>4440</v>
      </c>
      <c r="H2194">
        <v>861360</v>
      </c>
      <c r="I2194" t="s">
        <v>268</v>
      </c>
      <c r="J2194" t="s">
        <v>1018</v>
      </c>
      <c r="K2194">
        <v>194</v>
      </c>
      <c r="L2194">
        <v>0</v>
      </c>
      <c r="M2194" t="s">
        <v>115</v>
      </c>
      <c r="N2194" t="str">
        <f t="shared" si="204"/>
        <v>PO-102193</v>
      </c>
      <c r="O2194" t="str">
        <f t="shared" si="205"/>
        <v>Delivered</v>
      </c>
      <c r="P2194" t="str">
        <f t="shared" si="206"/>
        <v>WH-BLR</v>
      </c>
      <c r="Q2194" t="str">
        <f>VLOOKUP(C2194, Lookups!$A$2:$D$10, 2, FALSE())</f>
        <v>Peripheral Source</v>
      </c>
      <c r="R2194" t="str">
        <f>_xlfn.XLOOKUP(D2194, Lookups!$A$12:$A$51, Lookups!$C$12:$C$51, "Unknown")</f>
        <v>Peripherals</v>
      </c>
      <c r="S2194" t="str">
        <f>IF(ISBLANK(I2194), B2194+VLOOKUP(C2194, Lookups!$A$2:$D$10, 4, FALSE()), I2194)</f>
        <v>2025-04-13</v>
      </c>
      <c r="T2194">
        <f t="shared" si="207"/>
        <v>11</v>
      </c>
      <c r="U2194" t="str">
        <f t="shared" si="208"/>
        <v>Late</v>
      </c>
      <c r="V2194">
        <f t="shared" si="209"/>
        <v>0</v>
      </c>
    </row>
    <row r="2195" spans="1:22" x14ac:dyDescent="0.45">
      <c r="A2195" t="s">
        <v>3049</v>
      </c>
      <c r="B2195" t="s">
        <v>1068</v>
      </c>
      <c r="C2195" t="s">
        <v>30</v>
      </c>
      <c r="D2195" t="s">
        <v>88</v>
      </c>
      <c r="E2195" t="s">
        <v>17</v>
      </c>
      <c r="F2195">
        <v>249</v>
      </c>
      <c r="G2195">
        <v>75512</v>
      </c>
      <c r="H2195">
        <v>18802488</v>
      </c>
      <c r="I2195" t="s">
        <v>171</v>
      </c>
      <c r="J2195" t="s">
        <v>171</v>
      </c>
      <c r="K2195">
        <v>249</v>
      </c>
      <c r="L2195">
        <v>8</v>
      </c>
      <c r="M2195" t="s">
        <v>115</v>
      </c>
      <c r="N2195" t="str">
        <f t="shared" si="204"/>
        <v>PO-102194</v>
      </c>
      <c r="O2195" t="str">
        <f t="shared" si="205"/>
        <v>Delivered</v>
      </c>
      <c r="P2195" t="str">
        <f t="shared" si="206"/>
        <v>WH-BLR</v>
      </c>
      <c r="Q2195" t="str">
        <f>VLOOKUP(C2195, Lookups!$A$2:$D$10, 2, FALSE())</f>
        <v>TechSupply Corp</v>
      </c>
      <c r="R2195" t="str">
        <f>_xlfn.XLOOKUP(D2195, Lookups!$A$12:$A$51, Lookups!$C$12:$C$51, "Unknown")</f>
        <v>Electronics</v>
      </c>
      <c r="S2195" t="str">
        <f>IF(ISBLANK(I2195), B2195+VLOOKUP(C2195, Lookups!$A$2:$D$10, 4, FALSE()), I2195)</f>
        <v>2025-08-16</v>
      </c>
      <c r="T2195">
        <f t="shared" si="207"/>
        <v>14</v>
      </c>
      <c r="U2195" t="str">
        <f t="shared" si="208"/>
        <v>On-Time</v>
      </c>
      <c r="V2195">
        <f t="shared" si="209"/>
        <v>3.2128514056224897E-2</v>
      </c>
    </row>
    <row r="2196" spans="1:22" x14ac:dyDescent="0.45">
      <c r="A2196" t="s">
        <v>3050</v>
      </c>
      <c r="B2196" t="s">
        <v>683</v>
      </c>
      <c r="C2196" t="s">
        <v>35</v>
      </c>
      <c r="D2196" t="s">
        <v>70</v>
      </c>
      <c r="E2196" t="s">
        <v>15</v>
      </c>
      <c r="F2196">
        <v>49</v>
      </c>
      <c r="G2196">
        <v>4287</v>
      </c>
      <c r="H2196">
        <v>210063</v>
      </c>
      <c r="I2196" t="s">
        <v>133</v>
      </c>
      <c r="J2196" t="s">
        <v>133</v>
      </c>
      <c r="K2196">
        <v>49</v>
      </c>
      <c r="L2196">
        <v>0</v>
      </c>
      <c r="M2196" t="s">
        <v>115</v>
      </c>
      <c r="N2196" t="str">
        <f t="shared" si="204"/>
        <v>PO-102195</v>
      </c>
      <c r="O2196" t="str">
        <f t="shared" si="205"/>
        <v>Delivered</v>
      </c>
      <c r="P2196" t="str">
        <f t="shared" si="206"/>
        <v>WH-BOM</v>
      </c>
      <c r="Q2196" t="str">
        <f>VLOOKUP(C2196, Lookups!$A$2:$D$10, 2, FALSE())</f>
        <v>Peripheral Source</v>
      </c>
      <c r="R2196" t="str">
        <f>_xlfn.XLOOKUP(D2196, Lookups!$A$12:$A$51, Lookups!$C$12:$C$51, "Unknown")</f>
        <v>Peripherals</v>
      </c>
      <c r="S2196" t="str">
        <f>IF(ISBLANK(I2196), B2196+VLOOKUP(C2196, Lookups!$A$2:$D$10, 4, FALSE()), I2196)</f>
        <v>2026-08-27</v>
      </c>
      <c r="T2196">
        <f t="shared" si="207"/>
        <v>10</v>
      </c>
      <c r="U2196" t="str">
        <f t="shared" si="208"/>
        <v>On-Time</v>
      </c>
      <c r="V2196">
        <f t="shared" si="209"/>
        <v>0</v>
      </c>
    </row>
    <row r="2197" spans="1:22" x14ac:dyDescent="0.45">
      <c r="A2197" t="s">
        <v>3051</v>
      </c>
      <c r="B2197" t="s">
        <v>371</v>
      </c>
      <c r="C2197" t="s">
        <v>31</v>
      </c>
      <c r="D2197" t="s">
        <v>66</v>
      </c>
      <c r="E2197" t="s">
        <v>18</v>
      </c>
      <c r="F2197">
        <v>18</v>
      </c>
      <c r="G2197">
        <v>29719</v>
      </c>
      <c r="H2197">
        <v>534942</v>
      </c>
      <c r="I2197" t="s">
        <v>753</v>
      </c>
      <c r="J2197" t="s">
        <v>829</v>
      </c>
      <c r="K2197">
        <v>18</v>
      </c>
      <c r="L2197">
        <v>0</v>
      </c>
      <c r="M2197" t="s">
        <v>166</v>
      </c>
      <c r="N2197" t="str">
        <f t="shared" si="204"/>
        <v>PO-102196</v>
      </c>
      <c r="O2197" t="str">
        <f t="shared" si="205"/>
        <v>Delivered</v>
      </c>
      <c r="P2197" t="str">
        <f t="shared" si="206"/>
        <v>WH-PUN</v>
      </c>
      <c r="Q2197" t="str">
        <f>VLOOKUP(C2197, Lookups!$A$2:$D$10, 2, FALSE())</f>
        <v>Global Networks</v>
      </c>
      <c r="R2197" t="str">
        <f>_xlfn.XLOOKUP(D2197, Lookups!$A$12:$A$51, Lookups!$C$12:$C$51, "Unknown")</f>
        <v>Networking</v>
      </c>
      <c r="S2197" t="str">
        <f>IF(ISBLANK(I2197), B2197+VLOOKUP(C2197, Lookups!$A$2:$D$10, 4, FALSE()), I2197)</f>
        <v>2025-12-23</v>
      </c>
      <c r="T2197">
        <f t="shared" si="207"/>
        <v>22</v>
      </c>
      <c r="U2197" t="str">
        <f t="shared" si="208"/>
        <v>Late</v>
      </c>
      <c r="V2197">
        <f t="shared" si="209"/>
        <v>0</v>
      </c>
    </row>
    <row r="2198" spans="1:22" x14ac:dyDescent="0.45">
      <c r="A2198" t="s">
        <v>3052</v>
      </c>
      <c r="B2198" t="s">
        <v>388</v>
      </c>
      <c r="C2198" t="s">
        <v>35</v>
      </c>
      <c r="D2198" t="s">
        <v>60</v>
      </c>
      <c r="E2198" t="s">
        <v>15</v>
      </c>
      <c r="F2198">
        <v>181</v>
      </c>
      <c r="G2198">
        <v>3291</v>
      </c>
      <c r="H2198">
        <v>595671</v>
      </c>
      <c r="I2198" t="s">
        <v>323</v>
      </c>
      <c r="J2198" t="s">
        <v>559</v>
      </c>
      <c r="K2198">
        <v>181</v>
      </c>
      <c r="L2198">
        <v>0</v>
      </c>
      <c r="M2198" t="s">
        <v>115</v>
      </c>
      <c r="N2198" t="str">
        <f t="shared" si="204"/>
        <v>PO-102197</v>
      </c>
      <c r="O2198" t="str">
        <f t="shared" si="205"/>
        <v>Delivered</v>
      </c>
      <c r="P2198" t="str">
        <f t="shared" si="206"/>
        <v>WH-BOM</v>
      </c>
      <c r="Q2198" t="str">
        <f>VLOOKUP(C2198, Lookups!$A$2:$D$10, 2, FALSE())</f>
        <v>Peripheral Source</v>
      </c>
      <c r="R2198" t="str">
        <f>_xlfn.XLOOKUP(D2198, Lookups!$A$12:$A$51, Lookups!$C$12:$C$51, "Unknown")</f>
        <v>Peripherals</v>
      </c>
      <c r="S2198" t="str">
        <f>IF(ISBLANK(I2198), B2198+VLOOKUP(C2198, Lookups!$A$2:$D$10, 4, FALSE()), I2198)</f>
        <v>2026-04-04</v>
      </c>
      <c r="T2198">
        <f t="shared" si="207"/>
        <v>25</v>
      </c>
      <c r="U2198" t="str">
        <f t="shared" si="208"/>
        <v>Late</v>
      </c>
      <c r="V2198">
        <f t="shared" si="209"/>
        <v>0</v>
      </c>
    </row>
    <row r="2199" spans="1:22" x14ac:dyDescent="0.45">
      <c r="A2199" t="s">
        <v>3053</v>
      </c>
      <c r="B2199" t="s">
        <v>250</v>
      </c>
      <c r="C2199" t="s">
        <v>36</v>
      </c>
      <c r="D2199" t="s">
        <v>87</v>
      </c>
      <c r="E2199" t="s">
        <v>15</v>
      </c>
      <c r="F2199">
        <v>27</v>
      </c>
      <c r="G2199">
        <v>82930</v>
      </c>
      <c r="H2199">
        <v>2239110</v>
      </c>
      <c r="I2199" t="s">
        <v>1200</v>
      </c>
      <c r="J2199" t="s">
        <v>593</v>
      </c>
      <c r="K2199">
        <v>27</v>
      </c>
      <c r="L2199">
        <v>0</v>
      </c>
      <c r="M2199" t="s">
        <v>115</v>
      </c>
      <c r="N2199" t="str">
        <f t="shared" si="204"/>
        <v>PO-102198</v>
      </c>
      <c r="O2199" t="str">
        <f t="shared" si="205"/>
        <v>Delivered</v>
      </c>
      <c r="P2199" t="str">
        <f t="shared" si="206"/>
        <v>WH-BOM</v>
      </c>
      <c r="Q2199" t="str">
        <f>VLOOKUP(C2199, Lookups!$A$2:$D$10, 2, FALSE())</f>
        <v>NextGen Hardware</v>
      </c>
      <c r="R2199" t="str">
        <f>_xlfn.XLOOKUP(D2199, Lookups!$A$12:$A$51, Lookups!$C$12:$C$51, "Unknown")</f>
        <v>Electronics</v>
      </c>
      <c r="S2199" t="str">
        <f>IF(ISBLANK(I2199), B2199+VLOOKUP(C2199, Lookups!$A$2:$D$10, 4, FALSE()), I2199)</f>
        <v>2025-09-01</v>
      </c>
      <c r="T2199">
        <f t="shared" si="207"/>
        <v>38</v>
      </c>
      <c r="U2199" t="str">
        <f t="shared" si="208"/>
        <v>Late</v>
      </c>
      <c r="V2199">
        <f t="shared" si="209"/>
        <v>0</v>
      </c>
    </row>
    <row r="2200" spans="1:22" x14ac:dyDescent="0.45">
      <c r="A2200" t="s">
        <v>3054</v>
      </c>
      <c r="B2200" t="s">
        <v>617</v>
      </c>
      <c r="C2200" t="s">
        <v>30</v>
      </c>
      <c r="D2200" t="s">
        <v>82</v>
      </c>
      <c r="E2200" t="s">
        <v>18</v>
      </c>
      <c r="F2200">
        <v>66</v>
      </c>
      <c r="G2200">
        <v>83427</v>
      </c>
      <c r="H2200">
        <v>5506182</v>
      </c>
      <c r="I2200" t="s">
        <v>1216</v>
      </c>
      <c r="J2200" t="s">
        <v>1216</v>
      </c>
      <c r="K2200">
        <v>66</v>
      </c>
      <c r="L2200">
        <v>0</v>
      </c>
      <c r="M2200" t="s">
        <v>115</v>
      </c>
      <c r="N2200" t="str">
        <f t="shared" si="204"/>
        <v>PO-102199</v>
      </c>
      <c r="O2200" t="str">
        <f t="shared" si="205"/>
        <v>Delivered</v>
      </c>
      <c r="P2200" t="str">
        <f t="shared" si="206"/>
        <v>WH-PUN</v>
      </c>
      <c r="Q2200" t="str">
        <f>VLOOKUP(C2200, Lookups!$A$2:$D$10, 2, FALSE())</f>
        <v>TechSupply Corp</v>
      </c>
      <c r="R2200" t="str">
        <f>_xlfn.XLOOKUP(D2200, Lookups!$A$12:$A$51, Lookups!$C$12:$C$51, "Unknown")</f>
        <v>Electronics</v>
      </c>
      <c r="S2200" t="str">
        <f>IF(ISBLANK(I2200), B2200+VLOOKUP(C2200, Lookups!$A$2:$D$10, 4, FALSE()), I2200)</f>
        <v>2026-02-24</v>
      </c>
      <c r="T2200">
        <f t="shared" si="207"/>
        <v>14</v>
      </c>
      <c r="U2200" t="str">
        <f t="shared" si="208"/>
        <v>On-Time</v>
      </c>
      <c r="V2200">
        <f t="shared" si="209"/>
        <v>0</v>
      </c>
    </row>
    <row r="2201" spans="1:22" x14ac:dyDescent="0.45">
      <c r="A2201" t="s">
        <v>3055</v>
      </c>
      <c r="B2201" t="s">
        <v>155</v>
      </c>
      <c r="C2201" t="s">
        <v>34</v>
      </c>
      <c r="D2201" t="s">
        <v>68</v>
      </c>
      <c r="E2201" t="s">
        <v>16</v>
      </c>
      <c r="F2201">
        <v>239</v>
      </c>
      <c r="G2201">
        <v>41405</v>
      </c>
      <c r="H2201">
        <v>9895795</v>
      </c>
      <c r="I2201" t="s">
        <v>1596</v>
      </c>
      <c r="J2201" t="s">
        <v>255</v>
      </c>
      <c r="K2201">
        <v>239</v>
      </c>
      <c r="L2201">
        <v>0</v>
      </c>
      <c r="M2201" t="s">
        <v>115</v>
      </c>
      <c r="N2201" t="str">
        <f t="shared" si="204"/>
        <v>PO-102200</v>
      </c>
      <c r="O2201" t="str">
        <f t="shared" si="205"/>
        <v>Delivered</v>
      </c>
      <c r="P2201" t="str">
        <f t="shared" si="206"/>
        <v>WH-DEL</v>
      </c>
      <c r="Q2201" t="str">
        <f>VLOOKUP(C2201, Lookups!$A$2:$D$10, 2, FALSE())</f>
        <v>FastElectronics</v>
      </c>
      <c r="R2201" t="str">
        <f>_xlfn.XLOOKUP(D2201, Lookups!$A$12:$A$51, Lookups!$C$12:$C$51, "Unknown")</f>
        <v>Networking</v>
      </c>
      <c r="S2201" t="str">
        <f>IF(ISBLANK(I2201), B2201+VLOOKUP(C2201, Lookups!$A$2:$D$10, 4, FALSE()), I2201)</f>
        <v>2025-11-17</v>
      </c>
      <c r="T2201">
        <f t="shared" si="207"/>
        <v>19</v>
      </c>
      <c r="U2201" t="str">
        <f t="shared" si="208"/>
        <v>Late</v>
      </c>
      <c r="V2201">
        <f t="shared" si="209"/>
        <v>0</v>
      </c>
    </row>
    <row r="2202" spans="1:22" x14ac:dyDescent="0.45">
      <c r="A2202" t="s">
        <v>3056</v>
      </c>
      <c r="B2202" t="s">
        <v>1018</v>
      </c>
      <c r="C2202" t="s">
        <v>33</v>
      </c>
      <c r="D2202" t="s">
        <v>89</v>
      </c>
      <c r="E2202" t="s">
        <v>15</v>
      </c>
      <c r="F2202">
        <v>98</v>
      </c>
      <c r="G2202">
        <v>11309</v>
      </c>
      <c r="H2202">
        <v>1108282</v>
      </c>
      <c r="I2202" t="s">
        <v>408</v>
      </c>
      <c r="J2202" t="s">
        <v>523</v>
      </c>
      <c r="K2202">
        <v>98</v>
      </c>
      <c r="L2202">
        <v>0</v>
      </c>
      <c r="M2202" t="s">
        <v>115</v>
      </c>
      <c r="N2202" t="str">
        <f t="shared" si="204"/>
        <v>PO-102201</v>
      </c>
      <c r="O2202" t="str">
        <f t="shared" si="205"/>
        <v>Delivered</v>
      </c>
      <c r="P2202" t="str">
        <f t="shared" si="206"/>
        <v>WH-BOM</v>
      </c>
      <c r="Q2202" t="str">
        <f>VLOOKUP(C2202, Lookups!$A$2:$D$10, 2, FALSE())</f>
        <v>MegaFurnish</v>
      </c>
      <c r="R2202" t="str">
        <f>_xlfn.XLOOKUP(D2202, Lookups!$A$12:$A$51, Lookups!$C$12:$C$51, "Unknown")</f>
        <v>Office Furniture</v>
      </c>
      <c r="S2202" t="str">
        <f>IF(ISBLANK(I2202), B2202+VLOOKUP(C2202, Lookups!$A$2:$D$10, 4, FALSE()), I2202)</f>
        <v>2025-05-14</v>
      </c>
      <c r="T2202">
        <f t="shared" si="207"/>
        <v>31</v>
      </c>
      <c r="U2202" t="str">
        <f t="shared" si="208"/>
        <v>Late</v>
      </c>
      <c r="V2202">
        <f t="shared" si="209"/>
        <v>0</v>
      </c>
    </row>
    <row r="2203" spans="1:22" x14ac:dyDescent="0.45">
      <c r="A2203" t="s">
        <v>3057</v>
      </c>
      <c r="B2203" t="s">
        <v>760</v>
      </c>
      <c r="C2203" t="s">
        <v>33</v>
      </c>
      <c r="D2203" t="s">
        <v>89</v>
      </c>
      <c r="E2203" t="s">
        <v>18</v>
      </c>
      <c r="F2203">
        <v>135</v>
      </c>
      <c r="G2203">
        <v>11309</v>
      </c>
      <c r="H2203">
        <v>1526715</v>
      </c>
      <c r="I2203" t="s">
        <v>292</v>
      </c>
      <c r="J2203" t="s">
        <v>649</v>
      </c>
      <c r="K2203">
        <v>135</v>
      </c>
      <c r="L2203">
        <v>0</v>
      </c>
      <c r="M2203" t="s">
        <v>115</v>
      </c>
      <c r="N2203" t="str">
        <f t="shared" si="204"/>
        <v>PO-102202</v>
      </c>
      <c r="O2203" t="str">
        <f t="shared" si="205"/>
        <v>Delivered</v>
      </c>
      <c r="P2203" t="str">
        <f t="shared" si="206"/>
        <v>WH-PUN</v>
      </c>
      <c r="Q2203" t="str">
        <f>VLOOKUP(C2203, Lookups!$A$2:$D$10, 2, FALSE())</f>
        <v>MegaFurnish</v>
      </c>
      <c r="R2203" t="str">
        <f>_xlfn.XLOOKUP(D2203, Lookups!$A$12:$A$51, Lookups!$C$12:$C$51, "Unknown")</f>
        <v>Office Furniture</v>
      </c>
      <c r="S2203" t="str">
        <f>IF(ISBLANK(I2203), B2203+VLOOKUP(C2203, Lookups!$A$2:$D$10, 4, FALSE()), I2203)</f>
        <v>2025-08-17</v>
      </c>
      <c r="T2203">
        <f t="shared" si="207"/>
        <v>31</v>
      </c>
      <c r="U2203" t="str">
        <f t="shared" si="208"/>
        <v>Late</v>
      </c>
      <c r="V2203">
        <f t="shared" si="209"/>
        <v>0</v>
      </c>
    </row>
    <row r="2204" spans="1:22" x14ac:dyDescent="0.45">
      <c r="A2204" t="s">
        <v>3058</v>
      </c>
      <c r="B2204" t="s">
        <v>271</v>
      </c>
      <c r="C2204" t="s">
        <v>36</v>
      </c>
      <c r="D2204" t="s">
        <v>90</v>
      </c>
      <c r="E2204" t="s">
        <v>16</v>
      </c>
      <c r="F2204">
        <v>29</v>
      </c>
      <c r="G2204">
        <v>81434</v>
      </c>
      <c r="H2204">
        <v>2361586</v>
      </c>
      <c r="I2204" t="s">
        <v>252</v>
      </c>
      <c r="J2204" t="s">
        <v>252</v>
      </c>
      <c r="K2204">
        <v>29</v>
      </c>
      <c r="L2204">
        <v>0</v>
      </c>
      <c r="M2204" t="s">
        <v>115</v>
      </c>
      <c r="N2204" t="str">
        <f t="shared" si="204"/>
        <v>PO-102203</v>
      </c>
      <c r="O2204" t="str">
        <f t="shared" si="205"/>
        <v>Delivered</v>
      </c>
      <c r="P2204" t="str">
        <f t="shared" si="206"/>
        <v>WH-DEL</v>
      </c>
      <c r="Q2204" t="str">
        <f>VLOOKUP(C2204, Lookups!$A$2:$D$10, 2, FALSE())</f>
        <v>NextGen Hardware</v>
      </c>
      <c r="R2204" t="str">
        <f>_xlfn.XLOOKUP(D2204, Lookups!$A$12:$A$51, Lookups!$C$12:$C$51, "Unknown")</f>
        <v>Electronics</v>
      </c>
      <c r="S2204" t="str">
        <f>IF(ISBLANK(I2204), B2204+VLOOKUP(C2204, Lookups!$A$2:$D$10, 4, FALSE()), I2204)</f>
        <v>2025-08-19</v>
      </c>
      <c r="T2204">
        <f t="shared" si="207"/>
        <v>24</v>
      </c>
      <c r="U2204" t="str">
        <f t="shared" si="208"/>
        <v>On-Time</v>
      </c>
      <c r="V2204">
        <f t="shared" si="209"/>
        <v>0</v>
      </c>
    </row>
    <row r="2205" spans="1:22" x14ac:dyDescent="0.45">
      <c r="A2205" t="s">
        <v>3059</v>
      </c>
      <c r="B2205" t="s">
        <v>1770</v>
      </c>
      <c r="C2205" t="s">
        <v>37</v>
      </c>
      <c r="D2205" t="s">
        <v>69</v>
      </c>
      <c r="E2205" t="s">
        <v>18</v>
      </c>
      <c r="F2205">
        <v>238</v>
      </c>
      <c r="G2205">
        <v>13231</v>
      </c>
      <c r="H2205">
        <v>3148978</v>
      </c>
      <c r="I2205" t="s">
        <v>1430</v>
      </c>
      <c r="J2205" t="s">
        <v>579</v>
      </c>
      <c r="K2205">
        <v>238</v>
      </c>
      <c r="L2205">
        <v>0</v>
      </c>
      <c r="M2205" t="s">
        <v>115</v>
      </c>
      <c r="N2205" t="str">
        <f t="shared" si="204"/>
        <v>PO-102204</v>
      </c>
      <c r="O2205" t="str">
        <f t="shared" si="205"/>
        <v>Delivered</v>
      </c>
      <c r="P2205" t="str">
        <f t="shared" si="206"/>
        <v>WH-PUN</v>
      </c>
      <c r="Q2205" t="str">
        <f>VLOOKUP(C2205, Lookups!$A$2:$D$10, 2, FALSE())</f>
        <v>Premium Desks Ltd</v>
      </c>
      <c r="R2205" t="str">
        <f>_xlfn.XLOOKUP(D2205, Lookups!$A$12:$A$51, Lookups!$C$12:$C$51, "Unknown")</f>
        <v>Office Furniture</v>
      </c>
      <c r="S2205" t="str">
        <f>IF(ISBLANK(I2205), B2205+VLOOKUP(C2205, Lookups!$A$2:$D$10, 4, FALSE()), I2205)</f>
        <v>2025-12-28</v>
      </c>
      <c r="T2205">
        <f t="shared" si="207"/>
        <v>13</v>
      </c>
      <c r="U2205" t="str">
        <f t="shared" si="208"/>
        <v>Late</v>
      </c>
      <c r="V2205">
        <f t="shared" si="209"/>
        <v>0</v>
      </c>
    </row>
    <row r="2206" spans="1:22" x14ac:dyDescent="0.45">
      <c r="A2206" t="s">
        <v>3060</v>
      </c>
      <c r="B2206" t="s">
        <v>921</v>
      </c>
      <c r="C2206" t="s">
        <v>36</v>
      </c>
      <c r="D2206" t="s">
        <v>55</v>
      </c>
      <c r="E2206" t="s">
        <v>17</v>
      </c>
      <c r="F2206">
        <v>142</v>
      </c>
      <c r="G2206">
        <v>58434</v>
      </c>
      <c r="H2206">
        <v>8297628</v>
      </c>
      <c r="I2206" t="s">
        <v>1359</v>
      </c>
      <c r="J2206" t="s">
        <v>1170</v>
      </c>
      <c r="K2206">
        <v>142</v>
      </c>
      <c r="L2206">
        <v>6</v>
      </c>
      <c r="M2206" t="s">
        <v>115</v>
      </c>
      <c r="N2206" t="str">
        <f t="shared" si="204"/>
        <v>PO-102205</v>
      </c>
      <c r="O2206" t="str">
        <f t="shared" si="205"/>
        <v>Delivered</v>
      </c>
      <c r="P2206" t="str">
        <f t="shared" si="206"/>
        <v>WH-BLR</v>
      </c>
      <c r="Q2206" t="str">
        <f>VLOOKUP(C2206, Lookups!$A$2:$D$10, 2, FALSE())</f>
        <v>NextGen Hardware</v>
      </c>
      <c r="R2206" t="str">
        <f>_xlfn.XLOOKUP(D2206, Lookups!$A$12:$A$51, Lookups!$C$12:$C$51, "Unknown")</f>
        <v>Electronics</v>
      </c>
      <c r="S2206" t="str">
        <f>IF(ISBLANK(I2206), B2206+VLOOKUP(C2206, Lookups!$A$2:$D$10, 4, FALSE()), I2206)</f>
        <v>2026-12-02</v>
      </c>
      <c r="T2206">
        <f t="shared" si="207"/>
        <v>25</v>
      </c>
      <c r="U2206" t="str">
        <f t="shared" si="208"/>
        <v>Late</v>
      </c>
      <c r="V2206">
        <f t="shared" si="209"/>
        <v>4.2253521126760563E-2</v>
      </c>
    </row>
    <row r="2207" spans="1:22" x14ac:dyDescent="0.45">
      <c r="A2207" t="s">
        <v>3061</v>
      </c>
      <c r="B2207" t="s">
        <v>1597</v>
      </c>
      <c r="C2207" t="s">
        <v>35</v>
      </c>
      <c r="D2207" t="s">
        <v>65</v>
      </c>
      <c r="E2207" t="s">
        <v>15</v>
      </c>
      <c r="F2207">
        <v>44</v>
      </c>
      <c r="G2207">
        <v>4936</v>
      </c>
      <c r="H2207">
        <v>217184</v>
      </c>
      <c r="I2207" t="s">
        <v>885</v>
      </c>
      <c r="J2207" t="s">
        <v>885</v>
      </c>
      <c r="K2207">
        <v>44</v>
      </c>
      <c r="L2207">
        <v>0</v>
      </c>
      <c r="M2207" t="s">
        <v>115</v>
      </c>
      <c r="N2207" t="str">
        <f t="shared" si="204"/>
        <v>PO-102206</v>
      </c>
      <c r="O2207" t="str">
        <f t="shared" si="205"/>
        <v>Delivered</v>
      </c>
      <c r="P2207" t="str">
        <f t="shared" si="206"/>
        <v>WH-BOM</v>
      </c>
      <c r="Q2207" t="str">
        <f>VLOOKUP(C2207, Lookups!$A$2:$D$10, 2, FALSE())</f>
        <v>Peripheral Source</v>
      </c>
      <c r="R2207" t="str">
        <f>_xlfn.XLOOKUP(D2207, Lookups!$A$12:$A$51, Lookups!$C$12:$C$51, "Unknown")</f>
        <v>Peripherals</v>
      </c>
      <c r="S2207" t="str">
        <f>IF(ISBLANK(I2207), B2207+VLOOKUP(C2207, Lookups!$A$2:$D$10, 4, FALSE()), I2207)</f>
        <v>2025-12-15</v>
      </c>
      <c r="T2207">
        <f t="shared" si="207"/>
        <v>10</v>
      </c>
      <c r="U2207" t="str">
        <f t="shared" si="208"/>
        <v>On-Time</v>
      </c>
      <c r="V2207">
        <f t="shared" si="209"/>
        <v>0</v>
      </c>
    </row>
    <row r="2208" spans="1:22" x14ac:dyDescent="0.45">
      <c r="A2208" t="s">
        <v>3062</v>
      </c>
      <c r="B2208" t="s">
        <v>506</v>
      </c>
      <c r="C2208" t="s">
        <v>35</v>
      </c>
      <c r="D2208" t="s">
        <v>72</v>
      </c>
      <c r="E2208" t="s">
        <v>17</v>
      </c>
      <c r="F2208">
        <v>136</v>
      </c>
      <c r="G2208">
        <v>7754</v>
      </c>
      <c r="H2208">
        <v>1054544</v>
      </c>
      <c r="I2208" t="s">
        <v>831</v>
      </c>
      <c r="J2208" t="s">
        <v>831</v>
      </c>
      <c r="K2208">
        <v>136</v>
      </c>
      <c r="L2208">
        <v>0</v>
      </c>
      <c r="M2208" t="s">
        <v>115</v>
      </c>
      <c r="N2208" t="str">
        <f t="shared" si="204"/>
        <v>PO-102207</v>
      </c>
      <c r="O2208" t="str">
        <f t="shared" si="205"/>
        <v>Delivered</v>
      </c>
      <c r="P2208" t="str">
        <f t="shared" si="206"/>
        <v>WH-BLR</v>
      </c>
      <c r="Q2208" t="str">
        <f>VLOOKUP(C2208, Lookups!$A$2:$D$10, 2, FALSE())</f>
        <v>Peripheral Source</v>
      </c>
      <c r="R2208" t="str">
        <f>_xlfn.XLOOKUP(D2208, Lookups!$A$12:$A$51, Lookups!$C$12:$C$51, "Unknown")</f>
        <v>Peripherals</v>
      </c>
      <c r="S2208" t="str">
        <f>IF(ISBLANK(I2208), B2208+VLOOKUP(C2208, Lookups!$A$2:$D$10, 4, FALSE()), I2208)</f>
        <v>2025-05-21</v>
      </c>
      <c r="T2208">
        <f t="shared" si="207"/>
        <v>10</v>
      </c>
      <c r="U2208" t="str">
        <f t="shared" si="208"/>
        <v>On-Time</v>
      </c>
      <c r="V2208">
        <f t="shared" si="209"/>
        <v>0</v>
      </c>
    </row>
    <row r="2209" spans="1:22" x14ac:dyDescent="0.45">
      <c r="A2209" t="s">
        <v>3063</v>
      </c>
      <c r="B2209" t="s">
        <v>125</v>
      </c>
      <c r="C2209" t="s">
        <v>36</v>
      </c>
      <c r="D2209" t="s">
        <v>55</v>
      </c>
      <c r="E2209" t="s">
        <v>17</v>
      </c>
      <c r="F2209">
        <v>13</v>
      </c>
      <c r="G2209">
        <v>58434</v>
      </c>
      <c r="H2209">
        <v>759642</v>
      </c>
      <c r="I2209" t="s">
        <v>527</v>
      </c>
      <c r="J2209" t="s">
        <v>623</v>
      </c>
      <c r="K2209">
        <v>13</v>
      </c>
      <c r="L2209">
        <v>0</v>
      </c>
      <c r="M2209" t="s">
        <v>115</v>
      </c>
      <c r="N2209" t="str">
        <f t="shared" si="204"/>
        <v>PO-102208</v>
      </c>
      <c r="O2209" t="str">
        <f t="shared" si="205"/>
        <v>Delivered</v>
      </c>
      <c r="P2209" t="str">
        <f t="shared" si="206"/>
        <v>WH-BLR</v>
      </c>
      <c r="Q2209" t="str">
        <f>VLOOKUP(C2209, Lookups!$A$2:$D$10, 2, FALSE())</f>
        <v>NextGen Hardware</v>
      </c>
      <c r="R2209" t="str">
        <f>_xlfn.XLOOKUP(D2209, Lookups!$A$12:$A$51, Lookups!$C$12:$C$51, "Unknown")</f>
        <v>Electronics</v>
      </c>
      <c r="S2209" t="str">
        <f>IF(ISBLANK(I2209), B2209+VLOOKUP(C2209, Lookups!$A$2:$D$10, 4, FALSE()), I2209)</f>
        <v>2026-07-07</v>
      </c>
      <c r="T2209">
        <f t="shared" si="207"/>
        <v>25</v>
      </c>
      <c r="U2209" t="str">
        <f t="shared" si="208"/>
        <v>Late</v>
      </c>
      <c r="V2209">
        <f t="shared" si="209"/>
        <v>0</v>
      </c>
    </row>
    <row r="2210" spans="1:22" x14ac:dyDescent="0.45">
      <c r="A2210" t="s">
        <v>3064</v>
      </c>
      <c r="B2210" t="s">
        <v>556</v>
      </c>
      <c r="C2210" t="s">
        <v>34</v>
      </c>
      <c r="D2210" t="s">
        <v>81</v>
      </c>
      <c r="E2210" t="s">
        <v>15</v>
      </c>
      <c r="F2210">
        <v>20</v>
      </c>
      <c r="G2210">
        <v>55328</v>
      </c>
      <c r="H2210">
        <v>1106560</v>
      </c>
      <c r="I2210" t="s">
        <v>118</v>
      </c>
      <c r="J2210" t="s">
        <v>1111</v>
      </c>
      <c r="K2210">
        <v>20</v>
      </c>
      <c r="L2210">
        <v>0</v>
      </c>
      <c r="M2210" t="s">
        <v>927</v>
      </c>
      <c r="N2210" t="str">
        <f t="shared" si="204"/>
        <v>PO-102209</v>
      </c>
      <c r="O2210" t="str">
        <f t="shared" si="205"/>
        <v>Delivered</v>
      </c>
      <c r="P2210" t="str">
        <f t="shared" si="206"/>
        <v>WH-BOM</v>
      </c>
      <c r="Q2210" t="str">
        <f>VLOOKUP(C2210, Lookups!$A$2:$D$10, 2, FALSE())</f>
        <v>FastElectronics</v>
      </c>
      <c r="R2210" t="str">
        <f>_xlfn.XLOOKUP(D2210, Lookups!$A$12:$A$51, Lookups!$C$12:$C$51, "Unknown")</f>
        <v>Electronics</v>
      </c>
      <c r="S2210" t="str">
        <f>IF(ISBLANK(I2210), B2210+VLOOKUP(C2210, Lookups!$A$2:$D$10, 4, FALSE()), I2210)</f>
        <v>2026-10-03</v>
      </c>
      <c r="T2210">
        <f t="shared" si="207"/>
        <v>29</v>
      </c>
      <c r="U2210" t="str">
        <f t="shared" si="208"/>
        <v>Late</v>
      </c>
      <c r="V2210">
        <f t="shared" si="209"/>
        <v>0</v>
      </c>
    </row>
    <row r="2211" spans="1:22" x14ac:dyDescent="0.45">
      <c r="A2211" t="s">
        <v>3065</v>
      </c>
      <c r="B2211" t="s">
        <v>613</v>
      </c>
      <c r="C2211" t="s">
        <v>34</v>
      </c>
      <c r="D2211" t="s">
        <v>80</v>
      </c>
      <c r="E2211" t="s">
        <v>16</v>
      </c>
      <c r="F2211">
        <v>142</v>
      </c>
      <c r="G2211">
        <v>19090</v>
      </c>
      <c r="H2211">
        <v>2710780</v>
      </c>
      <c r="I2211" t="s">
        <v>561</v>
      </c>
      <c r="J2211" t="s">
        <v>565</v>
      </c>
      <c r="K2211">
        <v>142</v>
      </c>
      <c r="L2211">
        <v>0</v>
      </c>
      <c r="M2211" t="s">
        <v>115</v>
      </c>
      <c r="N2211" t="str">
        <f t="shared" si="204"/>
        <v>PO-102210</v>
      </c>
      <c r="O2211" t="str">
        <f t="shared" si="205"/>
        <v>Delivered</v>
      </c>
      <c r="P2211" t="str">
        <f t="shared" si="206"/>
        <v>WH-DEL</v>
      </c>
      <c r="Q2211" t="str">
        <f>VLOOKUP(C2211, Lookups!$A$2:$D$10, 2, FALSE())</f>
        <v>FastElectronics</v>
      </c>
      <c r="R2211" t="str">
        <f>_xlfn.XLOOKUP(D2211, Lookups!$A$12:$A$51, Lookups!$C$12:$C$51, "Unknown")</f>
        <v>Networking</v>
      </c>
      <c r="S2211" t="str">
        <f>IF(ISBLANK(I2211), B2211+VLOOKUP(C2211, Lookups!$A$2:$D$10, 4, FALSE()), I2211)</f>
        <v>2025-02-23</v>
      </c>
      <c r="T2211">
        <f t="shared" si="207"/>
        <v>19</v>
      </c>
      <c r="U2211" t="str">
        <f t="shared" si="208"/>
        <v>Late</v>
      </c>
      <c r="V2211">
        <f t="shared" si="209"/>
        <v>0</v>
      </c>
    </row>
    <row r="2212" spans="1:22" x14ac:dyDescent="0.45">
      <c r="A2212" t="s">
        <v>3066</v>
      </c>
      <c r="B2212" t="s">
        <v>834</v>
      </c>
      <c r="C2212" t="s">
        <v>36</v>
      </c>
      <c r="D2212" t="s">
        <v>71</v>
      </c>
      <c r="E2212" t="s">
        <v>18</v>
      </c>
      <c r="F2212">
        <v>82</v>
      </c>
      <c r="G2212">
        <v>65379</v>
      </c>
      <c r="H2212">
        <v>5361078</v>
      </c>
      <c r="I2212" t="s">
        <v>569</v>
      </c>
      <c r="J2212" t="s">
        <v>1475</v>
      </c>
      <c r="K2212">
        <v>82</v>
      </c>
      <c r="L2212">
        <v>0</v>
      </c>
      <c r="M2212" t="s">
        <v>115</v>
      </c>
      <c r="N2212" t="str">
        <f t="shared" si="204"/>
        <v>PO-102211</v>
      </c>
      <c r="O2212" t="str">
        <f t="shared" si="205"/>
        <v>Delivered</v>
      </c>
      <c r="P2212" t="str">
        <f t="shared" si="206"/>
        <v>WH-PUN</v>
      </c>
      <c r="Q2212" t="str">
        <f>VLOOKUP(C2212, Lookups!$A$2:$D$10, 2, FALSE())</f>
        <v>NextGen Hardware</v>
      </c>
      <c r="R2212" t="str">
        <f>_xlfn.XLOOKUP(D2212, Lookups!$A$12:$A$51, Lookups!$C$12:$C$51, "Unknown")</f>
        <v>Electronics</v>
      </c>
      <c r="S2212" t="str">
        <f>IF(ISBLANK(I2212), B2212+VLOOKUP(C2212, Lookups!$A$2:$D$10, 4, FALSE()), I2212)</f>
        <v>2025-09-19</v>
      </c>
      <c r="T2212">
        <f t="shared" si="207"/>
        <v>25</v>
      </c>
      <c r="U2212" t="str">
        <f t="shared" si="208"/>
        <v>Late</v>
      </c>
      <c r="V2212">
        <f t="shared" si="209"/>
        <v>0</v>
      </c>
    </row>
    <row r="2213" spans="1:22" x14ac:dyDescent="0.45">
      <c r="A2213" t="s">
        <v>3067</v>
      </c>
      <c r="B2213" t="s">
        <v>1295</v>
      </c>
      <c r="C2213" t="s">
        <v>34</v>
      </c>
      <c r="D2213" t="s">
        <v>54</v>
      </c>
      <c r="E2213" t="s">
        <v>17</v>
      </c>
      <c r="F2213">
        <v>36</v>
      </c>
      <c r="G2213">
        <v>22314</v>
      </c>
      <c r="H2213">
        <v>803304</v>
      </c>
      <c r="I2213" t="s">
        <v>520</v>
      </c>
      <c r="J2213" t="s">
        <v>133</v>
      </c>
      <c r="K2213">
        <v>36</v>
      </c>
      <c r="L2213">
        <v>0</v>
      </c>
      <c r="M2213" t="s">
        <v>115</v>
      </c>
      <c r="N2213" t="str">
        <f t="shared" si="204"/>
        <v>PO-102212</v>
      </c>
      <c r="O2213" t="str">
        <f t="shared" si="205"/>
        <v>Delivered</v>
      </c>
      <c r="P2213" t="str">
        <f t="shared" si="206"/>
        <v>WH-BLR</v>
      </c>
      <c r="Q2213" t="str">
        <f>VLOOKUP(C2213, Lookups!$A$2:$D$10, 2, FALSE())</f>
        <v>FastElectronics</v>
      </c>
      <c r="R2213" t="str">
        <f>_xlfn.XLOOKUP(D2213, Lookups!$A$12:$A$51, Lookups!$C$12:$C$51, "Unknown")</f>
        <v>Networking</v>
      </c>
      <c r="S2213" t="str">
        <f>IF(ISBLANK(I2213), B2213+VLOOKUP(C2213, Lookups!$A$2:$D$10, 4, FALSE()), I2213)</f>
        <v>2026-08-29</v>
      </c>
      <c r="T2213">
        <f t="shared" si="207"/>
        <v>16</v>
      </c>
      <c r="U2213" t="str">
        <f t="shared" si="208"/>
        <v>On-Time</v>
      </c>
      <c r="V2213">
        <f t="shared" si="209"/>
        <v>0</v>
      </c>
    </row>
    <row r="2214" spans="1:22" x14ac:dyDescent="0.45">
      <c r="A2214" t="s">
        <v>3068</v>
      </c>
      <c r="B2214" t="s">
        <v>665</v>
      </c>
      <c r="C2214" t="s">
        <v>31</v>
      </c>
      <c r="D2214" t="s">
        <v>85</v>
      </c>
      <c r="E2214" t="s">
        <v>16</v>
      </c>
      <c r="F2214">
        <v>46</v>
      </c>
      <c r="G2214">
        <v>16501</v>
      </c>
      <c r="H2214">
        <v>759046</v>
      </c>
      <c r="I2214" t="s">
        <v>1142</v>
      </c>
      <c r="J2214" t="s">
        <v>499</v>
      </c>
      <c r="K2214">
        <v>46</v>
      </c>
      <c r="L2214">
        <v>0</v>
      </c>
      <c r="M2214" t="s">
        <v>115</v>
      </c>
      <c r="N2214" t="str">
        <f t="shared" si="204"/>
        <v>PO-102213</v>
      </c>
      <c r="O2214" t="str">
        <f t="shared" si="205"/>
        <v>Delivered</v>
      </c>
      <c r="P2214" t="str">
        <f t="shared" si="206"/>
        <v>WH-DEL</v>
      </c>
      <c r="Q2214" t="str">
        <f>VLOOKUP(C2214, Lookups!$A$2:$D$10, 2, FALSE())</f>
        <v>Global Networks</v>
      </c>
      <c r="R2214" t="str">
        <f>_xlfn.XLOOKUP(D2214, Lookups!$A$12:$A$51, Lookups!$C$12:$C$51, "Unknown")</f>
        <v>Networking</v>
      </c>
      <c r="S2214" t="str">
        <f>IF(ISBLANK(I2214), B2214+VLOOKUP(C2214, Lookups!$A$2:$D$10, 4, FALSE()), I2214)</f>
        <v>2025-04-01</v>
      </c>
      <c r="T2214">
        <f t="shared" si="207"/>
        <v>23</v>
      </c>
      <c r="U2214" t="str">
        <f t="shared" si="208"/>
        <v>Late</v>
      </c>
      <c r="V2214">
        <f t="shared" si="209"/>
        <v>0</v>
      </c>
    </row>
    <row r="2215" spans="1:22" x14ac:dyDescent="0.45">
      <c r="A2215" t="s">
        <v>3069</v>
      </c>
      <c r="B2215" t="s">
        <v>921</v>
      </c>
      <c r="C2215" t="s">
        <v>30</v>
      </c>
      <c r="D2215" t="s">
        <v>86</v>
      </c>
      <c r="E2215" t="s">
        <v>17</v>
      </c>
      <c r="F2215">
        <v>177</v>
      </c>
      <c r="G2215">
        <v>74871</v>
      </c>
      <c r="H2215">
        <v>13252167</v>
      </c>
      <c r="I2215" t="s">
        <v>693</v>
      </c>
      <c r="J2215" t="s">
        <v>693</v>
      </c>
      <c r="K2215">
        <v>177</v>
      </c>
      <c r="L2215">
        <v>3</v>
      </c>
      <c r="M2215" t="s">
        <v>115</v>
      </c>
      <c r="N2215" t="str">
        <f t="shared" si="204"/>
        <v>PO-102214</v>
      </c>
      <c r="O2215" t="str">
        <f t="shared" si="205"/>
        <v>Delivered</v>
      </c>
      <c r="P2215" t="str">
        <f t="shared" si="206"/>
        <v>WH-BLR</v>
      </c>
      <c r="Q2215" t="str">
        <f>VLOOKUP(C2215, Lookups!$A$2:$D$10, 2, FALSE())</f>
        <v>TechSupply Corp</v>
      </c>
      <c r="R2215" t="str">
        <f>_xlfn.XLOOKUP(D2215, Lookups!$A$12:$A$51, Lookups!$C$12:$C$51, "Unknown")</f>
        <v>Electronics</v>
      </c>
      <c r="S2215" t="str">
        <f>IF(ISBLANK(I2215), B2215+VLOOKUP(C2215, Lookups!$A$2:$D$10, 4, FALSE()), I2215)</f>
        <v>2026-11-22</v>
      </c>
      <c r="T2215">
        <f t="shared" si="207"/>
        <v>14</v>
      </c>
      <c r="U2215" t="str">
        <f t="shared" si="208"/>
        <v>On-Time</v>
      </c>
      <c r="V2215">
        <f t="shared" si="209"/>
        <v>1.6949152542372881E-2</v>
      </c>
    </row>
    <row r="2216" spans="1:22" x14ac:dyDescent="0.45">
      <c r="A2216" t="s">
        <v>3070</v>
      </c>
      <c r="B2216" t="s">
        <v>1348</v>
      </c>
      <c r="C2216" t="s">
        <v>34</v>
      </c>
      <c r="D2216" t="s">
        <v>54</v>
      </c>
      <c r="E2216" t="s">
        <v>16</v>
      </c>
      <c r="F2216">
        <v>203</v>
      </c>
      <c r="G2216">
        <v>22314</v>
      </c>
      <c r="H2216">
        <v>4529742</v>
      </c>
      <c r="I2216" t="s">
        <v>794</v>
      </c>
      <c r="J2216" t="s">
        <v>493</v>
      </c>
      <c r="K2216">
        <v>203</v>
      </c>
      <c r="L2216">
        <v>10</v>
      </c>
      <c r="M2216" t="s">
        <v>115</v>
      </c>
      <c r="N2216" t="str">
        <f t="shared" si="204"/>
        <v>PO-102215</v>
      </c>
      <c r="O2216" t="str">
        <f t="shared" si="205"/>
        <v>Delivered</v>
      </c>
      <c r="P2216" t="str">
        <f t="shared" si="206"/>
        <v>WH-DEL</v>
      </c>
      <c r="Q2216" t="str">
        <f>VLOOKUP(C2216, Lookups!$A$2:$D$10, 2, FALSE())</f>
        <v>FastElectronics</v>
      </c>
      <c r="R2216" t="str">
        <f>_xlfn.XLOOKUP(D2216, Lookups!$A$12:$A$51, Lookups!$C$12:$C$51, "Unknown")</f>
        <v>Networking</v>
      </c>
      <c r="S2216" t="str">
        <f>IF(ISBLANK(I2216), B2216+VLOOKUP(C2216, Lookups!$A$2:$D$10, 4, FALSE()), I2216)</f>
        <v>2026-09-07</v>
      </c>
      <c r="T2216">
        <f t="shared" si="207"/>
        <v>19</v>
      </c>
      <c r="U2216" t="str">
        <f t="shared" si="208"/>
        <v>Late</v>
      </c>
      <c r="V2216">
        <f t="shared" si="209"/>
        <v>4.9261083743842367E-2</v>
      </c>
    </row>
    <row r="2217" spans="1:22" x14ac:dyDescent="0.45">
      <c r="A2217" t="s">
        <v>3071</v>
      </c>
      <c r="B2217" t="s">
        <v>210</v>
      </c>
      <c r="C2217" t="s">
        <v>30</v>
      </c>
      <c r="D2217" t="s">
        <v>88</v>
      </c>
      <c r="E2217" t="s">
        <v>17</v>
      </c>
      <c r="F2217">
        <v>26</v>
      </c>
      <c r="G2217">
        <v>75512</v>
      </c>
      <c r="H2217">
        <v>1963312</v>
      </c>
      <c r="I2217" t="s">
        <v>1133</v>
      </c>
      <c r="J2217" t="s">
        <v>242</v>
      </c>
      <c r="K2217">
        <v>26</v>
      </c>
      <c r="L2217">
        <v>0</v>
      </c>
      <c r="M2217" t="s">
        <v>115</v>
      </c>
      <c r="N2217" t="str">
        <f t="shared" si="204"/>
        <v>PO-102216</v>
      </c>
      <c r="O2217" t="str">
        <f t="shared" si="205"/>
        <v>Delivered</v>
      </c>
      <c r="P2217" t="str">
        <f t="shared" si="206"/>
        <v>WH-BLR</v>
      </c>
      <c r="Q2217" t="str">
        <f>VLOOKUP(C2217, Lookups!$A$2:$D$10, 2, FALSE())</f>
        <v>TechSupply Corp</v>
      </c>
      <c r="R2217" t="str">
        <f>_xlfn.XLOOKUP(D2217, Lookups!$A$12:$A$51, Lookups!$C$12:$C$51, "Unknown")</f>
        <v>Electronics</v>
      </c>
      <c r="S2217" t="str">
        <f>IF(ISBLANK(I2217), B2217+VLOOKUP(C2217, Lookups!$A$2:$D$10, 4, FALSE()), I2217)</f>
        <v>2025-07-04</v>
      </c>
      <c r="T2217">
        <f t="shared" si="207"/>
        <v>15</v>
      </c>
      <c r="U2217" t="str">
        <f t="shared" si="208"/>
        <v>Late</v>
      </c>
      <c r="V2217">
        <f t="shared" si="209"/>
        <v>0</v>
      </c>
    </row>
    <row r="2218" spans="1:22" x14ac:dyDescent="0.45">
      <c r="A2218" t="s">
        <v>3072</v>
      </c>
      <c r="B2218" t="s">
        <v>133</v>
      </c>
      <c r="C2218" t="s">
        <v>34</v>
      </c>
      <c r="D2218" t="s">
        <v>54</v>
      </c>
      <c r="E2218" t="s">
        <v>16</v>
      </c>
      <c r="F2218">
        <v>204</v>
      </c>
      <c r="G2218">
        <v>22314</v>
      </c>
      <c r="H2218">
        <v>4552056</v>
      </c>
      <c r="I2218" t="s">
        <v>661</v>
      </c>
      <c r="J2218" t="s">
        <v>661</v>
      </c>
      <c r="K2218">
        <v>204</v>
      </c>
      <c r="L2218">
        <v>0</v>
      </c>
      <c r="M2218" t="s">
        <v>115</v>
      </c>
      <c r="N2218" t="str">
        <f t="shared" si="204"/>
        <v>PO-102217</v>
      </c>
      <c r="O2218" t="str">
        <f t="shared" si="205"/>
        <v>Delivered</v>
      </c>
      <c r="P2218" t="str">
        <f t="shared" si="206"/>
        <v>WH-DEL</v>
      </c>
      <c r="Q2218" t="str">
        <f>VLOOKUP(C2218, Lookups!$A$2:$D$10, 2, FALSE())</f>
        <v>FastElectronics</v>
      </c>
      <c r="R2218" t="str">
        <f>_xlfn.XLOOKUP(D2218, Lookups!$A$12:$A$51, Lookups!$C$12:$C$51, "Unknown")</f>
        <v>Networking</v>
      </c>
      <c r="S2218" t="str">
        <f>IF(ISBLANK(I2218), B2218+VLOOKUP(C2218, Lookups!$A$2:$D$10, 4, FALSE()), I2218)</f>
        <v>2026-09-14</v>
      </c>
      <c r="T2218">
        <f t="shared" si="207"/>
        <v>18</v>
      </c>
      <c r="U2218" t="str">
        <f t="shared" si="208"/>
        <v>On-Time</v>
      </c>
      <c r="V2218">
        <f t="shared" si="209"/>
        <v>0</v>
      </c>
    </row>
    <row r="2219" spans="1:22" x14ac:dyDescent="0.45">
      <c r="A2219" t="s">
        <v>3073</v>
      </c>
      <c r="B2219" t="s">
        <v>811</v>
      </c>
      <c r="C2219" t="s">
        <v>37</v>
      </c>
      <c r="D2219" t="s">
        <v>78</v>
      </c>
      <c r="E2219" t="s">
        <v>18</v>
      </c>
      <c r="F2219">
        <v>109</v>
      </c>
      <c r="G2219">
        <v>9423</v>
      </c>
      <c r="H2219">
        <v>1027107</v>
      </c>
      <c r="I2219" t="s">
        <v>1010</v>
      </c>
      <c r="J2219" t="s">
        <v>1010</v>
      </c>
      <c r="K2219">
        <v>109</v>
      </c>
      <c r="L2219">
        <v>0</v>
      </c>
      <c r="M2219" t="s">
        <v>115</v>
      </c>
      <c r="N2219" t="str">
        <f t="shared" si="204"/>
        <v>PO-102218</v>
      </c>
      <c r="O2219" t="str">
        <f t="shared" si="205"/>
        <v>Delivered</v>
      </c>
      <c r="P2219" t="str">
        <f t="shared" si="206"/>
        <v>WH-PUN</v>
      </c>
      <c r="Q2219" t="str">
        <f>VLOOKUP(C2219, Lookups!$A$2:$D$10, 2, FALSE())</f>
        <v>Premium Desks Ltd</v>
      </c>
      <c r="R2219" t="str">
        <f>_xlfn.XLOOKUP(D2219, Lookups!$A$12:$A$51, Lookups!$C$12:$C$51, "Unknown")</f>
        <v>Office Furniture</v>
      </c>
      <c r="S2219" t="str">
        <f>IF(ISBLANK(I2219), B2219+VLOOKUP(C2219, Lookups!$A$2:$D$10, 4, FALSE()), I2219)</f>
        <v>2026-12-09</v>
      </c>
      <c r="T2219">
        <f t="shared" si="207"/>
        <v>12</v>
      </c>
      <c r="U2219" t="str">
        <f t="shared" si="208"/>
        <v>On-Time</v>
      </c>
      <c r="V2219">
        <f t="shared" si="209"/>
        <v>0</v>
      </c>
    </row>
    <row r="2220" spans="1:22" x14ac:dyDescent="0.45">
      <c r="A2220" t="s">
        <v>3074</v>
      </c>
      <c r="B2220" t="s">
        <v>288</v>
      </c>
      <c r="C2220" t="s">
        <v>30</v>
      </c>
      <c r="D2220" t="s">
        <v>88</v>
      </c>
      <c r="E2220" t="s">
        <v>17</v>
      </c>
      <c r="F2220">
        <v>239</v>
      </c>
      <c r="G2220">
        <v>75512</v>
      </c>
      <c r="H2220">
        <v>18047368</v>
      </c>
      <c r="I2220" t="s">
        <v>114</v>
      </c>
      <c r="J2220" t="s">
        <v>114</v>
      </c>
      <c r="K2220">
        <v>239</v>
      </c>
      <c r="L2220">
        <v>0</v>
      </c>
      <c r="M2220" t="s">
        <v>115</v>
      </c>
      <c r="N2220" t="str">
        <f t="shared" si="204"/>
        <v>PO-102219</v>
      </c>
      <c r="O2220" t="str">
        <f t="shared" si="205"/>
        <v>Delivered</v>
      </c>
      <c r="P2220" t="str">
        <f t="shared" si="206"/>
        <v>WH-BLR</v>
      </c>
      <c r="Q2220" t="str">
        <f>VLOOKUP(C2220, Lookups!$A$2:$D$10, 2, FALSE())</f>
        <v>TechSupply Corp</v>
      </c>
      <c r="R2220" t="str">
        <f>_xlfn.XLOOKUP(D2220, Lookups!$A$12:$A$51, Lookups!$C$12:$C$51, "Unknown")</f>
        <v>Electronics</v>
      </c>
      <c r="S2220" t="str">
        <f>IF(ISBLANK(I2220), B2220+VLOOKUP(C2220, Lookups!$A$2:$D$10, 4, FALSE()), I2220)</f>
        <v>2026-07-05</v>
      </c>
      <c r="T2220">
        <f t="shared" si="207"/>
        <v>14</v>
      </c>
      <c r="U2220" t="str">
        <f t="shared" si="208"/>
        <v>On-Time</v>
      </c>
      <c r="V2220">
        <f t="shared" si="209"/>
        <v>0</v>
      </c>
    </row>
    <row r="2221" spans="1:22" x14ac:dyDescent="0.45">
      <c r="A2221" t="s">
        <v>3075</v>
      </c>
      <c r="B2221" t="s">
        <v>232</v>
      </c>
      <c r="C2221" t="s">
        <v>30</v>
      </c>
      <c r="D2221" t="s">
        <v>53</v>
      </c>
      <c r="E2221" t="s">
        <v>16</v>
      </c>
      <c r="F2221">
        <v>154</v>
      </c>
      <c r="G2221">
        <v>81048</v>
      </c>
      <c r="H2221">
        <v>12481392</v>
      </c>
      <c r="I2221" t="s">
        <v>929</v>
      </c>
      <c r="J2221" t="s">
        <v>446</v>
      </c>
      <c r="K2221">
        <v>154</v>
      </c>
      <c r="L2221">
        <v>0</v>
      </c>
      <c r="M2221" t="s">
        <v>115</v>
      </c>
      <c r="N2221" t="str">
        <f t="shared" si="204"/>
        <v>PO-102220</v>
      </c>
      <c r="O2221" t="str">
        <f t="shared" si="205"/>
        <v>Delivered</v>
      </c>
      <c r="P2221" t="str">
        <f t="shared" si="206"/>
        <v>WH-DEL</v>
      </c>
      <c r="Q2221" t="str">
        <f>VLOOKUP(C2221, Lookups!$A$2:$D$10, 2, FALSE())</f>
        <v>TechSupply Corp</v>
      </c>
      <c r="R2221" t="str">
        <f>_xlfn.XLOOKUP(D2221, Lookups!$A$12:$A$51, Lookups!$C$12:$C$51, "Unknown")</f>
        <v>Electronics</v>
      </c>
      <c r="S2221" t="str">
        <f>IF(ISBLANK(I2221), B2221+VLOOKUP(C2221, Lookups!$A$2:$D$10, 4, FALSE()), I2221)</f>
        <v>2025-11-28</v>
      </c>
      <c r="T2221">
        <f t="shared" si="207"/>
        <v>15</v>
      </c>
      <c r="U2221" t="str">
        <f t="shared" si="208"/>
        <v>Late</v>
      </c>
      <c r="V2221">
        <f t="shared" si="209"/>
        <v>0</v>
      </c>
    </row>
    <row r="2222" spans="1:22" x14ac:dyDescent="0.45">
      <c r="A2222" t="s">
        <v>3076</v>
      </c>
      <c r="B2222" t="s">
        <v>246</v>
      </c>
      <c r="C2222" t="s">
        <v>35</v>
      </c>
      <c r="D2222" t="s">
        <v>70</v>
      </c>
      <c r="E2222" t="s">
        <v>16</v>
      </c>
      <c r="F2222">
        <v>15</v>
      </c>
      <c r="G2222">
        <v>4287</v>
      </c>
      <c r="H2222">
        <v>64305</v>
      </c>
      <c r="I2222" t="s">
        <v>905</v>
      </c>
      <c r="J2222" t="s">
        <v>905</v>
      </c>
      <c r="K2222">
        <v>15</v>
      </c>
      <c r="L2222">
        <v>0</v>
      </c>
      <c r="M2222" t="s">
        <v>115</v>
      </c>
      <c r="N2222" t="str">
        <f t="shared" si="204"/>
        <v>PO-102221</v>
      </c>
      <c r="O2222" t="str">
        <f t="shared" si="205"/>
        <v>Delivered</v>
      </c>
      <c r="P2222" t="str">
        <f t="shared" si="206"/>
        <v>WH-DEL</v>
      </c>
      <c r="Q2222" t="str">
        <f>VLOOKUP(C2222, Lookups!$A$2:$D$10, 2, FALSE())</f>
        <v>Peripheral Source</v>
      </c>
      <c r="R2222" t="str">
        <f>_xlfn.XLOOKUP(D2222, Lookups!$A$12:$A$51, Lookups!$C$12:$C$51, "Unknown")</f>
        <v>Peripherals</v>
      </c>
      <c r="S2222" t="str">
        <f>IF(ISBLANK(I2222), B2222+VLOOKUP(C2222, Lookups!$A$2:$D$10, 4, FALSE()), I2222)</f>
        <v>2025-10-31</v>
      </c>
      <c r="T2222">
        <f t="shared" si="207"/>
        <v>10</v>
      </c>
      <c r="U2222" t="str">
        <f t="shared" si="208"/>
        <v>On-Time</v>
      </c>
      <c r="V2222">
        <f t="shared" si="209"/>
        <v>0</v>
      </c>
    </row>
    <row r="2223" spans="1:22" x14ac:dyDescent="0.45">
      <c r="A2223" t="s">
        <v>3077</v>
      </c>
      <c r="B2223" t="s">
        <v>2246</v>
      </c>
      <c r="C2223" t="s">
        <v>35</v>
      </c>
      <c r="D2223" t="s">
        <v>65</v>
      </c>
      <c r="E2223" t="s">
        <v>18</v>
      </c>
      <c r="F2223">
        <v>190</v>
      </c>
      <c r="G2223">
        <v>4936</v>
      </c>
      <c r="H2223">
        <v>937840</v>
      </c>
      <c r="I2223" t="s">
        <v>803</v>
      </c>
      <c r="J2223" t="s">
        <v>1343</v>
      </c>
      <c r="K2223">
        <v>190</v>
      </c>
      <c r="L2223">
        <v>0</v>
      </c>
      <c r="M2223" t="s">
        <v>115</v>
      </c>
      <c r="N2223" t="str">
        <f t="shared" si="204"/>
        <v>PO-102222</v>
      </c>
      <c r="O2223" t="str">
        <f t="shared" si="205"/>
        <v>Delivered</v>
      </c>
      <c r="P2223" t="str">
        <f t="shared" si="206"/>
        <v>WH-PUN</v>
      </c>
      <c r="Q2223" t="str">
        <f>VLOOKUP(C2223, Lookups!$A$2:$D$10, 2, FALSE())</f>
        <v>Peripheral Source</v>
      </c>
      <c r="R2223" t="str">
        <f>_xlfn.XLOOKUP(D2223, Lookups!$A$12:$A$51, Lookups!$C$12:$C$51, "Unknown")</f>
        <v>Peripherals</v>
      </c>
      <c r="S2223" t="str">
        <f>IF(ISBLANK(I2223), B2223+VLOOKUP(C2223, Lookups!$A$2:$D$10, 4, FALSE()), I2223)</f>
        <v>2026-08-16</v>
      </c>
      <c r="T2223">
        <f t="shared" si="207"/>
        <v>18</v>
      </c>
      <c r="U2223" t="str">
        <f t="shared" si="208"/>
        <v>Late</v>
      </c>
      <c r="V2223">
        <f t="shared" si="209"/>
        <v>0</v>
      </c>
    </row>
    <row r="2224" spans="1:22" x14ac:dyDescent="0.45">
      <c r="A2224" t="s">
        <v>3078</v>
      </c>
      <c r="B2224" t="s">
        <v>210</v>
      </c>
      <c r="C2224" t="s">
        <v>30</v>
      </c>
      <c r="D2224" t="s">
        <v>52</v>
      </c>
      <c r="E2224" t="s">
        <v>18</v>
      </c>
      <c r="F2224">
        <v>41</v>
      </c>
      <c r="G2224">
        <v>59592</v>
      </c>
      <c r="H2224">
        <v>2443272</v>
      </c>
      <c r="I2224" t="s">
        <v>1133</v>
      </c>
      <c r="J2224" t="s">
        <v>242</v>
      </c>
      <c r="K2224">
        <v>41</v>
      </c>
      <c r="L2224">
        <v>0</v>
      </c>
      <c r="M2224" t="s">
        <v>115</v>
      </c>
      <c r="N2224" t="str">
        <f t="shared" si="204"/>
        <v>PO-102223</v>
      </c>
      <c r="O2224" t="str">
        <f t="shared" si="205"/>
        <v>Delivered</v>
      </c>
      <c r="P2224" t="str">
        <f t="shared" si="206"/>
        <v>WH-PUN</v>
      </c>
      <c r="Q2224" t="str">
        <f>VLOOKUP(C2224, Lookups!$A$2:$D$10, 2, FALSE())</f>
        <v>TechSupply Corp</v>
      </c>
      <c r="R2224" t="str">
        <f>_xlfn.XLOOKUP(D2224, Lookups!$A$12:$A$51, Lookups!$C$12:$C$51, "Unknown")</f>
        <v>Electronics</v>
      </c>
      <c r="S2224" t="str">
        <f>IF(ISBLANK(I2224), B2224+VLOOKUP(C2224, Lookups!$A$2:$D$10, 4, FALSE()), I2224)</f>
        <v>2025-07-04</v>
      </c>
      <c r="T2224">
        <f t="shared" si="207"/>
        <v>15</v>
      </c>
      <c r="U2224" t="str">
        <f t="shared" si="208"/>
        <v>Late</v>
      </c>
      <c r="V2224">
        <f t="shared" si="209"/>
        <v>0</v>
      </c>
    </row>
    <row r="2225" spans="1:22" x14ac:dyDescent="0.45">
      <c r="A2225" t="s">
        <v>3079</v>
      </c>
      <c r="B2225" t="s">
        <v>1241</v>
      </c>
      <c r="C2225" t="s">
        <v>31</v>
      </c>
      <c r="D2225" t="s">
        <v>66</v>
      </c>
      <c r="E2225" t="s">
        <v>16</v>
      </c>
      <c r="F2225">
        <v>221</v>
      </c>
      <c r="G2225">
        <v>29719</v>
      </c>
      <c r="H2225">
        <v>6567899</v>
      </c>
      <c r="I2225" t="s">
        <v>160</v>
      </c>
      <c r="J2225" t="s">
        <v>160</v>
      </c>
      <c r="K2225">
        <v>221</v>
      </c>
      <c r="L2225">
        <v>0</v>
      </c>
      <c r="M2225" t="s">
        <v>115</v>
      </c>
      <c r="N2225" t="str">
        <f t="shared" si="204"/>
        <v>PO-102224</v>
      </c>
      <c r="O2225" t="str">
        <f t="shared" si="205"/>
        <v>Delivered</v>
      </c>
      <c r="P2225" t="str">
        <f t="shared" si="206"/>
        <v>WH-DEL</v>
      </c>
      <c r="Q2225" t="str">
        <f>VLOOKUP(C2225, Lookups!$A$2:$D$10, 2, FALSE())</f>
        <v>Global Networks</v>
      </c>
      <c r="R2225" t="str">
        <f>_xlfn.XLOOKUP(D2225, Lookups!$A$12:$A$51, Lookups!$C$12:$C$51, "Unknown")</f>
        <v>Networking</v>
      </c>
      <c r="S2225" t="str">
        <f>IF(ISBLANK(I2225), B2225+VLOOKUP(C2225, Lookups!$A$2:$D$10, 4, FALSE()), I2225)</f>
        <v>2025-05-22</v>
      </c>
      <c r="T2225">
        <f t="shared" si="207"/>
        <v>21</v>
      </c>
      <c r="U2225" t="str">
        <f t="shared" si="208"/>
        <v>On-Time</v>
      </c>
      <c r="V2225">
        <f t="shared" si="209"/>
        <v>0</v>
      </c>
    </row>
    <row r="2226" spans="1:22" x14ac:dyDescent="0.45">
      <c r="A2226" t="s">
        <v>3080</v>
      </c>
      <c r="B2226" t="s">
        <v>299</v>
      </c>
      <c r="C2226" t="s">
        <v>34</v>
      </c>
      <c r="D2226" t="s">
        <v>73</v>
      </c>
      <c r="E2226" t="s">
        <v>18</v>
      </c>
      <c r="F2226">
        <v>222</v>
      </c>
      <c r="G2226">
        <v>58396</v>
      </c>
      <c r="H2226">
        <v>12963912</v>
      </c>
      <c r="I2226" t="s">
        <v>813</v>
      </c>
      <c r="J2226" t="s">
        <v>1736</v>
      </c>
      <c r="K2226">
        <v>222</v>
      </c>
      <c r="L2226">
        <v>0</v>
      </c>
      <c r="M2226" t="s">
        <v>115</v>
      </c>
      <c r="N2226" t="str">
        <f t="shared" si="204"/>
        <v>PO-102225</v>
      </c>
      <c r="O2226" t="str">
        <f t="shared" si="205"/>
        <v>Delivered</v>
      </c>
      <c r="P2226" t="str">
        <f t="shared" si="206"/>
        <v>WH-PUN</v>
      </c>
      <c r="Q2226" t="str">
        <f>VLOOKUP(C2226, Lookups!$A$2:$D$10, 2, FALSE())</f>
        <v>FastElectronics</v>
      </c>
      <c r="R2226" t="str">
        <f>_xlfn.XLOOKUP(D2226, Lookups!$A$12:$A$51, Lookups!$C$12:$C$51, "Unknown")</f>
        <v>Electronics</v>
      </c>
      <c r="S2226" t="str">
        <f>IF(ISBLANK(I2226), B2226+VLOOKUP(C2226, Lookups!$A$2:$D$10, 4, FALSE()), I2226)</f>
        <v>2025-03-17</v>
      </c>
      <c r="T2226">
        <f t="shared" si="207"/>
        <v>19</v>
      </c>
      <c r="U2226" t="str">
        <f t="shared" si="208"/>
        <v>Late</v>
      </c>
      <c r="V2226">
        <f t="shared" si="209"/>
        <v>0</v>
      </c>
    </row>
    <row r="2227" spans="1:22" x14ac:dyDescent="0.45">
      <c r="A2227" t="s">
        <v>3081</v>
      </c>
      <c r="B2227" t="s">
        <v>1368</v>
      </c>
      <c r="C2227" t="s">
        <v>36</v>
      </c>
      <c r="D2227" t="s">
        <v>87</v>
      </c>
      <c r="E2227" t="s">
        <v>16</v>
      </c>
      <c r="F2227">
        <v>205</v>
      </c>
      <c r="G2227">
        <v>82930</v>
      </c>
      <c r="H2227">
        <v>17000650</v>
      </c>
      <c r="I2227" t="s">
        <v>745</v>
      </c>
      <c r="J2227" t="s">
        <v>383</v>
      </c>
      <c r="K2227">
        <v>121</v>
      </c>
      <c r="L2227">
        <v>0</v>
      </c>
      <c r="M2227" t="s">
        <v>115</v>
      </c>
      <c r="N2227" t="str">
        <f t="shared" si="204"/>
        <v>PO-102226</v>
      </c>
      <c r="O2227" t="str">
        <f t="shared" si="205"/>
        <v>Delivered</v>
      </c>
      <c r="P2227" t="str">
        <f t="shared" si="206"/>
        <v>WH-DEL</v>
      </c>
      <c r="Q2227" t="str">
        <f>VLOOKUP(C2227, Lookups!$A$2:$D$10, 2, FALSE())</f>
        <v>NextGen Hardware</v>
      </c>
      <c r="R2227" t="str">
        <f>_xlfn.XLOOKUP(D2227, Lookups!$A$12:$A$51, Lookups!$C$12:$C$51, "Unknown")</f>
        <v>Electronics</v>
      </c>
      <c r="S2227" t="str">
        <f>IF(ISBLANK(I2227), B2227+VLOOKUP(C2227, Lookups!$A$2:$D$10, 4, FALSE()), I2227)</f>
        <v>2026-12-06</v>
      </c>
      <c r="T2227">
        <f t="shared" si="207"/>
        <v>29</v>
      </c>
      <c r="U2227" t="str">
        <f t="shared" si="208"/>
        <v>Late</v>
      </c>
      <c r="V2227">
        <f t="shared" si="209"/>
        <v>0</v>
      </c>
    </row>
    <row r="2228" spans="1:22" x14ac:dyDescent="0.45">
      <c r="A2228" t="s">
        <v>3082</v>
      </c>
      <c r="B2228" t="s">
        <v>443</v>
      </c>
      <c r="C2228" t="s">
        <v>35</v>
      </c>
      <c r="D2228" t="s">
        <v>72</v>
      </c>
      <c r="E2228" t="s">
        <v>18</v>
      </c>
      <c r="F2228">
        <v>79</v>
      </c>
      <c r="G2228">
        <v>7754</v>
      </c>
      <c r="H2228">
        <v>612566</v>
      </c>
      <c r="I2228" t="s">
        <v>686</v>
      </c>
      <c r="J2228" t="s">
        <v>339</v>
      </c>
      <c r="K2228">
        <v>79</v>
      </c>
      <c r="L2228">
        <v>0</v>
      </c>
      <c r="M2228" t="s">
        <v>115</v>
      </c>
      <c r="N2228" t="str">
        <f t="shared" si="204"/>
        <v>PO-102227</v>
      </c>
      <c r="O2228" t="str">
        <f t="shared" si="205"/>
        <v>Delivered</v>
      </c>
      <c r="P2228" t="str">
        <f t="shared" si="206"/>
        <v>WH-PUN</v>
      </c>
      <c r="Q2228" t="str">
        <f>VLOOKUP(C2228, Lookups!$A$2:$D$10, 2, FALSE())</f>
        <v>Peripheral Source</v>
      </c>
      <c r="R2228" t="str">
        <f>_xlfn.XLOOKUP(D2228, Lookups!$A$12:$A$51, Lookups!$C$12:$C$51, "Unknown")</f>
        <v>Peripherals</v>
      </c>
      <c r="S2228" t="str">
        <f>IF(ISBLANK(I2228), B2228+VLOOKUP(C2228, Lookups!$A$2:$D$10, 4, FALSE()), I2228)</f>
        <v>2026-04-10</v>
      </c>
      <c r="T2228">
        <f t="shared" si="207"/>
        <v>20</v>
      </c>
      <c r="U2228" t="str">
        <f t="shared" si="208"/>
        <v>Late</v>
      </c>
      <c r="V2228">
        <f t="shared" si="209"/>
        <v>0</v>
      </c>
    </row>
    <row r="2229" spans="1:22" x14ac:dyDescent="0.45">
      <c r="A2229" t="s">
        <v>3083</v>
      </c>
      <c r="B2229" t="s">
        <v>1200</v>
      </c>
      <c r="C2229" t="s">
        <v>30</v>
      </c>
      <c r="D2229" t="s">
        <v>52</v>
      </c>
      <c r="E2229" t="s">
        <v>16</v>
      </c>
      <c r="F2229">
        <v>116</v>
      </c>
      <c r="G2229">
        <v>59592</v>
      </c>
      <c r="H2229">
        <v>6912672</v>
      </c>
      <c r="I2229" t="s">
        <v>593</v>
      </c>
      <c r="J2229" t="s">
        <v>145</v>
      </c>
      <c r="K2229">
        <v>116</v>
      </c>
      <c r="L2229">
        <v>0</v>
      </c>
      <c r="M2229" t="s">
        <v>115</v>
      </c>
      <c r="N2229" t="str">
        <f t="shared" si="204"/>
        <v>PO-102228</v>
      </c>
      <c r="O2229" t="str">
        <f t="shared" si="205"/>
        <v>Delivered</v>
      </c>
      <c r="P2229" t="str">
        <f t="shared" si="206"/>
        <v>WH-DEL</v>
      </c>
      <c r="Q2229" t="str">
        <f>VLOOKUP(C2229, Lookups!$A$2:$D$10, 2, FALSE())</f>
        <v>TechSupply Corp</v>
      </c>
      <c r="R2229" t="str">
        <f>_xlfn.XLOOKUP(D2229, Lookups!$A$12:$A$51, Lookups!$C$12:$C$51, "Unknown")</f>
        <v>Electronics</v>
      </c>
      <c r="S2229" t="str">
        <f>IF(ISBLANK(I2229), B2229+VLOOKUP(C2229, Lookups!$A$2:$D$10, 4, FALSE()), I2229)</f>
        <v>2025-09-15</v>
      </c>
      <c r="T2229">
        <f t="shared" si="207"/>
        <v>23</v>
      </c>
      <c r="U2229" t="str">
        <f t="shared" si="208"/>
        <v>Late</v>
      </c>
      <c r="V2229">
        <f t="shared" si="209"/>
        <v>0</v>
      </c>
    </row>
    <row r="2230" spans="1:22" x14ac:dyDescent="0.45">
      <c r="A2230" t="s">
        <v>3084</v>
      </c>
      <c r="B2230" t="s">
        <v>555</v>
      </c>
      <c r="C2230" t="s">
        <v>36</v>
      </c>
      <c r="D2230" t="s">
        <v>62</v>
      </c>
      <c r="E2230" t="s">
        <v>17</v>
      </c>
      <c r="F2230">
        <v>204</v>
      </c>
      <c r="G2230">
        <v>48478</v>
      </c>
      <c r="H2230">
        <v>9889512</v>
      </c>
      <c r="I2230" t="s">
        <v>869</v>
      </c>
      <c r="J2230" t="s">
        <v>869</v>
      </c>
      <c r="K2230">
        <v>204</v>
      </c>
      <c r="L2230">
        <v>0</v>
      </c>
      <c r="M2230" t="s">
        <v>115</v>
      </c>
      <c r="N2230" t="str">
        <f t="shared" si="204"/>
        <v>PO-102229</v>
      </c>
      <c r="O2230" t="str">
        <f t="shared" si="205"/>
        <v>Delivered</v>
      </c>
      <c r="P2230" t="str">
        <f t="shared" si="206"/>
        <v>WH-BLR</v>
      </c>
      <c r="Q2230" t="str">
        <f>VLOOKUP(C2230, Lookups!$A$2:$D$10, 2, FALSE())</f>
        <v>NextGen Hardware</v>
      </c>
      <c r="R2230" t="str">
        <f>_xlfn.XLOOKUP(D2230, Lookups!$A$12:$A$51, Lookups!$C$12:$C$51, "Unknown")</f>
        <v>Electronics</v>
      </c>
      <c r="S2230" t="str">
        <f>IF(ISBLANK(I2230), B2230+VLOOKUP(C2230, Lookups!$A$2:$D$10, 4, FALSE()), I2230)</f>
        <v>2026-09-25</v>
      </c>
      <c r="T2230">
        <f t="shared" si="207"/>
        <v>24</v>
      </c>
      <c r="U2230" t="str">
        <f t="shared" si="208"/>
        <v>On-Time</v>
      </c>
      <c r="V2230">
        <f t="shared" si="209"/>
        <v>0</v>
      </c>
    </row>
    <row r="2231" spans="1:22" x14ac:dyDescent="0.45">
      <c r="A2231" t="s">
        <v>3085</v>
      </c>
      <c r="B2231" t="s">
        <v>1221</v>
      </c>
      <c r="C2231" t="s">
        <v>31</v>
      </c>
      <c r="D2231" t="s">
        <v>56</v>
      </c>
      <c r="E2231" t="s">
        <v>16</v>
      </c>
      <c r="F2231">
        <v>246</v>
      </c>
      <c r="G2231">
        <v>39270</v>
      </c>
      <c r="H2231">
        <v>9660420</v>
      </c>
      <c r="I2231" t="s">
        <v>1780</v>
      </c>
      <c r="J2231" t="s">
        <v>1048</v>
      </c>
      <c r="K2231">
        <v>246</v>
      </c>
      <c r="L2231">
        <v>0</v>
      </c>
      <c r="M2231" t="s">
        <v>115</v>
      </c>
      <c r="N2231" t="str">
        <f t="shared" si="204"/>
        <v>PO-102230</v>
      </c>
      <c r="O2231" t="str">
        <f t="shared" si="205"/>
        <v>Delivered</v>
      </c>
      <c r="P2231" t="str">
        <f t="shared" si="206"/>
        <v>WH-DEL</v>
      </c>
      <c r="Q2231" t="str">
        <f>VLOOKUP(C2231, Lookups!$A$2:$D$10, 2, FALSE())</f>
        <v>Global Networks</v>
      </c>
      <c r="R2231" t="str">
        <f>_xlfn.XLOOKUP(D2231, Lookups!$A$12:$A$51, Lookups!$C$12:$C$51, "Unknown")</f>
        <v>Networking</v>
      </c>
      <c r="S2231" t="str">
        <f>IF(ISBLANK(I2231), B2231+VLOOKUP(C2231, Lookups!$A$2:$D$10, 4, FALSE()), I2231)</f>
        <v>2026-05-13</v>
      </c>
      <c r="T2231">
        <f t="shared" si="207"/>
        <v>22</v>
      </c>
      <c r="U2231" t="str">
        <f t="shared" si="208"/>
        <v>Late</v>
      </c>
      <c r="V2231">
        <f t="shared" si="209"/>
        <v>0</v>
      </c>
    </row>
    <row r="2232" spans="1:22" x14ac:dyDescent="0.45">
      <c r="A2232" t="s">
        <v>3086</v>
      </c>
      <c r="B2232" t="s">
        <v>548</v>
      </c>
      <c r="C2232" t="s">
        <v>34</v>
      </c>
      <c r="D2232" t="s">
        <v>58</v>
      </c>
      <c r="E2232" t="s">
        <v>17</v>
      </c>
      <c r="F2232">
        <v>90</v>
      </c>
      <c r="G2232">
        <v>100302</v>
      </c>
      <c r="H2232">
        <v>9027180</v>
      </c>
      <c r="I2232" t="s">
        <v>708</v>
      </c>
      <c r="J2232" t="s">
        <v>538</v>
      </c>
      <c r="K2232">
        <v>90</v>
      </c>
      <c r="L2232">
        <v>0</v>
      </c>
      <c r="M2232" t="s">
        <v>115</v>
      </c>
      <c r="N2232" t="str">
        <f t="shared" si="204"/>
        <v>PO-102231</v>
      </c>
      <c r="O2232" t="str">
        <f t="shared" si="205"/>
        <v>Delivered</v>
      </c>
      <c r="P2232" t="str">
        <f t="shared" si="206"/>
        <v>WH-BLR</v>
      </c>
      <c r="Q2232" t="str">
        <f>VLOOKUP(C2232, Lookups!$A$2:$D$10, 2, FALSE())</f>
        <v>FastElectronics</v>
      </c>
      <c r="R2232" t="str">
        <f>_xlfn.XLOOKUP(D2232, Lookups!$A$12:$A$51, Lookups!$C$12:$C$51, "Unknown")</f>
        <v>Electronics</v>
      </c>
      <c r="S2232" t="str">
        <f>IF(ISBLANK(I2232), B2232+VLOOKUP(C2232, Lookups!$A$2:$D$10, 4, FALSE()), I2232)</f>
        <v>2026-01-26</v>
      </c>
      <c r="T2232">
        <f t="shared" si="207"/>
        <v>16</v>
      </c>
      <c r="U2232" t="str">
        <f t="shared" si="208"/>
        <v>On-Time</v>
      </c>
      <c r="V2232">
        <f t="shared" si="209"/>
        <v>0</v>
      </c>
    </row>
    <row r="2233" spans="1:22" x14ac:dyDescent="0.45">
      <c r="A2233" t="s">
        <v>3087</v>
      </c>
      <c r="B2233" t="s">
        <v>551</v>
      </c>
      <c r="C2233" t="s">
        <v>36</v>
      </c>
      <c r="D2233" t="s">
        <v>71</v>
      </c>
      <c r="E2233" t="s">
        <v>16</v>
      </c>
      <c r="F2233">
        <v>229</v>
      </c>
      <c r="G2233">
        <v>65379</v>
      </c>
      <c r="H2233">
        <v>14971791</v>
      </c>
      <c r="I2233" t="s">
        <v>929</v>
      </c>
      <c r="J2233" t="s">
        <v>446</v>
      </c>
      <c r="K2233">
        <v>229</v>
      </c>
      <c r="L2233">
        <v>0</v>
      </c>
      <c r="M2233" t="s">
        <v>115</v>
      </c>
      <c r="N2233" t="str">
        <f t="shared" si="204"/>
        <v>PO-102232</v>
      </c>
      <c r="O2233" t="str">
        <f t="shared" si="205"/>
        <v>Delivered</v>
      </c>
      <c r="P2233" t="str">
        <f t="shared" si="206"/>
        <v>WH-DEL</v>
      </c>
      <c r="Q2233" t="str">
        <f>VLOOKUP(C2233, Lookups!$A$2:$D$10, 2, FALSE())</f>
        <v>NextGen Hardware</v>
      </c>
      <c r="R2233" t="str">
        <f>_xlfn.XLOOKUP(D2233, Lookups!$A$12:$A$51, Lookups!$C$12:$C$51, "Unknown")</f>
        <v>Electronics</v>
      </c>
      <c r="S2233" t="str">
        <f>IF(ISBLANK(I2233), B2233+VLOOKUP(C2233, Lookups!$A$2:$D$10, 4, FALSE()), I2233)</f>
        <v>2025-11-28</v>
      </c>
      <c r="T2233">
        <f t="shared" si="207"/>
        <v>25</v>
      </c>
      <c r="U2233" t="str">
        <f t="shared" si="208"/>
        <v>Late</v>
      </c>
      <c r="V2233">
        <f t="shared" si="209"/>
        <v>0</v>
      </c>
    </row>
    <row r="2234" spans="1:22" x14ac:dyDescent="0.45">
      <c r="A2234" t="s">
        <v>3088</v>
      </c>
      <c r="B2234" t="s">
        <v>1295</v>
      </c>
      <c r="C2234" t="s">
        <v>36</v>
      </c>
      <c r="D2234" t="s">
        <v>55</v>
      </c>
      <c r="E2234" t="s">
        <v>15</v>
      </c>
      <c r="F2234">
        <v>218</v>
      </c>
      <c r="G2234">
        <v>58434</v>
      </c>
      <c r="H2234">
        <v>12738612</v>
      </c>
      <c r="I2234" t="s">
        <v>349</v>
      </c>
      <c r="J2234" t="s">
        <v>349</v>
      </c>
      <c r="K2234">
        <v>218</v>
      </c>
      <c r="L2234">
        <v>0</v>
      </c>
      <c r="M2234" t="s">
        <v>115</v>
      </c>
      <c r="N2234" t="str">
        <f t="shared" si="204"/>
        <v>PO-102233</v>
      </c>
      <c r="O2234" t="str">
        <f t="shared" si="205"/>
        <v>Delivered</v>
      </c>
      <c r="P2234" t="str">
        <f t="shared" si="206"/>
        <v>WH-BOM</v>
      </c>
      <c r="Q2234" t="str">
        <f>VLOOKUP(C2234, Lookups!$A$2:$D$10, 2, FALSE())</f>
        <v>NextGen Hardware</v>
      </c>
      <c r="R2234" t="str">
        <f>_xlfn.XLOOKUP(D2234, Lookups!$A$12:$A$51, Lookups!$C$12:$C$51, "Unknown")</f>
        <v>Electronics</v>
      </c>
      <c r="S2234" t="str">
        <f>IF(ISBLANK(I2234), B2234+VLOOKUP(C2234, Lookups!$A$2:$D$10, 4, FALSE()), I2234)</f>
        <v>2026-09-04</v>
      </c>
      <c r="T2234">
        <f t="shared" si="207"/>
        <v>24</v>
      </c>
      <c r="U2234" t="str">
        <f t="shared" si="208"/>
        <v>On-Time</v>
      </c>
      <c r="V2234">
        <f t="shared" si="209"/>
        <v>0</v>
      </c>
    </row>
    <row r="2235" spans="1:22" x14ac:dyDescent="0.45">
      <c r="A2235" t="s">
        <v>3089</v>
      </c>
      <c r="B2235" t="s">
        <v>805</v>
      </c>
      <c r="C2235" t="s">
        <v>35</v>
      </c>
      <c r="D2235" t="s">
        <v>72</v>
      </c>
      <c r="E2235" t="s">
        <v>18</v>
      </c>
      <c r="F2235">
        <v>131</v>
      </c>
      <c r="G2235">
        <v>7754</v>
      </c>
      <c r="H2235">
        <v>1015774</v>
      </c>
      <c r="I2235" t="s">
        <v>354</v>
      </c>
      <c r="J2235" t="s">
        <v>354</v>
      </c>
      <c r="K2235">
        <v>131</v>
      </c>
      <c r="L2235">
        <v>0</v>
      </c>
      <c r="M2235" t="s">
        <v>115</v>
      </c>
      <c r="N2235" t="str">
        <f t="shared" si="204"/>
        <v>PO-102234</v>
      </c>
      <c r="O2235" t="str">
        <f t="shared" si="205"/>
        <v>Delivered</v>
      </c>
      <c r="P2235" t="str">
        <f t="shared" si="206"/>
        <v>WH-PUN</v>
      </c>
      <c r="Q2235" t="str">
        <f>VLOOKUP(C2235, Lookups!$A$2:$D$10, 2, FALSE())</f>
        <v>Peripheral Source</v>
      </c>
      <c r="R2235" t="str">
        <f>_xlfn.XLOOKUP(D2235, Lookups!$A$12:$A$51, Lookups!$C$12:$C$51, "Unknown")</f>
        <v>Peripherals</v>
      </c>
      <c r="S2235" t="str">
        <f>IF(ISBLANK(I2235), B2235+VLOOKUP(C2235, Lookups!$A$2:$D$10, 4, FALSE()), I2235)</f>
        <v>2025-05-05</v>
      </c>
      <c r="T2235">
        <f t="shared" si="207"/>
        <v>10</v>
      </c>
      <c r="U2235" t="str">
        <f t="shared" si="208"/>
        <v>On-Time</v>
      </c>
      <c r="V2235">
        <f t="shared" si="209"/>
        <v>0</v>
      </c>
    </row>
    <row r="2236" spans="1:22" x14ac:dyDescent="0.45">
      <c r="A2236" t="s">
        <v>3090</v>
      </c>
      <c r="B2236" t="s">
        <v>755</v>
      </c>
      <c r="C2236" t="s">
        <v>34</v>
      </c>
      <c r="D2236" t="s">
        <v>81</v>
      </c>
      <c r="E2236" t="s">
        <v>18</v>
      </c>
      <c r="F2236">
        <v>83</v>
      </c>
      <c r="G2236">
        <v>55328</v>
      </c>
      <c r="H2236">
        <v>4592224</v>
      </c>
      <c r="I2236" t="s">
        <v>937</v>
      </c>
      <c r="J2236" t="s">
        <v>778</v>
      </c>
      <c r="K2236">
        <v>83</v>
      </c>
      <c r="L2236">
        <v>0</v>
      </c>
      <c r="M2236" t="s">
        <v>115</v>
      </c>
      <c r="N2236" t="str">
        <f t="shared" si="204"/>
        <v>PO-102235</v>
      </c>
      <c r="O2236" t="str">
        <f t="shared" si="205"/>
        <v>Delivered</v>
      </c>
      <c r="P2236" t="str">
        <f t="shared" si="206"/>
        <v>WH-PUN</v>
      </c>
      <c r="Q2236" t="str">
        <f>VLOOKUP(C2236, Lookups!$A$2:$D$10, 2, FALSE())</f>
        <v>FastElectronics</v>
      </c>
      <c r="R2236" t="str">
        <f>_xlfn.XLOOKUP(D2236, Lookups!$A$12:$A$51, Lookups!$C$12:$C$51, "Unknown")</f>
        <v>Electronics</v>
      </c>
      <c r="S2236" t="str">
        <f>IF(ISBLANK(I2236), B2236+VLOOKUP(C2236, Lookups!$A$2:$D$10, 4, FALSE()), I2236)</f>
        <v>2025-12-12</v>
      </c>
      <c r="T2236">
        <f t="shared" si="207"/>
        <v>19</v>
      </c>
      <c r="U2236" t="str">
        <f t="shared" si="208"/>
        <v>Late</v>
      </c>
      <c r="V2236">
        <f t="shared" si="209"/>
        <v>0</v>
      </c>
    </row>
    <row r="2237" spans="1:22" x14ac:dyDescent="0.45">
      <c r="A2237" t="s">
        <v>3091</v>
      </c>
      <c r="B2237" t="s">
        <v>2461</v>
      </c>
      <c r="C2237" t="s">
        <v>37</v>
      </c>
      <c r="D2237" t="s">
        <v>78</v>
      </c>
      <c r="E2237" t="s">
        <v>15</v>
      </c>
      <c r="F2237">
        <v>165</v>
      </c>
      <c r="G2237">
        <v>9423</v>
      </c>
      <c r="H2237">
        <v>1554795</v>
      </c>
      <c r="I2237" t="s">
        <v>1090</v>
      </c>
      <c r="J2237" t="s">
        <v>1090</v>
      </c>
      <c r="K2237">
        <v>165</v>
      </c>
      <c r="L2237">
        <v>0</v>
      </c>
      <c r="M2237" t="s">
        <v>115</v>
      </c>
      <c r="N2237" t="str">
        <f t="shared" si="204"/>
        <v>PO-102236</v>
      </c>
      <c r="O2237" t="str">
        <f t="shared" si="205"/>
        <v>Delivered</v>
      </c>
      <c r="P2237" t="str">
        <f t="shared" si="206"/>
        <v>WH-BOM</v>
      </c>
      <c r="Q2237" t="str">
        <f>VLOOKUP(C2237, Lookups!$A$2:$D$10, 2, FALSE())</f>
        <v>Premium Desks Ltd</v>
      </c>
      <c r="R2237" t="str">
        <f>_xlfn.XLOOKUP(D2237, Lookups!$A$12:$A$51, Lookups!$C$12:$C$51, "Unknown")</f>
        <v>Office Furniture</v>
      </c>
      <c r="S2237" t="str">
        <f>IF(ISBLANK(I2237), B2237+VLOOKUP(C2237, Lookups!$A$2:$D$10, 4, FALSE()), I2237)</f>
        <v>2025-03-15</v>
      </c>
      <c r="T2237">
        <f t="shared" si="207"/>
        <v>12</v>
      </c>
      <c r="U2237" t="str">
        <f t="shared" si="208"/>
        <v>On-Time</v>
      </c>
      <c r="V2237">
        <f t="shared" si="209"/>
        <v>0</v>
      </c>
    </row>
    <row r="2238" spans="1:22" x14ac:dyDescent="0.45">
      <c r="A2238" t="s">
        <v>3092</v>
      </c>
      <c r="B2238" t="s">
        <v>292</v>
      </c>
      <c r="C2238" t="s">
        <v>34</v>
      </c>
      <c r="D2238" t="s">
        <v>68</v>
      </c>
      <c r="E2238" t="s">
        <v>18</v>
      </c>
      <c r="F2238">
        <v>92</v>
      </c>
      <c r="G2238">
        <v>41405</v>
      </c>
      <c r="H2238">
        <v>3809260</v>
      </c>
      <c r="I2238" t="s">
        <v>293</v>
      </c>
      <c r="J2238" t="s">
        <v>293</v>
      </c>
      <c r="K2238">
        <v>92</v>
      </c>
      <c r="L2238">
        <v>0</v>
      </c>
      <c r="M2238" t="s">
        <v>115</v>
      </c>
      <c r="N2238" t="str">
        <f t="shared" si="204"/>
        <v>PO-102237</v>
      </c>
      <c r="O2238" t="str">
        <f t="shared" si="205"/>
        <v>Delivered</v>
      </c>
      <c r="P2238" t="str">
        <f t="shared" si="206"/>
        <v>WH-PUN</v>
      </c>
      <c r="Q2238" t="str">
        <f>VLOOKUP(C2238, Lookups!$A$2:$D$10, 2, FALSE())</f>
        <v>FastElectronics</v>
      </c>
      <c r="R2238" t="str">
        <f>_xlfn.XLOOKUP(D2238, Lookups!$A$12:$A$51, Lookups!$C$12:$C$51, "Unknown")</f>
        <v>Networking</v>
      </c>
      <c r="S2238" t="str">
        <f>IF(ISBLANK(I2238), B2238+VLOOKUP(C2238, Lookups!$A$2:$D$10, 4, FALSE()), I2238)</f>
        <v>2025-09-04</v>
      </c>
      <c r="T2238">
        <f t="shared" si="207"/>
        <v>18</v>
      </c>
      <c r="U2238" t="str">
        <f t="shared" si="208"/>
        <v>On-Time</v>
      </c>
      <c r="V2238">
        <f t="shared" si="209"/>
        <v>0</v>
      </c>
    </row>
    <row r="2239" spans="1:22" x14ac:dyDescent="0.45">
      <c r="A2239" t="s">
        <v>3093</v>
      </c>
      <c r="B2239" t="s">
        <v>625</v>
      </c>
      <c r="C2239" t="s">
        <v>36</v>
      </c>
      <c r="D2239" t="s">
        <v>55</v>
      </c>
      <c r="E2239" t="s">
        <v>16</v>
      </c>
      <c r="F2239">
        <v>245</v>
      </c>
      <c r="G2239">
        <v>58434</v>
      </c>
      <c r="H2239">
        <v>14316330</v>
      </c>
      <c r="I2239" t="s">
        <v>203</v>
      </c>
      <c r="J2239" t="s">
        <v>204</v>
      </c>
      <c r="K2239">
        <v>245</v>
      </c>
      <c r="L2239">
        <v>0</v>
      </c>
      <c r="M2239" t="s">
        <v>115</v>
      </c>
      <c r="N2239" t="str">
        <f t="shared" si="204"/>
        <v>PO-102238</v>
      </c>
      <c r="O2239" t="str">
        <f t="shared" si="205"/>
        <v>Delivered</v>
      </c>
      <c r="P2239" t="str">
        <f t="shared" si="206"/>
        <v>WH-DEL</v>
      </c>
      <c r="Q2239" t="str">
        <f>VLOOKUP(C2239, Lookups!$A$2:$D$10, 2, FALSE())</f>
        <v>NextGen Hardware</v>
      </c>
      <c r="R2239" t="str">
        <f>_xlfn.XLOOKUP(D2239, Lookups!$A$12:$A$51, Lookups!$C$12:$C$51, "Unknown")</f>
        <v>Electronics</v>
      </c>
      <c r="S2239" t="str">
        <f>IF(ISBLANK(I2239), B2239+VLOOKUP(C2239, Lookups!$A$2:$D$10, 4, FALSE()), I2239)</f>
        <v>2026-04-08</v>
      </c>
      <c r="T2239">
        <f t="shared" si="207"/>
        <v>25</v>
      </c>
      <c r="U2239" t="str">
        <f t="shared" si="208"/>
        <v>Late</v>
      </c>
      <c r="V2239">
        <f t="shared" si="209"/>
        <v>0</v>
      </c>
    </row>
    <row r="2240" spans="1:22" x14ac:dyDescent="0.45">
      <c r="A2240" t="s">
        <v>3094</v>
      </c>
      <c r="B2240" t="s">
        <v>2204</v>
      </c>
      <c r="C2240" t="s">
        <v>30</v>
      </c>
      <c r="D2240" t="s">
        <v>86</v>
      </c>
      <c r="E2240" t="s">
        <v>16</v>
      </c>
      <c r="F2240">
        <v>72</v>
      </c>
      <c r="G2240">
        <v>74871</v>
      </c>
      <c r="H2240">
        <v>5390712</v>
      </c>
      <c r="I2240" t="s">
        <v>1069</v>
      </c>
      <c r="J2240" t="s">
        <v>1070</v>
      </c>
      <c r="K2240">
        <v>72</v>
      </c>
      <c r="L2240">
        <v>0</v>
      </c>
      <c r="M2240" t="s">
        <v>115</v>
      </c>
      <c r="N2240" t="str">
        <f t="shared" si="204"/>
        <v>PO-102239</v>
      </c>
      <c r="O2240" t="str">
        <f t="shared" si="205"/>
        <v>Delivered</v>
      </c>
      <c r="P2240" t="str">
        <f t="shared" si="206"/>
        <v>WH-DEL</v>
      </c>
      <c r="Q2240" t="str">
        <f>VLOOKUP(C2240, Lookups!$A$2:$D$10, 2, FALSE())</f>
        <v>TechSupply Corp</v>
      </c>
      <c r="R2240" t="str">
        <f>_xlfn.XLOOKUP(D2240, Lookups!$A$12:$A$51, Lookups!$C$12:$C$51, "Unknown")</f>
        <v>Electronics</v>
      </c>
      <c r="S2240" t="str">
        <f>IF(ISBLANK(I2240), B2240+VLOOKUP(C2240, Lookups!$A$2:$D$10, 4, FALSE()), I2240)</f>
        <v>2025-08-14</v>
      </c>
      <c r="T2240">
        <f t="shared" si="207"/>
        <v>15</v>
      </c>
      <c r="U2240" t="str">
        <f t="shared" si="208"/>
        <v>Late</v>
      </c>
      <c r="V2240">
        <f t="shared" si="209"/>
        <v>0</v>
      </c>
    </row>
    <row r="2241" spans="1:22" x14ac:dyDescent="0.45">
      <c r="A2241" t="s">
        <v>3095</v>
      </c>
      <c r="B2241" t="s">
        <v>203</v>
      </c>
      <c r="C2241" t="s">
        <v>36</v>
      </c>
      <c r="D2241" t="s">
        <v>55</v>
      </c>
      <c r="E2241" t="s">
        <v>17</v>
      </c>
      <c r="F2241">
        <v>29</v>
      </c>
      <c r="G2241">
        <v>58434</v>
      </c>
      <c r="H2241">
        <v>1694586</v>
      </c>
      <c r="I2241" t="s">
        <v>856</v>
      </c>
      <c r="J2241" t="s">
        <v>1227</v>
      </c>
      <c r="K2241">
        <v>29</v>
      </c>
      <c r="L2241">
        <v>0</v>
      </c>
      <c r="M2241" t="s">
        <v>115</v>
      </c>
      <c r="N2241" t="str">
        <f t="shared" si="204"/>
        <v>PO-102240</v>
      </c>
      <c r="O2241" t="str">
        <f t="shared" si="205"/>
        <v>Delivered</v>
      </c>
      <c r="P2241" t="str">
        <f t="shared" si="206"/>
        <v>WH-BLR</v>
      </c>
      <c r="Q2241" t="str">
        <f>VLOOKUP(C2241, Lookups!$A$2:$D$10, 2, FALSE())</f>
        <v>NextGen Hardware</v>
      </c>
      <c r="R2241" t="str">
        <f>_xlfn.XLOOKUP(D2241, Lookups!$A$12:$A$51, Lookups!$C$12:$C$51, "Unknown")</f>
        <v>Electronics</v>
      </c>
      <c r="S2241" t="str">
        <f>IF(ISBLANK(I2241), B2241+VLOOKUP(C2241, Lookups!$A$2:$D$10, 4, FALSE()), I2241)</f>
        <v>2026-05-02</v>
      </c>
      <c r="T2241">
        <f t="shared" si="207"/>
        <v>25</v>
      </c>
      <c r="U2241" t="str">
        <f t="shared" si="208"/>
        <v>Late</v>
      </c>
      <c r="V2241">
        <f t="shared" si="209"/>
        <v>0</v>
      </c>
    </row>
    <row r="2242" spans="1:22" x14ac:dyDescent="0.45">
      <c r="A2242" t="s">
        <v>3096</v>
      </c>
      <c r="B2242" t="s">
        <v>1198</v>
      </c>
      <c r="C2242" t="s">
        <v>35</v>
      </c>
      <c r="D2242" t="s">
        <v>60</v>
      </c>
      <c r="E2242" t="s">
        <v>18</v>
      </c>
      <c r="F2242">
        <v>59</v>
      </c>
      <c r="G2242">
        <v>3291</v>
      </c>
      <c r="H2242">
        <v>194169</v>
      </c>
      <c r="I2242" t="s">
        <v>281</v>
      </c>
      <c r="J2242" t="s">
        <v>281</v>
      </c>
      <c r="K2242">
        <v>59</v>
      </c>
      <c r="L2242">
        <v>0</v>
      </c>
      <c r="M2242" t="s">
        <v>115</v>
      </c>
      <c r="N2242" t="str">
        <f t="shared" ref="N2242:N2305" si="210">TRIM(A2242)</f>
        <v>PO-102241</v>
      </c>
      <c r="O2242" t="str">
        <f t="shared" ref="O2242:O2305" si="211">PROPER(TRIM(M2242))</f>
        <v>Delivered</v>
      </c>
      <c r="P2242" t="str">
        <f t="shared" ref="P2242:P2305" si="212">TRIM(E2242)</f>
        <v>WH-PUN</v>
      </c>
      <c r="Q2242" t="str">
        <f>VLOOKUP(C2242, Lookups!$A$2:$D$10, 2, FALSE())</f>
        <v>Peripheral Source</v>
      </c>
      <c r="R2242" t="str">
        <f>_xlfn.XLOOKUP(D2242, Lookups!$A$12:$A$51, Lookups!$C$12:$C$51, "Unknown")</f>
        <v>Peripherals</v>
      </c>
      <c r="S2242" t="str">
        <f>IF(ISBLANK(I2242), B2242+VLOOKUP(C2242, Lookups!$A$2:$D$10, 4, FALSE()), I2242)</f>
        <v>2026-10-26</v>
      </c>
      <c r="T2242">
        <f t="shared" ref="T2242:T2305" si="213">IF(ISBLANK(J2242), "", J2242-B2242)</f>
        <v>10</v>
      </c>
      <c r="U2242" t="str">
        <f t="shared" ref="U2242:U2305" si="214">IF(O2242="Open", "Open", IF(J2242&gt;S2242, "Late", "On-Time"))</f>
        <v>On-Time</v>
      </c>
      <c r="V2242">
        <f t="shared" ref="V2242:V2305" si="215">IF(K2242&gt;0, L2242/K2242, 0)</f>
        <v>0</v>
      </c>
    </row>
    <row r="2243" spans="1:22" x14ac:dyDescent="0.45">
      <c r="A2243" t="s">
        <v>3097</v>
      </c>
      <c r="B2243" t="s">
        <v>210</v>
      </c>
      <c r="C2243" t="s">
        <v>37</v>
      </c>
      <c r="D2243" t="s">
        <v>69</v>
      </c>
      <c r="E2243" t="s">
        <v>16</v>
      </c>
      <c r="F2243">
        <v>128</v>
      </c>
      <c r="G2243">
        <v>13231</v>
      </c>
      <c r="H2243">
        <v>1693568</v>
      </c>
      <c r="I2243" t="s">
        <v>1442</v>
      </c>
      <c r="J2243" t="s">
        <v>242</v>
      </c>
      <c r="K2243">
        <v>128</v>
      </c>
      <c r="L2243">
        <v>0</v>
      </c>
      <c r="M2243" t="s">
        <v>115</v>
      </c>
      <c r="N2243" t="str">
        <f t="shared" si="210"/>
        <v>PO-102242</v>
      </c>
      <c r="O2243" t="str">
        <f t="shared" si="211"/>
        <v>Delivered</v>
      </c>
      <c r="P2243" t="str">
        <f t="shared" si="212"/>
        <v>WH-DEL</v>
      </c>
      <c r="Q2243" t="str">
        <f>VLOOKUP(C2243, Lookups!$A$2:$D$10, 2, FALSE())</f>
        <v>Premium Desks Ltd</v>
      </c>
      <c r="R2243" t="str">
        <f>_xlfn.XLOOKUP(D2243, Lookups!$A$12:$A$51, Lookups!$C$12:$C$51, "Unknown")</f>
        <v>Office Furniture</v>
      </c>
      <c r="S2243" t="str">
        <f>IF(ISBLANK(I2243), B2243+VLOOKUP(C2243, Lookups!$A$2:$D$10, 4, FALSE()), I2243)</f>
        <v>2025-07-02</v>
      </c>
      <c r="T2243">
        <f t="shared" si="213"/>
        <v>15</v>
      </c>
      <c r="U2243" t="str">
        <f t="shared" si="214"/>
        <v>Late</v>
      </c>
      <c r="V2243">
        <f t="shared" si="215"/>
        <v>0</v>
      </c>
    </row>
    <row r="2244" spans="1:22" x14ac:dyDescent="0.45">
      <c r="A2244" t="s">
        <v>3098</v>
      </c>
      <c r="B2244" t="s">
        <v>343</v>
      </c>
      <c r="C2244" t="s">
        <v>36</v>
      </c>
      <c r="D2244" t="s">
        <v>62</v>
      </c>
      <c r="E2244" t="s">
        <v>18</v>
      </c>
      <c r="F2244">
        <v>158</v>
      </c>
      <c r="G2244">
        <v>48478</v>
      </c>
      <c r="H2244">
        <v>7659524</v>
      </c>
      <c r="I2244" t="s">
        <v>221</v>
      </c>
      <c r="J2244" t="s">
        <v>222</v>
      </c>
      <c r="K2244">
        <v>158</v>
      </c>
      <c r="L2244">
        <v>0</v>
      </c>
      <c r="M2244" t="s">
        <v>115</v>
      </c>
      <c r="N2244" t="str">
        <f t="shared" si="210"/>
        <v>PO-102243</v>
      </c>
      <c r="O2244" t="str">
        <f t="shared" si="211"/>
        <v>Delivered</v>
      </c>
      <c r="P2244" t="str">
        <f t="shared" si="212"/>
        <v>WH-PUN</v>
      </c>
      <c r="Q2244" t="str">
        <f>VLOOKUP(C2244, Lookups!$A$2:$D$10, 2, FALSE())</f>
        <v>NextGen Hardware</v>
      </c>
      <c r="R2244" t="str">
        <f>_xlfn.XLOOKUP(D2244, Lookups!$A$12:$A$51, Lookups!$C$12:$C$51, "Unknown")</f>
        <v>Electronics</v>
      </c>
      <c r="S2244" t="str">
        <f>IF(ISBLANK(I2244), B2244+VLOOKUP(C2244, Lookups!$A$2:$D$10, 4, FALSE()), I2244)</f>
        <v>2026-02-28</v>
      </c>
      <c r="T2244">
        <f t="shared" si="213"/>
        <v>25</v>
      </c>
      <c r="U2244" t="str">
        <f t="shared" si="214"/>
        <v>Late</v>
      </c>
      <c r="V2244">
        <f t="shared" si="215"/>
        <v>0</v>
      </c>
    </row>
    <row r="2245" spans="1:22" x14ac:dyDescent="0.45">
      <c r="A2245" t="s">
        <v>3099</v>
      </c>
      <c r="B2245" t="s">
        <v>1133</v>
      </c>
      <c r="C2245" t="s">
        <v>35</v>
      </c>
      <c r="D2245" t="s">
        <v>65</v>
      </c>
      <c r="E2245" t="s">
        <v>18</v>
      </c>
      <c r="F2245">
        <v>16</v>
      </c>
      <c r="G2245">
        <v>4936</v>
      </c>
      <c r="H2245">
        <v>78976</v>
      </c>
      <c r="I2245" t="s">
        <v>458</v>
      </c>
      <c r="J2245" t="s">
        <v>1530</v>
      </c>
      <c r="K2245">
        <v>16</v>
      </c>
      <c r="L2245">
        <v>0</v>
      </c>
      <c r="M2245" t="s">
        <v>115</v>
      </c>
      <c r="N2245" t="str">
        <f t="shared" si="210"/>
        <v>PO-102244</v>
      </c>
      <c r="O2245" t="str">
        <f t="shared" si="211"/>
        <v>Delivered</v>
      </c>
      <c r="P2245" t="str">
        <f t="shared" si="212"/>
        <v>WH-PUN</v>
      </c>
      <c r="Q2245" t="str">
        <f>VLOOKUP(C2245, Lookups!$A$2:$D$10, 2, FALSE())</f>
        <v>Peripheral Source</v>
      </c>
      <c r="R2245" t="str">
        <f>_xlfn.XLOOKUP(D2245, Lookups!$A$12:$A$51, Lookups!$C$12:$C$51, "Unknown")</f>
        <v>Peripherals</v>
      </c>
      <c r="S2245" t="str">
        <f>IF(ISBLANK(I2245), B2245+VLOOKUP(C2245, Lookups!$A$2:$D$10, 4, FALSE()), I2245)</f>
        <v>2025-07-14</v>
      </c>
      <c r="T2245">
        <f t="shared" si="213"/>
        <v>8</v>
      </c>
      <c r="U2245" t="str">
        <f t="shared" si="214"/>
        <v>On-Time</v>
      </c>
      <c r="V2245">
        <f t="shared" si="215"/>
        <v>0</v>
      </c>
    </row>
    <row r="2246" spans="1:22" x14ac:dyDescent="0.45">
      <c r="A2246" t="s">
        <v>3100</v>
      </c>
      <c r="B2246" t="s">
        <v>175</v>
      </c>
      <c r="C2246" t="s">
        <v>34</v>
      </c>
      <c r="D2246" t="s">
        <v>80</v>
      </c>
      <c r="E2246" t="s">
        <v>16</v>
      </c>
      <c r="F2246">
        <v>115</v>
      </c>
      <c r="G2246">
        <v>19090</v>
      </c>
      <c r="H2246">
        <v>2195350</v>
      </c>
      <c r="I2246" t="s">
        <v>334</v>
      </c>
      <c r="J2246" t="s">
        <v>334</v>
      </c>
      <c r="K2246">
        <v>115</v>
      </c>
      <c r="L2246">
        <v>0</v>
      </c>
      <c r="M2246" t="s">
        <v>115</v>
      </c>
      <c r="N2246" t="str">
        <f t="shared" si="210"/>
        <v>PO-102245</v>
      </c>
      <c r="O2246" t="str">
        <f t="shared" si="211"/>
        <v>Delivered</v>
      </c>
      <c r="P2246" t="str">
        <f t="shared" si="212"/>
        <v>WH-DEL</v>
      </c>
      <c r="Q2246" t="str">
        <f>VLOOKUP(C2246, Lookups!$A$2:$D$10, 2, FALSE())</f>
        <v>FastElectronics</v>
      </c>
      <c r="R2246" t="str">
        <f>_xlfn.XLOOKUP(D2246, Lookups!$A$12:$A$51, Lookups!$C$12:$C$51, "Unknown")</f>
        <v>Networking</v>
      </c>
      <c r="S2246" t="str">
        <f>IF(ISBLANK(I2246), B2246+VLOOKUP(C2246, Lookups!$A$2:$D$10, 4, FALSE()), I2246)</f>
        <v>2026-08-15</v>
      </c>
      <c r="T2246">
        <f t="shared" si="213"/>
        <v>18</v>
      </c>
      <c r="U2246" t="str">
        <f t="shared" si="214"/>
        <v>On-Time</v>
      </c>
      <c r="V2246">
        <f t="shared" si="215"/>
        <v>0</v>
      </c>
    </row>
    <row r="2247" spans="1:22" x14ac:dyDescent="0.45">
      <c r="A2247" t="s">
        <v>3101</v>
      </c>
      <c r="B2247" t="s">
        <v>731</v>
      </c>
      <c r="C2247" t="s">
        <v>36</v>
      </c>
      <c r="D2247" t="s">
        <v>63</v>
      </c>
      <c r="E2247" t="s">
        <v>17</v>
      </c>
      <c r="F2247">
        <v>33</v>
      </c>
      <c r="G2247">
        <v>71062</v>
      </c>
      <c r="H2247">
        <v>2345046</v>
      </c>
      <c r="I2247" t="s">
        <v>1442</v>
      </c>
      <c r="J2247" t="s">
        <v>1442</v>
      </c>
      <c r="K2247">
        <v>33</v>
      </c>
      <c r="L2247">
        <v>0</v>
      </c>
      <c r="M2247" t="s">
        <v>115</v>
      </c>
      <c r="N2247" t="str">
        <f t="shared" si="210"/>
        <v>PO-102246</v>
      </c>
      <c r="O2247" t="str">
        <f t="shared" si="211"/>
        <v>Delivered</v>
      </c>
      <c r="P2247" t="str">
        <f t="shared" si="212"/>
        <v>WH-BLR</v>
      </c>
      <c r="Q2247" t="str">
        <f>VLOOKUP(C2247, Lookups!$A$2:$D$10, 2, FALSE())</f>
        <v>NextGen Hardware</v>
      </c>
      <c r="R2247" t="str">
        <f>_xlfn.XLOOKUP(D2247, Lookups!$A$12:$A$51, Lookups!$C$12:$C$51, "Unknown")</f>
        <v>Electronics</v>
      </c>
      <c r="S2247" t="str">
        <f>IF(ISBLANK(I2247), B2247+VLOOKUP(C2247, Lookups!$A$2:$D$10, 4, FALSE()), I2247)</f>
        <v>2025-07-02</v>
      </c>
      <c r="T2247">
        <f t="shared" si="213"/>
        <v>24</v>
      </c>
      <c r="U2247" t="str">
        <f t="shared" si="214"/>
        <v>On-Time</v>
      </c>
      <c r="V2247">
        <f t="shared" si="215"/>
        <v>0</v>
      </c>
    </row>
    <row r="2248" spans="1:22" x14ac:dyDescent="0.45">
      <c r="A2248" t="s">
        <v>3102</v>
      </c>
      <c r="B2248" t="s">
        <v>518</v>
      </c>
      <c r="C2248" t="s">
        <v>32</v>
      </c>
      <c r="D2248" t="s">
        <v>84</v>
      </c>
      <c r="E2248" t="s">
        <v>15</v>
      </c>
      <c r="F2248">
        <v>231</v>
      </c>
      <c r="G2248">
        <v>7271</v>
      </c>
      <c r="H2248">
        <v>1679601</v>
      </c>
      <c r="I2248" t="s">
        <v>525</v>
      </c>
      <c r="J2248" t="s">
        <v>1281</v>
      </c>
      <c r="K2248">
        <v>231</v>
      </c>
      <c r="L2248">
        <v>0</v>
      </c>
      <c r="M2248" t="s">
        <v>115</v>
      </c>
      <c r="N2248" t="str">
        <f t="shared" si="210"/>
        <v>PO-102247</v>
      </c>
      <c r="O2248" t="str">
        <f t="shared" si="211"/>
        <v>Delivered</v>
      </c>
      <c r="P2248" t="str">
        <f t="shared" si="212"/>
        <v>WH-BOM</v>
      </c>
      <c r="Q2248" t="str">
        <f>VLOOKUP(C2248, Lookups!$A$2:$D$10, 2, FALSE())</f>
        <v>OfficeDepot Pro</v>
      </c>
      <c r="R2248" t="str">
        <f>_xlfn.XLOOKUP(D2248, Lookups!$A$12:$A$51, Lookups!$C$12:$C$51, "Unknown")</f>
        <v>Peripherals</v>
      </c>
      <c r="S2248" t="str">
        <f>IF(ISBLANK(I2248), B2248+VLOOKUP(C2248, Lookups!$A$2:$D$10, 4, FALSE()), I2248)</f>
        <v>2025-05-30</v>
      </c>
      <c r="T2248">
        <f t="shared" si="213"/>
        <v>8</v>
      </c>
      <c r="U2248" t="str">
        <f t="shared" si="214"/>
        <v>Late</v>
      </c>
      <c r="V2248">
        <f t="shared" si="215"/>
        <v>0</v>
      </c>
    </row>
    <row r="2249" spans="1:22" x14ac:dyDescent="0.45">
      <c r="A2249" t="s">
        <v>3103</v>
      </c>
      <c r="B2249" t="s">
        <v>683</v>
      </c>
      <c r="C2249" t="s">
        <v>34</v>
      </c>
      <c r="D2249" t="s">
        <v>68</v>
      </c>
      <c r="E2249" t="s">
        <v>15</v>
      </c>
      <c r="F2249">
        <v>243</v>
      </c>
      <c r="G2249">
        <v>41405</v>
      </c>
      <c r="H2249">
        <v>10061415</v>
      </c>
      <c r="I2249" t="s">
        <v>349</v>
      </c>
      <c r="J2249" t="s">
        <v>350</v>
      </c>
      <c r="K2249">
        <v>243</v>
      </c>
      <c r="L2249">
        <v>0</v>
      </c>
      <c r="M2249" t="s">
        <v>115</v>
      </c>
      <c r="N2249" t="str">
        <f t="shared" si="210"/>
        <v>PO-102248</v>
      </c>
      <c r="O2249" t="str">
        <f t="shared" si="211"/>
        <v>Delivered</v>
      </c>
      <c r="P2249" t="str">
        <f t="shared" si="212"/>
        <v>WH-BOM</v>
      </c>
      <c r="Q2249" t="str">
        <f>VLOOKUP(C2249, Lookups!$A$2:$D$10, 2, FALSE())</f>
        <v>FastElectronics</v>
      </c>
      <c r="R2249" t="str">
        <f>_xlfn.XLOOKUP(D2249, Lookups!$A$12:$A$51, Lookups!$C$12:$C$51, "Unknown")</f>
        <v>Networking</v>
      </c>
      <c r="S2249" t="str">
        <f>IF(ISBLANK(I2249), B2249+VLOOKUP(C2249, Lookups!$A$2:$D$10, 4, FALSE()), I2249)</f>
        <v>2026-09-04</v>
      </c>
      <c r="T2249">
        <f t="shared" si="213"/>
        <v>19</v>
      </c>
      <c r="U2249" t="str">
        <f t="shared" si="214"/>
        <v>Late</v>
      </c>
      <c r="V2249">
        <f t="shared" si="215"/>
        <v>0</v>
      </c>
    </row>
    <row r="2250" spans="1:22" x14ac:dyDescent="0.45">
      <c r="A2250" t="s">
        <v>3104</v>
      </c>
      <c r="B2250" t="s">
        <v>527</v>
      </c>
      <c r="C2250" t="s">
        <v>35</v>
      </c>
      <c r="D2250" t="s">
        <v>91</v>
      </c>
      <c r="E2250" t="s">
        <v>16</v>
      </c>
      <c r="F2250">
        <v>91</v>
      </c>
      <c r="G2250">
        <v>6707</v>
      </c>
      <c r="H2250">
        <v>610337</v>
      </c>
      <c r="I2250" t="s">
        <v>428</v>
      </c>
      <c r="J2250" t="s">
        <v>428</v>
      </c>
      <c r="K2250">
        <v>45</v>
      </c>
      <c r="L2250">
        <v>2</v>
      </c>
      <c r="M2250" t="s">
        <v>115</v>
      </c>
      <c r="N2250" t="str">
        <f t="shared" si="210"/>
        <v>PO-102249</v>
      </c>
      <c r="O2250" t="str">
        <f t="shared" si="211"/>
        <v>Delivered</v>
      </c>
      <c r="P2250" t="str">
        <f t="shared" si="212"/>
        <v>WH-DEL</v>
      </c>
      <c r="Q2250" t="str">
        <f>VLOOKUP(C2250, Lookups!$A$2:$D$10, 2, FALSE())</f>
        <v>Peripheral Source</v>
      </c>
      <c r="R2250" t="str">
        <f>_xlfn.XLOOKUP(D2250, Lookups!$A$12:$A$51, Lookups!$C$12:$C$51, "Unknown")</f>
        <v>Peripherals</v>
      </c>
      <c r="S2250" t="str">
        <f>IF(ISBLANK(I2250), B2250+VLOOKUP(C2250, Lookups!$A$2:$D$10, 4, FALSE()), I2250)</f>
        <v>2026-07-17</v>
      </c>
      <c r="T2250">
        <f t="shared" si="213"/>
        <v>10</v>
      </c>
      <c r="U2250" t="str">
        <f t="shared" si="214"/>
        <v>On-Time</v>
      </c>
      <c r="V2250">
        <f t="shared" si="215"/>
        <v>4.4444444444444446E-2</v>
      </c>
    </row>
    <row r="2251" spans="1:22" x14ac:dyDescent="0.45">
      <c r="A2251" t="s">
        <v>3105</v>
      </c>
      <c r="B2251" t="s">
        <v>752</v>
      </c>
      <c r="C2251" t="s">
        <v>31</v>
      </c>
      <c r="D2251" t="s">
        <v>77</v>
      </c>
      <c r="E2251" t="s">
        <v>913</v>
      </c>
      <c r="F2251">
        <v>17</v>
      </c>
      <c r="G2251">
        <v>23667</v>
      </c>
      <c r="H2251">
        <v>402339</v>
      </c>
      <c r="I2251" t="s">
        <v>580</v>
      </c>
      <c r="J2251" t="s">
        <v>1415</v>
      </c>
      <c r="K2251">
        <v>17</v>
      </c>
      <c r="L2251">
        <v>0</v>
      </c>
      <c r="M2251" t="s">
        <v>115</v>
      </c>
      <c r="N2251" t="str">
        <f t="shared" si="210"/>
        <v>PO-102250</v>
      </c>
      <c r="O2251" t="str">
        <f t="shared" si="211"/>
        <v>Delivered</v>
      </c>
      <c r="P2251" t="str">
        <f t="shared" si="212"/>
        <v>WH-DEL</v>
      </c>
      <c r="Q2251" t="str">
        <f>VLOOKUP(C2251, Lookups!$A$2:$D$10, 2, FALSE())</f>
        <v>Global Networks</v>
      </c>
      <c r="R2251" t="str">
        <f>_xlfn.XLOOKUP(D2251, Lookups!$A$12:$A$51, Lookups!$C$12:$C$51, "Unknown")</f>
        <v>Networking</v>
      </c>
      <c r="S2251" t="str">
        <f>IF(ISBLANK(I2251), B2251+VLOOKUP(C2251, Lookups!$A$2:$D$10, 4, FALSE()), I2251)</f>
        <v>2026-01-12</v>
      </c>
      <c r="T2251">
        <f t="shared" si="213"/>
        <v>18</v>
      </c>
      <c r="U2251" t="str">
        <f t="shared" si="214"/>
        <v>On-Time</v>
      </c>
      <c r="V2251">
        <f t="shared" si="215"/>
        <v>0</v>
      </c>
    </row>
    <row r="2252" spans="1:22" x14ac:dyDescent="0.45">
      <c r="A2252" t="s">
        <v>3106</v>
      </c>
      <c r="B2252" t="s">
        <v>469</v>
      </c>
      <c r="C2252" t="s">
        <v>35</v>
      </c>
      <c r="D2252" t="s">
        <v>72</v>
      </c>
      <c r="E2252" t="s">
        <v>17</v>
      </c>
      <c r="F2252">
        <v>232</v>
      </c>
      <c r="G2252">
        <v>7754</v>
      </c>
      <c r="H2252">
        <v>1798928</v>
      </c>
      <c r="I2252" t="s">
        <v>191</v>
      </c>
      <c r="J2252" t="s">
        <v>271</v>
      </c>
      <c r="K2252">
        <v>232</v>
      </c>
      <c r="L2252">
        <v>0</v>
      </c>
      <c r="M2252" t="s">
        <v>115</v>
      </c>
      <c r="N2252" t="str">
        <f t="shared" si="210"/>
        <v>PO-102251</v>
      </c>
      <c r="O2252" t="str">
        <f t="shared" si="211"/>
        <v>Delivered</v>
      </c>
      <c r="P2252" t="str">
        <f t="shared" si="212"/>
        <v>WH-BLR</v>
      </c>
      <c r="Q2252" t="str">
        <f>VLOOKUP(C2252, Lookups!$A$2:$D$10, 2, FALSE())</f>
        <v>Peripheral Source</v>
      </c>
      <c r="R2252" t="str">
        <f>_xlfn.XLOOKUP(D2252, Lookups!$A$12:$A$51, Lookups!$C$12:$C$51, "Unknown")</f>
        <v>Peripherals</v>
      </c>
      <c r="S2252" t="str">
        <f>IF(ISBLANK(I2252), B2252+VLOOKUP(C2252, Lookups!$A$2:$D$10, 4, FALSE()), I2252)</f>
        <v>2025-07-25</v>
      </c>
      <c r="T2252">
        <f t="shared" si="213"/>
        <v>11</v>
      </c>
      <c r="U2252" t="str">
        <f t="shared" si="214"/>
        <v>Late</v>
      </c>
      <c r="V2252">
        <f t="shared" si="215"/>
        <v>0</v>
      </c>
    </row>
    <row r="2253" spans="1:22" x14ac:dyDescent="0.45">
      <c r="A2253" t="s">
        <v>3107</v>
      </c>
      <c r="B2253" t="s">
        <v>514</v>
      </c>
      <c r="C2253" t="s">
        <v>34</v>
      </c>
      <c r="D2253" t="s">
        <v>76</v>
      </c>
      <c r="E2253" t="s">
        <v>17</v>
      </c>
      <c r="F2253">
        <v>123</v>
      </c>
      <c r="G2253">
        <v>26270</v>
      </c>
      <c r="H2253">
        <v>3231210</v>
      </c>
      <c r="I2253" t="s">
        <v>226</v>
      </c>
      <c r="J2253" t="s">
        <v>803</v>
      </c>
      <c r="K2253">
        <v>123</v>
      </c>
      <c r="L2253">
        <v>0</v>
      </c>
      <c r="M2253" t="s">
        <v>115</v>
      </c>
      <c r="N2253" t="str">
        <f t="shared" si="210"/>
        <v>PO-102252</v>
      </c>
      <c r="O2253" t="str">
        <f t="shared" si="211"/>
        <v>Delivered</v>
      </c>
      <c r="P2253" t="str">
        <f t="shared" si="212"/>
        <v>WH-BLR</v>
      </c>
      <c r="Q2253" t="str">
        <f>VLOOKUP(C2253, Lookups!$A$2:$D$10, 2, FALSE())</f>
        <v>FastElectronics</v>
      </c>
      <c r="R2253" t="str">
        <f>_xlfn.XLOOKUP(D2253, Lookups!$A$12:$A$51, Lookups!$C$12:$C$51, "Unknown")</f>
        <v>Networking</v>
      </c>
      <c r="S2253" t="str">
        <f>IF(ISBLANK(I2253), B2253+VLOOKUP(C2253, Lookups!$A$2:$D$10, 4, FALSE()), I2253)</f>
        <v>2026-08-01</v>
      </c>
      <c r="T2253">
        <f t="shared" si="213"/>
        <v>33</v>
      </c>
      <c r="U2253" t="str">
        <f t="shared" si="214"/>
        <v>Late</v>
      </c>
      <c r="V2253">
        <f t="shared" si="215"/>
        <v>0</v>
      </c>
    </row>
    <row r="2254" spans="1:22" x14ac:dyDescent="0.45">
      <c r="A2254" t="s">
        <v>3108</v>
      </c>
      <c r="B2254" t="s">
        <v>322</v>
      </c>
      <c r="C2254" t="s">
        <v>35</v>
      </c>
      <c r="D2254" t="s">
        <v>60</v>
      </c>
      <c r="E2254" t="s">
        <v>15</v>
      </c>
      <c r="F2254">
        <v>59</v>
      </c>
      <c r="G2254">
        <v>3291</v>
      </c>
      <c r="H2254">
        <v>194169</v>
      </c>
      <c r="I2254" t="s">
        <v>149</v>
      </c>
      <c r="J2254" t="s">
        <v>366</v>
      </c>
      <c r="K2254">
        <v>59</v>
      </c>
      <c r="L2254">
        <v>7</v>
      </c>
      <c r="M2254" t="s">
        <v>115</v>
      </c>
      <c r="N2254" t="str">
        <f t="shared" si="210"/>
        <v>PO-102253</v>
      </c>
      <c r="O2254" t="str">
        <f t="shared" si="211"/>
        <v>Delivered</v>
      </c>
      <c r="P2254" t="str">
        <f t="shared" si="212"/>
        <v>WH-BOM</v>
      </c>
      <c r="Q2254" t="str">
        <f>VLOOKUP(C2254, Lookups!$A$2:$D$10, 2, FALSE())</f>
        <v>Peripheral Source</v>
      </c>
      <c r="R2254" t="str">
        <f>_xlfn.XLOOKUP(D2254, Lookups!$A$12:$A$51, Lookups!$C$12:$C$51, "Unknown")</f>
        <v>Peripherals</v>
      </c>
      <c r="S2254" t="str">
        <f>IF(ISBLANK(I2254), B2254+VLOOKUP(C2254, Lookups!$A$2:$D$10, 4, FALSE()), I2254)</f>
        <v>2026-04-03</v>
      </c>
      <c r="T2254">
        <f t="shared" si="213"/>
        <v>23</v>
      </c>
      <c r="U2254" t="str">
        <f t="shared" si="214"/>
        <v>Late</v>
      </c>
      <c r="V2254">
        <f t="shared" si="215"/>
        <v>0.11864406779661017</v>
      </c>
    </row>
    <row r="2255" spans="1:22" x14ac:dyDescent="0.45">
      <c r="A2255" t="s">
        <v>3109</v>
      </c>
      <c r="B2255" t="s">
        <v>487</v>
      </c>
      <c r="C2255" t="s">
        <v>30</v>
      </c>
      <c r="D2255" t="s">
        <v>86</v>
      </c>
      <c r="E2255" t="s">
        <v>18</v>
      </c>
      <c r="F2255">
        <v>242</v>
      </c>
      <c r="G2255">
        <v>74871</v>
      </c>
      <c r="H2255">
        <v>18118782</v>
      </c>
      <c r="I2255" t="s">
        <v>715</v>
      </c>
      <c r="J2255" t="s">
        <v>1145</v>
      </c>
      <c r="K2255">
        <v>242</v>
      </c>
      <c r="L2255">
        <v>0</v>
      </c>
      <c r="M2255" t="s">
        <v>115</v>
      </c>
      <c r="N2255" t="str">
        <f t="shared" si="210"/>
        <v>PO-102254</v>
      </c>
      <c r="O2255" t="str">
        <f t="shared" si="211"/>
        <v>Delivered</v>
      </c>
      <c r="P2255" t="str">
        <f t="shared" si="212"/>
        <v>WH-PUN</v>
      </c>
      <c r="Q2255" t="str">
        <f>VLOOKUP(C2255, Lookups!$A$2:$D$10, 2, FALSE())</f>
        <v>TechSupply Corp</v>
      </c>
      <c r="R2255" t="str">
        <f>_xlfn.XLOOKUP(D2255, Lookups!$A$12:$A$51, Lookups!$C$12:$C$51, "Unknown")</f>
        <v>Electronics</v>
      </c>
      <c r="S2255" t="str">
        <f>IF(ISBLANK(I2255), B2255+VLOOKUP(C2255, Lookups!$A$2:$D$10, 4, FALSE()), I2255)</f>
        <v>2025-07-10</v>
      </c>
      <c r="T2255">
        <f t="shared" si="213"/>
        <v>15</v>
      </c>
      <c r="U2255" t="str">
        <f t="shared" si="214"/>
        <v>Late</v>
      </c>
      <c r="V2255">
        <f t="shared" si="215"/>
        <v>0</v>
      </c>
    </row>
    <row r="2256" spans="1:22" x14ac:dyDescent="0.45">
      <c r="A2256" t="s">
        <v>3110</v>
      </c>
      <c r="B2256" t="s">
        <v>247</v>
      </c>
      <c r="C2256" t="s">
        <v>34</v>
      </c>
      <c r="D2256" t="s">
        <v>80</v>
      </c>
      <c r="E2256" t="s">
        <v>18</v>
      </c>
      <c r="F2256">
        <v>22</v>
      </c>
      <c r="G2256">
        <v>19090</v>
      </c>
      <c r="H2256">
        <v>419980</v>
      </c>
      <c r="I2256" t="s">
        <v>464</v>
      </c>
      <c r="J2256" t="s">
        <v>464</v>
      </c>
      <c r="K2256">
        <v>22</v>
      </c>
      <c r="L2256">
        <v>0</v>
      </c>
      <c r="M2256" t="s">
        <v>115</v>
      </c>
      <c r="N2256" t="str">
        <f t="shared" si="210"/>
        <v>PO-102255</v>
      </c>
      <c r="O2256" t="str">
        <f t="shared" si="211"/>
        <v>Delivered</v>
      </c>
      <c r="P2256" t="str">
        <f t="shared" si="212"/>
        <v>WH-PUN</v>
      </c>
      <c r="Q2256" t="str">
        <f>VLOOKUP(C2256, Lookups!$A$2:$D$10, 2, FALSE())</f>
        <v>FastElectronics</v>
      </c>
      <c r="R2256" t="str">
        <f>_xlfn.XLOOKUP(D2256, Lookups!$A$12:$A$51, Lookups!$C$12:$C$51, "Unknown")</f>
        <v>Networking</v>
      </c>
      <c r="S2256" t="str">
        <f>IF(ISBLANK(I2256), B2256+VLOOKUP(C2256, Lookups!$A$2:$D$10, 4, FALSE()), I2256)</f>
        <v>2025-11-20</v>
      </c>
      <c r="T2256">
        <f t="shared" si="213"/>
        <v>18</v>
      </c>
      <c r="U2256" t="str">
        <f t="shared" si="214"/>
        <v>On-Time</v>
      </c>
      <c r="V2256">
        <f t="shared" si="215"/>
        <v>0</v>
      </c>
    </row>
    <row r="2257" spans="1:22" x14ac:dyDescent="0.45">
      <c r="A2257" t="s">
        <v>3111</v>
      </c>
      <c r="B2257" t="s">
        <v>590</v>
      </c>
      <c r="C2257" t="s">
        <v>30</v>
      </c>
      <c r="D2257" t="s">
        <v>86</v>
      </c>
      <c r="E2257" t="s">
        <v>18</v>
      </c>
      <c r="F2257">
        <v>55</v>
      </c>
      <c r="G2257">
        <v>74871</v>
      </c>
      <c r="H2257">
        <v>4117905</v>
      </c>
      <c r="I2257" t="s">
        <v>591</v>
      </c>
      <c r="J2257" t="s">
        <v>358</v>
      </c>
      <c r="K2257">
        <v>55</v>
      </c>
      <c r="L2257">
        <v>0</v>
      </c>
      <c r="M2257" t="s">
        <v>115</v>
      </c>
      <c r="N2257" t="str">
        <f t="shared" si="210"/>
        <v>PO-102256</v>
      </c>
      <c r="O2257" t="str">
        <f t="shared" si="211"/>
        <v>Delivered</v>
      </c>
      <c r="P2257" t="str">
        <f t="shared" si="212"/>
        <v>WH-PUN</v>
      </c>
      <c r="Q2257" t="str">
        <f>VLOOKUP(C2257, Lookups!$A$2:$D$10, 2, FALSE())</f>
        <v>TechSupply Corp</v>
      </c>
      <c r="R2257" t="str">
        <f>_xlfn.XLOOKUP(D2257, Lookups!$A$12:$A$51, Lookups!$C$12:$C$51, "Unknown")</f>
        <v>Electronics</v>
      </c>
      <c r="S2257" t="str">
        <f>IF(ISBLANK(I2257), B2257+VLOOKUP(C2257, Lookups!$A$2:$D$10, 4, FALSE()), I2257)</f>
        <v>2026-01-20</v>
      </c>
      <c r="T2257">
        <f t="shared" si="213"/>
        <v>15</v>
      </c>
      <c r="U2257" t="str">
        <f t="shared" si="214"/>
        <v>Late</v>
      </c>
      <c r="V2257">
        <f t="shared" si="215"/>
        <v>0</v>
      </c>
    </row>
    <row r="2258" spans="1:22" x14ac:dyDescent="0.45">
      <c r="A2258" t="s">
        <v>3112</v>
      </c>
      <c r="B2258" t="s">
        <v>1368</v>
      </c>
      <c r="C2258" t="s">
        <v>35</v>
      </c>
      <c r="D2258" t="s">
        <v>65</v>
      </c>
      <c r="E2258" t="s">
        <v>18</v>
      </c>
      <c r="F2258">
        <v>63</v>
      </c>
      <c r="G2258">
        <v>4936</v>
      </c>
      <c r="H2258">
        <v>310968</v>
      </c>
      <c r="I2258" t="s">
        <v>693</v>
      </c>
      <c r="J2258" t="s">
        <v>811</v>
      </c>
      <c r="K2258">
        <v>63</v>
      </c>
      <c r="L2258">
        <v>0</v>
      </c>
      <c r="M2258" t="s">
        <v>115</v>
      </c>
      <c r="N2258" t="str">
        <f t="shared" si="210"/>
        <v>PO-102257</v>
      </c>
      <c r="O2258" t="str">
        <f t="shared" si="211"/>
        <v>Delivered</v>
      </c>
      <c r="P2258" t="str">
        <f t="shared" si="212"/>
        <v>WH-PUN</v>
      </c>
      <c r="Q2258" t="str">
        <f>VLOOKUP(C2258, Lookups!$A$2:$D$10, 2, FALSE())</f>
        <v>Peripheral Source</v>
      </c>
      <c r="R2258" t="str">
        <f>_xlfn.XLOOKUP(D2258, Lookups!$A$12:$A$51, Lookups!$C$12:$C$51, "Unknown")</f>
        <v>Peripherals</v>
      </c>
      <c r="S2258" t="str">
        <f>IF(ISBLANK(I2258), B2258+VLOOKUP(C2258, Lookups!$A$2:$D$10, 4, FALSE()), I2258)</f>
        <v>2026-11-22</v>
      </c>
      <c r="T2258">
        <f t="shared" si="213"/>
        <v>15</v>
      </c>
      <c r="U2258" t="str">
        <f t="shared" si="214"/>
        <v>Late</v>
      </c>
      <c r="V2258">
        <f t="shared" si="215"/>
        <v>0</v>
      </c>
    </row>
    <row r="2259" spans="1:22" x14ac:dyDescent="0.45">
      <c r="A2259" t="s">
        <v>3113</v>
      </c>
      <c r="B2259" t="s">
        <v>154</v>
      </c>
      <c r="C2259" t="s">
        <v>34</v>
      </c>
      <c r="D2259" t="s">
        <v>76</v>
      </c>
      <c r="E2259" t="s">
        <v>15</v>
      </c>
      <c r="F2259">
        <v>36</v>
      </c>
      <c r="G2259">
        <v>26270</v>
      </c>
      <c r="H2259">
        <v>945720</v>
      </c>
      <c r="I2259" t="s">
        <v>1087</v>
      </c>
      <c r="J2259" t="s">
        <v>1006</v>
      </c>
      <c r="K2259">
        <v>36</v>
      </c>
      <c r="L2259">
        <v>0</v>
      </c>
      <c r="M2259" t="s">
        <v>115</v>
      </c>
      <c r="N2259" t="str">
        <f t="shared" si="210"/>
        <v>PO-102258</v>
      </c>
      <c r="O2259" t="str">
        <f t="shared" si="211"/>
        <v>Delivered</v>
      </c>
      <c r="P2259" t="str">
        <f t="shared" si="212"/>
        <v>WH-BOM</v>
      </c>
      <c r="Q2259" t="str">
        <f>VLOOKUP(C2259, Lookups!$A$2:$D$10, 2, FALSE())</f>
        <v>FastElectronics</v>
      </c>
      <c r="R2259" t="str">
        <f>_xlfn.XLOOKUP(D2259, Lookups!$A$12:$A$51, Lookups!$C$12:$C$51, "Unknown")</f>
        <v>Networking</v>
      </c>
      <c r="S2259" t="str">
        <f>IF(ISBLANK(I2259), B2259+VLOOKUP(C2259, Lookups!$A$2:$D$10, 4, FALSE()), I2259)</f>
        <v>2025-11-15</v>
      </c>
      <c r="T2259">
        <f t="shared" si="213"/>
        <v>19</v>
      </c>
      <c r="U2259" t="str">
        <f t="shared" si="214"/>
        <v>Late</v>
      </c>
      <c r="V2259">
        <f t="shared" si="215"/>
        <v>0</v>
      </c>
    </row>
    <row r="2260" spans="1:22" x14ac:dyDescent="0.45">
      <c r="A2260" t="s">
        <v>3114</v>
      </c>
      <c r="B2260" t="s">
        <v>965</v>
      </c>
      <c r="C2260" t="s">
        <v>32</v>
      </c>
      <c r="D2260" t="s">
        <v>67</v>
      </c>
      <c r="E2260" t="s">
        <v>16</v>
      </c>
      <c r="F2260">
        <v>189</v>
      </c>
      <c r="G2260">
        <v>1553</v>
      </c>
      <c r="H2260">
        <v>293517</v>
      </c>
      <c r="I2260" t="s">
        <v>697</v>
      </c>
      <c r="J2260" t="s">
        <v>466</v>
      </c>
      <c r="K2260">
        <v>189</v>
      </c>
      <c r="L2260">
        <v>0</v>
      </c>
      <c r="M2260" t="s">
        <v>115</v>
      </c>
      <c r="N2260" t="str">
        <f t="shared" si="210"/>
        <v>PO-102259</v>
      </c>
      <c r="O2260" t="str">
        <f t="shared" si="211"/>
        <v>Delivered</v>
      </c>
      <c r="P2260" t="str">
        <f t="shared" si="212"/>
        <v>WH-DEL</v>
      </c>
      <c r="Q2260" t="str">
        <f>VLOOKUP(C2260, Lookups!$A$2:$D$10, 2, FALSE())</f>
        <v>OfficeDepot Pro</v>
      </c>
      <c r="R2260" t="str">
        <f>_xlfn.XLOOKUP(D2260, Lookups!$A$12:$A$51, Lookups!$C$12:$C$51, "Unknown")</f>
        <v>Peripherals</v>
      </c>
      <c r="S2260" t="str">
        <f>IF(ISBLANK(I2260), B2260+VLOOKUP(C2260, Lookups!$A$2:$D$10, 4, FALSE()), I2260)</f>
        <v>2025-01-22</v>
      </c>
      <c r="T2260">
        <f t="shared" si="213"/>
        <v>8</v>
      </c>
      <c r="U2260" t="str">
        <f t="shared" si="214"/>
        <v>Late</v>
      </c>
      <c r="V2260">
        <f t="shared" si="215"/>
        <v>0</v>
      </c>
    </row>
    <row r="2261" spans="1:22" x14ac:dyDescent="0.45">
      <c r="A2261" t="s">
        <v>3115</v>
      </c>
      <c r="B2261" t="s">
        <v>969</v>
      </c>
      <c r="C2261" t="s">
        <v>37</v>
      </c>
      <c r="D2261" t="s">
        <v>83</v>
      </c>
      <c r="E2261" t="s">
        <v>17</v>
      </c>
      <c r="F2261">
        <v>156</v>
      </c>
      <c r="G2261">
        <v>19850</v>
      </c>
      <c r="H2261">
        <v>3096600</v>
      </c>
      <c r="I2261" t="s">
        <v>155</v>
      </c>
      <c r="J2261" t="s">
        <v>247</v>
      </c>
      <c r="K2261">
        <v>156</v>
      </c>
      <c r="L2261">
        <v>0</v>
      </c>
      <c r="M2261" t="s">
        <v>115</v>
      </c>
      <c r="N2261" t="str">
        <f t="shared" si="210"/>
        <v>PO-102260</v>
      </c>
      <c r="O2261" t="str">
        <f t="shared" si="211"/>
        <v>Delivered</v>
      </c>
      <c r="P2261" t="str">
        <f t="shared" si="212"/>
        <v>WH-BLR</v>
      </c>
      <c r="Q2261" t="str">
        <f>VLOOKUP(C2261, Lookups!$A$2:$D$10, 2, FALSE())</f>
        <v>Premium Desks Ltd</v>
      </c>
      <c r="R2261" t="str">
        <f>_xlfn.XLOOKUP(D2261, Lookups!$A$12:$A$51, Lookups!$C$12:$C$51, "Unknown")</f>
        <v>Office Furniture</v>
      </c>
      <c r="S2261" t="str">
        <f>IF(ISBLANK(I2261), B2261+VLOOKUP(C2261, Lookups!$A$2:$D$10, 4, FALSE()), I2261)</f>
        <v>2025-10-30</v>
      </c>
      <c r="T2261">
        <f t="shared" si="213"/>
        <v>15</v>
      </c>
      <c r="U2261" t="str">
        <f t="shared" si="214"/>
        <v>Late</v>
      </c>
      <c r="V2261">
        <f t="shared" si="215"/>
        <v>0</v>
      </c>
    </row>
    <row r="2262" spans="1:22" x14ac:dyDescent="0.45">
      <c r="A2262" t="s">
        <v>3116</v>
      </c>
      <c r="B2262" t="s">
        <v>403</v>
      </c>
      <c r="C2262" t="s">
        <v>31</v>
      </c>
      <c r="D2262" t="s">
        <v>66</v>
      </c>
      <c r="E2262" t="s">
        <v>15</v>
      </c>
      <c r="F2262">
        <v>68</v>
      </c>
      <c r="G2262">
        <v>29719</v>
      </c>
      <c r="H2262">
        <v>2020892</v>
      </c>
      <c r="I2262" t="s">
        <v>460</v>
      </c>
      <c r="J2262" t="s">
        <v>460</v>
      </c>
      <c r="K2262">
        <v>68</v>
      </c>
      <c r="L2262">
        <v>0</v>
      </c>
      <c r="M2262" t="s">
        <v>115</v>
      </c>
      <c r="N2262" t="str">
        <f t="shared" si="210"/>
        <v>PO-102261</v>
      </c>
      <c r="O2262" t="str">
        <f t="shared" si="211"/>
        <v>Delivered</v>
      </c>
      <c r="P2262" t="str">
        <f t="shared" si="212"/>
        <v>WH-BOM</v>
      </c>
      <c r="Q2262" t="str">
        <f>VLOOKUP(C2262, Lookups!$A$2:$D$10, 2, FALSE())</f>
        <v>Global Networks</v>
      </c>
      <c r="R2262" t="str">
        <f>_xlfn.XLOOKUP(D2262, Lookups!$A$12:$A$51, Lookups!$C$12:$C$51, "Unknown")</f>
        <v>Networking</v>
      </c>
      <c r="S2262" t="str">
        <f>IF(ISBLANK(I2262), B2262+VLOOKUP(C2262, Lookups!$A$2:$D$10, 4, FALSE()), I2262)</f>
        <v>2025-10-09</v>
      </c>
      <c r="T2262">
        <f t="shared" si="213"/>
        <v>21</v>
      </c>
      <c r="U2262" t="str">
        <f t="shared" si="214"/>
        <v>On-Time</v>
      </c>
      <c r="V2262">
        <f t="shared" si="215"/>
        <v>0</v>
      </c>
    </row>
    <row r="2263" spans="1:22" x14ac:dyDescent="0.45">
      <c r="A2263" t="s">
        <v>3117</v>
      </c>
      <c r="B2263" t="s">
        <v>127</v>
      </c>
      <c r="C2263" t="s">
        <v>37</v>
      </c>
      <c r="D2263" t="s">
        <v>78</v>
      </c>
      <c r="E2263" t="s">
        <v>16</v>
      </c>
      <c r="F2263">
        <v>206</v>
      </c>
      <c r="G2263">
        <v>9423</v>
      </c>
      <c r="H2263">
        <v>1941138</v>
      </c>
      <c r="I2263" t="s">
        <v>220</v>
      </c>
      <c r="J2263" t="s">
        <v>220</v>
      </c>
      <c r="K2263">
        <v>206</v>
      </c>
      <c r="L2263">
        <v>0</v>
      </c>
      <c r="M2263" t="s">
        <v>115</v>
      </c>
      <c r="N2263" t="str">
        <f t="shared" si="210"/>
        <v>PO-102262</v>
      </c>
      <c r="O2263" t="str">
        <f t="shared" si="211"/>
        <v>Delivered</v>
      </c>
      <c r="P2263" t="str">
        <f t="shared" si="212"/>
        <v>WH-DEL</v>
      </c>
      <c r="Q2263" t="str">
        <f>VLOOKUP(C2263, Lookups!$A$2:$D$10, 2, FALSE())</f>
        <v>Premium Desks Ltd</v>
      </c>
      <c r="R2263" t="str">
        <f>_xlfn.XLOOKUP(D2263, Lookups!$A$12:$A$51, Lookups!$C$12:$C$51, "Unknown")</f>
        <v>Office Furniture</v>
      </c>
      <c r="S2263" t="str">
        <f>IF(ISBLANK(I2263), B2263+VLOOKUP(C2263, Lookups!$A$2:$D$10, 4, FALSE()), I2263)</f>
        <v>2026-02-14</v>
      </c>
      <c r="T2263">
        <f t="shared" si="213"/>
        <v>12</v>
      </c>
      <c r="U2263" t="str">
        <f t="shared" si="214"/>
        <v>On-Time</v>
      </c>
      <c r="V2263">
        <f t="shared" si="215"/>
        <v>0</v>
      </c>
    </row>
    <row r="2264" spans="1:22" x14ac:dyDescent="0.45">
      <c r="A2264" t="s">
        <v>3118</v>
      </c>
      <c r="B2264" t="s">
        <v>288</v>
      </c>
      <c r="C2264" t="s">
        <v>37</v>
      </c>
      <c r="D2264" t="s">
        <v>69</v>
      </c>
      <c r="E2264" t="s">
        <v>17</v>
      </c>
      <c r="F2264">
        <v>224</v>
      </c>
      <c r="G2264">
        <v>13231</v>
      </c>
      <c r="H2264">
        <v>2963744</v>
      </c>
      <c r="I2264" t="s">
        <v>1026</v>
      </c>
      <c r="J2264" t="s">
        <v>1026</v>
      </c>
      <c r="K2264">
        <v>224</v>
      </c>
      <c r="L2264">
        <v>22</v>
      </c>
      <c r="M2264" t="s">
        <v>115</v>
      </c>
      <c r="N2264" t="str">
        <f t="shared" si="210"/>
        <v>PO-102263</v>
      </c>
      <c r="O2264" t="str">
        <f t="shared" si="211"/>
        <v>Delivered</v>
      </c>
      <c r="P2264" t="str">
        <f t="shared" si="212"/>
        <v>WH-BLR</v>
      </c>
      <c r="Q2264" t="str">
        <f>VLOOKUP(C2264, Lookups!$A$2:$D$10, 2, FALSE())</f>
        <v>Premium Desks Ltd</v>
      </c>
      <c r="R2264" t="str">
        <f>_xlfn.XLOOKUP(D2264, Lookups!$A$12:$A$51, Lookups!$C$12:$C$51, "Unknown")</f>
        <v>Office Furniture</v>
      </c>
      <c r="S2264" t="str">
        <f>IF(ISBLANK(I2264), B2264+VLOOKUP(C2264, Lookups!$A$2:$D$10, 4, FALSE()), I2264)</f>
        <v>2026-07-03</v>
      </c>
      <c r="T2264">
        <f t="shared" si="213"/>
        <v>12</v>
      </c>
      <c r="U2264" t="str">
        <f t="shared" si="214"/>
        <v>On-Time</v>
      </c>
      <c r="V2264">
        <f t="shared" si="215"/>
        <v>9.8214285714285712E-2</v>
      </c>
    </row>
    <row r="2265" spans="1:22" x14ac:dyDescent="0.45">
      <c r="A2265" t="s">
        <v>3119</v>
      </c>
      <c r="B2265" t="s">
        <v>686</v>
      </c>
      <c r="C2265" t="s">
        <v>35</v>
      </c>
      <c r="D2265" t="s">
        <v>91</v>
      </c>
      <c r="E2265" t="s">
        <v>18</v>
      </c>
      <c r="F2265">
        <v>48</v>
      </c>
      <c r="G2265">
        <v>6707</v>
      </c>
      <c r="H2265">
        <v>321936</v>
      </c>
      <c r="I2265" t="s">
        <v>339</v>
      </c>
      <c r="J2265" t="s">
        <v>574</v>
      </c>
      <c r="K2265">
        <v>48</v>
      </c>
      <c r="L2265">
        <v>0</v>
      </c>
      <c r="M2265" t="s">
        <v>115</v>
      </c>
      <c r="N2265" t="str">
        <f t="shared" si="210"/>
        <v>PO-102264</v>
      </c>
      <c r="O2265" t="str">
        <f t="shared" si="211"/>
        <v>Delivered</v>
      </c>
      <c r="P2265" t="str">
        <f t="shared" si="212"/>
        <v>WH-PUN</v>
      </c>
      <c r="Q2265" t="str">
        <f>VLOOKUP(C2265, Lookups!$A$2:$D$10, 2, FALSE())</f>
        <v>Peripheral Source</v>
      </c>
      <c r="R2265" t="str">
        <f>_xlfn.XLOOKUP(D2265, Lookups!$A$12:$A$51, Lookups!$C$12:$C$51, "Unknown")</f>
        <v>Peripherals</v>
      </c>
      <c r="S2265" t="str">
        <f>IF(ISBLANK(I2265), B2265+VLOOKUP(C2265, Lookups!$A$2:$D$10, 4, FALSE()), I2265)</f>
        <v>2026-04-20</v>
      </c>
      <c r="T2265">
        <f t="shared" si="213"/>
        <v>21</v>
      </c>
      <c r="U2265" t="str">
        <f t="shared" si="214"/>
        <v>Late</v>
      </c>
      <c r="V2265">
        <f t="shared" si="215"/>
        <v>0</v>
      </c>
    </row>
    <row r="2266" spans="1:22" x14ac:dyDescent="0.45">
      <c r="A2266" t="s">
        <v>3120</v>
      </c>
      <c r="B2266" t="s">
        <v>1377</v>
      </c>
      <c r="C2266" t="s">
        <v>30</v>
      </c>
      <c r="D2266" t="s">
        <v>52</v>
      </c>
      <c r="E2266" t="s">
        <v>17</v>
      </c>
      <c r="F2266">
        <v>144</v>
      </c>
      <c r="G2266">
        <v>59592</v>
      </c>
      <c r="H2266">
        <v>8581248</v>
      </c>
      <c r="I2266" t="s">
        <v>1241</v>
      </c>
      <c r="J2266" t="s">
        <v>1241</v>
      </c>
      <c r="K2266">
        <v>144</v>
      </c>
      <c r="L2266">
        <v>0</v>
      </c>
      <c r="M2266" t="s">
        <v>115</v>
      </c>
      <c r="N2266" t="str">
        <f t="shared" si="210"/>
        <v>PO-102265</v>
      </c>
      <c r="O2266" t="str">
        <f t="shared" si="211"/>
        <v>Delivered</v>
      </c>
      <c r="P2266" t="str">
        <f t="shared" si="212"/>
        <v>WH-BLR</v>
      </c>
      <c r="Q2266" t="str">
        <f>VLOOKUP(C2266, Lookups!$A$2:$D$10, 2, FALSE())</f>
        <v>TechSupply Corp</v>
      </c>
      <c r="R2266" t="str">
        <f>_xlfn.XLOOKUP(D2266, Lookups!$A$12:$A$51, Lookups!$C$12:$C$51, "Unknown")</f>
        <v>Electronics</v>
      </c>
      <c r="S2266" t="str">
        <f>IF(ISBLANK(I2266), B2266+VLOOKUP(C2266, Lookups!$A$2:$D$10, 4, FALSE()), I2266)</f>
        <v>2025-05-01</v>
      </c>
      <c r="T2266">
        <f t="shared" si="213"/>
        <v>14</v>
      </c>
      <c r="U2266" t="str">
        <f t="shared" si="214"/>
        <v>On-Time</v>
      </c>
      <c r="V2266">
        <f t="shared" si="215"/>
        <v>0</v>
      </c>
    </row>
    <row r="2267" spans="1:22" x14ac:dyDescent="0.45">
      <c r="A2267" t="s">
        <v>3121</v>
      </c>
      <c r="B2267" t="s">
        <v>222</v>
      </c>
      <c r="C2267" t="s">
        <v>34</v>
      </c>
      <c r="D2267" t="s">
        <v>54</v>
      </c>
      <c r="E2267" t="s">
        <v>15</v>
      </c>
      <c r="F2267">
        <v>56</v>
      </c>
      <c r="G2267">
        <v>22314</v>
      </c>
      <c r="H2267">
        <v>1249584</v>
      </c>
      <c r="I2267" t="s">
        <v>619</v>
      </c>
      <c r="J2267" t="s">
        <v>619</v>
      </c>
      <c r="K2267">
        <v>56</v>
      </c>
      <c r="L2267">
        <v>0</v>
      </c>
      <c r="M2267" t="s">
        <v>115</v>
      </c>
      <c r="N2267" t="str">
        <f t="shared" si="210"/>
        <v>PO-102266</v>
      </c>
      <c r="O2267" t="str">
        <f t="shared" si="211"/>
        <v>Delivered</v>
      </c>
      <c r="P2267" t="str">
        <f t="shared" si="212"/>
        <v>WH-BOM</v>
      </c>
      <c r="Q2267" t="str">
        <f>VLOOKUP(C2267, Lookups!$A$2:$D$10, 2, FALSE())</f>
        <v>FastElectronics</v>
      </c>
      <c r="R2267" t="str">
        <f>_xlfn.XLOOKUP(D2267, Lookups!$A$12:$A$51, Lookups!$C$12:$C$51, "Unknown")</f>
        <v>Networking</v>
      </c>
      <c r="S2267" t="str">
        <f>IF(ISBLANK(I2267), B2267+VLOOKUP(C2267, Lookups!$A$2:$D$10, 4, FALSE()), I2267)</f>
        <v>2026-03-19</v>
      </c>
      <c r="T2267">
        <f t="shared" si="213"/>
        <v>18</v>
      </c>
      <c r="U2267" t="str">
        <f t="shared" si="214"/>
        <v>On-Time</v>
      </c>
      <c r="V2267">
        <f t="shared" si="215"/>
        <v>0</v>
      </c>
    </row>
    <row r="2268" spans="1:22" x14ac:dyDescent="0.45">
      <c r="A2268" t="s">
        <v>3122</v>
      </c>
      <c r="B2268" t="s">
        <v>920</v>
      </c>
      <c r="C2268" t="s">
        <v>34</v>
      </c>
      <c r="D2268" t="s">
        <v>58</v>
      </c>
      <c r="E2268" t="s">
        <v>18</v>
      </c>
      <c r="F2268">
        <v>77</v>
      </c>
      <c r="G2268">
        <v>100302</v>
      </c>
      <c r="H2268">
        <v>7723254</v>
      </c>
      <c r="I2268" t="s">
        <v>1403</v>
      </c>
      <c r="J2268" t="s">
        <v>1822</v>
      </c>
      <c r="K2268">
        <v>77</v>
      </c>
      <c r="L2268">
        <v>0</v>
      </c>
      <c r="M2268" t="s">
        <v>115</v>
      </c>
      <c r="N2268" t="str">
        <f t="shared" si="210"/>
        <v>PO-102267</v>
      </c>
      <c r="O2268" t="str">
        <f t="shared" si="211"/>
        <v>Delivered</v>
      </c>
      <c r="P2268" t="str">
        <f t="shared" si="212"/>
        <v>WH-PUN</v>
      </c>
      <c r="Q2268" t="str">
        <f>VLOOKUP(C2268, Lookups!$A$2:$D$10, 2, FALSE())</f>
        <v>FastElectronics</v>
      </c>
      <c r="R2268" t="str">
        <f>_xlfn.XLOOKUP(D2268, Lookups!$A$12:$A$51, Lookups!$C$12:$C$51, "Unknown")</f>
        <v>Electronics</v>
      </c>
      <c r="S2268" t="str">
        <f>IF(ISBLANK(I2268), B2268+VLOOKUP(C2268, Lookups!$A$2:$D$10, 4, FALSE()), I2268)</f>
        <v>2026-11-02</v>
      </c>
      <c r="T2268">
        <f t="shared" si="213"/>
        <v>19</v>
      </c>
      <c r="U2268" t="str">
        <f t="shared" si="214"/>
        <v>Late</v>
      </c>
      <c r="V2268">
        <f t="shared" si="215"/>
        <v>0</v>
      </c>
    </row>
    <row r="2269" spans="1:22" x14ac:dyDescent="0.45">
      <c r="A2269" t="s">
        <v>3123</v>
      </c>
      <c r="B2269" t="s">
        <v>1338</v>
      </c>
      <c r="C2269" t="s">
        <v>34</v>
      </c>
      <c r="D2269" t="s">
        <v>58</v>
      </c>
      <c r="E2269" t="s">
        <v>18</v>
      </c>
      <c r="F2269">
        <v>238</v>
      </c>
      <c r="G2269">
        <v>100302</v>
      </c>
      <c r="H2269">
        <v>23871876</v>
      </c>
      <c r="I2269" t="s">
        <v>750</v>
      </c>
      <c r="J2269" t="s">
        <v>1370</v>
      </c>
      <c r="K2269">
        <v>238</v>
      </c>
      <c r="L2269">
        <v>0</v>
      </c>
      <c r="M2269" t="s">
        <v>115</v>
      </c>
      <c r="N2269" t="str">
        <f t="shared" si="210"/>
        <v>PO-102268</v>
      </c>
      <c r="O2269" t="str">
        <f t="shared" si="211"/>
        <v>Delivered</v>
      </c>
      <c r="P2269" t="str">
        <f t="shared" si="212"/>
        <v>WH-PUN</v>
      </c>
      <c r="Q2269" t="str">
        <f>VLOOKUP(C2269, Lookups!$A$2:$D$10, 2, FALSE())</f>
        <v>FastElectronics</v>
      </c>
      <c r="R2269" t="str">
        <f>_xlfn.XLOOKUP(D2269, Lookups!$A$12:$A$51, Lookups!$C$12:$C$51, "Unknown")</f>
        <v>Electronics</v>
      </c>
      <c r="S2269" t="str">
        <f>IF(ISBLANK(I2269), B2269+VLOOKUP(C2269, Lookups!$A$2:$D$10, 4, FALSE()), I2269)</f>
        <v>2026-10-20</v>
      </c>
      <c r="T2269">
        <f t="shared" si="213"/>
        <v>19</v>
      </c>
      <c r="U2269" t="str">
        <f t="shared" si="214"/>
        <v>Late</v>
      </c>
      <c r="V2269">
        <f t="shared" si="215"/>
        <v>0</v>
      </c>
    </row>
    <row r="2270" spans="1:22" x14ac:dyDescent="0.45">
      <c r="A2270" t="s">
        <v>3124</v>
      </c>
      <c r="B2270" t="s">
        <v>1547</v>
      </c>
      <c r="C2270" t="s">
        <v>34</v>
      </c>
      <c r="D2270" t="s">
        <v>76</v>
      </c>
      <c r="E2270" t="s">
        <v>18</v>
      </c>
      <c r="F2270">
        <v>149</v>
      </c>
      <c r="G2270">
        <v>26270</v>
      </c>
      <c r="H2270">
        <v>3914230</v>
      </c>
      <c r="I2270" t="s">
        <v>1497</v>
      </c>
      <c r="J2270" t="s">
        <v>361</v>
      </c>
      <c r="K2270">
        <v>149</v>
      </c>
      <c r="L2270">
        <v>0</v>
      </c>
      <c r="M2270" t="s">
        <v>927</v>
      </c>
      <c r="N2270" t="str">
        <f t="shared" si="210"/>
        <v>PO-102269</v>
      </c>
      <c r="O2270" t="str">
        <f t="shared" si="211"/>
        <v>Delivered</v>
      </c>
      <c r="P2270" t="str">
        <f t="shared" si="212"/>
        <v>WH-PUN</v>
      </c>
      <c r="Q2270" t="str">
        <f>VLOOKUP(C2270, Lookups!$A$2:$D$10, 2, FALSE())</f>
        <v>FastElectronics</v>
      </c>
      <c r="R2270" t="str">
        <f>_xlfn.XLOOKUP(D2270, Lookups!$A$12:$A$51, Lookups!$C$12:$C$51, "Unknown")</f>
        <v>Networking</v>
      </c>
      <c r="S2270" t="str">
        <f>IF(ISBLANK(I2270), B2270+VLOOKUP(C2270, Lookups!$A$2:$D$10, 4, FALSE()), I2270)</f>
        <v>2026-03-21</v>
      </c>
      <c r="T2270">
        <f t="shared" si="213"/>
        <v>19</v>
      </c>
      <c r="U2270" t="str">
        <f t="shared" si="214"/>
        <v>Late</v>
      </c>
      <c r="V2270">
        <f t="shared" si="215"/>
        <v>0</v>
      </c>
    </row>
    <row r="2271" spans="1:22" x14ac:dyDescent="0.45">
      <c r="A2271" t="s">
        <v>3125</v>
      </c>
      <c r="B2271" t="s">
        <v>1070</v>
      </c>
      <c r="C2271" t="s">
        <v>30</v>
      </c>
      <c r="D2271" t="s">
        <v>61</v>
      </c>
      <c r="E2271" t="s">
        <v>15</v>
      </c>
      <c r="F2271">
        <v>120</v>
      </c>
      <c r="G2271">
        <v>111237</v>
      </c>
      <c r="H2271">
        <v>13348440</v>
      </c>
      <c r="I2271" t="s">
        <v>393</v>
      </c>
      <c r="J2271" t="s">
        <v>393</v>
      </c>
      <c r="K2271">
        <v>120</v>
      </c>
      <c r="L2271">
        <v>0</v>
      </c>
      <c r="M2271" t="s">
        <v>115</v>
      </c>
      <c r="N2271" t="str">
        <f t="shared" si="210"/>
        <v>PO-102270</v>
      </c>
      <c r="O2271" t="str">
        <f t="shared" si="211"/>
        <v>Delivered</v>
      </c>
      <c r="P2271" t="str">
        <f t="shared" si="212"/>
        <v>WH-BOM</v>
      </c>
      <c r="Q2271" t="str">
        <f>VLOOKUP(C2271, Lookups!$A$2:$D$10, 2, FALSE())</f>
        <v>TechSupply Corp</v>
      </c>
      <c r="R2271" t="str">
        <f>_xlfn.XLOOKUP(D2271, Lookups!$A$12:$A$51, Lookups!$C$12:$C$51, "Unknown")</f>
        <v>Electronics</v>
      </c>
      <c r="S2271" t="str">
        <f>IF(ISBLANK(I2271), B2271+VLOOKUP(C2271, Lookups!$A$2:$D$10, 4, FALSE()), I2271)</f>
        <v>2025-08-29</v>
      </c>
      <c r="T2271">
        <f t="shared" si="213"/>
        <v>14</v>
      </c>
      <c r="U2271" t="str">
        <f t="shared" si="214"/>
        <v>On-Time</v>
      </c>
      <c r="V2271">
        <f t="shared" si="215"/>
        <v>0</v>
      </c>
    </row>
    <row r="2272" spans="1:22" x14ac:dyDescent="0.45">
      <c r="A2272" t="s">
        <v>3126</v>
      </c>
      <c r="B2272" t="s">
        <v>1300</v>
      </c>
      <c r="C2272" t="s">
        <v>31</v>
      </c>
      <c r="D2272" t="s">
        <v>85</v>
      </c>
      <c r="E2272" t="s">
        <v>16</v>
      </c>
      <c r="F2272">
        <v>98</v>
      </c>
      <c r="G2272">
        <v>16501</v>
      </c>
      <c r="H2272">
        <v>1617098</v>
      </c>
      <c r="I2272" t="s">
        <v>834</v>
      </c>
      <c r="J2272" t="s">
        <v>235</v>
      </c>
      <c r="K2272">
        <v>98</v>
      </c>
      <c r="L2272">
        <v>2</v>
      </c>
      <c r="M2272" t="s">
        <v>115</v>
      </c>
      <c r="N2272" t="str">
        <f t="shared" si="210"/>
        <v>PO-102271</v>
      </c>
      <c r="O2272" t="str">
        <f t="shared" si="211"/>
        <v>Delivered</v>
      </c>
      <c r="P2272" t="str">
        <f t="shared" si="212"/>
        <v>WH-DEL</v>
      </c>
      <c r="Q2272" t="str">
        <f>VLOOKUP(C2272, Lookups!$A$2:$D$10, 2, FALSE())</f>
        <v>Global Networks</v>
      </c>
      <c r="R2272" t="str">
        <f>_xlfn.XLOOKUP(D2272, Lookups!$A$12:$A$51, Lookups!$C$12:$C$51, "Unknown")</f>
        <v>Networking</v>
      </c>
      <c r="S2272" t="str">
        <f>IF(ISBLANK(I2272), B2272+VLOOKUP(C2272, Lookups!$A$2:$D$10, 4, FALSE()), I2272)</f>
        <v>2025-08-26</v>
      </c>
      <c r="T2272">
        <f t="shared" si="213"/>
        <v>22</v>
      </c>
      <c r="U2272" t="str">
        <f t="shared" si="214"/>
        <v>Late</v>
      </c>
      <c r="V2272">
        <f t="shared" si="215"/>
        <v>2.0408163265306121E-2</v>
      </c>
    </row>
    <row r="2273" spans="1:22" x14ac:dyDescent="0.45">
      <c r="A2273" t="s">
        <v>3127</v>
      </c>
      <c r="B2273" t="s">
        <v>665</v>
      </c>
      <c r="C2273" t="s">
        <v>30</v>
      </c>
      <c r="D2273" t="s">
        <v>52</v>
      </c>
      <c r="E2273" t="s">
        <v>18</v>
      </c>
      <c r="F2273">
        <v>203</v>
      </c>
      <c r="G2273">
        <v>59592</v>
      </c>
      <c r="H2273">
        <v>12097176</v>
      </c>
      <c r="I2273" t="s">
        <v>432</v>
      </c>
      <c r="J2273" t="s">
        <v>2937</v>
      </c>
      <c r="K2273">
        <v>203</v>
      </c>
      <c r="L2273">
        <v>0</v>
      </c>
      <c r="M2273" t="s">
        <v>115</v>
      </c>
      <c r="N2273" t="str">
        <f t="shared" si="210"/>
        <v>PO-102272</v>
      </c>
      <c r="O2273" t="str">
        <f t="shared" si="211"/>
        <v>Delivered</v>
      </c>
      <c r="P2273" t="str">
        <f t="shared" si="212"/>
        <v>WH-PUN</v>
      </c>
      <c r="Q2273" t="str">
        <f>VLOOKUP(C2273, Lookups!$A$2:$D$10, 2, FALSE())</f>
        <v>TechSupply Corp</v>
      </c>
      <c r="R2273" t="str">
        <f>_xlfn.XLOOKUP(D2273, Lookups!$A$12:$A$51, Lookups!$C$12:$C$51, "Unknown")</f>
        <v>Electronics</v>
      </c>
      <c r="S2273" t="str">
        <f>IF(ISBLANK(I2273), B2273+VLOOKUP(C2273, Lookups!$A$2:$D$10, 4, FALSE()), I2273)</f>
        <v>2025-03-25</v>
      </c>
      <c r="T2273">
        <f t="shared" si="213"/>
        <v>24</v>
      </c>
      <c r="U2273" t="str">
        <f t="shared" si="214"/>
        <v>Late</v>
      </c>
      <c r="V2273">
        <f t="shared" si="215"/>
        <v>0</v>
      </c>
    </row>
    <row r="2274" spans="1:22" x14ac:dyDescent="0.45">
      <c r="A2274" t="s">
        <v>3128</v>
      </c>
      <c r="B2274" t="s">
        <v>922</v>
      </c>
      <c r="C2274" t="s">
        <v>30</v>
      </c>
      <c r="D2274" t="s">
        <v>53</v>
      </c>
      <c r="E2274" t="s">
        <v>17</v>
      </c>
      <c r="F2274">
        <v>173</v>
      </c>
      <c r="G2274">
        <v>81048</v>
      </c>
      <c r="H2274">
        <v>14021304</v>
      </c>
      <c r="I2274" t="s">
        <v>694</v>
      </c>
      <c r="J2274" t="s">
        <v>694</v>
      </c>
      <c r="K2274">
        <v>173</v>
      </c>
      <c r="L2274">
        <v>0</v>
      </c>
      <c r="M2274" t="s">
        <v>115</v>
      </c>
      <c r="N2274" t="str">
        <f t="shared" si="210"/>
        <v>PO-102273</v>
      </c>
      <c r="O2274" t="str">
        <f t="shared" si="211"/>
        <v>Delivered</v>
      </c>
      <c r="P2274" t="str">
        <f t="shared" si="212"/>
        <v>WH-BLR</v>
      </c>
      <c r="Q2274" t="str">
        <f>VLOOKUP(C2274, Lookups!$A$2:$D$10, 2, FALSE())</f>
        <v>TechSupply Corp</v>
      </c>
      <c r="R2274" t="str">
        <f>_xlfn.XLOOKUP(D2274, Lookups!$A$12:$A$51, Lookups!$C$12:$C$51, "Unknown")</f>
        <v>Electronics</v>
      </c>
      <c r="S2274" t="str">
        <f>IF(ISBLANK(I2274), B2274+VLOOKUP(C2274, Lookups!$A$2:$D$10, 4, FALSE()), I2274)</f>
        <v>2026-11-23</v>
      </c>
      <c r="T2274">
        <f t="shared" si="213"/>
        <v>14</v>
      </c>
      <c r="U2274" t="str">
        <f t="shared" si="214"/>
        <v>On-Time</v>
      </c>
      <c r="V2274">
        <f t="shared" si="215"/>
        <v>0</v>
      </c>
    </row>
    <row r="2275" spans="1:22" x14ac:dyDescent="0.45">
      <c r="A2275" t="s">
        <v>3129</v>
      </c>
      <c r="B2275" t="s">
        <v>1265</v>
      </c>
      <c r="C2275" t="s">
        <v>34</v>
      </c>
      <c r="D2275" t="s">
        <v>68</v>
      </c>
      <c r="E2275" t="s">
        <v>17</v>
      </c>
      <c r="F2275">
        <v>69</v>
      </c>
      <c r="G2275">
        <v>41405</v>
      </c>
      <c r="H2275">
        <v>2856945</v>
      </c>
      <c r="I2275" t="s">
        <v>805</v>
      </c>
      <c r="J2275" t="s">
        <v>805</v>
      </c>
      <c r="K2275">
        <v>69</v>
      </c>
      <c r="L2275">
        <v>0</v>
      </c>
      <c r="M2275" t="s">
        <v>115</v>
      </c>
      <c r="N2275" t="str">
        <f t="shared" si="210"/>
        <v>PO-102274</v>
      </c>
      <c r="O2275" t="str">
        <f t="shared" si="211"/>
        <v>Delivered</v>
      </c>
      <c r="P2275" t="str">
        <f t="shared" si="212"/>
        <v>WH-BLR</v>
      </c>
      <c r="Q2275" t="str">
        <f>VLOOKUP(C2275, Lookups!$A$2:$D$10, 2, FALSE())</f>
        <v>FastElectronics</v>
      </c>
      <c r="R2275" t="str">
        <f>_xlfn.XLOOKUP(D2275, Lookups!$A$12:$A$51, Lookups!$C$12:$C$51, "Unknown")</f>
        <v>Networking</v>
      </c>
      <c r="S2275" t="str">
        <f>IF(ISBLANK(I2275), B2275+VLOOKUP(C2275, Lookups!$A$2:$D$10, 4, FALSE()), I2275)</f>
        <v>2025-04-25</v>
      </c>
      <c r="T2275">
        <f t="shared" si="213"/>
        <v>18</v>
      </c>
      <c r="U2275" t="str">
        <f t="shared" si="214"/>
        <v>On-Time</v>
      </c>
      <c r="V2275">
        <f t="shared" si="215"/>
        <v>0</v>
      </c>
    </row>
    <row r="2276" spans="1:22" x14ac:dyDescent="0.45">
      <c r="A2276" t="s">
        <v>3130</v>
      </c>
      <c r="B2276" t="s">
        <v>516</v>
      </c>
      <c r="C2276" t="s">
        <v>34</v>
      </c>
      <c r="D2276" t="s">
        <v>68</v>
      </c>
      <c r="E2276" t="s">
        <v>18</v>
      </c>
      <c r="F2276">
        <v>157</v>
      </c>
      <c r="G2276">
        <v>41405</v>
      </c>
      <c r="H2276">
        <v>6500585</v>
      </c>
      <c r="I2276" t="s">
        <v>505</v>
      </c>
      <c r="J2276" t="s">
        <v>276</v>
      </c>
      <c r="K2276">
        <v>157</v>
      </c>
      <c r="L2276">
        <v>0</v>
      </c>
      <c r="M2276" t="s">
        <v>115</v>
      </c>
      <c r="N2276" t="str">
        <f t="shared" si="210"/>
        <v>PO-102275</v>
      </c>
      <c r="O2276" t="str">
        <f t="shared" si="211"/>
        <v>Delivered</v>
      </c>
      <c r="P2276" t="str">
        <f t="shared" si="212"/>
        <v>WH-PUN</v>
      </c>
      <c r="Q2276" t="str">
        <f>VLOOKUP(C2276, Lookups!$A$2:$D$10, 2, FALSE())</f>
        <v>FastElectronics</v>
      </c>
      <c r="R2276" t="str">
        <f>_xlfn.XLOOKUP(D2276, Lookups!$A$12:$A$51, Lookups!$C$12:$C$51, "Unknown")</f>
        <v>Networking</v>
      </c>
      <c r="S2276" t="str">
        <f>IF(ISBLANK(I2276), B2276+VLOOKUP(C2276, Lookups!$A$2:$D$10, 4, FALSE()), I2276)</f>
        <v>2025-04-11</v>
      </c>
      <c r="T2276">
        <f t="shared" si="213"/>
        <v>19</v>
      </c>
      <c r="U2276" t="str">
        <f t="shared" si="214"/>
        <v>Late</v>
      </c>
      <c r="V2276">
        <f t="shared" si="215"/>
        <v>0</v>
      </c>
    </row>
    <row r="2277" spans="1:22" x14ac:dyDescent="0.45">
      <c r="A2277" t="s">
        <v>3131</v>
      </c>
      <c r="B2277" t="s">
        <v>474</v>
      </c>
      <c r="C2277" t="s">
        <v>30</v>
      </c>
      <c r="D2277" t="s">
        <v>88</v>
      </c>
      <c r="E2277" t="s">
        <v>16</v>
      </c>
      <c r="F2277">
        <v>84</v>
      </c>
      <c r="G2277">
        <v>75512</v>
      </c>
      <c r="H2277">
        <v>6343008</v>
      </c>
      <c r="I2277" t="s">
        <v>1482</v>
      </c>
      <c r="J2277" t="s">
        <v>1482</v>
      </c>
      <c r="K2277">
        <v>84</v>
      </c>
      <c r="L2277">
        <v>0</v>
      </c>
      <c r="M2277" t="s">
        <v>115</v>
      </c>
      <c r="N2277" t="str">
        <f t="shared" si="210"/>
        <v>PO-102276</v>
      </c>
      <c r="O2277" t="str">
        <f t="shared" si="211"/>
        <v>Delivered</v>
      </c>
      <c r="P2277" t="str">
        <f t="shared" si="212"/>
        <v>WH-DEL</v>
      </c>
      <c r="Q2277" t="str">
        <f>VLOOKUP(C2277, Lookups!$A$2:$D$10, 2, FALSE())</f>
        <v>TechSupply Corp</v>
      </c>
      <c r="R2277" t="str">
        <f>_xlfn.XLOOKUP(D2277, Lookups!$A$12:$A$51, Lookups!$C$12:$C$51, "Unknown")</f>
        <v>Electronics</v>
      </c>
      <c r="S2277" t="str">
        <f>IF(ISBLANK(I2277), B2277+VLOOKUP(C2277, Lookups!$A$2:$D$10, 4, FALSE()), I2277)</f>
        <v>2025-07-08</v>
      </c>
      <c r="T2277">
        <f t="shared" si="213"/>
        <v>14</v>
      </c>
      <c r="U2277" t="str">
        <f t="shared" si="214"/>
        <v>On-Time</v>
      </c>
      <c r="V2277">
        <f t="shared" si="215"/>
        <v>0</v>
      </c>
    </row>
    <row r="2278" spans="1:22" x14ac:dyDescent="0.45">
      <c r="A2278" t="s">
        <v>3132</v>
      </c>
      <c r="B2278" t="s">
        <v>1133</v>
      </c>
      <c r="C2278" t="s">
        <v>32</v>
      </c>
      <c r="D2278" t="s">
        <v>84</v>
      </c>
      <c r="E2278" t="s">
        <v>15</v>
      </c>
      <c r="F2278">
        <v>101</v>
      </c>
      <c r="G2278">
        <v>7271</v>
      </c>
      <c r="H2278">
        <v>734371</v>
      </c>
      <c r="I2278" t="s">
        <v>1145</v>
      </c>
      <c r="J2278" t="s">
        <v>1145</v>
      </c>
      <c r="K2278">
        <v>87</v>
      </c>
      <c r="L2278">
        <v>0</v>
      </c>
      <c r="M2278" t="s">
        <v>115</v>
      </c>
      <c r="N2278" t="str">
        <f t="shared" si="210"/>
        <v>PO-102277</v>
      </c>
      <c r="O2278" t="str">
        <f t="shared" si="211"/>
        <v>Delivered</v>
      </c>
      <c r="P2278" t="str">
        <f t="shared" si="212"/>
        <v>WH-BOM</v>
      </c>
      <c r="Q2278" t="str">
        <f>VLOOKUP(C2278, Lookups!$A$2:$D$10, 2, FALSE())</f>
        <v>OfficeDepot Pro</v>
      </c>
      <c r="R2278" t="str">
        <f>_xlfn.XLOOKUP(D2278, Lookups!$A$12:$A$51, Lookups!$C$12:$C$51, "Unknown")</f>
        <v>Peripherals</v>
      </c>
      <c r="S2278" t="str">
        <f>IF(ISBLANK(I2278), B2278+VLOOKUP(C2278, Lookups!$A$2:$D$10, 4, FALSE()), I2278)</f>
        <v>2025-07-11</v>
      </c>
      <c r="T2278">
        <f t="shared" si="213"/>
        <v>7</v>
      </c>
      <c r="U2278" t="str">
        <f t="shared" si="214"/>
        <v>On-Time</v>
      </c>
      <c r="V2278">
        <f t="shared" si="215"/>
        <v>0</v>
      </c>
    </row>
    <row r="2279" spans="1:22" x14ac:dyDescent="0.45">
      <c r="A2279" t="s">
        <v>3133</v>
      </c>
      <c r="B2279" t="s">
        <v>675</v>
      </c>
      <c r="C2279" t="s">
        <v>34</v>
      </c>
      <c r="D2279" t="s">
        <v>74</v>
      </c>
      <c r="E2279" t="s">
        <v>16</v>
      </c>
      <c r="F2279">
        <v>38</v>
      </c>
      <c r="G2279">
        <v>94797</v>
      </c>
      <c r="H2279">
        <v>3602286</v>
      </c>
      <c r="I2279" t="s">
        <v>955</v>
      </c>
      <c r="K2279">
        <v>0</v>
      </c>
      <c r="L2279">
        <v>0</v>
      </c>
      <c r="M2279" t="s">
        <v>297</v>
      </c>
      <c r="N2279" t="str">
        <f t="shared" si="210"/>
        <v>PO-102278</v>
      </c>
      <c r="O2279" t="str">
        <f t="shared" si="211"/>
        <v>Open</v>
      </c>
      <c r="P2279" t="str">
        <f t="shared" si="212"/>
        <v>WH-DEL</v>
      </c>
      <c r="Q2279" t="str">
        <f>VLOOKUP(C2279, Lookups!$A$2:$D$10, 2, FALSE())</f>
        <v>FastElectronics</v>
      </c>
      <c r="R2279" t="str">
        <f>_xlfn.XLOOKUP(D2279, Lookups!$A$12:$A$51, Lookups!$C$12:$C$51, "Unknown")</f>
        <v>Electronics</v>
      </c>
      <c r="S2279" t="str">
        <f>IF(ISBLANK(I2279), B2279+VLOOKUP(C2279, Lookups!$A$2:$D$10, 4, FALSE()), I2279)</f>
        <v>2026-12-16</v>
      </c>
      <c r="T2279" t="str">
        <f t="shared" si="213"/>
        <v/>
      </c>
      <c r="U2279" t="str">
        <f t="shared" si="214"/>
        <v>Open</v>
      </c>
      <c r="V2279">
        <f t="shared" si="215"/>
        <v>0</v>
      </c>
    </row>
    <row r="2280" spans="1:22" x14ac:dyDescent="0.45">
      <c r="A2280" t="s">
        <v>3134</v>
      </c>
      <c r="B2280" t="s">
        <v>353</v>
      </c>
      <c r="C2280" t="s">
        <v>36</v>
      </c>
      <c r="D2280" t="s">
        <v>62</v>
      </c>
      <c r="E2280" t="s">
        <v>532</v>
      </c>
      <c r="F2280">
        <v>165</v>
      </c>
      <c r="G2280">
        <v>48478</v>
      </c>
      <c r="H2280">
        <v>7998870</v>
      </c>
      <c r="I2280" t="s">
        <v>993</v>
      </c>
      <c r="J2280" t="s">
        <v>524</v>
      </c>
      <c r="K2280">
        <v>165</v>
      </c>
      <c r="L2280">
        <v>0</v>
      </c>
      <c r="M2280" t="s">
        <v>115</v>
      </c>
      <c r="N2280" t="str">
        <f t="shared" si="210"/>
        <v>PO-102279</v>
      </c>
      <c r="O2280" t="str">
        <f t="shared" si="211"/>
        <v>Delivered</v>
      </c>
      <c r="P2280" t="str">
        <f t="shared" si="212"/>
        <v>WH-PUN</v>
      </c>
      <c r="Q2280" t="str">
        <f>VLOOKUP(C2280, Lookups!$A$2:$D$10, 2, FALSE())</f>
        <v>NextGen Hardware</v>
      </c>
      <c r="R2280" t="str">
        <f>_xlfn.XLOOKUP(D2280, Lookups!$A$12:$A$51, Lookups!$C$12:$C$51, "Unknown")</f>
        <v>Electronics</v>
      </c>
      <c r="S2280" t="str">
        <f>IF(ISBLANK(I2280), B2280+VLOOKUP(C2280, Lookups!$A$2:$D$10, 4, FALSE()), I2280)</f>
        <v>2025-05-28</v>
      </c>
      <c r="T2280">
        <f t="shared" si="213"/>
        <v>25</v>
      </c>
      <c r="U2280" t="str">
        <f t="shared" si="214"/>
        <v>Late</v>
      </c>
      <c r="V2280">
        <f t="shared" si="215"/>
        <v>0</v>
      </c>
    </row>
    <row r="2281" spans="1:22" x14ac:dyDescent="0.45">
      <c r="A2281" t="s">
        <v>3135</v>
      </c>
      <c r="B2281" t="s">
        <v>186</v>
      </c>
      <c r="C2281" t="s">
        <v>30</v>
      </c>
      <c r="D2281" t="s">
        <v>82</v>
      </c>
      <c r="E2281" t="s">
        <v>16</v>
      </c>
      <c r="F2281">
        <v>192</v>
      </c>
      <c r="G2281">
        <v>83427</v>
      </c>
      <c r="H2281">
        <v>16017984</v>
      </c>
      <c r="I2281" t="s">
        <v>1331</v>
      </c>
      <c r="J2281" t="s">
        <v>396</v>
      </c>
      <c r="K2281">
        <v>192</v>
      </c>
      <c r="L2281">
        <v>20</v>
      </c>
      <c r="M2281" t="s">
        <v>115</v>
      </c>
      <c r="N2281" t="str">
        <f t="shared" si="210"/>
        <v>PO-102280</v>
      </c>
      <c r="O2281" t="str">
        <f t="shared" si="211"/>
        <v>Delivered</v>
      </c>
      <c r="P2281" t="str">
        <f t="shared" si="212"/>
        <v>WH-DEL</v>
      </c>
      <c r="Q2281" t="str">
        <f>VLOOKUP(C2281, Lookups!$A$2:$D$10, 2, FALSE())</f>
        <v>TechSupply Corp</v>
      </c>
      <c r="R2281" t="str">
        <f>_xlfn.XLOOKUP(D2281, Lookups!$A$12:$A$51, Lookups!$C$12:$C$51, "Unknown")</f>
        <v>Electronics</v>
      </c>
      <c r="S2281" t="str">
        <f>IF(ISBLANK(I2281), B2281+VLOOKUP(C2281, Lookups!$A$2:$D$10, 4, FALSE()), I2281)</f>
        <v>2025-03-14</v>
      </c>
      <c r="T2281">
        <f t="shared" si="213"/>
        <v>27</v>
      </c>
      <c r="U2281" t="str">
        <f t="shared" si="214"/>
        <v>Late</v>
      </c>
      <c r="V2281">
        <f t="shared" si="215"/>
        <v>0.10416666666666667</v>
      </c>
    </row>
    <row r="2282" spans="1:22" x14ac:dyDescent="0.45">
      <c r="A2282" t="s">
        <v>3136</v>
      </c>
      <c r="B2282" t="s">
        <v>155</v>
      </c>
      <c r="C2282" t="s">
        <v>32</v>
      </c>
      <c r="D2282" t="s">
        <v>67</v>
      </c>
      <c r="E2282" t="s">
        <v>15</v>
      </c>
      <c r="F2282">
        <v>73</v>
      </c>
      <c r="G2282">
        <v>1553</v>
      </c>
      <c r="H2282">
        <v>113369</v>
      </c>
      <c r="I2282" t="s">
        <v>1005</v>
      </c>
      <c r="J2282" t="s">
        <v>1005</v>
      </c>
      <c r="K2282">
        <v>73</v>
      </c>
      <c r="L2282">
        <v>0</v>
      </c>
      <c r="M2282" t="s">
        <v>115</v>
      </c>
      <c r="N2282" t="str">
        <f t="shared" si="210"/>
        <v>PO-102281</v>
      </c>
      <c r="O2282" t="str">
        <f t="shared" si="211"/>
        <v>Delivered</v>
      </c>
      <c r="P2282" t="str">
        <f t="shared" si="212"/>
        <v>WH-BOM</v>
      </c>
      <c r="Q2282" t="str">
        <f>VLOOKUP(C2282, Lookups!$A$2:$D$10, 2, FALSE())</f>
        <v>OfficeDepot Pro</v>
      </c>
      <c r="R2282" t="str">
        <f>_xlfn.XLOOKUP(D2282, Lookups!$A$12:$A$51, Lookups!$C$12:$C$51, "Unknown")</f>
        <v>Peripherals</v>
      </c>
      <c r="S2282" t="str">
        <f>IF(ISBLANK(I2282), B2282+VLOOKUP(C2282, Lookups!$A$2:$D$10, 4, FALSE()), I2282)</f>
        <v>2025-11-06</v>
      </c>
      <c r="T2282">
        <f t="shared" si="213"/>
        <v>7</v>
      </c>
      <c r="U2282" t="str">
        <f t="shared" si="214"/>
        <v>On-Time</v>
      </c>
      <c r="V2282">
        <f t="shared" si="215"/>
        <v>0</v>
      </c>
    </row>
    <row r="2283" spans="1:22" x14ac:dyDescent="0.45">
      <c r="A2283" t="s">
        <v>3137</v>
      </c>
      <c r="B2283" t="s">
        <v>1639</v>
      </c>
      <c r="C2283" t="s">
        <v>37</v>
      </c>
      <c r="D2283" t="s">
        <v>83</v>
      </c>
      <c r="E2283" t="s">
        <v>17</v>
      </c>
      <c r="F2283">
        <v>163</v>
      </c>
      <c r="G2283">
        <v>19850</v>
      </c>
      <c r="H2283">
        <v>3235550</v>
      </c>
      <c r="I2283" t="s">
        <v>1133</v>
      </c>
      <c r="J2283" t="s">
        <v>1133</v>
      </c>
      <c r="K2283">
        <v>163</v>
      </c>
      <c r="L2283">
        <v>0</v>
      </c>
      <c r="M2283" t="s">
        <v>115</v>
      </c>
      <c r="N2283" t="str">
        <f t="shared" si="210"/>
        <v>PO-102282</v>
      </c>
      <c r="O2283" t="str">
        <f t="shared" si="211"/>
        <v>Delivered</v>
      </c>
      <c r="P2283" t="str">
        <f t="shared" si="212"/>
        <v>WH-BLR</v>
      </c>
      <c r="Q2283" t="str">
        <f>VLOOKUP(C2283, Lookups!$A$2:$D$10, 2, FALSE())</f>
        <v>Premium Desks Ltd</v>
      </c>
      <c r="R2283" t="str">
        <f>_xlfn.XLOOKUP(D2283, Lookups!$A$12:$A$51, Lookups!$C$12:$C$51, "Unknown")</f>
        <v>Office Furniture</v>
      </c>
      <c r="S2283" t="str">
        <f>IF(ISBLANK(I2283), B2283+VLOOKUP(C2283, Lookups!$A$2:$D$10, 4, FALSE()), I2283)</f>
        <v>2025-07-04</v>
      </c>
      <c r="T2283">
        <f t="shared" si="213"/>
        <v>12</v>
      </c>
      <c r="U2283" t="str">
        <f t="shared" si="214"/>
        <v>On-Time</v>
      </c>
      <c r="V2283">
        <f t="shared" si="215"/>
        <v>0</v>
      </c>
    </row>
    <row r="2284" spans="1:22" x14ac:dyDescent="0.45">
      <c r="A2284" t="s">
        <v>3138</v>
      </c>
      <c r="B2284" t="s">
        <v>1104</v>
      </c>
      <c r="C2284" t="s">
        <v>32</v>
      </c>
      <c r="D2284" t="s">
        <v>84</v>
      </c>
      <c r="E2284" t="s">
        <v>17</v>
      </c>
      <c r="F2284">
        <v>85</v>
      </c>
      <c r="G2284">
        <v>7271</v>
      </c>
      <c r="H2284">
        <v>618035</v>
      </c>
      <c r="I2284" t="s">
        <v>598</v>
      </c>
      <c r="J2284" t="s">
        <v>784</v>
      </c>
      <c r="K2284">
        <v>85</v>
      </c>
      <c r="L2284">
        <v>0</v>
      </c>
      <c r="M2284" t="s">
        <v>115</v>
      </c>
      <c r="N2284" t="str">
        <f t="shared" si="210"/>
        <v>PO-102283</v>
      </c>
      <c r="O2284" t="str">
        <f t="shared" si="211"/>
        <v>Delivered</v>
      </c>
      <c r="P2284" t="str">
        <f t="shared" si="212"/>
        <v>WH-BLR</v>
      </c>
      <c r="Q2284" t="str">
        <f>VLOOKUP(C2284, Lookups!$A$2:$D$10, 2, FALSE())</f>
        <v>OfficeDepot Pro</v>
      </c>
      <c r="R2284" t="str">
        <f>_xlfn.XLOOKUP(D2284, Lookups!$A$12:$A$51, Lookups!$C$12:$C$51, "Unknown")</f>
        <v>Peripherals</v>
      </c>
      <c r="S2284" t="str">
        <f>IF(ISBLANK(I2284), B2284+VLOOKUP(C2284, Lookups!$A$2:$D$10, 4, FALSE()), I2284)</f>
        <v>2025-08-31</v>
      </c>
      <c r="T2284">
        <f t="shared" si="213"/>
        <v>19</v>
      </c>
      <c r="U2284" t="str">
        <f t="shared" si="214"/>
        <v>Late</v>
      </c>
      <c r="V2284">
        <f t="shared" si="215"/>
        <v>0</v>
      </c>
    </row>
    <row r="2285" spans="1:22" x14ac:dyDescent="0.45">
      <c r="A2285" t="s">
        <v>3139</v>
      </c>
      <c r="B2285" t="s">
        <v>359</v>
      </c>
      <c r="C2285" t="s">
        <v>34</v>
      </c>
      <c r="D2285" t="s">
        <v>74</v>
      </c>
      <c r="E2285" t="s">
        <v>17</v>
      </c>
      <c r="F2285">
        <v>63</v>
      </c>
      <c r="G2285">
        <v>94797</v>
      </c>
      <c r="H2285">
        <v>5972211</v>
      </c>
      <c r="I2285" t="s">
        <v>1767</v>
      </c>
      <c r="J2285" t="s">
        <v>705</v>
      </c>
      <c r="K2285">
        <v>63</v>
      </c>
      <c r="L2285">
        <v>0</v>
      </c>
      <c r="M2285" t="s">
        <v>166</v>
      </c>
      <c r="N2285" t="str">
        <f t="shared" si="210"/>
        <v>PO-102284</v>
      </c>
      <c r="O2285" t="str">
        <f t="shared" si="211"/>
        <v>Delivered</v>
      </c>
      <c r="P2285" t="str">
        <f t="shared" si="212"/>
        <v>WH-BLR</v>
      </c>
      <c r="Q2285" t="str">
        <f>VLOOKUP(C2285, Lookups!$A$2:$D$10, 2, FALSE())</f>
        <v>FastElectronics</v>
      </c>
      <c r="R2285" t="str">
        <f>_xlfn.XLOOKUP(D2285, Lookups!$A$12:$A$51, Lookups!$C$12:$C$51, "Unknown")</f>
        <v>Electronics</v>
      </c>
      <c r="S2285" t="str">
        <f>IF(ISBLANK(I2285), B2285+VLOOKUP(C2285, Lookups!$A$2:$D$10, 4, FALSE()), I2285)</f>
        <v>2026-02-25</v>
      </c>
      <c r="T2285">
        <f t="shared" si="213"/>
        <v>19</v>
      </c>
      <c r="U2285" t="str">
        <f t="shared" si="214"/>
        <v>Late</v>
      </c>
      <c r="V2285">
        <f t="shared" si="215"/>
        <v>0</v>
      </c>
    </row>
    <row r="2286" spans="1:22" x14ac:dyDescent="0.45">
      <c r="A2286" t="s">
        <v>3140</v>
      </c>
      <c r="B2286" t="s">
        <v>1263</v>
      </c>
      <c r="C2286" t="s">
        <v>31</v>
      </c>
      <c r="D2286" t="s">
        <v>85</v>
      </c>
      <c r="E2286" t="s">
        <v>15</v>
      </c>
      <c r="F2286">
        <v>58</v>
      </c>
      <c r="G2286">
        <v>16501</v>
      </c>
      <c r="H2286">
        <v>957058</v>
      </c>
      <c r="I2286" t="s">
        <v>358</v>
      </c>
      <c r="J2286" t="s">
        <v>508</v>
      </c>
      <c r="K2286">
        <v>58</v>
      </c>
      <c r="L2286">
        <v>0</v>
      </c>
      <c r="M2286" t="s">
        <v>115</v>
      </c>
      <c r="N2286" t="str">
        <f t="shared" si="210"/>
        <v>PO-102285</v>
      </c>
      <c r="O2286" t="str">
        <f t="shared" si="211"/>
        <v>Delivered</v>
      </c>
      <c r="P2286" t="str">
        <f t="shared" si="212"/>
        <v>WH-BOM</v>
      </c>
      <c r="Q2286" t="str">
        <f>VLOOKUP(C2286, Lookups!$A$2:$D$10, 2, FALSE())</f>
        <v>Global Networks</v>
      </c>
      <c r="R2286" t="str">
        <f>_xlfn.XLOOKUP(D2286, Lookups!$A$12:$A$51, Lookups!$C$12:$C$51, "Unknown")</f>
        <v>Networking</v>
      </c>
      <c r="S2286" t="str">
        <f>IF(ISBLANK(I2286), B2286+VLOOKUP(C2286, Lookups!$A$2:$D$10, 4, FALSE()), I2286)</f>
        <v>2026-01-21</v>
      </c>
      <c r="T2286">
        <f t="shared" si="213"/>
        <v>17</v>
      </c>
      <c r="U2286" t="str">
        <f t="shared" si="214"/>
        <v>On-Time</v>
      </c>
      <c r="V2286">
        <f t="shared" si="215"/>
        <v>0</v>
      </c>
    </row>
    <row r="2287" spans="1:22" x14ac:dyDescent="0.45">
      <c r="A2287" t="s">
        <v>3141</v>
      </c>
      <c r="B2287" t="s">
        <v>911</v>
      </c>
      <c r="C2287" t="s">
        <v>35</v>
      </c>
      <c r="D2287" t="s">
        <v>70</v>
      </c>
      <c r="E2287" t="s">
        <v>18</v>
      </c>
      <c r="F2287">
        <v>177</v>
      </c>
      <c r="G2287">
        <v>4287</v>
      </c>
      <c r="H2287">
        <v>758799</v>
      </c>
      <c r="I2287" t="s">
        <v>1454</v>
      </c>
      <c r="J2287" t="s">
        <v>1454</v>
      </c>
      <c r="K2287">
        <v>177</v>
      </c>
      <c r="L2287">
        <v>11</v>
      </c>
      <c r="M2287" t="s">
        <v>115</v>
      </c>
      <c r="N2287" t="str">
        <f t="shared" si="210"/>
        <v>PO-102286</v>
      </c>
      <c r="O2287" t="str">
        <f t="shared" si="211"/>
        <v>Delivered</v>
      </c>
      <c r="P2287" t="str">
        <f t="shared" si="212"/>
        <v>WH-PUN</v>
      </c>
      <c r="Q2287" t="str">
        <f>VLOOKUP(C2287, Lookups!$A$2:$D$10, 2, FALSE())</f>
        <v>Peripheral Source</v>
      </c>
      <c r="R2287" t="str">
        <f>_xlfn.XLOOKUP(D2287, Lookups!$A$12:$A$51, Lookups!$C$12:$C$51, "Unknown")</f>
        <v>Peripherals</v>
      </c>
      <c r="S2287" t="str">
        <f>IF(ISBLANK(I2287), B2287+VLOOKUP(C2287, Lookups!$A$2:$D$10, 4, FALSE()), I2287)</f>
        <v>2025-04-19</v>
      </c>
      <c r="T2287">
        <f t="shared" si="213"/>
        <v>10</v>
      </c>
      <c r="U2287" t="str">
        <f t="shared" si="214"/>
        <v>On-Time</v>
      </c>
      <c r="V2287">
        <f t="shared" si="215"/>
        <v>6.2146892655367235E-2</v>
      </c>
    </row>
    <row r="2288" spans="1:22" x14ac:dyDescent="0.45">
      <c r="A2288" t="s">
        <v>3142</v>
      </c>
      <c r="B2288" t="s">
        <v>941</v>
      </c>
      <c r="C2288" t="s">
        <v>34</v>
      </c>
      <c r="D2288" t="s">
        <v>73</v>
      </c>
      <c r="E2288" t="s">
        <v>15</v>
      </c>
      <c r="F2288">
        <v>203</v>
      </c>
      <c r="G2288">
        <v>58396</v>
      </c>
      <c r="H2288">
        <v>11854388</v>
      </c>
      <c r="I2288" t="s">
        <v>259</v>
      </c>
      <c r="J2288" t="s">
        <v>711</v>
      </c>
      <c r="K2288">
        <v>203</v>
      </c>
      <c r="L2288">
        <v>0</v>
      </c>
      <c r="M2288" t="s">
        <v>115</v>
      </c>
      <c r="N2288" t="str">
        <f t="shared" si="210"/>
        <v>PO-102287</v>
      </c>
      <c r="O2288" t="str">
        <f t="shared" si="211"/>
        <v>Delivered</v>
      </c>
      <c r="P2288" t="str">
        <f t="shared" si="212"/>
        <v>WH-BOM</v>
      </c>
      <c r="Q2288" t="str">
        <f>VLOOKUP(C2288, Lookups!$A$2:$D$10, 2, FALSE())</f>
        <v>FastElectronics</v>
      </c>
      <c r="R2288" t="str">
        <f>_xlfn.XLOOKUP(D2288, Lookups!$A$12:$A$51, Lookups!$C$12:$C$51, "Unknown")</f>
        <v>Electronics</v>
      </c>
      <c r="S2288" t="str">
        <f>IF(ISBLANK(I2288), B2288+VLOOKUP(C2288, Lookups!$A$2:$D$10, 4, FALSE()), I2288)</f>
        <v>2025-02-08</v>
      </c>
      <c r="T2288">
        <f t="shared" si="213"/>
        <v>19</v>
      </c>
      <c r="U2288" t="str">
        <f t="shared" si="214"/>
        <v>Late</v>
      </c>
      <c r="V2288">
        <f t="shared" si="215"/>
        <v>0</v>
      </c>
    </row>
    <row r="2289" spans="1:22" x14ac:dyDescent="0.45">
      <c r="A2289" t="s">
        <v>3143</v>
      </c>
      <c r="B2289" t="s">
        <v>607</v>
      </c>
      <c r="C2289" t="s">
        <v>35</v>
      </c>
      <c r="D2289" t="s">
        <v>72</v>
      </c>
      <c r="E2289" t="s">
        <v>15</v>
      </c>
      <c r="F2289">
        <v>152</v>
      </c>
      <c r="G2289">
        <v>7754</v>
      </c>
      <c r="H2289">
        <v>1178608</v>
      </c>
      <c r="I2289" t="s">
        <v>259</v>
      </c>
      <c r="J2289" t="s">
        <v>438</v>
      </c>
      <c r="K2289">
        <v>152</v>
      </c>
      <c r="L2289">
        <v>0</v>
      </c>
      <c r="M2289" t="s">
        <v>115</v>
      </c>
      <c r="N2289" t="str">
        <f t="shared" si="210"/>
        <v>PO-102288</v>
      </c>
      <c r="O2289" t="str">
        <f t="shared" si="211"/>
        <v>Delivered</v>
      </c>
      <c r="P2289" t="str">
        <f t="shared" si="212"/>
        <v>WH-BOM</v>
      </c>
      <c r="Q2289" t="str">
        <f>VLOOKUP(C2289, Lookups!$A$2:$D$10, 2, FALSE())</f>
        <v>Peripheral Source</v>
      </c>
      <c r="R2289" t="str">
        <f>_xlfn.XLOOKUP(D2289, Lookups!$A$12:$A$51, Lookups!$C$12:$C$51, "Unknown")</f>
        <v>Peripherals</v>
      </c>
      <c r="S2289" t="str">
        <f>IF(ISBLANK(I2289), B2289+VLOOKUP(C2289, Lookups!$A$2:$D$10, 4, FALSE()), I2289)</f>
        <v>2025-02-08</v>
      </c>
      <c r="T2289">
        <f t="shared" si="213"/>
        <v>15</v>
      </c>
      <c r="U2289" t="str">
        <f t="shared" si="214"/>
        <v>Late</v>
      </c>
      <c r="V2289">
        <f t="shared" si="215"/>
        <v>0</v>
      </c>
    </row>
    <row r="2290" spans="1:22" x14ac:dyDescent="0.45">
      <c r="A2290" t="s">
        <v>3144</v>
      </c>
      <c r="B2290" t="s">
        <v>286</v>
      </c>
      <c r="C2290" t="s">
        <v>35</v>
      </c>
      <c r="D2290" t="s">
        <v>91</v>
      </c>
      <c r="E2290" t="s">
        <v>245</v>
      </c>
      <c r="F2290">
        <v>133</v>
      </c>
      <c r="G2290">
        <v>6707</v>
      </c>
      <c r="H2290">
        <v>892031</v>
      </c>
      <c r="I2290" t="s">
        <v>1345</v>
      </c>
      <c r="J2290" t="s">
        <v>595</v>
      </c>
      <c r="K2290">
        <v>133</v>
      </c>
      <c r="L2290">
        <v>0</v>
      </c>
      <c r="M2290" t="s">
        <v>115</v>
      </c>
      <c r="N2290" t="str">
        <f t="shared" si="210"/>
        <v>PO-102289</v>
      </c>
      <c r="O2290" t="str">
        <f t="shared" si="211"/>
        <v>Delivered</v>
      </c>
      <c r="P2290" t="str">
        <f t="shared" si="212"/>
        <v>WH-BOM</v>
      </c>
      <c r="Q2290" t="str">
        <f>VLOOKUP(C2290, Lookups!$A$2:$D$10, 2, FALSE())</f>
        <v>Peripheral Source</v>
      </c>
      <c r="R2290" t="str">
        <f>_xlfn.XLOOKUP(D2290, Lookups!$A$12:$A$51, Lookups!$C$12:$C$51, "Unknown")</f>
        <v>Peripherals</v>
      </c>
      <c r="S2290" t="str">
        <f>IF(ISBLANK(I2290), B2290+VLOOKUP(C2290, Lookups!$A$2:$D$10, 4, FALSE()), I2290)</f>
        <v>2025-03-12</v>
      </c>
      <c r="T2290">
        <f t="shared" si="213"/>
        <v>11</v>
      </c>
      <c r="U2290" t="str">
        <f t="shared" si="214"/>
        <v>Late</v>
      </c>
      <c r="V2290">
        <f t="shared" si="215"/>
        <v>0</v>
      </c>
    </row>
    <row r="2291" spans="1:22" x14ac:dyDescent="0.45">
      <c r="A2291" t="s">
        <v>3145</v>
      </c>
      <c r="B2291" t="s">
        <v>1740</v>
      </c>
      <c r="C2291" t="s">
        <v>34</v>
      </c>
      <c r="D2291" t="s">
        <v>58</v>
      </c>
      <c r="E2291" t="s">
        <v>15</v>
      </c>
      <c r="F2291">
        <v>130</v>
      </c>
      <c r="G2291">
        <v>100302</v>
      </c>
      <c r="H2291">
        <v>13039260</v>
      </c>
      <c r="I2291" t="s">
        <v>348</v>
      </c>
      <c r="J2291" t="s">
        <v>520</v>
      </c>
      <c r="K2291">
        <v>130</v>
      </c>
      <c r="L2291">
        <v>7</v>
      </c>
      <c r="M2291" t="s">
        <v>115</v>
      </c>
      <c r="N2291" t="str">
        <f t="shared" si="210"/>
        <v>PO-102290</v>
      </c>
      <c r="O2291" t="str">
        <f t="shared" si="211"/>
        <v>Delivered</v>
      </c>
      <c r="P2291" t="str">
        <f t="shared" si="212"/>
        <v>WH-BOM</v>
      </c>
      <c r="Q2291" t="str">
        <f>VLOOKUP(C2291, Lookups!$A$2:$D$10, 2, FALSE())</f>
        <v>FastElectronics</v>
      </c>
      <c r="R2291" t="str">
        <f>_xlfn.XLOOKUP(D2291, Lookups!$A$12:$A$51, Lookups!$C$12:$C$51, "Unknown")</f>
        <v>Electronics</v>
      </c>
      <c r="S2291" t="str">
        <f>IF(ISBLANK(I2291), B2291+VLOOKUP(C2291, Lookups!$A$2:$D$10, 4, FALSE()), I2291)</f>
        <v>2026-08-23</v>
      </c>
      <c r="T2291">
        <f t="shared" si="213"/>
        <v>24</v>
      </c>
      <c r="U2291" t="str">
        <f t="shared" si="214"/>
        <v>Late</v>
      </c>
      <c r="V2291">
        <f t="shared" si="215"/>
        <v>5.3846153846153849E-2</v>
      </c>
    </row>
    <row r="2292" spans="1:22" x14ac:dyDescent="0.45">
      <c r="A2292" t="s">
        <v>3146</v>
      </c>
      <c r="B2292" t="s">
        <v>1475</v>
      </c>
      <c r="C2292" t="s">
        <v>34</v>
      </c>
      <c r="D2292" t="s">
        <v>74</v>
      </c>
      <c r="E2292" t="s">
        <v>18</v>
      </c>
      <c r="F2292">
        <v>145</v>
      </c>
      <c r="G2292">
        <v>94797</v>
      </c>
      <c r="H2292">
        <v>13745565</v>
      </c>
      <c r="I2292" t="s">
        <v>146</v>
      </c>
      <c r="J2292" t="s">
        <v>460</v>
      </c>
      <c r="K2292">
        <v>145</v>
      </c>
      <c r="L2292">
        <v>0</v>
      </c>
      <c r="M2292" t="s">
        <v>115</v>
      </c>
      <c r="N2292" t="str">
        <f t="shared" si="210"/>
        <v>PO-102291</v>
      </c>
      <c r="O2292" t="str">
        <f t="shared" si="211"/>
        <v>Delivered</v>
      </c>
      <c r="P2292" t="str">
        <f t="shared" si="212"/>
        <v>WH-PUN</v>
      </c>
      <c r="Q2292" t="str">
        <f>VLOOKUP(C2292, Lookups!$A$2:$D$10, 2, FALSE())</f>
        <v>FastElectronics</v>
      </c>
      <c r="R2292" t="str">
        <f>_xlfn.XLOOKUP(D2292, Lookups!$A$12:$A$51, Lookups!$C$12:$C$51, "Unknown")</f>
        <v>Electronics</v>
      </c>
      <c r="S2292" t="str">
        <f>IF(ISBLANK(I2292), B2292+VLOOKUP(C2292, Lookups!$A$2:$D$10, 4, FALSE()), I2292)</f>
        <v>2025-10-08</v>
      </c>
      <c r="T2292">
        <f t="shared" si="213"/>
        <v>19</v>
      </c>
      <c r="U2292" t="str">
        <f t="shared" si="214"/>
        <v>Late</v>
      </c>
      <c r="V2292">
        <f t="shared" si="215"/>
        <v>0</v>
      </c>
    </row>
    <row r="2293" spans="1:22" x14ac:dyDescent="0.45">
      <c r="A2293" t="s">
        <v>3147</v>
      </c>
      <c r="B2293" t="s">
        <v>2813</v>
      </c>
      <c r="C2293" t="s">
        <v>37</v>
      </c>
      <c r="D2293" t="s">
        <v>83</v>
      </c>
      <c r="E2293" t="s">
        <v>16</v>
      </c>
      <c r="F2293">
        <v>132</v>
      </c>
      <c r="G2293">
        <v>19850</v>
      </c>
      <c r="H2293">
        <v>2620200</v>
      </c>
      <c r="I2293" t="s">
        <v>1770</v>
      </c>
      <c r="J2293" t="s">
        <v>447</v>
      </c>
      <c r="K2293">
        <v>132</v>
      </c>
      <c r="L2293">
        <v>0</v>
      </c>
      <c r="M2293" t="s">
        <v>115</v>
      </c>
      <c r="N2293" t="str">
        <f t="shared" si="210"/>
        <v>PO-102292</v>
      </c>
      <c r="O2293" t="str">
        <f t="shared" si="211"/>
        <v>Delivered</v>
      </c>
      <c r="P2293" t="str">
        <f t="shared" si="212"/>
        <v>WH-DEL</v>
      </c>
      <c r="Q2293" t="str">
        <f>VLOOKUP(C2293, Lookups!$A$2:$D$10, 2, FALSE())</f>
        <v>Premium Desks Ltd</v>
      </c>
      <c r="R2293" t="str">
        <f>_xlfn.XLOOKUP(D2293, Lookups!$A$12:$A$51, Lookups!$C$12:$C$51, "Unknown")</f>
        <v>Office Furniture</v>
      </c>
      <c r="S2293" t="str">
        <f>IF(ISBLANK(I2293), B2293+VLOOKUP(C2293, Lookups!$A$2:$D$10, 4, FALSE()), I2293)</f>
        <v>2025-12-16</v>
      </c>
      <c r="T2293">
        <f t="shared" si="213"/>
        <v>13</v>
      </c>
      <c r="U2293" t="str">
        <f t="shared" si="214"/>
        <v>Late</v>
      </c>
      <c r="V2293">
        <f t="shared" si="215"/>
        <v>0</v>
      </c>
    </row>
    <row r="2294" spans="1:22" x14ac:dyDescent="0.45">
      <c r="A2294" t="s">
        <v>3148</v>
      </c>
      <c r="B2294" t="s">
        <v>667</v>
      </c>
      <c r="C2294" t="s">
        <v>34</v>
      </c>
      <c r="D2294" t="s">
        <v>80</v>
      </c>
      <c r="E2294" t="s">
        <v>16</v>
      </c>
      <c r="F2294">
        <v>66</v>
      </c>
      <c r="G2294">
        <v>19090</v>
      </c>
      <c r="H2294">
        <v>1259940</v>
      </c>
      <c r="I2294" t="s">
        <v>668</v>
      </c>
      <c r="J2294" t="s">
        <v>668</v>
      </c>
      <c r="K2294">
        <v>66</v>
      </c>
      <c r="L2294">
        <v>0</v>
      </c>
      <c r="M2294" t="s">
        <v>115</v>
      </c>
      <c r="N2294" t="str">
        <f t="shared" si="210"/>
        <v>PO-102293</v>
      </c>
      <c r="O2294" t="str">
        <f t="shared" si="211"/>
        <v>Delivered</v>
      </c>
      <c r="P2294" t="str">
        <f t="shared" si="212"/>
        <v>WH-DEL</v>
      </c>
      <c r="Q2294" t="str">
        <f>VLOOKUP(C2294, Lookups!$A$2:$D$10, 2, FALSE())</f>
        <v>FastElectronics</v>
      </c>
      <c r="R2294" t="str">
        <f>_xlfn.XLOOKUP(D2294, Lookups!$A$12:$A$51, Lookups!$C$12:$C$51, "Unknown")</f>
        <v>Networking</v>
      </c>
      <c r="S2294" t="str">
        <f>IF(ISBLANK(I2294), B2294+VLOOKUP(C2294, Lookups!$A$2:$D$10, 4, FALSE()), I2294)</f>
        <v>2025-01-24</v>
      </c>
      <c r="T2294">
        <f t="shared" si="213"/>
        <v>18</v>
      </c>
      <c r="U2294" t="str">
        <f t="shared" si="214"/>
        <v>On-Time</v>
      </c>
      <c r="V2294">
        <f t="shared" si="215"/>
        <v>0</v>
      </c>
    </row>
    <row r="2295" spans="1:22" x14ac:dyDescent="0.45">
      <c r="A2295" t="s">
        <v>3149</v>
      </c>
      <c r="B2295" t="s">
        <v>1003</v>
      </c>
      <c r="C2295" t="s">
        <v>34</v>
      </c>
      <c r="D2295" t="s">
        <v>68</v>
      </c>
      <c r="E2295" t="s">
        <v>15</v>
      </c>
      <c r="F2295">
        <v>47</v>
      </c>
      <c r="G2295">
        <v>41405</v>
      </c>
      <c r="H2295">
        <v>1946035</v>
      </c>
      <c r="I2295" t="s">
        <v>798</v>
      </c>
      <c r="J2295" t="s">
        <v>1459</v>
      </c>
      <c r="K2295">
        <v>47</v>
      </c>
      <c r="L2295">
        <v>0</v>
      </c>
      <c r="M2295" t="s">
        <v>115</v>
      </c>
      <c r="N2295" t="str">
        <f t="shared" si="210"/>
        <v>PO-102294</v>
      </c>
      <c r="O2295" t="str">
        <f t="shared" si="211"/>
        <v>Delivered</v>
      </c>
      <c r="P2295" t="str">
        <f t="shared" si="212"/>
        <v>WH-BOM</v>
      </c>
      <c r="Q2295" t="str">
        <f>VLOOKUP(C2295, Lookups!$A$2:$D$10, 2, FALSE())</f>
        <v>FastElectronics</v>
      </c>
      <c r="R2295" t="str">
        <f>_xlfn.XLOOKUP(D2295, Lookups!$A$12:$A$51, Lookups!$C$12:$C$51, "Unknown")</f>
        <v>Networking</v>
      </c>
      <c r="S2295" t="str">
        <f>IF(ISBLANK(I2295), B2295+VLOOKUP(C2295, Lookups!$A$2:$D$10, 4, FALSE()), I2295)</f>
        <v>2026-05-15</v>
      </c>
      <c r="T2295">
        <f t="shared" si="213"/>
        <v>21</v>
      </c>
      <c r="U2295" t="str">
        <f t="shared" si="214"/>
        <v>Late</v>
      </c>
      <c r="V2295">
        <f t="shared" si="215"/>
        <v>0</v>
      </c>
    </row>
    <row r="2296" spans="1:22" x14ac:dyDescent="0.45">
      <c r="A2296" t="s">
        <v>3150</v>
      </c>
      <c r="B2296" t="s">
        <v>391</v>
      </c>
      <c r="C2296" t="s">
        <v>36</v>
      </c>
      <c r="D2296" t="s">
        <v>90</v>
      </c>
      <c r="E2296" t="s">
        <v>16</v>
      </c>
      <c r="F2296">
        <v>138</v>
      </c>
      <c r="G2296">
        <v>81434</v>
      </c>
      <c r="H2296">
        <v>11237892</v>
      </c>
      <c r="I2296" t="s">
        <v>623</v>
      </c>
      <c r="J2296" t="s">
        <v>289</v>
      </c>
      <c r="K2296">
        <v>138</v>
      </c>
      <c r="L2296">
        <v>0</v>
      </c>
      <c r="M2296" t="s">
        <v>115</v>
      </c>
      <c r="N2296" t="str">
        <f t="shared" si="210"/>
        <v>PO-102295</v>
      </c>
      <c r="O2296" t="str">
        <f t="shared" si="211"/>
        <v>Delivered</v>
      </c>
      <c r="P2296" t="str">
        <f t="shared" si="212"/>
        <v>WH-DEL</v>
      </c>
      <c r="Q2296" t="str">
        <f>VLOOKUP(C2296, Lookups!$A$2:$D$10, 2, FALSE())</f>
        <v>NextGen Hardware</v>
      </c>
      <c r="R2296" t="str">
        <f>_xlfn.XLOOKUP(D2296, Lookups!$A$12:$A$51, Lookups!$C$12:$C$51, "Unknown")</f>
        <v>Electronics</v>
      </c>
      <c r="S2296" t="str">
        <f>IF(ISBLANK(I2296), B2296+VLOOKUP(C2296, Lookups!$A$2:$D$10, 4, FALSE()), I2296)</f>
        <v>2026-07-08</v>
      </c>
      <c r="T2296">
        <f t="shared" si="213"/>
        <v>25</v>
      </c>
      <c r="U2296" t="str">
        <f t="shared" si="214"/>
        <v>Late</v>
      </c>
      <c r="V2296">
        <f t="shared" si="215"/>
        <v>0</v>
      </c>
    </row>
    <row r="2297" spans="1:22" x14ac:dyDescent="0.45">
      <c r="A2297" t="s">
        <v>3151</v>
      </c>
      <c r="B2297" t="s">
        <v>908</v>
      </c>
      <c r="C2297" t="s">
        <v>33</v>
      </c>
      <c r="D2297" t="s">
        <v>89</v>
      </c>
      <c r="E2297" t="s">
        <v>17</v>
      </c>
      <c r="F2297">
        <v>11</v>
      </c>
      <c r="G2297">
        <v>11309</v>
      </c>
      <c r="H2297">
        <v>124399</v>
      </c>
      <c r="I2297" t="s">
        <v>225</v>
      </c>
      <c r="J2297" t="s">
        <v>225</v>
      </c>
      <c r="K2297">
        <v>11</v>
      </c>
      <c r="L2297">
        <v>0</v>
      </c>
      <c r="M2297" t="s">
        <v>115</v>
      </c>
      <c r="N2297" t="str">
        <f t="shared" si="210"/>
        <v>PO-102296</v>
      </c>
      <c r="O2297" t="str">
        <f t="shared" si="211"/>
        <v>Delivered</v>
      </c>
      <c r="P2297" t="str">
        <f t="shared" si="212"/>
        <v>WH-BLR</v>
      </c>
      <c r="Q2297" t="str">
        <f>VLOOKUP(C2297, Lookups!$A$2:$D$10, 2, FALSE())</f>
        <v>MegaFurnish</v>
      </c>
      <c r="R2297" t="str">
        <f>_xlfn.XLOOKUP(D2297, Lookups!$A$12:$A$51, Lookups!$C$12:$C$51, "Unknown")</f>
        <v>Office Furniture</v>
      </c>
      <c r="S2297" t="str">
        <f>IF(ISBLANK(I2297), B2297+VLOOKUP(C2297, Lookups!$A$2:$D$10, 4, FALSE()), I2297)</f>
        <v>2026-07-31</v>
      </c>
      <c r="T2297">
        <f t="shared" si="213"/>
        <v>30</v>
      </c>
      <c r="U2297" t="str">
        <f t="shared" si="214"/>
        <v>On-Time</v>
      </c>
      <c r="V2297">
        <f t="shared" si="215"/>
        <v>0</v>
      </c>
    </row>
    <row r="2298" spans="1:22" x14ac:dyDescent="0.45">
      <c r="A2298" t="s">
        <v>3152</v>
      </c>
      <c r="B2298" t="s">
        <v>257</v>
      </c>
      <c r="C2298" t="s">
        <v>35</v>
      </c>
      <c r="D2298" t="s">
        <v>60</v>
      </c>
      <c r="E2298" t="s">
        <v>532</v>
      </c>
      <c r="F2298">
        <v>165</v>
      </c>
      <c r="G2298">
        <v>3291</v>
      </c>
      <c r="H2298">
        <v>543015</v>
      </c>
      <c r="I2298" t="s">
        <v>607</v>
      </c>
      <c r="J2298" t="s">
        <v>1051</v>
      </c>
      <c r="K2298">
        <v>165</v>
      </c>
      <c r="L2298">
        <v>0</v>
      </c>
      <c r="M2298" t="s">
        <v>115</v>
      </c>
      <c r="N2298" t="str">
        <f t="shared" si="210"/>
        <v>PO-102297</v>
      </c>
      <c r="O2298" t="str">
        <f t="shared" si="211"/>
        <v>Delivered</v>
      </c>
      <c r="P2298" t="str">
        <f t="shared" si="212"/>
        <v>WH-PUN</v>
      </c>
      <c r="Q2298" t="str">
        <f>VLOOKUP(C2298, Lookups!$A$2:$D$10, 2, FALSE())</f>
        <v>Peripheral Source</v>
      </c>
      <c r="R2298" t="str">
        <f>_xlfn.XLOOKUP(D2298, Lookups!$A$12:$A$51, Lookups!$C$12:$C$51, "Unknown")</f>
        <v>Peripherals</v>
      </c>
      <c r="S2298" t="str">
        <f>IF(ISBLANK(I2298), B2298+VLOOKUP(C2298, Lookups!$A$2:$D$10, 4, FALSE()), I2298)</f>
        <v>2025-01-29</v>
      </c>
      <c r="T2298">
        <f t="shared" si="213"/>
        <v>11</v>
      </c>
      <c r="U2298" t="str">
        <f t="shared" si="214"/>
        <v>Late</v>
      </c>
      <c r="V2298">
        <f t="shared" si="215"/>
        <v>0</v>
      </c>
    </row>
    <row r="2299" spans="1:22" x14ac:dyDescent="0.45">
      <c r="A2299" t="s">
        <v>3153</v>
      </c>
      <c r="B2299" t="s">
        <v>1451</v>
      </c>
      <c r="C2299" t="s">
        <v>37</v>
      </c>
      <c r="D2299" t="s">
        <v>79</v>
      </c>
      <c r="E2299" t="s">
        <v>18</v>
      </c>
      <c r="F2299">
        <v>153</v>
      </c>
      <c r="G2299">
        <v>23054</v>
      </c>
      <c r="H2299">
        <v>3527262</v>
      </c>
      <c r="I2299" t="s">
        <v>993</v>
      </c>
      <c r="J2299" t="s">
        <v>993</v>
      </c>
      <c r="K2299">
        <v>153</v>
      </c>
      <c r="L2299">
        <v>0</v>
      </c>
      <c r="M2299" t="s">
        <v>115</v>
      </c>
      <c r="N2299" t="str">
        <f t="shared" si="210"/>
        <v>PO-102298</v>
      </c>
      <c r="O2299" t="str">
        <f t="shared" si="211"/>
        <v>Delivered</v>
      </c>
      <c r="P2299" t="str">
        <f t="shared" si="212"/>
        <v>WH-PUN</v>
      </c>
      <c r="Q2299" t="str">
        <f>VLOOKUP(C2299, Lookups!$A$2:$D$10, 2, FALSE())</f>
        <v>Premium Desks Ltd</v>
      </c>
      <c r="R2299" t="str">
        <f>_xlfn.XLOOKUP(D2299, Lookups!$A$12:$A$51, Lookups!$C$12:$C$51, "Unknown")</f>
        <v>Office Furniture</v>
      </c>
      <c r="S2299" t="str">
        <f>IF(ISBLANK(I2299), B2299+VLOOKUP(C2299, Lookups!$A$2:$D$10, 4, FALSE()), I2299)</f>
        <v>2025-05-28</v>
      </c>
      <c r="T2299">
        <f t="shared" si="213"/>
        <v>12</v>
      </c>
      <c r="U2299" t="str">
        <f t="shared" si="214"/>
        <v>On-Time</v>
      </c>
      <c r="V2299">
        <f t="shared" si="215"/>
        <v>0</v>
      </c>
    </row>
    <row r="2300" spans="1:22" x14ac:dyDescent="0.45">
      <c r="A2300" t="s">
        <v>3154</v>
      </c>
      <c r="B2300" t="s">
        <v>935</v>
      </c>
      <c r="C2300" t="s">
        <v>31</v>
      </c>
      <c r="D2300" t="s">
        <v>64</v>
      </c>
      <c r="E2300" t="s">
        <v>18</v>
      </c>
      <c r="F2300">
        <v>130</v>
      </c>
      <c r="G2300">
        <v>36295</v>
      </c>
      <c r="H2300">
        <v>4718350</v>
      </c>
      <c r="I2300" t="s">
        <v>323</v>
      </c>
      <c r="J2300" t="s">
        <v>338</v>
      </c>
      <c r="K2300">
        <v>130</v>
      </c>
      <c r="L2300">
        <v>0</v>
      </c>
      <c r="M2300" t="s">
        <v>115</v>
      </c>
      <c r="N2300" t="str">
        <f t="shared" si="210"/>
        <v>PO-102299</v>
      </c>
      <c r="O2300" t="str">
        <f t="shared" si="211"/>
        <v>Delivered</v>
      </c>
      <c r="P2300" t="str">
        <f t="shared" si="212"/>
        <v>WH-PUN</v>
      </c>
      <c r="Q2300" t="str">
        <f>VLOOKUP(C2300, Lookups!$A$2:$D$10, 2, FALSE())</f>
        <v>Global Networks</v>
      </c>
      <c r="R2300" t="str">
        <f>_xlfn.XLOOKUP(D2300, Lookups!$A$12:$A$51, Lookups!$C$12:$C$51, "Unknown")</f>
        <v>Networking</v>
      </c>
      <c r="S2300" t="str">
        <f>IF(ISBLANK(I2300), B2300+VLOOKUP(C2300, Lookups!$A$2:$D$10, 4, FALSE()), I2300)</f>
        <v>2026-04-04</v>
      </c>
      <c r="T2300">
        <f t="shared" si="213"/>
        <v>22</v>
      </c>
      <c r="U2300" t="str">
        <f t="shared" si="214"/>
        <v>Late</v>
      </c>
      <c r="V2300">
        <f t="shared" si="215"/>
        <v>0</v>
      </c>
    </row>
    <row r="2301" spans="1:22" x14ac:dyDescent="0.45">
      <c r="A2301" t="s">
        <v>3155</v>
      </c>
      <c r="B2301" t="s">
        <v>281</v>
      </c>
      <c r="C2301" t="s">
        <v>36</v>
      </c>
      <c r="D2301" t="s">
        <v>87</v>
      </c>
      <c r="E2301" t="s">
        <v>15</v>
      </c>
      <c r="F2301">
        <v>73</v>
      </c>
      <c r="G2301">
        <v>82930</v>
      </c>
      <c r="H2301">
        <v>6053890</v>
      </c>
      <c r="I2301" t="s">
        <v>674</v>
      </c>
      <c r="J2301" t="s">
        <v>737</v>
      </c>
      <c r="K2301">
        <v>73</v>
      </c>
      <c r="L2301">
        <v>0</v>
      </c>
      <c r="M2301" t="s">
        <v>115</v>
      </c>
      <c r="N2301" t="str">
        <f t="shared" si="210"/>
        <v>PO-102300</v>
      </c>
      <c r="O2301" t="str">
        <f t="shared" si="211"/>
        <v>Delivered</v>
      </c>
      <c r="P2301" t="str">
        <f t="shared" si="212"/>
        <v>WH-BOM</v>
      </c>
      <c r="Q2301" t="str">
        <f>VLOOKUP(C2301, Lookups!$A$2:$D$10, 2, FALSE())</f>
        <v>NextGen Hardware</v>
      </c>
      <c r="R2301" t="str">
        <f>_xlfn.XLOOKUP(D2301, Lookups!$A$12:$A$51, Lookups!$C$12:$C$51, "Unknown")</f>
        <v>Electronics</v>
      </c>
      <c r="S2301" t="str">
        <f>IF(ISBLANK(I2301), B2301+VLOOKUP(C2301, Lookups!$A$2:$D$10, 4, FALSE()), I2301)</f>
        <v>2026-11-19</v>
      </c>
      <c r="T2301">
        <f t="shared" si="213"/>
        <v>25</v>
      </c>
      <c r="U2301" t="str">
        <f t="shared" si="214"/>
        <v>Late</v>
      </c>
      <c r="V2301">
        <f t="shared" si="215"/>
        <v>0</v>
      </c>
    </row>
    <row r="2302" spans="1:22" x14ac:dyDescent="0.45">
      <c r="A2302" t="s">
        <v>3156</v>
      </c>
      <c r="B2302" t="s">
        <v>795</v>
      </c>
      <c r="C2302" t="s">
        <v>32</v>
      </c>
      <c r="D2302" t="s">
        <v>84</v>
      </c>
      <c r="E2302" t="s">
        <v>16</v>
      </c>
      <c r="F2302">
        <v>203</v>
      </c>
      <c r="G2302">
        <v>7271</v>
      </c>
      <c r="H2302">
        <v>1476013</v>
      </c>
      <c r="I2302" t="s">
        <v>976</v>
      </c>
      <c r="J2302" t="s">
        <v>976</v>
      </c>
      <c r="K2302">
        <v>203</v>
      </c>
      <c r="L2302">
        <v>0</v>
      </c>
      <c r="M2302" t="s">
        <v>115</v>
      </c>
      <c r="N2302" t="str">
        <f t="shared" si="210"/>
        <v>PO-102301</v>
      </c>
      <c r="O2302" t="str">
        <f t="shared" si="211"/>
        <v>Delivered</v>
      </c>
      <c r="P2302" t="str">
        <f t="shared" si="212"/>
        <v>WH-DEL</v>
      </c>
      <c r="Q2302" t="str">
        <f>VLOOKUP(C2302, Lookups!$A$2:$D$10, 2, FALSE())</f>
        <v>OfficeDepot Pro</v>
      </c>
      <c r="R2302" t="str">
        <f>_xlfn.XLOOKUP(D2302, Lookups!$A$12:$A$51, Lookups!$C$12:$C$51, "Unknown")</f>
        <v>Peripherals</v>
      </c>
      <c r="S2302" t="str">
        <f>IF(ISBLANK(I2302), B2302+VLOOKUP(C2302, Lookups!$A$2:$D$10, 4, FALSE()), I2302)</f>
        <v>2026-09-24</v>
      </c>
      <c r="T2302">
        <f t="shared" si="213"/>
        <v>7</v>
      </c>
      <c r="U2302" t="str">
        <f t="shared" si="214"/>
        <v>On-Time</v>
      </c>
      <c r="V2302">
        <f t="shared" si="215"/>
        <v>0</v>
      </c>
    </row>
    <row r="2303" spans="1:22" x14ac:dyDescent="0.45">
      <c r="A2303" t="s">
        <v>3157</v>
      </c>
      <c r="B2303" t="s">
        <v>773</v>
      </c>
      <c r="C2303" t="s">
        <v>32</v>
      </c>
      <c r="D2303" t="s">
        <v>67</v>
      </c>
      <c r="E2303" t="s">
        <v>17</v>
      </c>
      <c r="F2303">
        <v>44</v>
      </c>
      <c r="G2303">
        <v>1553</v>
      </c>
      <c r="H2303">
        <v>68332</v>
      </c>
      <c r="I2303" t="s">
        <v>1415</v>
      </c>
      <c r="J2303" t="s">
        <v>836</v>
      </c>
      <c r="K2303">
        <v>42</v>
      </c>
      <c r="L2303">
        <v>0</v>
      </c>
      <c r="M2303" t="s">
        <v>115</v>
      </c>
      <c r="N2303" t="str">
        <f t="shared" si="210"/>
        <v>PO-102302</v>
      </c>
      <c r="O2303" t="str">
        <f t="shared" si="211"/>
        <v>Delivered</v>
      </c>
      <c r="P2303" t="str">
        <f t="shared" si="212"/>
        <v>WH-BLR</v>
      </c>
      <c r="Q2303" t="str">
        <f>VLOOKUP(C2303, Lookups!$A$2:$D$10, 2, FALSE())</f>
        <v>OfficeDepot Pro</v>
      </c>
      <c r="R2303" t="str">
        <f>_xlfn.XLOOKUP(D2303, Lookups!$A$12:$A$51, Lookups!$C$12:$C$51, "Unknown")</f>
        <v>Peripherals</v>
      </c>
      <c r="S2303" t="str">
        <f>IF(ISBLANK(I2303), B2303+VLOOKUP(C2303, Lookups!$A$2:$D$10, 4, FALSE()), I2303)</f>
        <v>2026-01-09</v>
      </c>
      <c r="T2303">
        <f t="shared" si="213"/>
        <v>8</v>
      </c>
      <c r="U2303" t="str">
        <f t="shared" si="214"/>
        <v>Late</v>
      </c>
      <c r="V2303">
        <f t="shared" si="215"/>
        <v>0</v>
      </c>
    </row>
    <row r="2304" spans="1:22" x14ac:dyDescent="0.45">
      <c r="A2304" t="s">
        <v>3158</v>
      </c>
      <c r="B2304" t="s">
        <v>859</v>
      </c>
      <c r="C2304" t="s">
        <v>31</v>
      </c>
      <c r="D2304" t="s">
        <v>64</v>
      </c>
      <c r="E2304" t="s">
        <v>16</v>
      </c>
      <c r="F2304">
        <v>163</v>
      </c>
      <c r="G2304">
        <v>36295</v>
      </c>
      <c r="H2304">
        <v>5916085</v>
      </c>
      <c r="I2304" t="s">
        <v>837</v>
      </c>
      <c r="J2304" t="s">
        <v>580</v>
      </c>
      <c r="K2304">
        <v>163</v>
      </c>
      <c r="L2304">
        <v>0</v>
      </c>
      <c r="M2304" t="s">
        <v>115</v>
      </c>
      <c r="N2304" t="str">
        <f t="shared" si="210"/>
        <v>PO-102303</v>
      </c>
      <c r="O2304" t="str">
        <f t="shared" si="211"/>
        <v>Delivered</v>
      </c>
      <c r="P2304" t="str">
        <f t="shared" si="212"/>
        <v>WH-DEL</v>
      </c>
      <c r="Q2304" t="str">
        <f>VLOOKUP(C2304, Lookups!$A$2:$D$10, 2, FALSE())</f>
        <v>Global Networks</v>
      </c>
      <c r="R2304" t="str">
        <f>_xlfn.XLOOKUP(D2304, Lookups!$A$12:$A$51, Lookups!$C$12:$C$51, "Unknown")</f>
        <v>Networking</v>
      </c>
      <c r="S2304" t="str">
        <f>IF(ISBLANK(I2304), B2304+VLOOKUP(C2304, Lookups!$A$2:$D$10, 4, FALSE()), I2304)</f>
        <v>2026-01-11</v>
      </c>
      <c r="T2304">
        <f t="shared" si="213"/>
        <v>22</v>
      </c>
      <c r="U2304" t="str">
        <f t="shared" si="214"/>
        <v>Late</v>
      </c>
      <c r="V2304">
        <f t="shared" si="215"/>
        <v>0</v>
      </c>
    </row>
    <row r="2305" spans="1:22" x14ac:dyDescent="0.45">
      <c r="A2305" t="s">
        <v>3159</v>
      </c>
      <c r="B2305" t="s">
        <v>264</v>
      </c>
      <c r="C2305" t="s">
        <v>35</v>
      </c>
      <c r="D2305" t="s">
        <v>57</v>
      </c>
      <c r="E2305" t="s">
        <v>15</v>
      </c>
      <c r="F2305">
        <v>75</v>
      </c>
      <c r="G2305">
        <v>2212</v>
      </c>
      <c r="H2305">
        <v>165900</v>
      </c>
      <c r="I2305" t="s">
        <v>564</v>
      </c>
      <c r="J2305" t="s">
        <v>1486</v>
      </c>
      <c r="K2305">
        <v>75</v>
      </c>
      <c r="L2305">
        <v>0</v>
      </c>
      <c r="M2305" t="s">
        <v>115</v>
      </c>
      <c r="N2305" t="str">
        <f t="shared" si="210"/>
        <v>PO-102304</v>
      </c>
      <c r="O2305" t="str">
        <f t="shared" si="211"/>
        <v>Delivered</v>
      </c>
      <c r="P2305" t="str">
        <f t="shared" si="212"/>
        <v>WH-BOM</v>
      </c>
      <c r="Q2305" t="str">
        <f>VLOOKUP(C2305, Lookups!$A$2:$D$10, 2, FALSE())</f>
        <v>Peripheral Source</v>
      </c>
      <c r="R2305" t="str">
        <f>_xlfn.XLOOKUP(D2305, Lookups!$A$12:$A$51, Lookups!$C$12:$C$51, "Unknown")</f>
        <v>Peripherals</v>
      </c>
      <c r="S2305" t="str">
        <f>IF(ISBLANK(I2305), B2305+VLOOKUP(C2305, Lookups!$A$2:$D$10, 4, FALSE()), I2305)</f>
        <v>2025-02-10</v>
      </c>
      <c r="T2305">
        <f t="shared" si="213"/>
        <v>11</v>
      </c>
      <c r="U2305" t="str">
        <f t="shared" si="214"/>
        <v>Late</v>
      </c>
      <c r="V2305">
        <f t="shared" si="215"/>
        <v>0</v>
      </c>
    </row>
    <row r="2306" spans="1:22" x14ac:dyDescent="0.45">
      <c r="A2306" t="s">
        <v>3160</v>
      </c>
      <c r="B2306" t="s">
        <v>545</v>
      </c>
      <c r="C2306" t="s">
        <v>37</v>
      </c>
      <c r="D2306" t="s">
        <v>69</v>
      </c>
      <c r="E2306" t="s">
        <v>18</v>
      </c>
      <c r="F2306">
        <v>61</v>
      </c>
      <c r="G2306">
        <v>13231</v>
      </c>
      <c r="H2306">
        <v>807091</v>
      </c>
      <c r="I2306" t="s">
        <v>885</v>
      </c>
      <c r="J2306" t="s">
        <v>1770</v>
      </c>
      <c r="K2306">
        <v>61</v>
      </c>
      <c r="L2306">
        <v>1</v>
      </c>
      <c r="M2306" t="s">
        <v>301</v>
      </c>
      <c r="N2306" t="str">
        <f t="shared" ref="N2306:N2369" si="216">TRIM(A2306)</f>
        <v>PO-102305</v>
      </c>
      <c r="O2306" t="str">
        <f t="shared" ref="O2306:O2369" si="217">PROPER(TRIM(M2306))</f>
        <v>Delivered</v>
      </c>
      <c r="P2306" t="str">
        <f t="shared" ref="P2306:P2369" si="218">TRIM(E2306)</f>
        <v>WH-PUN</v>
      </c>
      <c r="Q2306" t="str">
        <f>VLOOKUP(C2306, Lookups!$A$2:$D$10, 2, FALSE())</f>
        <v>Premium Desks Ltd</v>
      </c>
      <c r="R2306" t="str">
        <f>_xlfn.XLOOKUP(D2306, Lookups!$A$12:$A$51, Lookups!$C$12:$C$51, "Unknown")</f>
        <v>Office Furniture</v>
      </c>
      <c r="S2306" t="str">
        <f>IF(ISBLANK(I2306), B2306+VLOOKUP(C2306, Lookups!$A$2:$D$10, 4, FALSE()), I2306)</f>
        <v>2025-12-15</v>
      </c>
      <c r="T2306">
        <f t="shared" ref="T2306:T2369" si="219">IF(ISBLANK(J2306), "", J2306-B2306)</f>
        <v>13</v>
      </c>
      <c r="U2306" t="str">
        <f t="shared" ref="U2306:U2369" si="220">IF(O2306="Open", "Open", IF(J2306&gt;S2306, "Late", "On-Time"))</f>
        <v>Late</v>
      </c>
      <c r="V2306">
        <f t="shared" ref="V2306:V2369" si="221">IF(K2306&gt;0, L2306/K2306, 0)</f>
        <v>1.6393442622950821E-2</v>
      </c>
    </row>
    <row r="2307" spans="1:22" x14ac:dyDescent="0.45">
      <c r="A2307" t="s">
        <v>3161</v>
      </c>
      <c r="B2307" t="s">
        <v>455</v>
      </c>
      <c r="C2307" t="s">
        <v>37</v>
      </c>
      <c r="D2307" t="s">
        <v>78</v>
      </c>
      <c r="E2307" t="s">
        <v>18</v>
      </c>
      <c r="F2307">
        <v>146</v>
      </c>
      <c r="G2307">
        <v>9423</v>
      </c>
      <c r="H2307">
        <v>1375758</v>
      </c>
      <c r="I2307" t="s">
        <v>335</v>
      </c>
      <c r="J2307" t="s">
        <v>1271</v>
      </c>
      <c r="K2307">
        <v>146</v>
      </c>
      <c r="L2307">
        <v>0</v>
      </c>
      <c r="M2307" t="s">
        <v>115</v>
      </c>
      <c r="N2307" t="str">
        <f t="shared" si="216"/>
        <v>PO-102306</v>
      </c>
      <c r="O2307" t="str">
        <f t="shared" si="217"/>
        <v>Delivered</v>
      </c>
      <c r="P2307" t="str">
        <f t="shared" si="218"/>
        <v>WH-PUN</v>
      </c>
      <c r="Q2307" t="str">
        <f>VLOOKUP(C2307, Lookups!$A$2:$D$10, 2, FALSE())</f>
        <v>Premium Desks Ltd</v>
      </c>
      <c r="R2307" t="str">
        <f>_xlfn.XLOOKUP(D2307, Lookups!$A$12:$A$51, Lookups!$C$12:$C$51, "Unknown")</f>
        <v>Office Furniture</v>
      </c>
      <c r="S2307" t="str">
        <f>IF(ISBLANK(I2307), B2307+VLOOKUP(C2307, Lookups!$A$2:$D$10, 4, FALSE()), I2307)</f>
        <v>2026-08-25</v>
      </c>
      <c r="T2307">
        <f t="shared" si="219"/>
        <v>18</v>
      </c>
      <c r="U2307" t="str">
        <f t="shared" si="220"/>
        <v>Late</v>
      </c>
      <c r="V2307">
        <f t="shared" si="221"/>
        <v>0</v>
      </c>
    </row>
    <row r="2308" spans="1:22" x14ac:dyDescent="0.45">
      <c r="A2308" t="s">
        <v>3162</v>
      </c>
      <c r="B2308" t="s">
        <v>639</v>
      </c>
      <c r="C2308" t="s">
        <v>30</v>
      </c>
      <c r="D2308" t="s">
        <v>88</v>
      </c>
      <c r="E2308" t="s">
        <v>18</v>
      </c>
      <c r="F2308">
        <v>125</v>
      </c>
      <c r="G2308">
        <v>75512</v>
      </c>
      <c r="H2308">
        <v>9439000</v>
      </c>
      <c r="I2308" t="s">
        <v>547</v>
      </c>
      <c r="J2308" t="s">
        <v>640</v>
      </c>
      <c r="K2308">
        <v>66</v>
      </c>
      <c r="L2308">
        <v>0</v>
      </c>
      <c r="M2308" t="s">
        <v>115</v>
      </c>
      <c r="N2308" t="str">
        <f t="shared" si="216"/>
        <v>PO-102307</v>
      </c>
      <c r="O2308" t="str">
        <f t="shared" si="217"/>
        <v>Delivered</v>
      </c>
      <c r="P2308" t="str">
        <f t="shared" si="218"/>
        <v>WH-PUN</v>
      </c>
      <c r="Q2308" t="str">
        <f>VLOOKUP(C2308, Lookups!$A$2:$D$10, 2, FALSE())</f>
        <v>TechSupply Corp</v>
      </c>
      <c r="R2308" t="str">
        <f>_xlfn.XLOOKUP(D2308, Lookups!$A$12:$A$51, Lookups!$C$12:$C$51, "Unknown")</f>
        <v>Electronics</v>
      </c>
      <c r="S2308" t="str">
        <f>IF(ISBLANK(I2308), B2308+VLOOKUP(C2308, Lookups!$A$2:$D$10, 4, FALSE()), I2308)</f>
        <v>2025-12-25</v>
      </c>
      <c r="T2308">
        <f t="shared" si="219"/>
        <v>15</v>
      </c>
      <c r="U2308" t="str">
        <f t="shared" si="220"/>
        <v>Late</v>
      </c>
      <c r="V2308">
        <f t="shared" si="221"/>
        <v>0</v>
      </c>
    </row>
    <row r="2309" spans="1:22" x14ac:dyDescent="0.45">
      <c r="A2309" t="s">
        <v>3163</v>
      </c>
      <c r="B2309" t="s">
        <v>1102</v>
      </c>
      <c r="C2309" t="s">
        <v>34</v>
      </c>
      <c r="D2309" t="s">
        <v>68</v>
      </c>
      <c r="E2309" t="s">
        <v>15</v>
      </c>
      <c r="F2309">
        <v>97</v>
      </c>
      <c r="G2309">
        <v>41405</v>
      </c>
      <c r="H2309">
        <v>4016285</v>
      </c>
      <c r="I2309" t="s">
        <v>1751</v>
      </c>
      <c r="K2309">
        <v>0</v>
      </c>
      <c r="L2309">
        <v>0</v>
      </c>
      <c r="M2309" t="s">
        <v>3164</v>
      </c>
      <c r="N2309" t="str">
        <f t="shared" si="216"/>
        <v>PO-102308</v>
      </c>
      <c r="O2309" t="str">
        <f t="shared" si="217"/>
        <v>Open</v>
      </c>
      <c r="P2309" t="str">
        <f t="shared" si="218"/>
        <v>WH-BOM</v>
      </c>
      <c r="Q2309" t="str">
        <f>VLOOKUP(C2309, Lookups!$A$2:$D$10, 2, FALSE())</f>
        <v>FastElectronics</v>
      </c>
      <c r="R2309" t="str">
        <f>_xlfn.XLOOKUP(D2309, Lookups!$A$12:$A$51, Lookups!$C$12:$C$51, "Unknown")</f>
        <v>Networking</v>
      </c>
      <c r="S2309" t="str">
        <f>IF(ISBLANK(I2309), B2309+VLOOKUP(C2309, Lookups!$A$2:$D$10, 4, FALSE()), I2309)</f>
        <v>2026-12-23</v>
      </c>
      <c r="T2309" t="str">
        <f t="shared" si="219"/>
        <v/>
      </c>
      <c r="U2309" t="str">
        <f t="shared" si="220"/>
        <v>Open</v>
      </c>
      <c r="V2309">
        <f t="shared" si="221"/>
        <v>0</v>
      </c>
    </row>
    <row r="2310" spans="1:22" x14ac:dyDescent="0.45">
      <c r="A2310" t="s">
        <v>3165</v>
      </c>
      <c r="B2310" t="s">
        <v>998</v>
      </c>
      <c r="C2310" t="s">
        <v>34</v>
      </c>
      <c r="D2310" t="s">
        <v>58</v>
      </c>
      <c r="E2310" t="s">
        <v>15</v>
      </c>
      <c r="F2310">
        <v>142</v>
      </c>
      <c r="G2310">
        <v>100302</v>
      </c>
      <c r="H2310">
        <v>14242884</v>
      </c>
      <c r="I2310" t="s">
        <v>350</v>
      </c>
      <c r="J2310" t="s">
        <v>350</v>
      </c>
      <c r="K2310">
        <v>142</v>
      </c>
      <c r="L2310">
        <v>0</v>
      </c>
      <c r="M2310" t="s">
        <v>115</v>
      </c>
      <c r="N2310" t="str">
        <f t="shared" si="216"/>
        <v>PO-102309</v>
      </c>
      <c r="O2310" t="str">
        <f t="shared" si="217"/>
        <v>Delivered</v>
      </c>
      <c r="P2310" t="str">
        <f t="shared" si="218"/>
        <v>WH-BOM</v>
      </c>
      <c r="Q2310" t="str">
        <f>VLOOKUP(C2310, Lookups!$A$2:$D$10, 2, FALSE())</f>
        <v>FastElectronics</v>
      </c>
      <c r="R2310" t="str">
        <f>_xlfn.XLOOKUP(D2310, Lookups!$A$12:$A$51, Lookups!$C$12:$C$51, "Unknown")</f>
        <v>Electronics</v>
      </c>
      <c r="S2310" t="str">
        <f>IF(ISBLANK(I2310), B2310+VLOOKUP(C2310, Lookups!$A$2:$D$10, 4, FALSE()), I2310)</f>
        <v>2026-09-05</v>
      </c>
      <c r="T2310">
        <f t="shared" si="219"/>
        <v>18</v>
      </c>
      <c r="U2310" t="str">
        <f t="shared" si="220"/>
        <v>On-Time</v>
      </c>
      <c r="V2310">
        <f t="shared" si="221"/>
        <v>0</v>
      </c>
    </row>
    <row r="2311" spans="1:22" x14ac:dyDescent="0.45">
      <c r="A2311" t="s">
        <v>3166</v>
      </c>
      <c r="B2311" t="s">
        <v>693</v>
      </c>
      <c r="C2311" t="s">
        <v>37</v>
      </c>
      <c r="D2311" t="s">
        <v>83</v>
      </c>
      <c r="E2311" t="s">
        <v>17</v>
      </c>
      <c r="F2311">
        <v>119</v>
      </c>
      <c r="G2311">
        <v>19850</v>
      </c>
      <c r="H2311">
        <v>2362150</v>
      </c>
      <c r="I2311" t="s">
        <v>877</v>
      </c>
      <c r="J2311" t="s">
        <v>1102</v>
      </c>
      <c r="K2311">
        <v>113</v>
      </c>
      <c r="L2311">
        <v>0</v>
      </c>
      <c r="M2311" t="s">
        <v>115</v>
      </c>
      <c r="N2311" t="str">
        <f t="shared" si="216"/>
        <v>PO-102310</v>
      </c>
      <c r="O2311" t="str">
        <f t="shared" si="217"/>
        <v>Delivered</v>
      </c>
      <c r="P2311" t="str">
        <f t="shared" si="218"/>
        <v>WH-BLR</v>
      </c>
      <c r="Q2311" t="str">
        <f>VLOOKUP(C2311, Lookups!$A$2:$D$10, 2, FALSE())</f>
        <v>Premium Desks Ltd</v>
      </c>
      <c r="R2311" t="str">
        <f>_xlfn.XLOOKUP(D2311, Lookups!$A$12:$A$51, Lookups!$C$12:$C$51, "Unknown")</f>
        <v>Office Furniture</v>
      </c>
      <c r="S2311" t="str">
        <f>IF(ISBLANK(I2311), B2311+VLOOKUP(C2311, Lookups!$A$2:$D$10, 4, FALSE()), I2311)</f>
        <v>2026-12-04</v>
      </c>
      <c r="T2311">
        <f t="shared" si="219"/>
        <v>13</v>
      </c>
      <c r="U2311" t="str">
        <f t="shared" si="220"/>
        <v>Late</v>
      </c>
      <c r="V2311">
        <f t="shared" si="221"/>
        <v>0</v>
      </c>
    </row>
    <row r="2312" spans="1:22" x14ac:dyDescent="0.45">
      <c r="A2312" t="s">
        <v>3167</v>
      </c>
      <c r="B2312" t="s">
        <v>240</v>
      </c>
      <c r="C2312" t="s">
        <v>34</v>
      </c>
      <c r="D2312" t="s">
        <v>58</v>
      </c>
      <c r="E2312" t="s">
        <v>18</v>
      </c>
      <c r="F2312">
        <v>179</v>
      </c>
      <c r="G2312">
        <v>100302</v>
      </c>
      <c r="H2312">
        <v>17954058</v>
      </c>
      <c r="I2312" t="s">
        <v>425</v>
      </c>
      <c r="J2312" t="s">
        <v>425</v>
      </c>
      <c r="K2312">
        <v>179</v>
      </c>
      <c r="L2312">
        <v>0</v>
      </c>
      <c r="M2312" t="s">
        <v>115</v>
      </c>
      <c r="N2312" t="str">
        <f t="shared" si="216"/>
        <v>PO-102311</v>
      </c>
      <c r="O2312" t="str">
        <f t="shared" si="217"/>
        <v>Delivered</v>
      </c>
      <c r="P2312" t="str">
        <f t="shared" si="218"/>
        <v>WH-PUN</v>
      </c>
      <c r="Q2312" t="str">
        <f>VLOOKUP(C2312, Lookups!$A$2:$D$10, 2, FALSE())</f>
        <v>FastElectronics</v>
      </c>
      <c r="R2312" t="str">
        <f>_xlfn.XLOOKUP(D2312, Lookups!$A$12:$A$51, Lookups!$C$12:$C$51, "Unknown")</f>
        <v>Electronics</v>
      </c>
      <c r="S2312" t="str">
        <f>IF(ISBLANK(I2312), B2312+VLOOKUP(C2312, Lookups!$A$2:$D$10, 4, FALSE()), I2312)</f>
        <v>2025-07-03</v>
      </c>
      <c r="T2312">
        <f t="shared" si="219"/>
        <v>18</v>
      </c>
      <c r="U2312" t="str">
        <f t="shared" si="220"/>
        <v>On-Time</v>
      </c>
      <c r="V2312">
        <f t="shared" si="221"/>
        <v>0</v>
      </c>
    </row>
    <row r="2313" spans="1:22" x14ac:dyDescent="0.45">
      <c r="A2313" t="s">
        <v>3168</v>
      </c>
      <c r="B2313" t="s">
        <v>1122</v>
      </c>
      <c r="C2313" t="s">
        <v>33</v>
      </c>
      <c r="D2313" t="s">
        <v>89</v>
      </c>
      <c r="E2313" t="s">
        <v>15</v>
      </c>
      <c r="F2313">
        <v>109</v>
      </c>
      <c r="G2313">
        <v>11309</v>
      </c>
      <c r="H2313">
        <v>1232681</v>
      </c>
      <c r="I2313" t="s">
        <v>308</v>
      </c>
      <c r="J2313" t="s">
        <v>661</v>
      </c>
      <c r="K2313">
        <v>109</v>
      </c>
      <c r="L2313">
        <v>0</v>
      </c>
      <c r="M2313" t="s">
        <v>115</v>
      </c>
      <c r="N2313" t="str">
        <f t="shared" si="216"/>
        <v>PO-102312</v>
      </c>
      <c r="O2313" t="str">
        <f t="shared" si="217"/>
        <v>Delivered</v>
      </c>
      <c r="P2313" t="str">
        <f t="shared" si="218"/>
        <v>WH-BOM</v>
      </c>
      <c r="Q2313" t="str">
        <f>VLOOKUP(C2313, Lookups!$A$2:$D$10, 2, FALSE())</f>
        <v>MegaFurnish</v>
      </c>
      <c r="R2313" t="str">
        <f>_xlfn.XLOOKUP(D2313, Lookups!$A$12:$A$51, Lookups!$C$12:$C$51, "Unknown")</f>
        <v>Office Furniture</v>
      </c>
      <c r="S2313" t="str">
        <f>IF(ISBLANK(I2313), B2313+VLOOKUP(C2313, Lookups!$A$2:$D$10, 4, FALSE()), I2313)</f>
        <v>2026-09-13</v>
      </c>
      <c r="T2313">
        <f t="shared" si="219"/>
        <v>31</v>
      </c>
      <c r="U2313" t="str">
        <f t="shared" si="220"/>
        <v>Late</v>
      </c>
      <c r="V2313">
        <f t="shared" si="221"/>
        <v>0</v>
      </c>
    </row>
    <row r="2314" spans="1:22" x14ac:dyDescent="0.45">
      <c r="A2314" t="s">
        <v>3169</v>
      </c>
      <c r="B2314" t="s">
        <v>651</v>
      </c>
      <c r="C2314" t="s">
        <v>31</v>
      </c>
      <c r="D2314" t="s">
        <v>56</v>
      </c>
      <c r="E2314" t="s">
        <v>15</v>
      </c>
      <c r="F2314">
        <v>18</v>
      </c>
      <c r="G2314">
        <v>39270</v>
      </c>
      <c r="H2314">
        <v>706860</v>
      </c>
      <c r="I2314" t="s">
        <v>545</v>
      </c>
      <c r="J2314" t="s">
        <v>2813</v>
      </c>
      <c r="K2314">
        <v>18</v>
      </c>
      <c r="L2314">
        <v>0</v>
      </c>
      <c r="M2314" t="s">
        <v>115</v>
      </c>
      <c r="N2314" t="str">
        <f t="shared" si="216"/>
        <v>PO-102313</v>
      </c>
      <c r="O2314" t="str">
        <f t="shared" si="217"/>
        <v>Delivered</v>
      </c>
      <c r="P2314" t="str">
        <f t="shared" si="218"/>
        <v>WH-BOM</v>
      </c>
      <c r="Q2314" t="str">
        <f>VLOOKUP(C2314, Lookups!$A$2:$D$10, 2, FALSE())</f>
        <v>Global Networks</v>
      </c>
      <c r="R2314" t="str">
        <f>_xlfn.XLOOKUP(D2314, Lookups!$A$12:$A$51, Lookups!$C$12:$C$51, "Unknown")</f>
        <v>Networking</v>
      </c>
      <c r="S2314" t="str">
        <f>IF(ISBLANK(I2314), B2314+VLOOKUP(C2314, Lookups!$A$2:$D$10, 4, FALSE()), I2314)</f>
        <v>2025-12-03</v>
      </c>
      <c r="T2314">
        <f t="shared" si="219"/>
        <v>22</v>
      </c>
      <c r="U2314" t="str">
        <f t="shared" si="220"/>
        <v>Late</v>
      </c>
      <c r="V2314">
        <f t="shared" si="221"/>
        <v>0</v>
      </c>
    </row>
    <row r="2315" spans="1:22" x14ac:dyDescent="0.45">
      <c r="A2315" t="s">
        <v>3170</v>
      </c>
      <c r="B2315" t="s">
        <v>1354</v>
      </c>
      <c r="C2315" t="s">
        <v>34</v>
      </c>
      <c r="D2315" t="s">
        <v>80</v>
      </c>
      <c r="E2315" t="s">
        <v>15</v>
      </c>
      <c r="F2315">
        <v>250</v>
      </c>
      <c r="G2315">
        <v>19090</v>
      </c>
      <c r="H2315">
        <v>4772500</v>
      </c>
      <c r="I2315" t="s">
        <v>322</v>
      </c>
      <c r="J2315" t="s">
        <v>443</v>
      </c>
      <c r="K2315">
        <v>250</v>
      </c>
      <c r="L2315">
        <v>0</v>
      </c>
      <c r="M2315" t="s">
        <v>115</v>
      </c>
      <c r="N2315" t="str">
        <f t="shared" si="216"/>
        <v>PO-102314</v>
      </c>
      <c r="O2315" t="str">
        <f t="shared" si="217"/>
        <v>Delivered</v>
      </c>
      <c r="P2315" t="str">
        <f t="shared" si="218"/>
        <v>WH-BOM</v>
      </c>
      <c r="Q2315" t="str">
        <f>VLOOKUP(C2315, Lookups!$A$2:$D$10, 2, FALSE())</f>
        <v>FastElectronics</v>
      </c>
      <c r="R2315" t="str">
        <f>_xlfn.XLOOKUP(D2315, Lookups!$A$12:$A$51, Lookups!$C$12:$C$51, "Unknown")</f>
        <v>Networking</v>
      </c>
      <c r="S2315" t="str">
        <f>IF(ISBLANK(I2315), B2315+VLOOKUP(C2315, Lookups!$A$2:$D$10, 4, FALSE()), I2315)</f>
        <v>2026-03-24</v>
      </c>
      <c r="T2315">
        <f t="shared" si="219"/>
        <v>25</v>
      </c>
      <c r="U2315" t="str">
        <f t="shared" si="220"/>
        <v>Late</v>
      </c>
      <c r="V2315">
        <f t="shared" si="221"/>
        <v>0</v>
      </c>
    </row>
    <row r="2316" spans="1:22" x14ac:dyDescent="0.45">
      <c r="A2316" t="s">
        <v>3171</v>
      </c>
      <c r="B2316" t="s">
        <v>428</v>
      </c>
      <c r="C2316" t="s">
        <v>31</v>
      </c>
      <c r="D2316" t="s">
        <v>56</v>
      </c>
      <c r="E2316" t="s">
        <v>16</v>
      </c>
      <c r="F2316">
        <v>225</v>
      </c>
      <c r="G2316">
        <v>39270</v>
      </c>
      <c r="H2316">
        <v>8835750</v>
      </c>
      <c r="I2316" t="s">
        <v>176</v>
      </c>
      <c r="J2316" t="s">
        <v>176</v>
      </c>
      <c r="K2316">
        <v>225</v>
      </c>
      <c r="L2316">
        <v>0</v>
      </c>
      <c r="M2316" t="s">
        <v>115</v>
      </c>
      <c r="N2316" t="str">
        <f t="shared" si="216"/>
        <v>PO-102315</v>
      </c>
      <c r="O2316" t="str">
        <f t="shared" si="217"/>
        <v>Delivered</v>
      </c>
      <c r="P2316" t="str">
        <f t="shared" si="218"/>
        <v>WH-DEL</v>
      </c>
      <c r="Q2316" t="str">
        <f>VLOOKUP(C2316, Lookups!$A$2:$D$10, 2, FALSE())</f>
        <v>Global Networks</v>
      </c>
      <c r="R2316" t="str">
        <f>_xlfn.XLOOKUP(D2316, Lookups!$A$12:$A$51, Lookups!$C$12:$C$51, "Unknown")</f>
        <v>Networking</v>
      </c>
      <c r="S2316" t="str">
        <f>IF(ISBLANK(I2316), B2316+VLOOKUP(C2316, Lookups!$A$2:$D$10, 4, FALSE()), I2316)</f>
        <v>2026-08-07</v>
      </c>
      <c r="T2316">
        <f t="shared" si="219"/>
        <v>21</v>
      </c>
      <c r="U2316" t="str">
        <f t="shared" si="220"/>
        <v>On-Time</v>
      </c>
      <c r="V2316">
        <f t="shared" si="221"/>
        <v>0</v>
      </c>
    </row>
    <row r="2317" spans="1:22" x14ac:dyDescent="0.45">
      <c r="A2317" t="s">
        <v>3172</v>
      </c>
      <c r="B2317" t="s">
        <v>1562</v>
      </c>
      <c r="C2317" t="s">
        <v>35</v>
      </c>
      <c r="D2317" t="s">
        <v>91</v>
      </c>
      <c r="E2317" t="s">
        <v>17</v>
      </c>
      <c r="F2317">
        <v>243</v>
      </c>
      <c r="G2317">
        <v>6707</v>
      </c>
      <c r="H2317">
        <v>1629801</v>
      </c>
      <c r="I2317" t="s">
        <v>1347</v>
      </c>
      <c r="J2317" t="s">
        <v>1044</v>
      </c>
      <c r="K2317">
        <v>243</v>
      </c>
      <c r="L2317">
        <v>0</v>
      </c>
      <c r="M2317" t="s">
        <v>115</v>
      </c>
      <c r="N2317" t="str">
        <f t="shared" si="216"/>
        <v>PO-102316</v>
      </c>
      <c r="O2317" t="str">
        <f t="shared" si="217"/>
        <v>Delivered</v>
      </c>
      <c r="P2317" t="str">
        <f t="shared" si="218"/>
        <v>WH-BLR</v>
      </c>
      <c r="Q2317" t="str">
        <f>VLOOKUP(C2317, Lookups!$A$2:$D$10, 2, FALSE())</f>
        <v>Peripheral Source</v>
      </c>
      <c r="R2317" t="str">
        <f>_xlfn.XLOOKUP(D2317, Lookups!$A$12:$A$51, Lookups!$C$12:$C$51, "Unknown")</f>
        <v>Peripherals</v>
      </c>
      <c r="S2317" t="str">
        <f>IF(ISBLANK(I2317), B2317+VLOOKUP(C2317, Lookups!$A$2:$D$10, 4, FALSE()), I2317)</f>
        <v>2026-08-09</v>
      </c>
      <c r="T2317">
        <f t="shared" si="219"/>
        <v>11</v>
      </c>
      <c r="U2317" t="str">
        <f t="shared" si="220"/>
        <v>Late</v>
      </c>
      <c r="V2317">
        <f t="shared" si="221"/>
        <v>0</v>
      </c>
    </row>
    <row r="2318" spans="1:22" x14ac:dyDescent="0.45">
      <c r="A2318" t="s">
        <v>3173</v>
      </c>
      <c r="B2318" t="s">
        <v>189</v>
      </c>
      <c r="C2318" t="s">
        <v>35</v>
      </c>
      <c r="D2318" t="s">
        <v>91</v>
      </c>
      <c r="E2318" t="s">
        <v>18</v>
      </c>
      <c r="F2318">
        <v>16</v>
      </c>
      <c r="G2318">
        <v>6707</v>
      </c>
      <c r="H2318">
        <v>107312</v>
      </c>
      <c r="I2318" t="s">
        <v>813</v>
      </c>
      <c r="J2318" t="s">
        <v>1736</v>
      </c>
      <c r="K2318">
        <v>13</v>
      </c>
      <c r="L2318">
        <v>0</v>
      </c>
      <c r="M2318" t="s">
        <v>115</v>
      </c>
      <c r="N2318" t="str">
        <f t="shared" si="216"/>
        <v>PO-102317</v>
      </c>
      <c r="O2318" t="str">
        <f t="shared" si="217"/>
        <v>Delivered</v>
      </c>
      <c r="P2318" t="str">
        <f t="shared" si="218"/>
        <v>WH-PUN</v>
      </c>
      <c r="Q2318" t="str">
        <f>VLOOKUP(C2318, Lookups!$A$2:$D$10, 2, FALSE())</f>
        <v>Peripheral Source</v>
      </c>
      <c r="R2318" t="str">
        <f>_xlfn.XLOOKUP(D2318, Lookups!$A$12:$A$51, Lookups!$C$12:$C$51, "Unknown")</f>
        <v>Peripherals</v>
      </c>
      <c r="S2318" t="str">
        <f>IF(ISBLANK(I2318), B2318+VLOOKUP(C2318, Lookups!$A$2:$D$10, 4, FALSE()), I2318)</f>
        <v>2025-03-17</v>
      </c>
      <c r="T2318">
        <f t="shared" si="219"/>
        <v>11</v>
      </c>
      <c r="U2318" t="str">
        <f t="shared" si="220"/>
        <v>Late</v>
      </c>
      <c r="V2318">
        <f t="shared" si="221"/>
        <v>0</v>
      </c>
    </row>
    <row r="2319" spans="1:22" x14ac:dyDescent="0.45">
      <c r="A2319" t="s">
        <v>3174</v>
      </c>
      <c r="B2319" t="s">
        <v>175</v>
      </c>
      <c r="C2319" t="s">
        <v>34</v>
      </c>
      <c r="D2319" t="s">
        <v>73</v>
      </c>
      <c r="E2319" t="s">
        <v>17</v>
      </c>
      <c r="F2319">
        <v>59</v>
      </c>
      <c r="G2319">
        <v>58396</v>
      </c>
      <c r="H2319">
        <v>3445364</v>
      </c>
      <c r="I2319" t="s">
        <v>334</v>
      </c>
      <c r="J2319" t="s">
        <v>334</v>
      </c>
      <c r="K2319">
        <v>54</v>
      </c>
      <c r="L2319">
        <v>0</v>
      </c>
      <c r="M2319" t="s">
        <v>115</v>
      </c>
      <c r="N2319" t="str">
        <f t="shared" si="216"/>
        <v>PO-102318</v>
      </c>
      <c r="O2319" t="str">
        <f t="shared" si="217"/>
        <v>Delivered</v>
      </c>
      <c r="P2319" t="str">
        <f t="shared" si="218"/>
        <v>WH-BLR</v>
      </c>
      <c r="Q2319" t="str">
        <f>VLOOKUP(C2319, Lookups!$A$2:$D$10, 2, FALSE())</f>
        <v>FastElectronics</v>
      </c>
      <c r="R2319" t="str">
        <f>_xlfn.XLOOKUP(D2319, Lookups!$A$12:$A$51, Lookups!$C$12:$C$51, "Unknown")</f>
        <v>Electronics</v>
      </c>
      <c r="S2319" t="str">
        <f>IF(ISBLANK(I2319), B2319+VLOOKUP(C2319, Lookups!$A$2:$D$10, 4, FALSE()), I2319)</f>
        <v>2026-08-15</v>
      </c>
      <c r="T2319">
        <f t="shared" si="219"/>
        <v>18</v>
      </c>
      <c r="U2319" t="str">
        <f t="shared" si="220"/>
        <v>On-Time</v>
      </c>
      <c r="V2319">
        <f t="shared" si="221"/>
        <v>0</v>
      </c>
    </row>
    <row r="2320" spans="1:22" x14ac:dyDescent="0.45">
      <c r="A2320" t="s">
        <v>3175</v>
      </c>
      <c r="B2320" t="s">
        <v>444</v>
      </c>
      <c r="C2320" t="s">
        <v>37</v>
      </c>
      <c r="D2320" t="s">
        <v>78</v>
      </c>
      <c r="E2320" t="s">
        <v>16</v>
      </c>
      <c r="F2320">
        <v>41</v>
      </c>
      <c r="G2320">
        <v>9423</v>
      </c>
      <c r="H2320">
        <v>386343</v>
      </c>
      <c r="I2320" t="s">
        <v>218</v>
      </c>
      <c r="J2320" t="s">
        <v>1058</v>
      </c>
      <c r="K2320">
        <v>41</v>
      </c>
      <c r="L2320">
        <v>0</v>
      </c>
      <c r="M2320" t="s">
        <v>115</v>
      </c>
      <c r="N2320" t="str">
        <f t="shared" si="216"/>
        <v>PO-102319</v>
      </c>
      <c r="O2320" t="str">
        <f t="shared" si="217"/>
        <v>Delivered</v>
      </c>
      <c r="P2320" t="str">
        <f t="shared" si="218"/>
        <v>WH-DEL</v>
      </c>
      <c r="Q2320" t="str">
        <f>VLOOKUP(C2320, Lookups!$A$2:$D$10, 2, FALSE())</f>
        <v>Premium Desks Ltd</v>
      </c>
      <c r="R2320" t="str">
        <f>_xlfn.XLOOKUP(D2320, Lookups!$A$12:$A$51, Lookups!$C$12:$C$51, "Unknown")</f>
        <v>Office Furniture</v>
      </c>
      <c r="S2320" t="str">
        <f>IF(ISBLANK(I2320), B2320+VLOOKUP(C2320, Lookups!$A$2:$D$10, 4, FALSE()), I2320)</f>
        <v>2026-04-24</v>
      </c>
      <c r="T2320">
        <f t="shared" si="219"/>
        <v>13</v>
      </c>
      <c r="U2320" t="str">
        <f t="shared" si="220"/>
        <v>Late</v>
      </c>
      <c r="V2320">
        <f t="shared" si="221"/>
        <v>0</v>
      </c>
    </row>
    <row r="2321" spans="1:22" x14ac:dyDescent="0.45">
      <c r="A2321" t="s">
        <v>3176</v>
      </c>
      <c r="B2321" t="s">
        <v>466</v>
      </c>
      <c r="C2321" t="s">
        <v>37</v>
      </c>
      <c r="D2321" t="s">
        <v>83</v>
      </c>
      <c r="E2321" t="s">
        <v>15</v>
      </c>
      <c r="F2321">
        <v>121</v>
      </c>
      <c r="G2321">
        <v>19850</v>
      </c>
      <c r="H2321">
        <v>2401850</v>
      </c>
      <c r="I2321" t="s">
        <v>612</v>
      </c>
      <c r="J2321" t="s">
        <v>613</v>
      </c>
      <c r="K2321">
        <v>121</v>
      </c>
      <c r="L2321">
        <v>0</v>
      </c>
      <c r="M2321" t="s">
        <v>115</v>
      </c>
      <c r="N2321" t="str">
        <f t="shared" si="216"/>
        <v>PO-102320</v>
      </c>
      <c r="O2321" t="str">
        <f t="shared" si="217"/>
        <v>Delivered</v>
      </c>
      <c r="P2321" t="str">
        <f t="shared" si="218"/>
        <v>WH-BOM</v>
      </c>
      <c r="Q2321" t="str">
        <f>VLOOKUP(C2321, Lookups!$A$2:$D$10, 2, FALSE())</f>
        <v>Premium Desks Ltd</v>
      </c>
      <c r="R2321" t="str">
        <f>_xlfn.XLOOKUP(D2321, Lookups!$A$12:$A$51, Lookups!$C$12:$C$51, "Unknown")</f>
        <v>Office Furniture</v>
      </c>
      <c r="S2321" t="str">
        <f>IF(ISBLANK(I2321), B2321+VLOOKUP(C2321, Lookups!$A$2:$D$10, 4, FALSE()), I2321)</f>
        <v>2025-02-04</v>
      </c>
      <c r="T2321">
        <f t="shared" si="219"/>
        <v>13</v>
      </c>
      <c r="U2321" t="str">
        <f t="shared" si="220"/>
        <v>Late</v>
      </c>
      <c r="V2321">
        <f t="shared" si="221"/>
        <v>0</v>
      </c>
    </row>
    <row r="2322" spans="1:22" x14ac:dyDescent="0.45">
      <c r="A2322" t="s">
        <v>3177</v>
      </c>
      <c r="B2322" t="s">
        <v>910</v>
      </c>
      <c r="C2322" t="s">
        <v>37</v>
      </c>
      <c r="D2322" t="s">
        <v>69</v>
      </c>
      <c r="E2322" t="s">
        <v>17</v>
      </c>
      <c r="F2322">
        <v>10</v>
      </c>
      <c r="G2322">
        <v>13231</v>
      </c>
      <c r="H2322">
        <v>132310</v>
      </c>
      <c r="I2322" t="s">
        <v>269</v>
      </c>
      <c r="J2322" t="s">
        <v>961</v>
      </c>
      <c r="K2322">
        <v>10</v>
      </c>
      <c r="L2322">
        <v>0</v>
      </c>
      <c r="M2322" t="s">
        <v>301</v>
      </c>
      <c r="N2322" t="str">
        <f t="shared" si="216"/>
        <v>PO-102321</v>
      </c>
      <c r="O2322" t="str">
        <f t="shared" si="217"/>
        <v>Delivered</v>
      </c>
      <c r="P2322" t="str">
        <f t="shared" si="218"/>
        <v>WH-BLR</v>
      </c>
      <c r="Q2322" t="str">
        <f>VLOOKUP(C2322, Lookups!$A$2:$D$10, 2, FALSE())</f>
        <v>Premium Desks Ltd</v>
      </c>
      <c r="R2322" t="str">
        <f>_xlfn.XLOOKUP(D2322, Lookups!$A$12:$A$51, Lookups!$C$12:$C$51, "Unknown")</f>
        <v>Office Furniture</v>
      </c>
      <c r="S2322" t="str">
        <f>IF(ISBLANK(I2322), B2322+VLOOKUP(C2322, Lookups!$A$2:$D$10, 4, FALSE()), I2322)</f>
        <v>2025-04-20</v>
      </c>
      <c r="T2322">
        <f t="shared" si="219"/>
        <v>25</v>
      </c>
      <c r="U2322" t="str">
        <f t="shared" si="220"/>
        <v>Late</v>
      </c>
      <c r="V2322">
        <f t="shared" si="221"/>
        <v>0</v>
      </c>
    </row>
    <row r="2323" spans="1:22" x14ac:dyDescent="0.45">
      <c r="A2323" t="s">
        <v>3178</v>
      </c>
      <c r="B2323" t="s">
        <v>362</v>
      </c>
      <c r="C2323" t="s">
        <v>35</v>
      </c>
      <c r="D2323" t="s">
        <v>75</v>
      </c>
      <c r="E2323" t="s">
        <v>18</v>
      </c>
      <c r="F2323">
        <v>21</v>
      </c>
      <c r="G2323">
        <v>4440</v>
      </c>
      <c r="H2323">
        <v>93240</v>
      </c>
      <c r="I2323" t="s">
        <v>587</v>
      </c>
      <c r="J2323" t="s">
        <v>1058</v>
      </c>
      <c r="K2323">
        <v>21</v>
      </c>
      <c r="L2323">
        <v>0</v>
      </c>
      <c r="M2323" t="s">
        <v>115</v>
      </c>
      <c r="N2323" t="str">
        <f t="shared" si="216"/>
        <v>PO-102322</v>
      </c>
      <c r="O2323" t="str">
        <f t="shared" si="217"/>
        <v>Delivered</v>
      </c>
      <c r="P2323" t="str">
        <f t="shared" si="218"/>
        <v>WH-PUN</v>
      </c>
      <c r="Q2323" t="str">
        <f>VLOOKUP(C2323, Lookups!$A$2:$D$10, 2, FALSE())</f>
        <v>Peripheral Source</v>
      </c>
      <c r="R2323" t="str">
        <f>_xlfn.XLOOKUP(D2323, Lookups!$A$12:$A$51, Lookups!$C$12:$C$51, "Unknown")</f>
        <v>Peripherals</v>
      </c>
      <c r="S2323" t="str">
        <f>IF(ISBLANK(I2323), B2323+VLOOKUP(C2323, Lookups!$A$2:$D$10, 4, FALSE()), I2323)</f>
        <v>2026-04-11</v>
      </c>
      <c r="T2323">
        <f t="shared" si="219"/>
        <v>24</v>
      </c>
      <c r="U2323" t="str">
        <f t="shared" si="220"/>
        <v>Late</v>
      </c>
      <c r="V2323">
        <f t="shared" si="221"/>
        <v>0</v>
      </c>
    </row>
    <row r="2324" spans="1:22" x14ac:dyDescent="0.45">
      <c r="A2324" t="s">
        <v>3179</v>
      </c>
      <c r="B2324" t="s">
        <v>1395</v>
      </c>
      <c r="C2324" t="s">
        <v>36</v>
      </c>
      <c r="D2324" t="s">
        <v>71</v>
      </c>
      <c r="E2324" t="s">
        <v>15</v>
      </c>
      <c r="F2324">
        <v>123</v>
      </c>
      <c r="G2324">
        <v>65379</v>
      </c>
      <c r="H2324">
        <v>8041617</v>
      </c>
      <c r="I2324" t="s">
        <v>363</v>
      </c>
      <c r="J2324" t="s">
        <v>149</v>
      </c>
      <c r="K2324">
        <v>123</v>
      </c>
      <c r="L2324">
        <v>0</v>
      </c>
      <c r="M2324" t="s">
        <v>115</v>
      </c>
      <c r="N2324" t="str">
        <f t="shared" si="216"/>
        <v>PO-102323</v>
      </c>
      <c r="O2324" t="str">
        <f t="shared" si="217"/>
        <v>Delivered</v>
      </c>
      <c r="P2324" t="str">
        <f t="shared" si="218"/>
        <v>WH-BOM</v>
      </c>
      <c r="Q2324" t="str">
        <f>VLOOKUP(C2324, Lookups!$A$2:$D$10, 2, FALSE())</f>
        <v>NextGen Hardware</v>
      </c>
      <c r="R2324" t="str">
        <f>_xlfn.XLOOKUP(D2324, Lookups!$A$12:$A$51, Lookups!$C$12:$C$51, "Unknown")</f>
        <v>Electronics</v>
      </c>
      <c r="S2324" t="str">
        <f>IF(ISBLANK(I2324), B2324+VLOOKUP(C2324, Lookups!$A$2:$D$10, 4, FALSE()), I2324)</f>
        <v>2026-04-02</v>
      </c>
      <c r="T2324">
        <f t="shared" si="219"/>
        <v>25</v>
      </c>
      <c r="U2324" t="str">
        <f t="shared" si="220"/>
        <v>Late</v>
      </c>
      <c r="V2324">
        <f t="shared" si="221"/>
        <v>0</v>
      </c>
    </row>
    <row r="2325" spans="1:22" x14ac:dyDescent="0.45">
      <c r="A2325" t="s">
        <v>3180</v>
      </c>
      <c r="B2325" t="s">
        <v>240</v>
      </c>
      <c r="C2325" t="s">
        <v>36</v>
      </c>
      <c r="D2325" t="s">
        <v>63</v>
      </c>
      <c r="E2325" t="s">
        <v>17</v>
      </c>
      <c r="F2325">
        <v>201</v>
      </c>
      <c r="G2325">
        <v>71062</v>
      </c>
      <c r="H2325">
        <v>14283462</v>
      </c>
      <c r="I2325" t="s">
        <v>229</v>
      </c>
      <c r="J2325" t="s">
        <v>229</v>
      </c>
      <c r="K2325">
        <v>201</v>
      </c>
      <c r="L2325">
        <v>0</v>
      </c>
      <c r="M2325" t="s">
        <v>115</v>
      </c>
      <c r="N2325" t="str">
        <f t="shared" si="216"/>
        <v>PO-102324</v>
      </c>
      <c r="O2325" t="str">
        <f t="shared" si="217"/>
        <v>Delivered</v>
      </c>
      <c r="P2325" t="str">
        <f t="shared" si="218"/>
        <v>WH-BLR</v>
      </c>
      <c r="Q2325" t="str">
        <f>VLOOKUP(C2325, Lookups!$A$2:$D$10, 2, FALSE())</f>
        <v>NextGen Hardware</v>
      </c>
      <c r="R2325" t="str">
        <f>_xlfn.XLOOKUP(D2325, Lookups!$A$12:$A$51, Lookups!$C$12:$C$51, "Unknown")</f>
        <v>Electronics</v>
      </c>
      <c r="S2325" t="str">
        <f>IF(ISBLANK(I2325), B2325+VLOOKUP(C2325, Lookups!$A$2:$D$10, 4, FALSE()), I2325)</f>
        <v>2025-07-09</v>
      </c>
      <c r="T2325">
        <f t="shared" si="219"/>
        <v>24</v>
      </c>
      <c r="U2325" t="str">
        <f t="shared" si="220"/>
        <v>On-Time</v>
      </c>
      <c r="V2325">
        <f t="shared" si="221"/>
        <v>0</v>
      </c>
    </row>
    <row r="2326" spans="1:22" x14ac:dyDescent="0.45">
      <c r="A2326" t="s">
        <v>3181</v>
      </c>
      <c r="B2326" t="s">
        <v>1252</v>
      </c>
      <c r="C2326" t="s">
        <v>34</v>
      </c>
      <c r="D2326" t="s">
        <v>68</v>
      </c>
      <c r="E2326" t="s">
        <v>18</v>
      </c>
      <c r="F2326">
        <v>157</v>
      </c>
      <c r="G2326">
        <v>41405</v>
      </c>
      <c r="H2326">
        <v>6500585</v>
      </c>
      <c r="I2326" t="s">
        <v>889</v>
      </c>
      <c r="J2326" t="s">
        <v>889</v>
      </c>
      <c r="K2326">
        <v>157</v>
      </c>
      <c r="L2326">
        <v>0</v>
      </c>
      <c r="M2326" t="s">
        <v>115</v>
      </c>
      <c r="N2326" t="str">
        <f t="shared" si="216"/>
        <v>PO-102325</v>
      </c>
      <c r="O2326" t="str">
        <f t="shared" si="217"/>
        <v>Delivered</v>
      </c>
      <c r="P2326" t="str">
        <f t="shared" si="218"/>
        <v>WH-PUN</v>
      </c>
      <c r="Q2326" t="str">
        <f>VLOOKUP(C2326, Lookups!$A$2:$D$10, 2, FALSE())</f>
        <v>FastElectronics</v>
      </c>
      <c r="R2326" t="str">
        <f>_xlfn.XLOOKUP(D2326, Lookups!$A$12:$A$51, Lookups!$C$12:$C$51, "Unknown")</f>
        <v>Networking</v>
      </c>
      <c r="S2326" t="str">
        <f>IF(ISBLANK(I2326), B2326+VLOOKUP(C2326, Lookups!$A$2:$D$10, 4, FALSE()), I2326)</f>
        <v>2025-10-19</v>
      </c>
      <c r="T2326">
        <f t="shared" si="219"/>
        <v>18</v>
      </c>
      <c r="U2326" t="str">
        <f t="shared" si="220"/>
        <v>On-Time</v>
      </c>
      <c r="V2326">
        <f t="shared" si="221"/>
        <v>0</v>
      </c>
    </row>
    <row r="2327" spans="1:22" x14ac:dyDescent="0.45">
      <c r="A2327" t="s">
        <v>3182</v>
      </c>
      <c r="B2327" t="s">
        <v>750</v>
      </c>
      <c r="C2327" t="s">
        <v>36</v>
      </c>
      <c r="D2327" t="s">
        <v>90</v>
      </c>
      <c r="E2327" t="s">
        <v>532</v>
      </c>
      <c r="F2327">
        <v>186</v>
      </c>
      <c r="G2327">
        <v>81434</v>
      </c>
      <c r="H2327">
        <v>15146724</v>
      </c>
      <c r="I2327" t="s">
        <v>671</v>
      </c>
      <c r="J2327" t="s">
        <v>1368</v>
      </c>
      <c r="K2327">
        <v>186</v>
      </c>
      <c r="L2327">
        <v>0</v>
      </c>
      <c r="M2327" t="s">
        <v>115</v>
      </c>
      <c r="N2327" t="str">
        <f t="shared" si="216"/>
        <v>PO-102326</v>
      </c>
      <c r="O2327" t="str">
        <f t="shared" si="217"/>
        <v>Delivered</v>
      </c>
      <c r="P2327" t="str">
        <f t="shared" si="218"/>
        <v>WH-PUN</v>
      </c>
      <c r="Q2327" t="str">
        <f>VLOOKUP(C2327, Lookups!$A$2:$D$10, 2, FALSE())</f>
        <v>NextGen Hardware</v>
      </c>
      <c r="R2327" t="str">
        <f>_xlfn.XLOOKUP(D2327, Lookups!$A$12:$A$51, Lookups!$C$12:$C$51, "Unknown")</f>
        <v>Electronics</v>
      </c>
      <c r="S2327" t="str">
        <f>IF(ISBLANK(I2327), B2327+VLOOKUP(C2327, Lookups!$A$2:$D$10, 4, FALSE()), I2327)</f>
        <v>2026-11-13</v>
      </c>
      <c r="T2327">
        <f t="shared" si="219"/>
        <v>23</v>
      </c>
      <c r="U2327" t="str">
        <f t="shared" si="220"/>
        <v>On-Time</v>
      </c>
      <c r="V2327">
        <f t="shared" si="221"/>
        <v>0</v>
      </c>
    </row>
    <row r="2328" spans="1:22" x14ac:dyDescent="0.45">
      <c r="A2328" t="s">
        <v>3183</v>
      </c>
      <c r="B2328" t="s">
        <v>399</v>
      </c>
      <c r="C2328" t="s">
        <v>37</v>
      </c>
      <c r="D2328" t="s">
        <v>69</v>
      </c>
      <c r="E2328" t="s">
        <v>532</v>
      </c>
      <c r="F2328">
        <v>197</v>
      </c>
      <c r="G2328">
        <v>13231</v>
      </c>
      <c r="H2328">
        <v>2606507</v>
      </c>
      <c r="I2328" t="s">
        <v>400</v>
      </c>
      <c r="J2328" t="s">
        <v>401</v>
      </c>
      <c r="K2328">
        <v>197</v>
      </c>
      <c r="L2328">
        <v>0</v>
      </c>
      <c r="M2328" t="s">
        <v>115</v>
      </c>
      <c r="N2328" t="str">
        <f t="shared" si="216"/>
        <v>PO-102327</v>
      </c>
      <c r="O2328" t="str">
        <f t="shared" si="217"/>
        <v>Delivered</v>
      </c>
      <c r="P2328" t="str">
        <f t="shared" si="218"/>
        <v>WH-PUN</v>
      </c>
      <c r="Q2328" t="str">
        <f>VLOOKUP(C2328, Lookups!$A$2:$D$10, 2, FALSE())</f>
        <v>Premium Desks Ltd</v>
      </c>
      <c r="R2328" t="str">
        <f>_xlfn.XLOOKUP(D2328, Lookups!$A$12:$A$51, Lookups!$C$12:$C$51, "Unknown")</f>
        <v>Office Furniture</v>
      </c>
      <c r="S2328" t="str">
        <f>IF(ISBLANK(I2328), B2328+VLOOKUP(C2328, Lookups!$A$2:$D$10, 4, FALSE()), I2328)</f>
        <v>2025-12-08</v>
      </c>
      <c r="T2328">
        <f t="shared" si="219"/>
        <v>13</v>
      </c>
      <c r="U2328" t="str">
        <f t="shared" si="220"/>
        <v>Late</v>
      </c>
      <c r="V2328">
        <f t="shared" si="221"/>
        <v>0</v>
      </c>
    </row>
    <row r="2329" spans="1:22" x14ac:dyDescent="0.45">
      <c r="A2329" t="s">
        <v>3184</v>
      </c>
      <c r="B2329" t="s">
        <v>743</v>
      </c>
      <c r="C2329" t="s">
        <v>32</v>
      </c>
      <c r="D2329" t="s">
        <v>67</v>
      </c>
      <c r="E2329" t="s">
        <v>18</v>
      </c>
      <c r="F2329">
        <v>242</v>
      </c>
      <c r="G2329">
        <v>1553</v>
      </c>
      <c r="H2329">
        <v>375826</v>
      </c>
      <c r="I2329" t="s">
        <v>693</v>
      </c>
      <c r="J2329" t="s">
        <v>296</v>
      </c>
      <c r="K2329">
        <v>242</v>
      </c>
      <c r="L2329">
        <v>0</v>
      </c>
      <c r="M2329" t="s">
        <v>115</v>
      </c>
      <c r="N2329" t="str">
        <f t="shared" si="216"/>
        <v>PO-102328</v>
      </c>
      <c r="O2329" t="str">
        <f t="shared" si="217"/>
        <v>Delivered</v>
      </c>
      <c r="P2329" t="str">
        <f t="shared" si="218"/>
        <v>WH-PUN</v>
      </c>
      <c r="Q2329" t="str">
        <f>VLOOKUP(C2329, Lookups!$A$2:$D$10, 2, FALSE())</f>
        <v>OfficeDepot Pro</v>
      </c>
      <c r="R2329" t="str">
        <f>_xlfn.XLOOKUP(D2329, Lookups!$A$12:$A$51, Lookups!$C$12:$C$51, "Unknown")</f>
        <v>Peripherals</v>
      </c>
      <c r="S2329" t="str">
        <f>IF(ISBLANK(I2329), B2329+VLOOKUP(C2329, Lookups!$A$2:$D$10, 4, FALSE()), I2329)</f>
        <v>2026-11-22</v>
      </c>
      <c r="T2329">
        <f t="shared" si="219"/>
        <v>9</v>
      </c>
      <c r="U2329" t="str">
        <f t="shared" si="220"/>
        <v>Late</v>
      </c>
      <c r="V2329">
        <f t="shared" si="221"/>
        <v>0</v>
      </c>
    </row>
    <row r="2330" spans="1:22" x14ac:dyDescent="0.45">
      <c r="A2330" t="s">
        <v>3185</v>
      </c>
      <c r="B2330" t="s">
        <v>335</v>
      </c>
      <c r="C2330" t="s">
        <v>30</v>
      </c>
      <c r="D2330" t="s">
        <v>61</v>
      </c>
      <c r="E2330" t="s">
        <v>17</v>
      </c>
      <c r="F2330">
        <v>175</v>
      </c>
      <c r="G2330">
        <v>111237</v>
      </c>
      <c r="H2330">
        <v>19466475</v>
      </c>
      <c r="I2330" t="s">
        <v>493</v>
      </c>
      <c r="J2330" t="s">
        <v>493</v>
      </c>
      <c r="K2330">
        <v>175</v>
      </c>
      <c r="L2330">
        <v>0</v>
      </c>
      <c r="M2330" t="s">
        <v>115</v>
      </c>
      <c r="N2330" t="str">
        <f t="shared" si="216"/>
        <v>PO-102329</v>
      </c>
      <c r="O2330" t="str">
        <f t="shared" si="217"/>
        <v>Delivered</v>
      </c>
      <c r="P2330" t="str">
        <f t="shared" si="218"/>
        <v>WH-BLR</v>
      </c>
      <c r="Q2330" t="str">
        <f>VLOOKUP(C2330, Lookups!$A$2:$D$10, 2, FALSE())</f>
        <v>TechSupply Corp</v>
      </c>
      <c r="R2330" t="str">
        <f>_xlfn.XLOOKUP(D2330, Lookups!$A$12:$A$51, Lookups!$C$12:$C$51, "Unknown")</f>
        <v>Electronics</v>
      </c>
      <c r="S2330" t="str">
        <f>IF(ISBLANK(I2330), B2330+VLOOKUP(C2330, Lookups!$A$2:$D$10, 4, FALSE()), I2330)</f>
        <v>2026-09-08</v>
      </c>
      <c r="T2330">
        <f t="shared" si="219"/>
        <v>14</v>
      </c>
      <c r="U2330" t="str">
        <f t="shared" si="220"/>
        <v>On-Time</v>
      </c>
      <c r="V2330">
        <f t="shared" si="221"/>
        <v>0</v>
      </c>
    </row>
    <row r="2331" spans="1:22" x14ac:dyDescent="0.45">
      <c r="A2331" t="s">
        <v>3186</v>
      </c>
      <c r="B2331" t="s">
        <v>1405</v>
      </c>
      <c r="C2331" t="s">
        <v>34</v>
      </c>
      <c r="D2331" t="s">
        <v>81</v>
      </c>
      <c r="E2331" t="s">
        <v>15</v>
      </c>
      <c r="F2331">
        <v>152</v>
      </c>
      <c r="G2331">
        <v>55328</v>
      </c>
      <c r="H2331">
        <v>8409856</v>
      </c>
      <c r="I2331" t="s">
        <v>375</v>
      </c>
      <c r="J2331" t="s">
        <v>1177</v>
      </c>
      <c r="K2331">
        <v>89</v>
      </c>
      <c r="L2331">
        <v>0</v>
      </c>
      <c r="M2331" t="s">
        <v>115</v>
      </c>
      <c r="N2331" t="str">
        <f t="shared" si="216"/>
        <v>PO-102330</v>
      </c>
      <c r="O2331" t="str">
        <f t="shared" si="217"/>
        <v>Delivered</v>
      </c>
      <c r="P2331" t="str">
        <f t="shared" si="218"/>
        <v>WH-BOM</v>
      </c>
      <c r="Q2331" t="str">
        <f>VLOOKUP(C2331, Lookups!$A$2:$D$10, 2, FALSE())</f>
        <v>FastElectronics</v>
      </c>
      <c r="R2331" t="str">
        <f>_xlfn.XLOOKUP(D2331, Lookups!$A$12:$A$51, Lookups!$C$12:$C$51, "Unknown")</f>
        <v>Electronics</v>
      </c>
      <c r="S2331" t="str">
        <f>IF(ISBLANK(I2331), B2331+VLOOKUP(C2331, Lookups!$A$2:$D$10, 4, FALSE()), I2331)</f>
        <v>2026-06-10</v>
      </c>
      <c r="T2331">
        <f t="shared" si="219"/>
        <v>19</v>
      </c>
      <c r="U2331" t="str">
        <f t="shared" si="220"/>
        <v>Late</v>
      </c>
      <c r="V2331">
        <f t="shared" si="221"/>
        <v>0</v>
      </c>
    </row>
    <row r="2332" spans="1:22" x14ac:dyDescent="0.45">
      <c r="A2332" t="s">
        <v>3187</v>
      </c>
      <c r="B2332" t="s">
        <v>649</v>
      </c>
      <c r="C2332" t="s">
        <v>30</v>
      </c>
      <c r="D2332" t="s">
        <v>53</v>
      </c>
      <c r="E2332" t="s">
        <v>17</v>
      </c>
      <c r="F2332">
        <v>25</v>
      </c>
      <c r="G2332">
        <v>81048</v>
      </c>
      <c r="H2332">
        <v>2026200</v>
      </c>
      <c r="I2332" t="s">
        <v>1200</v>
      </c>
      <c r="J2332" t="s">
        <v>1200</v>
      </c>
      <c r="K2332">
        <v>25</v>
      </c>
      <c r="L2332">
        <v>0</v>
      </c>
      <c r="M2332" t="s">
        <v>115</v>
      </c>
      <c r="N2332" t="str">
        <f t="shared" si="216"/>
        <v>PO-102331</v>
      </c>
      <c r="O2332" t="str">
        <f t="shared" si="217"/>
        <v>Delivered</v>
      </c>
      <c r="P2332" t="str">
        <f t="shared" si="218"/>
        <v>WH-BLR</v>
      </c>
      <c r="Q2332" t="str">
        <f>VLOOKUP(C2332, Lookups!$A$2:$D$10, 2, FALSE())</f>
        <v>TechSupply Corp</v>
      </c>
      <c r="R2332" t="str">
        <f>_xlfn.XLOOKUP(D2332, Lookups!$A$12:$A$51, Lookups!$C$12:$C$51, "Unknown")</f>
        <v>Electronics</v>
      </c>
      <c r="S2332" t="str">
        <f>IF(ISBLANK(I2332), B2332+VLOOKUP(C2332, Lookups!$A$2:$D$10, 4, FALSE()), I2332)</f>
        <v>2025-09-01</v>
      </c>
      <c r="T2332">
        <f t="shared" si="219"/>
        <v>14</v>
      </c>
      <c r="U2332" t="str">
        <f t="shared" si="220"/>
        <v>On-Time</v>
      </c>
      <c r="V2332">
        <f t="shared" si="221"/>
        <v>0</v>
      </c>
    </row>
    <row r="2333" spans="1:22" x14ac:dyDescent="0.45">
      <c r="A2333" t="s">
        <v>3188</v>
      </c>
      <c r="B2333" t="s">
        <v>286</v>
      </c>
      <c r="C2333" t="s">
        <v>34</v>
      </c>
      <c r="D2333" t="s">
        <v>54</v>
      </c>
      <c r="E2333" t="s">
        <v>17</v>
      </c>
      <c r="F2333">
        <v>40</v>
      </c>
      <c r="G2333">
        <v>22314</v>
      </c>
      <c r="H2333">
        <v>892560</v>
      </c>
      <c r="I2333" t="s">
        <v>300</v>
      </c>
      <c r="J2333" t="s">
        <v>431</v>
      </c>
      <c r="K2333">
        <v>40</v>
      </c>
      <c r="L2333">
        <v>0</v>
      </c>
      <c r="M2333" t="s">
        <v>115</v>
      </c>
      <c r="N2333" t="str">
        <f t="shared" si="216"/>
        <v>PO-102332</v>
      </c>
      <c r="O2333" t="str">
        <f t="shared" si="217"/>
        <v>Delivered</v>
      </c>
      <c r="P2333" t="str">
        <f t="shared" si="218"/>
        <v>WH-BLR</v>
      </c>
      <c r="Q2333" t="str">
        <f>VLOOKUP(C2333, Lookups!$A$2:$D$10, 2, FALSE())</f>
        <v>FastElectronics</v>
      </c>
      <c r="R2333" t="str">
        <f>_xlfn.XLOOKUP(D2333, Lookups!$A$12:$A$51, Lookups!$C$12:$C$51, "Unknown")</f>
        <v>Networking</v>
      </c>
      <c r="S2333" t="str">
        <f>IF(ISBLANK(I2333), B2333+VLOOKUP(C2333, Lookups!$A$2:$D$10, 4, FALSE()), I2333)</f>
        <v>2025-03-20</v>
      </c>
      <c r="T2333">
        <f t="shared" si="219"/>
        <v>14</v>
      </c>
      <c r="U2333" t="str">
        <f t="shared" si="220"/>
        <v>On-Time</v>
      </c>
      <c r="V2333">
        <f t="shared" si="221"/>
        <v>0</v>
      </c>
    </row>
    <row r="2334" spans="1:22" x14ac:dyDescent="0.45">
      <c r="A2334" t="s">
        <v>3189</v>
      </c>
      <c r="B2334" t="s">
        <v>123</v>
      </c>
      <c r="C2334" t="s">
        <v>34</v>
      </c>
      <c r="D2334" t="s">
        <v>81</v>
      </c>
      <c r="E2334" t="s">
        <v>17</v>
      </c>
      <c r="F2334">
        <v>47</v>
      </c>
      <c r="G2334">
        <v>55328</v>
      </c>
      <c r="H2334">
        <v>2600416</v>
      </c>
      <c r="I2334" t="s">
        <v>303</v>
      </c>
      <c r="J2334" t="s">
        <v>303</v>
      </c>
      <c r="K2334">
        <v>47</v>
      </c>
      <c r="L2334">
        <v>0</v>
      </c>
      <c r="M2334" t="s">
        <v>115</v>
      </c>
      <c r="N2334" t="str">
        <f t="shared" si="216"/>
        <v>PO-102333</v>
      </c>
      <c r="O2334" t="str">
        <f t="shared" si="217"/>
        <v>Delivered</v>
      </c>
      <c r="P2334" t="str">
        <f t="shared" si="218"/>
        <v>WH-BLR</v>
      </c>
      <c r="Q2334" t="str">
        <f>VLOOKUP(C2334, Lookups!$A$2:$D$10, 2, FALSE())</f>
        <v>FastElectronics</v>
      </c>
      <c r="R2334" t="str">
        <f>_xlfn.XLOOKUP(D2334, Lookups!$A$12:$A$51, Lookups!$C$12:$C$51, "Unknown")</f>
        <v>Electronics</v>
      </c>
      <c r="S2334" t="str">
        <f>IF(ISBLANK(I2334), B2334+VLOOKUP(C2334, Lookups!$A$2:$D$10, 4, FALSE()), I2334)</f>
        <v>2026-06-09</v>
      </c>
      <c r="T2334">
        <f t="shared" si="219"/>
        <v>18</v>
      </c>
      <c r="U2334" t="str">
        <f t="shared" si="220"/>
        <v>On-Time</v>
      </c>
      <c r="V2334">
        <f t="shared" si="221"/>
        <v>0</v>
      </c>
    </row>
    <row r="2335" spans="1:22" x14ac:dyDescent="0.45">
      <c r="A2335" t="s">
        <v>3190</v>
      </c>
      <c r="B2335" t="s">
        <v>323</v>
      </c>
      <c r="C2335" t="s">
        <v>30</v>
      </c>
      <c r="D2335" t="s">
        <v>88</v>
      </c>
      <c r="E2335" t="s">
        <v>18</v>
      </c>
      <c r="F2335">
        <v>36</v>
      </c>
      <c r="G2335">
        <v>75512</v>
      </c>
      <c r="H2335">
        <v>2718432</v>
      </c>
      <c r="I2335" t="s">
        <v>558</v>
      </c>
      <c r="J2335" t="s">
        <v>558</v>
      </c>
      <c r="K2335">
        <v>36</v>
      </c>
      <c r="L2335">
        <v>0</v>
      </c>
      <c r="M2335" t="s">
        <v>115</v>
      </c>
      <c r="N2335" t="str">
        <f t="shared" si="216"/>
        <v>PO-102334</v>
      </c>
      <c r="O2335" t="str">
        <f t="shared" si="217"/>
        <v>Delivered</v>
      </c>
      <c r="P2335" t="str">
        <f t="shared" si="218"/>
        <v>WH-PUN</v>
      </c>
      <c r="Q2335" t="str">
        <f>VLOOKUP(C2335, Lookups!$A$2:$D$10, 2, FALSE())</f>
        <v>TechSupply Corp</v>
      </c>
      <c r="R2335" t="str">
        <f>_xlfn.XLOOKUP(D2335, Lookups!$A$12:$A$51, Lookups!$C$12:$C$51, "Unknown")</f>
        <v>Electronics</v>
      </c>
      <c r="S2335" t="str">
        <f>IF(ISBLANK(I2335), B2335+VLOOKUP(C2335, Lookups!$A$2:$D$10, 4, FALSE()), I2335)</f>
        <v>2026-04-18</v>
      </c>
      <c r="T2335">
        <f t="shared" si="219"/>
        <v>14</v>
      </c>
      <c r="U2335" t="str">
        <f t="shared" si="220"/>
        <v>On-Time</v>
      </c>
      <c r="V2335">
        <f t="shared" si="221"/>
        <v>0</v>
      </c>
    </row>
    <row r="2336" spans="1:22" x14ac:dyDescent="0.45">
      <c r="A2336" t="s">
        <v>3191</v>
      </c>
      <c r="B2336" t="s">
        <v>1767</v>
      </c>
      <c r="C2336" t="s">
        <v>35</v>
      </c>
      <c r="D2336" t="s">
        <v>70</v>
      </c>
      <c r="E2336" t="s">
        <v>16</v>
      </c>
      <c r="F2336">
        <v>188</v>
      </c>
      <c r="G2336">
        <v>4287</v>
      </c>
      <c r="H2336">
        <v>805956</v>
      </c>
      <c r="I2336" t="s">
        <v>315</v>
      </c>
      <c r="J2336" t="s">
        <v>315</v>
      </c>
      <c r="K2336">
        <v>188</v>
      </c>
      <c r="L2336">
        <v>0</v>
      </c>
      <c r="M2336" t="s">
        <v>115</v>
      </c>
      <c r="N2336" t="str">
        <f t="shared" si="216"/>
        <v>PO-102335</v>
      </c>
      <c r="O2336" t="str">
        <f t="shared" si="217"/>
        <v>Delivered</v>
      </c>
      <c r="P2336" t="str">
        <f t="shared" si="218"/>
        <v>WH-DEL</v>
      </c>
      <c r="Q2336" t="str">
        <f>VLOOKUP(C2336, Lookups!$A$2:$D$10, 2, FALSE())</f>
        <v>Peripheral Source</v>
      </c>
      <c r="R2336" t="str">
        <f>_xlfn.XLOOKUP(D2336, Lookups!$A$12:$A$51, Lookups!$C$12:$C$51, "Unknown")</f>
        <v>Peripherals</v>
      </c>
      <c r="S2336" t="str">
        <f>IF(ISBLANK(I2336), B2336+VLOOKUP(C2336, Lookups!$A$2:$D$10, 4, FALSE()), I2336)</f>
        <v>2026-03-07</v>
      </c>
      <c r="T2336">
        <f t="shared" si="219"/>
        <v>10</v>
      </c>
      <c r="U2336" t="str">
        <f t="shared" si="220"/>
        <v>On-Time</v>
      </c>
      <c r="V2336">
        <f t="shared" si="221"/>
        <v>0</v>
      </c>
    </row>
    <row r="2337" spans="1:22" x14ac:dyDescent="0.45">
      <c r="A2337" t="s">
        <v>3192</v>
      </c>
      <c r="B2337" t="s">
        <v>130</v>
      </c>
      <c r="C2337" t="s">
        <v>34</v>
      </c>
      <c r="D2337" t="s">
        <v>58</v>
      </c>
      <c r="E2337" t="s">
        <v>18</v>
      </c>
      <c r="F2337">
        <v>242</v>
      </c>
      <c r="G2337">
        <v>100302</v>
      </c>
      <c r="H2337">
        <v>24273084</v>
      </c>
      <c r="I2337" t="s">
        <v>142</v>
      </c>
      <c r="J2337" t="s">
        <v>143</v>
      </c>
      <c r="K2337">
        <v>242</v>
      </c>
      <c r="L2337">
        <v>0</v>
      </c>
      <c r="M2337" t="s">
        <v>115</v>
      </c>
      <c r="N2337" t="str">
        <f t="shared" si="216"/>
        <v>PO-102336</v>
      </c>
      <c r="O2337" t="str">
        <f t="shared" si="217"/>
        <v>Delivered</v>
      </c>
      <c r="P2337" t="str">
        <f t="shared" si="218"/>
        <v>WH-PUN</v>
      </c>
      <c r="Q2337" t="str">
        <f>VLOOKUP(C2337, Lookups!$A$2:$D$10, 2, FALSE())</f>
        <v>FastElectronics</v>
      </c>
      <c r="R2337" t="str">
        <f>_xlfn.XLOOKUP(D2337, Lookups!$A$12:$A$51, Lookups!$C$12:$C$51, "Unknown")</f>
        <v>Electronics</v>
      </c>
      <c r="S2337" t="str">
        <f>IF(ISBLANK(I2337), B2337+VLOOKUP(C2337, Lookups!$A$2:$D$10, 4, FALSE()), I2337)</f>
        <v>2026-08-02</v>
      </c>
      <c r="T2337">
        <f t="shared" si="219"/>
        <v>19</v>
      </c>
      <c r="U2337" t="str">
        <f t="shared" si="220"/>
        <v>Late</v>
      </c>
      <c r="V2337">
        <f t="shared" si="221"/>
        <v>0</v>
      </c>
    </row>
    <row r="2338" spans="1:22" x14ac:dyDescent="0.45">
      <c r="A2338" t="s">
        <v>3193</v>
      </c>
      <c r="B2338" t="s">
        <v>211</v>
      </c>
      <c r="C2338" t="s">
        <v>34</v>
      </c>
      <c r="D2338" t="s">
        <v>80</v>
      </c>
      <c r="E2338" t="s">
        <v>15</v>
      </c>
      <c r="F2338">
        <v>46</v>
      </c>
      <c r="G2338">
        <v>19090</v>
      </c>
      <c r="H2338">
        <v>878140</v>
      </c>
      <c r="I2338" t="s">
        <v>229</v>
      </c>
      <c r="J2338" t="s">
        <v>715</v>
      </c>
      <c r="K2338">
        <v>46</v>
      </c>
      <c r="L2338">
        <v>6</v>
      </c>
      <c r="M2338" t="s">
        <v>115</v>
      </c>
      <c r="N2338" t="str">
        <f t="shared" si="216"/>
        <v>PO-102337</v>
      </c>
      <c r="O2338" t="str">
        <f t="shared" si="217"/>
        <v>Delivered</v>
      </c>
      <c r="P2338" t="str">
        <f t="shared" si="218"/>
        <v>WH-BOM</v>
      </c>
      <c r="Q2338" t="str">
        <f>VLOOKUP(C2338, Lookups!$A$2:$D$10, 2, FALSE())</f>
        <v>FastElectronics</v>
      </c>
      <c r="R2338" t="str">
        <f>_xlfn.XLOOKUP(D2338, Lookups!$A$12:$A$51, Lookups!$C$12:$C$51, "Unknown")</f>
        <v>Networking</v>
      </c>
      <c r="S2338" t="str">
        <f>IF(ISBLANK(I2338), B2338+VLOOKUP(C2338, Lookups!$A$2:$D$10, 4, FALSE()), I2338)</f>
        <v>2025-07-09</v>
      </c>
      <c r="T2338">
        <f t="shared" si="219"/>
        <v>19</v>
      </c>
      <c r="U2338" t="str">
        <f t="shared" si="220"/>
        <v>Late</v>
      </c>
      <c r="V2338">
        <f t="shared" si="221"/>
        <v>0.13043478260869565</v>
      </c>
    </row>
    <row r="2339" spans="1:22" x14ac:dyDescent="0.45">
      <c r="A2339" t="s">
        <v>3194</v>
      </c>
      <c r="B2339" t="s">
        <v>834</v>
      </c>
      <c r="C2339" t="s">
        <v>30</v>
      </c>
      <c r="D2339" t="s">
        <v>88</v>
      </c>
      <c r="E2339" t="s">
        <v>15</v>
      </c>
      <c r="F2339">
        <v>91</v>
      </c>
      <c r="G2339">
        <v>75512</v>
      </c>
      <c r="H2339">
        <v>6871592</v>
      </c>
      <c r="I2339" t="s">
        <v>568</v>
      </c>
      <c r="J2339" t="s">
        <v>728</v>
      </c>
      <c r="K2339">
        <v>91</v>
      </c>
      <c r="L2339">
        <v>0</v>
      </c>
      <c r="M2339" t="s">
        <v>115</v>
      </c>
      <c r="N2339" t="str">
        <f t="shared" si="216"/>
        <v>PO-102338</v>
      </c>
      <c r="O2339" t="str">
        <f t="shared" si="217"/>
        <v>Delivered</v>
      </c>
      <c r="P2339" t="str">
        <f t="shared" si="218"/>
        <v>WH-BOM</v>
      </c>
      <c r="Q2339" t="str">
        <f>VLOOKUP(C2339, Lookups!$A$2:$D$10, 2, FALSE())</f>
        <v>TechSupply Corp</v>
      </c>
      <c r="R2339" t="str">
        <f>_xlfn.XLOOKUP(D2339, Lookups!$A$12:$A$51, Lookups!$C$12:$C$51, "Unknown")</f>
        <v>Electronics</v>
      </c>
      <c r="S2339" t="str">
        <f>IF(ISBLANK(I2339), B2339+VLOOKUP(C2339, Lookups!$A$2:$D$10, 4, FALSE()), I2339)</f>
        <v>2025-09-09</v>
      </c>
      <c r="T2339">
        <f t="shared" si="219"/>
        <v>15</v>
      </c>
      <c r="U2339" t="str">
        <f t="shared" si="220"/>
        <v>Late</v>
      </c>
      <c r="V2339">
        <f t="shared" si="221"/>
        <v>0</v>
      </c>
    </row>
    <row r="2340" spans="1:22" x14ac:dyDescent="0.45">
      <c r="A2340" t="s">
        <v>3195</v>
      </c>
      <c r="B2340" t="s">
        <v>930</v>
      </c>
      <c r="C2340" t="s">
        <v>37</v>
      </c>
      <c r="D2340" t="s">
        <v>78</v>
      </c>
      <c r="E2340" t="s">
        <v>15</v>
      </c>
      <c r="F2340">
        <v>221</v>
      </c>
      <c r="G2340">
        <v>9423</v>
      </c>
      <c r="H2340">
        <v>2082483</v>
      </c>
      <c r="I2340" t="s">
        <v>752</v>
      </c>
      <c r="J2340" t="s">
        <v>753</v>
      </c>
      <c r="K2340">
        <v>221</v>
      </c>
      <c r="L2340">
        <v>0</v>
      </c>
      <c r="M2340" t="s">
        <v>115</v>
      </c>
      <c r="N2340" t="str">
        <f t="shared" si="216"/>
        <v>PO-102339</v>
      </c>
      <c r="O2340" t="str">
        <f t="shared" si="217"/>
        <v>Delivered</v>
      </c>
      <c r="P2340" t="str">
        <f t="shared" si="218"/>
        <v>WH-BOM</v>
      </c>
      <c r="Q2340" t="str">
        <f>VLOOKUP(C2340, Lookups!$A$2:$D$10, 2, FALSE())</f>
        <v>Premium Desks Ltd</v>
      </c>
      <c r="R2340" t="str">
        <f>_xlfn.XLOOKUP(D2340, Lookups!$A$12:$A$51, Lookups!$C$12:$C$51, "Unknown")</f>
        <v>Office Furniture</v>
      </c>
      <c r="S2340" t="str">
        <f>IF(ISBLANK(I2340), B2340+VLOOKUP(C2340, Lookups!$A$2:$D$10, 4, FALSE()), I2340)</f>
        <v>2025-12-22</v>
      </c>
      <c r="T2340">
        <f t="shared" si="219"/>
        <v>13</v>
      </c>
      <c r="U2340" t="str">
        <f t="shared" si="220"/>
        <v>Late</v>
      </c>
      <c r="V2340">
        <f t="shared" si="221"/>
        <v>0</v>
      </c>
    </row>
    <row r="2341" spans="1:22" x14ac:dyDescent="0.45">
      <c r="A2341" t="s">
        <v>3196</v>
      </c>
      <c r="B2341" t="s">
        <v>847</v>
      </c>
      <c r="C2341" t="s">
        <v>34</v>
      </c>
      <c r="D2341" t="s">
        <v>54</v>
      </c>
      <c r="E2341" t="s">
        <v>16</v>
      </c>
      <c r="F2341">
        <v>121</v>
      </c>
      <c r="G2341">
        <v>22314</v>
      </c>
      <c r="H2341">
        <v>2699994</v>
      </c>
      <c r="I2341" t="s">
        <v>674</v>
      </c>
      <c r="J2341" t="s">
        <v>737</v>
      </c>
      <c r="K2341">
        <v>121</v>
      </c>
      <c r="L2341">
        <v>0</v>
      </c>
      <c r="M2341" t="s">
        <v>115</v>
      </c>
      <c r="N2341" t="str">
        <f t="shared" si="216"/>
        <v>PO-102340</v>
      </c>
      <c r="O2341" t="str">
        <f t="shared" si="217"/>
        <v>Delivered</v>
      </c>
      <c r="P2341" t="str">
        <f t="shared" si="218"/>
        <v>WH-DEL</v>
      </c>
      <c r="Q2341" t="str">
        <f>VLOOKUP(C2341, Lookups!$A$2:$D$10, 2, FALSE())</f>
        <v>FastElectronics</v>
      </c>
      <c r="R2341" t="str">
        <f>_xlfn.XLOOKUP(D2341, Lookups!$A$12:$A$51, Lookups!$C$12:$C$51, "Unknown")</f>
        <v>Networking</v>
      </c>
      <c r="S2341" t="str">
        <f>IF(ISBLANK(I2341), B2341+VLOOKUP(C2341, Lookups!$A$2:$D$10, 4, FALSE()), I2341)</f>
        <v>2026-11-19</v>
      </c>
      <c r="T2341">
        <f t="shared" si="219"/>
        <v>19</v>
      </c>
      <c r="U2341" t="str">
        <f t="shared" si="220"/>
        <v>Late</v>
      </c>
      <c r="V2341">
        <f t="shared" si="221"/>
        <v>0</v>
      </c>
    </row>
    <row r="2342" spans="1:22" x14ac:dyDescent="0.45">
      <c r="A2342" t="s">
        <v>3197</v>
      </c>
      <c r="B2342" t="s">
        <v>640</v>
      </c>
      <c r="C2342" t="s">
        <v>34</v>
      </c>
      <c r="D2342" t="s">
        <v>54</v>
      </c>
      <c r="E2342" t="s">
        <v>16</v>
      </c>
      <c r="F2342">
        <v>110</v>
      </c>
      <c r="G2342">
        <v>22314</v>
      </c>
      <c r="H2342">
        <v>2454540</v>
      </c>
      <c r="I2342" t="s">
        <v>341</v>
      </c>
      <c r="J2342" t="s">
        <v>341</v>
      </c>
      <c r="K2342">
        <v>110</v>
      </c>
      <c r="L2342">
        <v>0</v>
      </c>
      <c r="M2342" t="s">
        <v>115</v>
      </c>
      <c r="N2342" t="str">
        <f t="shared" si="216"/>
        <v>PO-102341</v>
      </c>
      <c r="O2342" t="str">
        <f t="shared" si="217"/>
        <v>Delivered</v>
      </c>
      <c r="P2342" t="str">
        <f t="shared" si="218"/>
        <v>WH-DEL</v>
      </c>
      <c r="Q2342" t="str">
        <f>VLOOKUP(C2342, Lookups!$A$2:$D$10, 2, FALSE())</f>
        <v>FastElectronics</v>
      </c>
      <c r="R2342" t="str">
        <f>_xlfn.XLOOKUP(D2342, Lookups!$A$12:$A$51, Lookups!$C$12:$C$51, "Unknown")</f>
        <v>Networking</v>
      </c>
      <c r="S2342" t="str">
        <f>IF(ISBLANK(I2342), B2342+VLOOKUP(C2342, Lookups!$A$2:$D$10, 4, FALSE()), I2342)</f>
        <v>2026-01-13</v>
      </c>
      <c r="T2342">
        <f t="shared" si="219"/>
        <v>18</v>
      </c>
      <c r="U2342" t="str">
        <f t="shared" si="220"/>
        <v>On-Time</v>
      </c>
      <c r="V2342">
        <f t="shared" si="221"/>
        <v>0</v>
      </c>
    </row>
    <row r="2343" spans="1:22" x14ac:dyDescent="0.45">
      <c r="A2343" t="s">
        <v>3198</v>
      </c>
      <c r="B2343" t="s">
        <v>2277</v>
      </c>
      <c r="C2343" t="s">
        <v>31</v>
      </c>
      <c r="D2343" t="s">
        <v>66</v>
      </c>
      <c r="E2343" t="s">
        <v>15</v>
      </c>
      <c r="F2343">
        <v>231</v>
      </c>
      <c r="G2343">
        <v>29719</v>
      </c>
      <c r="H2343">
        <v>6865089</v>
      </c>
      <c r="I2343" t="s">
        <v>542</v>
      </c>
      <c r="J2343" t="s">
        <v>417</v>
      </c>
      <c r="K2343">
        <v>231</v>
      </c>
      <c r="L2343">
        <v>28</v>
      </c>
      <c r="M2343" t="s">
        <v>115</v>
      </c>
      <c r="N2343" t="str">
        <f t="shared" si="216"/>
        <v>PO-102342</v>
      </c>
      <c r="O2343" t="str">
        <f t="shared" si="217"/>
        <v>Delivered</v>
      </c>
      <c r="P2343" t="str">
        <f t="shared" si="218"/>
        <v>WH-BOM</v>
      </c>
      <c r="Q2343" t="str">
        <f>VLOOKUP(C2343, Lookups!$A$2:$D$10, 2, FALSE())</f>
        <v>Global Networks</v>
      </c>
      <c r="R2343" t="str">
        <f>_xlfn.XLOOKUP(D2343, Lookups!$A$12:$A$51, Lookups!$C$12:$C$51, "Unknown")</f>
        <v>Networking</v>
      </c>
      <c r="S2343" t="str">
        <f>IF(ISBLANK(I2343), B2343+VLOOKUP(C2343, Lookups!$A$2:$D$10, 4, FALSE()), I2343)</f>
        <v>2026-05-19</v>
      </c>
      <c r="T2343">
        <f t="shared" si="219"/>
        <v>35</v>
      </c>
      <c r="U2343" t="str">
        <f t="shared" si="220"/>
        <v>Late</v>
      </c>
      <c r="V2343">
        <f t="shared" si="221"/>
        <v>0.12121212121212122</v>
      </c>
    </row>
    <row r="2344" spans="1:22" x14ac:dyDescent="0.45">
      <c r="A2344" t="s">
        <v>3199</v>
      </c>
      <c r="B2344" t="s">
        <v>501</v>
      </c>
      <c r="C2344" t="s">
        <v>34</v>
      </c>
      <c r="D2344" t="s">
        <v>80</v>
      </c>
      <c r="E2344" t="s">
        <v>18</v>
      </c>
      <c r="F2344">
        <v>113</v>
      </c>
      <c r="G2344">
        <v>19090</v>
      </c>
      <c r="H2344">
        <v>2157170</v>
      </c>
      <c r="I2344" t="s">
        <v>128</v>
      </c>
      <c r="J2344" t="s">
        <v>1206</v>
      </c>
      <c r="K2344">
        <v>113</v>
      </c>
      <c r="L2344">
        <v>0</v>
      </c>
      <c r="M2344" t="s">
        <v>115</v>
      </c>
      <c r="N2344" t="str">
        <f t="shared" si="216"/>
        <v>PO-102343</v>
      </c>
      <c r="O2344" t="str">
        <f t="shared" si="217"/>
        <v>Delivered</v>
      </c>
      <c r="P2344" t="str">
        <f t="shared" si="218"/>
        <v>WH-PUN</v>
      </c>
      <c r="Q2344" t="str">
        <f>VLOOKUP(C2344, Lookups!$A$2:$D$10, 2, FALSE())</f>
        <v>FastElectronics</v>
      </c>
      <c r="R2344" t="str">
        <f>_xlfn.XLOOKUP(D2344, Lookups!$A$12:$A$51, Lookups!$C$12:$C$51, "Unknown")</f>
        <v>Networking</v>
      </c>
      <c r="S2344" t="str">
        <f>IF(ISBLANK(I2344), B2344+VLOOKUP(C2344, Lookups!$A$2:$D$10, 4, FALSE()), I2344)</f>
        <v>2026-02-16</v>
      </c>
      <c r="T2344">
        <f t="shared" si="219"/>
        <v>19</v>
      </c>
      <c r="U2344" t="str">
        <f t="shared" si="220"/>
        <v>Late</v>
      </c>
      <c r="V2344">
        <f t="shared" si="221"/>
        <v>0</v>
      </c>
    </row>
    <row r="2345" spans="1:22" x14ac:dyDescent="0.45">
      <c r="A2345" t="s">
        <v>3200</v>
      </c>
      <c r="B2345" t="s">
        <v>981</v>
      </c>
      <c r="C2345" t="s">
        <v>36</v>
      </c>
      <c r="D2345" t="s">
        <v>63</v>
      </c>
      <c r="E2345" t="s">
        <v>17</v>
      </c>
      <c r="F2345">
        <v>50</v>
      </c>
      <c r="G2345">
        <v>71062</v>
      </c>
      <c r="H2345">
        <v>3553100</v>
      </c>
      <c r="I2345" t="s">
        <v>734</v>
      </c>
      <c r="J2345" t="s">
        <v>734</v>
      </c>
      <c r="K2345">
        <v>50</v>
      </c>
      <c r="L2345">
        <v>0</v>
      </c>
      <c r="M2345" t="s">
        <v>115</v>
      </c>
      <c r="N2345" t="str">
        <f t="shared" si="216"/>
        <v>PO-102344</v>
      </c>
      <c r="O2345" t="str">
        <f t="shared" si="217"/>
        <v>Delivered</v>
      </c>
      <c r="P2345" t="str">
        <f t="shared" si="218"/>
        <v>WH-BLR</v>
      </c>
      <c r="Q2345" t="str">
        <f>VLOOKUP(C2345, Lookups!$A$2:$D$10, 2, FALSE())</f>
        <v>NextGen Hardware</v>
      </c>
      <c r="R2345" t="str">
        <f>_xlfn.XLOOKUP(D2345, Lookups!$A$12:$A$51, Lookups!$C$12:$C$51, "Unknown")</f>
        <v>Electronics</v>
      </c>
      <c r="S2345" t="str">
        <f>IF(ISBLANK(I2345), B2345+VLOOKUP(C2345, Lookups!$A$2:$D$10, 4, FALSE()), I2345)</f>
        <v>2026-11-06</v>
      </c>
      <c r="T2345">
        <f t="shared" si="219"/>
        <v>24</v>
      </c>
      <c r="U2345" t="str">
        <f t="shared" si="220"/>
        <v>On-Time</v>
      </c>
      <c r="V2345">
        <f t="shared" si="221"/>
        <v>0</v>
      </c>
    </row>
    <row r="2346" spans="1:22" x14ac:dyDescent="0.45">
      <c r="A2346" t="s">
        <v>3201</v>
      </c>
      <c r="B2346" t="s">
        <v>142</v>
      </c>
      <c r="C2346" t="s">
        <v>37</v>
      </c>
      <c r="D2346" t="s">
        <v>69</v>
      </c>
      <c r="E2346" t="s">
        <v>16</v>
      </c>
      <c r="F2346">
        <v>95</v>
      </c>
      <c r="G2346">
        <v>13231</v>
      </c>
      <c r="H2346">
        <v>1256945</v>
      </c>
      <c r="I2346" t="s">
        <v>1122</v>
      </c>
      <c r="J2346" t="s">
        <v>1295</v>
      </c>
      <c r="K2346">
        <v>95</v>
      </c>
      <c r="L2346">
        <v>0</v>
      </c>
      <c r="M2346" t="s">
        <v>115</v>
      </c>
      <c r="N2346" t="str">
        <f t="shared" si="216"/>
        <v>PO-102345</v>
      </c>
      <c r="O2346" t="str">
        <f t="shared" si="217"/>
        <v>Delivered</v>
      </c>
      <c r="P2346" t="str">
        <f t="shared" si="218"/>
        <v>WH-DEL</v>
      </c>
      <c r="Q2346" t="str">
        <f>VLOOKUP(C2346, Lookups!$A$2:$D$10, 2, FALSE())</f>
        <v>Premium Desks Ltd</v>
      </c>
      <c r="R2346" t="str">
        <f>_xlfn.XLOOKUP(D2346, Lookups!$A$12:$A$51, Lookups!$C$12:$C$51, "Unknown")</f>
        <v>Office Furniture</v>
      </c>
      <c r="S2346" t="str">
        <f>IF(ISBLANK(I2346), B2346+VLOOKUP(C2346, Lookups!$A$2:$D$10, 4, FALSE()), I2346)</f>
        <v>2026-08-14</v>
      </c>
      <c r="T2346">
        <f t="shared" si="219"/>
        <v>9</v>
      </c>
      <c r="U2346" t="str">
        <f t="shared" si="220"/>
        <v>On-Time</v>
      </c>
      <c r="V2346">
        <f t="shared" si="221"/>
        <v>0</v>
      </c>
    </row>
    <row r="2347" spans="1:22" x14ac:dyDescent="0.45">
      <c r="A2347" t="s">
        <v>3202</v>
      </c>
      <c r="B2347" t="s">
        <v>1497</v>
      </c>
      <c r="C2347" t="s">
        <v>31</v>
      </c>
      <c r="D2347" t="s">
        <v>56</v>
      </c>
      <c r="E2347" t="s">
        <v>18</v>
      </c>
      <c r="F2347">
        <v>150</v>
      </c>
      <c r="G2347">
        <v>39270</v>
      </c>
      <c r="H2347">
        <v>5890500</v>
      </c>
      <c r="I2347" t="s">
        <v>587</v>
      </c>
      <c r="J2347" t="s">
        <v>444</v>
      </c>
      <c r="K2347">
        <v>150</v>
      </c>
      <c r="L2347">
        <v>17</v>
      </c>
      <c r="M2347" t="s">
        <v>115</v>
      </c>
      <c r="N2347" t="str">
        <f t="shared" si="216"/>
        <v>PO-102346</v>
      </c>
      <c r="O2347" t="str">
        <f t="shared" si="217"/>
        <v>Delivered</v>
      </c>
      <c r="P2347" t="str">
        <f t="shared" si="218"/>
        <v>WH-PUN</v>
      </c>
      <c r="Q2347" t="str">
        <f>VLOOKUP(C2347, Lookups!$A$2:$D$10, 2, FALSE())</f>
        <v>Global Networks</v>
      </c>
      <c r="R2347" t="str">
        <f>_xlfn.XLOOKUP(D2347, Lookups!$A$12:$A$51, Lookups!$C$12:$C$51, "Unknown")</f>
        <v>Networking</v>
      </c>
      <c r="S2347" t="str">
        <f>IF(ISBLANK(I2347), B2347+VLOOKUP(C2347, Lookups!$A$2:$D$10, 4, FALSE()), I2347)</f>
        <v>2026-04-11</v>
      </c>
      <c r="T2347">
        <f t="shared" si="219"/>
        <v>22</v>
      </c>
      <c r="U2347" t="str">
        <f t="shared" si="220"/>
        <v>Late</v>
      </c>
      <c r="V2347">
        <f t="shared" si="221"/>
        <v>0.11333333333333333</v>
      </c>
    </row>
    <row r="2348" spans="1:22" x14ac:dyDescent="0.45">
      <c r="A2348" t="s">
        <v>3203</v>
      </c>
      <c r="B2348" t="s">
        <v>184</v>
      </c>
      <c r="C2348" t="s">
        <v>34</v>
      </c>
      <c r="D2348" t="s">
        <v>73</v>
      </c>
      <c r="E2348" t="s">
        <v>18</v>
      </c>
      <c r="F2348">
        <v>67</v>
      </c>
      <c r="G2348">
        <v>58396</v>
      </c>
      <c r="H2348">
        <v>3912532</v>
      </c>
      <c r="I2348" t="s">
        <v>925</v>
      </c>
      <c r="J2348" t="s">
        <v>633</v>
      </c>
      <c r="K2348">
        <v>67</v>
      </c>
      <c r="L2348">
        <v>0</v>
      </c>
      <c r="M2348" t="s">
        <v>115</v>
      </c>
      <c r="N2348" t="str">
        <f t="shared" si="216"/>
        <v>PO-102347</v>
      </c>
      <c r="O2348" t="str">
        <f t="shared" si="217"/>
        <v>Delivered</v>
      </c>
      <c r="P2348" t="str">
        <f t="shared" si="218"/>
        <v>WH-PUN</v>
      </c>
      <c r="Q2348" t="str">
        <f>VLOOKUP(C2348, Lookups!$A$2:$D$10, 2, FALSE())</f>
        <v>FastElectronics</v>
      </c>
      <c r="R2348" t="str">
        <f>_xlfn.XLOOKUP(D2348, Lookups!$A$12:$A$51, Lookups!$C$12:$C$51, "Unknown")</f>
        <v>Electronics</v>
      </c>
      <c r="S2348" t="str">
        <f>IF(ISBLANK(I2348), B2348+VLOOKUP(C2348, Lookups!$A$2:$D$10, 4, FALSE()), I2348)</f>
        <v>2025-02-20</v>
      </c>
      <c r="T2348">
        <f t="shared" si="219"/>
        <v>15</v>
      </c>
      <c r="U2348" t="str">
        <f t="shared" si="220"/>
        <v>On-Time</v>
      </c>
      <c r="V2348">
        <f t="shared" si="221"/>
        <v>0</v>
      </c>
    </row>
    <row r="2349" spans="1:22" x14ac:dyDescent="0.45">
      <c r="A2349" t="s">
        <v>3204</v>
      </c>
      <c r="B2349" t="s">
        <v>1066</v>
      </c>
      <c r="C2349" t="s">
        <v>36</v>
      </c>
      <c r="D2349" t="s">
        <v>87</v>
      </c>
      <c r="E2349" t="s">
        <v>18</v>
      </c>
      <c r="F2349">
        <v>85</v>
      </c>
      <c r="G2349">
        <v>82930</v>
      </c>
      <c r="H2349">
        <v>7049050</v>
      </c>
      <c r="I2349" t="s">
        <v>713</v>
      </c>
      <c r="J2349" t="s">
        <v>1348</v>
      </c>
      <c r="K2349">
        <v>85</v>
      </c>
      <c r="L2349">
        <v>0</v>
      </c>
      <c r="M2349" t="s">
        <v>115</v>
      </c>
      <c r="N2349" t="str">
        <f t="shared" si="216"/>
        <v>PO-102348</v>
      </c>
      <c r="O2349" t="str">
        <f t="shared" si="217"/>
        <v>Delivered</v>
      </c>
      <c r="P2349" t="str">
        <f t="shared" si="218"/>
        <v>WH-PUN</v>
      </c>
      <c r="Q2349" t="str">
        <f>VLOOKUP(C2349, Lookups!$A$2:$D$10, 2, FALSE())</f>
        <v>NextGen Hardware</v>
      </c>
      <c r="R2349" t="str">
        <f>_xlfn.XLOOKUP(D2349, Lookups!$A$12:$A$51, Lookups!$C$12:$C$51, "Unknown")</f>
        <v>Electronics</v>
      </c>
      <c r="S2349" t="str">
        <f>IF(ISBLANK(I2349), B2349+VLOOKUP(C2349, Lookups!$A$2:$D$10, 4, FALSE()), I2349)</f>
        <v>2026-08-19</v>
      </c>
      <c r="T2349">
        <f t="shared" si="219"/>
        <v>25</v>
      </c>
      <c r="U2349" t="str">
        <f t="shared" si="220"/>
        <v>Late</v>
      </c>
      <c r="V2349">
        <f t="shared" si="221"/>
        <v>0</v>
      </c>
    </row>
    <row r="2350" spans="1:22" x14ac:dyDescent="0.45">
      <c r="A2350" t="s">
        <v>3205</v>
      </c>
      <c r="B2350" t="s">
        <v>961</v>
      </c>
      <c r="C2350" t="s">
        <v>30</v>
      </c>
      <c r="D2350" t="s">
        <v>53</v>
      </c>
      <c r="E2350" t="s">
        <v>18</v>
      </c>
      <c r="F2350">
        <v>12</v>
      </c>
      <c r="G2350">
        <v>81048</v>
      </c>
      <c r="H2350">
        <v>972576</v>
      </c>
      <c r="I2350" t="s">
        <v>2179</v>
      </c>
      <c r="J2350" t="s">
        <v>1551</v>
      </c>
      <c r="K2350">
        <v>12</v>
      </c>
      <c r="L2350">
        <v>0</v>
      </c>
      <c r="M2350" t="s">
        <v>115</v>
      </c>
      <c r="N2350" t="str">
        <f t="shared" si="216"/>
        <v>PO-102349</v>
      </c>
      <c r="O2350" t="str">
        <f t="shared" si="217"/>
        <v>Delivered</v>
      </c>
      <c r="P2350" t="str">
        <f t="shared" si="218"/>
        <v>WH-PUN</v>
      </c>
      <c r="Q2350" t="str">
        <f>VLOOKUP(C2350, Lookups!$A$2:$D$10, 2, FALSE())</f>
        <v>TechSupply Corp</v>
      </c>
      <c r="R2350" t="str">
        <f>_xlfn.XLOOKUP(D2350, Lookups!$A$12:$A$51, Lookups!$C$12:$C$51, "Unknown")</f>
        <v>Electronics</v>
      </c>
      <c r="S2350" t="str">
        <f>IF(ISBLANK(I2350), B2350+VLOOKUP(C2350, Lookups!$A$2:$D$10, 4, FALSE()), I2350)</f>
        <v>2025-05-17</v>
      </c>
      <c r="T2350">
        <f t="shared" si="219"/>
        <v>15</v>
      </c>
      <c r="U2350" t="str">
        <f t="shared" si="220"/>
        <v>Late</v>
      </c>
      <c r="V2350">
        <f t="shared" si="221"/>
        <v>0</v>
      </c>
    </row>
    <row r="2351" spans="1:22" x14ac:dyDescent="0.45">
      <c r="A2351" t="s">
        <v>3206</v>
      </c>
      <c r="B2351" t="s">
        <v>820</v>
      </c>
      <c r="C2351" t="s">
        <v>35</v>
      </c>
      <c r="D2351" t="s">
        <v>75</v>
      </c>
      <c r="E2351" t="s">
        <v>16</v>
      </c>
      <c r="F2351">
        <v>169</v>
      </c>
      <c r="G2351">
        <v>4440</v>
      </c>
      <c r="H2351">
        <v>750360</v>
      </c>
      <c r="I2351" t="s">
        <v>257</v>
      </c>
      <c r="J2351" t="s">
        <v>257</v>
      </c>
      <c r="K2351">
        <v>169</v>
      </c>
      <c r="L2351">
        <v>0</v>
      </c>
      <c r="M2351" t="s">
        <v>115</v>
      </c>
      <c r="N2351" t="str">
        <f t="shared" si="216"/>
        <v>PO-102350</v>
      </c>
      <c r="O2351" t="str">
        <f t="shared" si="217"/>
        <v>Delivered</v>
      </c>
      <c r="P2351" t="str">
        <f t="shared" si="218"/>
        <v>WH-DEL</v>
      </c>
      <c r="Q2351" t="str">
        <f>VLOOKUP(C2351, Lookups!$A$2:$D$10, 2, FALSE())</f>
        <v>Peripheral Source</v>
      </c>
      <c r="R2351" t="str">
        <f>_xlfn.XLOOKUP(D2351, Lookups!$A$12:$A$51, Lookups!$C$12:$C$51, "Unknown")</f>
        <v>Peripherals</v>
      </c>
      <c r="S2351" t="str">
        <f>IF(ISBLANK(I2351), B2351+VLOOKUP(C2351, Lookups!$A$2:$D$10, 4, FALSE()), I2351)</f>
        <v>2025-01-19</v>
      </c>
      <c r="T2351">
        <f t="shared" si="219"/>
        <v>10</v>
      </c>
      <c r="U2351" t="str">
        <f t="shared" si="220"/>
        <v>On-Time</v>
      </c>
      <c r="V2351">
        <f t="shared" si="221"/>
        <v>0</v>
      </c>
    </row>
    <row r="2352" spans="1:22" x14ac:dyDescent="0.45">
      <c r="A2352" t="s">
        <v>3207</v>
      </c>
      <c r="B2352" t="s">
        <v>1252</v>
      </c>
      <c r="C2352" t="s">
        <v>35</v>
      </c>
      <c r="D2352" t="s">
        <v>70</v>
      </c>
      <c r="E2352" t="s">
        <v>15</v>
      </c>
      <c r="F2352">
        <v>42</v>
      </c>
      <c r="G2352">
        <v>4287</v>
      </c>
      <c r="H2352">
        <v>180054</v>
      </c>
      <c r="I2352" t="s">
        <v>244</v>
      </c>
      <c r="J2352" t="s">
        <v>332</v>
      </c>
      <c r="K2352">
        <v>42</v>
      </c>
      <c r="L2352">
        <v>0</v>
      </c>
      <c r="M2352" t="s">
        <v>927</v>
      </c>
      <c r="N2352" t="str">
        <f t="shared" si="216"/>
        <v>PO-102351</v>
      </c>
      <c r="O2352" t="str">
        <f t="shared" si="217"/>
        <v>Delivered</v>
      </c>
      <c r="P2352" t="str">
        <f t="shared" si="218"/>
        <v>WH-BOM</v>
      </c>
      <c r="Q2352" t="str">
        <f>VLOOKUP(C2352, Lookups!$A$2:$D$10, 2, FALSE())</f>
        <v>Peripheral Source</v>
      </c>
      <c r="R2352" t="str">
        <f>_xlfn.XLOOKUP(D2352, Lookups!$A$12:$A$51, Lookups!$C$12:$C$51, "Unknown")</f>
        <v>Peripherals</v>
      </c>
      <c r="S2352" t="str">
        <f>IF(ISBLANK(I2352), B2352+VLOOKUP(C2352, Lookups!$A$2:$D$10, 4, FALSE()), I2352)</f>
        <v>2025-10-11</v>
      </c>
      <c r="T2352">
        <f t="shared" si="219"/>
        <v>11</v>
      </c>
      <c r="U2352" t="str">
        <f t="shared" si="220"/>
        <v>Late</v>
      </c>
      <c r="V2352">
        <f t="shared" si="221"/>
        <v>0</v>
      </c>
    </row>
    <row r="2353" spans="1:22" x14ac:dyDescent="0.45">
      <c r="A2353" t="s">
        <v>3208</v>
      </c>
      <c r="B2353" t="s">
        <v>514</v>
      </c>
      <c r="C2353" t="s">
        <v>33</v>
      </c>
      <c r="D2353" t="s">
        <v>89</v>
      </c>
      <c r="E2353" t="s">
        <v>18</v>
      </c>
      <c r="F2353">
        <v>177</v>
      </c>
      <c r="G2353">
        <v>11309</v>
      </c>
      <c r="H2353">
        <v>2001693</v>
      </c>
      <c r="I2353" t="s">
        <v>455</v>
      </c>
      <c r="J2353" t="s">
        <v>1348</v>
      </c>
      <c r="K2353">
        <v>177</v>
      </c>
      <c r="L2353">
        <v>0</v>
      </c>
      <c r="M2353" t="s">
        <v>115</v>
      </c>
      <c r="N2353" t="str">
        <f t="shared" si="216"/>
        <v>PO-102352</v>
      </c>
      <c r="O2353" t="str">
        <f t="shared" si="217"/>
        <v>Delivered</v>
      </c>
      <c r="P2353" t="str">
        <f t="shared" si="218"/>
        <v>WH-PUN</v>
      </c>
      <c r="Q2353" t="str">
        <f>VLOOKUP(C2353, Lookups!$A$2:$D$10, 2, FALSE())</f>
        <v>MegaFurnish</v>
      </c>
      <c r="R2353" t="str">
        <f>_xlfn.XLOOKUP(D2353, Lookups!$A$12:$A$51, Lookups!$C$12:$C$51, "Unknown")</f>
        <v>Office Furniture</v>
      </c>
      <c r="S2353" t="str">
        <f>IF(ISBLANK(I2353), B2353+VLOOKUP(C2353, Lookups!$A$2:$D$10, 4, FALSE()), I2353)</f>
        <v>2026-08-13</v>
      </c>
      <c r="T2353">
        <f t="shared" si="219"/>
        <v>37</v>
      </c>
      <c r="U2353" t="str">
        <f t="shared" si="220"/>
        <v>Late</v>
      </c>
      <c r="V2353">
        <f t="shared" si="221"/>
        <v>0</v>
      </c>
    </row>
    <row r="2354" spans="1:22" x14ac:dyDescent="0.45">
      <c r="A2354" t="s">
        <v>3209</v>
      </c>
      <c r="B2354" t="s">
        <v>815</v>
      </c>
      <c r="C2354" t="s">
        <v>32</v>
      </c>
      <c r="D2354" t="s">
        <v>67</v>
      </c>
      <c r="E2354" t="s">
        <v>17</v>
      </c>
      <c r="F2354">
        <v>120</v>
      </c>
      <c r="G2354">
        <v>1553</v>
      </c>
      <c r="H2354">
        <v>186360</v>
      </c>
      <c r="I2354" t="s">
        <v>839</v>
      </c>
      <c r="J2354" t="s">
        <v>221</v>
      </c>
      <c r="K2354">
        <v>120</v>
      </c>
      <c r="L2354">
        <v>0</v>
      </c>
      <c r="M2354" t="s">
        <v>115</v>
      </c>
      <c r="N2354" t="str">
        <f t="shared" si="216"/>
        <v>PO-102353</v>
      </c>
      <c r="O2354" t="str">
        <f t="shared" si="217"/>
        <v>Delivered</v>
      </c>
      <c r="P2354" t="str">
        <f t="shared" si="218"/>
        <v>WH-BLR</v>
      </c>
      <c r="Q2354" t="str">
        <f>VLOOKUP(C2354, Lookups!$A$2:$D$10, 2, FALSE())</f>
        <v>OfficeDepot Pro</v>
      </c>
      <c r="R2354" t="str">
        <f>_xlfn.XLOOKUP(D2354, Lookups!$A$12:$A$51, Lookups!$C$12:$C$51, "Unknown")</f>
        <v>Peripherals</v>
      </c>
      <c r="S2354" t="str">
        <f>IF(ISBLANK(I2354), B2354+VLOOKUP(C2354, Lookups!$A$2:$D$10, 4, FALSE()), I2354)</f>
        <v>2026-02-20</v>
      </c>
      <c r="T2354">
        <f t="shared" si="219"/>
        <v>15</v>
      </c>
      <c r="U2354" t="str">
        <f t="shared" si="220"/>
        <v>Late</v>
      </c>
      <c r="V2354">
        <f t="shared" si="221"/>
        <v>0</v>
      </c>
    </row>
    <row r="2355" spans="1:22" x14ac:dyDescent="0.45">
      <c r="A2355" t="s">
        <v>3210</v>
      </c>
      <c r="B2355" t="s">
        <v>859</v>
      </c>
      <c r="C2355" t="s">
        <v>31</v>
      </c>
      <c r="D2355" t="s">
        <v>56</v>
      </c>
      <c r="E2355" t="s">
        <v>17</v>
      </c>
      <c r="F2355">
        <v>32</v>
      </c>
      <c r="G2355">
        <v>39270</v>
      </c>
      <c r="H2355">
        <v>1256640</v>
      </c>
      <c r="I2355" t="s">
        <v>837</v>
      </c>
      <c r="J2355" t="s">
        <v>580</v>
      </c>
      <c r="K2355">
        <v>32</v>
      </c>
      <c r="L2355">
        <v>0</v>
      </c>
      <c r="M2355" t="s">
        <v>115</v>
      </c>
      <c r="N2355" t="str">
        <f t="shared" si="216"/>
        <v>PO-102354</v>
      </c>
      <c r="O2355" t="str">
        <f t="shared" si="217"/>
        <v>Delivered</v>
      </c>
      <c r="P2355" t="str">
        <f t="shared" si="218"/>
        <v>WH-BLR</v>
      </c>
      <c r="Q2355" t="str">
        <f>VLOOKUP(C2355, Lookups!$A$2:$D$10, 2, FALSE())</f>
        <v>Global Networks</v>
      </c>
      <c r="R2355" t="str">
        <f>_xlfn.XLOOKUP(D2355, Lookups!$A$12:$A$51, Lookups!$C$12:$C$51, "Unknown")</f>
        <v>Networking</v>
      </c>
      <c r="S2355" t="str">
        <f>IF(ISBLANK(I2355), B2355+VLOOKUP(C2355, Lookups!$A$2:$D$10, 4, FALSE()), I2355)</f>
        <v>2026-01-11</v>
      </c>
      <c r="T2355">
        <f t="shared" si="219"/>
        <v>22</v>
      </c>
      <c r="U2355" t="str">
        <f t="shared" si="220"/>
        <v>Late</v>
      </c>
      <c r="V2355">
        <f t="shared" si="221"/>
        <v>0</v>
      </c>
    </row>
    <row r="2356" spans="1:22" x14ac:dyDescent="0.45">
      <c r="A2356" t="s">
        <v>3211</v>
      </c>
      <c r="B2356" t="s">
        <v>348</v>
      </c>
      <c r="C2356" t="s">
        <v>31</v>
      </c>
      <c r="D2356" t="s">
        <v>64</v>
      </c>
      <c r="E2356" t="s">
        <v>18</v>
      </c>
      <c r="F2356">
        <v>234</v>
      </c>
      <c r="G2356">
        <v>36295</v>
      </c>
      <c r="H2356">
        <v>8493030</v>
      </c>
      <c r="I2356" t="s">
        <v>308</v>
      </c>
      <c r="J2356" t="s">
        <v>661</v>
      </c>
      <c r="K2356">
        <v>234</v>
      </c>
      <c r="L2356">
        <v>0</v>
      </c>
      <c r="M2356" t="s">
        <v>115</v>
      </c>
      <c r="N2356" t="str">
        <f t="shared" si="216"/>
        <v>PO-102355</v>
      </c>
      <c r="O2356" t="str">
        <f t="shared" si="217"/>
        <v>Delivered</v>
      </c>
      <c r="P2356" t="str">
        <f t="shared" si="218"/>
        <v>WH-PUN</v>
      </c>
      <c r="Q2356" t="str">
        <f>VLOOKUP(C2356, Lookups!$A$2:$D$10, 2, FALSE())</f>
        <v>Global Networks</v>
      </c>
      <c r="R2356" t="str">
        <f>_xlfn.XLOOKUP(D2356, Lookups!$A$12:$A$51, Lookups!$C$12:$C$51, "Unknown")</f>
        <v>Networking</v>
      </c>
      <c r="S2356" t="str">
        <f>IF(ISBLANK(I2356), B2356+VLOOKUP(C2356, Lookups!$A$2:$D$10, 4, FALSE()), I2356)</f>
        <v>2026-09-13</v>
      </c>
      <c r="T2356">
        <f t="shared" si="219"/>
        <v>22</v>
      </c>
      <c r="U2356" t="str">
        <f t="shared" si="220"/>
        <v>Late</v>
      </c>
      <c r="V2356">
        <f t="shared" si="221"/>
        <v>0</v>
      </c>
    </row>
    <row r="2357" spans="1:22" x14ac:dyDescent="0.45">
      <c r="A2357" t="s">
        <v>3212</v>
      </c>
      <c r="B2357" t="s">
        <v>487</v>
      </c>
      <c r="C2357" t="s">
        <v>34</v>
      </c>
      <c r="D2357" t="s">
        <v>81</v>
      </c>
      <c r="E2357" t="s">
        <v>16</v>
      </c>
      <c r="F2357">
        <v>78</v>
      </c>
      <c r="G2357">
        <v>55328</v>
      </c>
      <c r="H2357">
        <v>4315584</v>
      </c>
      <c r="I2357" t="s">
        <v>458</v>
      </c>
      <c r="J2357" t="s">
        <v>469</v>
      </c>
      <c r="K2357">
        <v>78</v>
      </c>
      <c r="L2357">
        <v>0</v>
      </c>
      <c r="M2357" t="s">
        <v>115</v>
      </c>
      <c r="N2357" t="str">
        <f t="shared" si="216"/>
        <v>PO-102356</v>
      </c>
      <c r="O2357" t="str">
        <f t="shared" si="217"/>
        <v>Delivered</v>
      </c>
      <c r="P2357" t="str">
        <f t="shared" si="218"/>
        <v>WH-DEL</v>
      </c>
      <c r="Q2357" t="str">
        <f>VLOOKUP(C2357, Lookups!$A$2:$D$10, 2, FALSE())</f>
        <v>FastElectronics</v>
      </c>
      <c r="R2357" t="str">
        <f>_xlfn.XLOOKUP(D2357, Lookups!$A$12:$A$51, Lookups!$C$12:$C$51, "Unknown")</f>
        <v>Electronics</v>
      </c>
      <c r="S2357" t="str">
        <f>IF(ISBLANK(I2357), B2357+VLOOKUP(C2357, Lookups!$A$2:$D$10, 4, FALSE()), I2357)</f>
        <v>2025-07-14</v>
      </c>
      <c r="T2357">
        <f t="shared" si="219"/>
        <v>19</v>
      </c>
      <c r="U2357" t="str">
        <f t="shared" si="220"/>
        <v>Late</v>
      </c>
      <c r="V2357">
        <f t="shared" si="221"/>
        <v>0</v>
      </c>
    </row>
    <row r="2358" spans="1:22" x14ac:dyDescent="0.45">
      <c r="A2358" t="s">
        <v>3213</v>
      </c>
      <c r="B2358" t="s">
        <v>1401</v>
      </c>
      <c r="C2358" t="s">
        <v>30</v>
      </c>
      <c r="D2358" t="s">
        <v>53</v>
      </c>
      <c r="E2358" t="s">
        <v>15</v>
      </c>
      <c r="F2358">
        <v>169</v>
      </c>
      <c r="G2358">
        <v>81048</v>
      </c>
      <c r="H2358">
        <v>13697112</v>
      </c>
      <c r="I2358" t="s">
        <v>615</v>
      </c>
      <c r="J2358" t="s">
        <v>921</v>
      </c>
      <c r="K2358">
        <v>169</v>
      </c>
      <c r="L2358">
        <v>0</v>
      </c>
      <c r="M2358" t="s">
        <v>115</v>
      </c>
      <c r="N2358" t="str">
        <f t="shared" si="216"/>
        <v>PO-102357</v>
      </c>
      <c r="O2358" t="str">
        <f t="shared" si="217"/>
        <v>Delivered</v>
      </c>
      <c r="P2358" t="str">
        <f t="shared" si="218"/>
        <v>WH-BOM</v>
      </c>
      <c r="Q2358" t="str">
        <f>VLOOKUP(C2358, Lookups!$A$2:$D$10, 2, FALSE())</f>
        <v>TechSupply Corp</v>
      </c>
      <c r="R2358" t="str">
        <f>_xlfn.XLOOKUP(D2358, Lookups!$A$12:$A$51, Lookups!$C$12:$C$51, "Unknown")</f>
        <v>Electronics</v>
      </c>
      <c r="S2358" t="str">
        <f>IF(ISBLANK(I2358), B2358+VLOOKUP(C2358, Lookups!$A$2:$D$10, 4, FALSE()), I2358)</f>
        <v>2026-11-07</v>
      </c>
      <c r="T2358">
        <f t="shared" si="219"/>
        <v>15</v>
      </c>
      <c r="U2358" t="str">
        <f t="shared" si="220"/>
        <v>Late</v>
      </c>
      <c r="V2358">
        <f t="shared" si="221"/>
        <v>0</v>
      </c>
    </row>
    <row r="2359" spans="1:22" x14ac:dyDescent="0.45">
      <c r="A2359" t="s">
        <v>3214</v>
      </c>
      <c r="B2359" t="s">
        <v>600</v>
      </c>
      <c r="C2359" t="s">
        <v>37</v>
      </c>
      <c r="D2359" t="s">
        <v>78</v>
      </c>
      <c r="E2359" t="s">
        <v>15</v>
      </c>
      <c r="F2359">
        <v>111</v>
      </c>
      <c r="G2359">
        <v>9423</v>
      </c>
      <c r="H2359">
        <v>1045953</v>
      </c>
      <c r="I2359" t="s">
        <v>320</v>
      </c>
      <c r="J2359" t="s">
        <v>199</v>
      </c>
      <c r="K2359">
        <v>64</v>
      </c>
      <c r="L2359">
        <v>0</v>
      </c>
      <c r="M2359" t="s">
        <v>115</v>
      </c>
      <c r="N2359" t="str">
        <f t="shared" si="216"/>
        <v>PO-102358</v>
      </c>
      <c r="O2359" t="str">
        <f t="shared" si="217"/>
        <v>Delivered</v>
      </c>
      <c r="P2359" t="str">
        <f t="shared" si="218"/>
        <v>WH-BOM</v>
      </c>
      <c r="Q2359" t="str">
        <f>VLOOKUP(C2359, Lookups!$A$2:$D$10, 2, FALSE())</f>
        <v>Premium Desks Ltd</v>
      </c>
      <c r="R2359" t="str">
        <f>_xlfn.XLOOKUP(D2359, Lookups!$A$12:$A$51, Lookups!$C$12:$C$51, "Unknown")</f>
        <v>Office Furniture</v>
      </c>
      <c r="S2359" t="str">
        <f>IF(ISBLANK(I2359), B2359+VLOOKUP(C2359, Lookups!$A$2:$D$10, 4, FALSE()), I2359)</f>
        <v>2025-10-15</v>
      </c>
      <c r="T2359">
        <f t="shared" si="219"/>
        <v>13</v>
      </c>
      <c r="U2359" t="str">
        <f t="shared" si="220"/>
        <v>Late</v>
      </c>
      <c r="V2359">
        <f t="shared" si="221"/>
        <v>0</v>
      </c>
    </row>
    <row r="2360" spans="1:22" x14ac:dyDescent="0.45">
      <c r="A2360" t="s">
        <v>3215</v>
      </c>
      <c r="B2360" t="s">
        <v>387</v>
      </c>
      <c r="C2360" t="s">
        <v>34</v>
      </c>
      <c r="D2360" t="s">
        <v>73</v>
      </c>
      <c r="E2360" t="s">
        <v>16</v>
      </c>
      <c r="F2360">
        <v>48</v>
      </c>
      <c r="G2360">
        <v>58396</v>
      </c>
      <c r="H2360">
        <v>2803008</v>
      </c>
      <c r="I2360" t="s">
        <v>338</v>
      </c>
      <c r="J2360" t="s">
        <v>338</v>
      </c>
      <c r="K2360">
        <v>48</v>
      </c>
      <c r="L2360">
        <v>0</v>
      </c>
      <c r="M2360" t="s">
        <v>115</v>
      </c>
      <c r="N2360" t="str">
        <f t="shared" si="216"/>
        <v>PO-102359</v>
      </c>
      <c r="O2360" t="str">
        <f t="shared" si="217"/>
        <v>Delivered</v>
      </c>
      <c r="P2360" t="str">
        <f t="shared" si="218"/>
        <v>WH-DEL</v>
      </c>
      <c r="Q2360" t="str">
        <f>VLOOKUP(C2360, Lookups!$A$2:$D$10, 2, FALSE())</f>
        <v>FastElectronics</v>
      </c>
      <c r="R2360" t="str">
        <f>_xlfn.XLOOKUP(D2360, Lookups!$A$12:$A$51, Lookups!$C$12:$C$51, "Unknown")</f>
        <v>Electronics</v>
      </c>
      <c r="S2360" t="str">
        <f>IF(ISBLANK(I2360), B2360+VLOOKUP(C2360, Lookups!$A$2:$D$10, 4, FALSE()), I2360)</f>
        <v>2026-04-05</v>
      </c>
      <c r="T2360">
        <f t="shared" si="219"/>
        <v>18</v>
      </c>
      <c r="U2360" t="str">
        <f t="shared" si="220"/>
        <v>On-Time</v>
      </c>
      <c r="V2360">
        <f t="shared" si="221"/>
        <v>0</v>
      </c>
    </row>
    <row r="2361" spans="1:22" x14ac:dyDescent="0.45">
      <c r="A2361" t="s">
        <v>3216</v>
      </c>
      <c r="B2361" t="s">
        <v>389</v>
      </c>
      <c r="C2361" t="s">
        <v>34</v>
      </c>
      <c r="D2361" t="s">
        <v>54</v>
      </c>
      <c r="E2361" t="s">
        <v>15</v>
      </c>
      <c r="F2361">
        <v>10</v>
      </c>
      <c r="G2361">
        <v>22314</v>
      </c>
      <c r="H2361">
        <v>223140</v>
      </c>
      <c r="I2361" t="s">
        <v>218</v>
      </c>
      <c r="J2361" t="s">
        <v>723</v>
      </c>
      <c r="K2361">
        <v>10</v>
      </c>
      <c r="L2361">
        <v>0</v>
      </c>
      <c r="M2361" t="s">
        <v>115</v>
      </c>
      <c r="N2361" t="str">
        <f t="shared" si="216"/>
        <v>PO-102360</v>
      </c>
      <c r="O2361" t="str">
        <f t="shared" si="217"/>
        <v>Delivered</v>
      </c>
      <c r="P2361" t="str">
        <f t="shared" si="218"/>
        <v>WH-BOM</v>
      </c>
      <c r="Q2361" t="str">
        <f>VLOOKUP(C2361, Lookups!$A$2:$D$10, 2, FALSE())</f>
        <v>FastElectronics</v>
      </c>
      <c r="R2361" t="str">
        <f>_xlfn.XLOOKUP(D2361, Lookups!$A$12:$A$51, Lookups!$C$12:$C$51, "Unknown")</f>
        <v>Networking</v>
      </c>
      <c r="S2361" t="str">
        <f>IF(ISBLANK(I2361), B2361+VLOOKUP(C2361, Lookups!$A$2:$D$10, 4, FALSE()), I2361)</f>
        <v>2026-04-24</v>
      </c>
      <c r="T2361">
        <f t="shared" si="219"/>
        <v>28</v>
      </c>
      <c r="U2361" t="str">
        <f t="shared" si="220"/>
        <v>Late</v>
      </c>
      <c r="V2361">
        <f t="shared" si="221"/>
        <v>0</v>
      </c>
    </row>
    <row r="2362" spans="1:22" x14ac:dyDescent="0.45">
      <c r="A2362" t="s">
        <v>3217</v>
      </c>
      <c r="B2362" t="s">
        <v>577</v>
      </c>
      <c r="C2362" t="s">
        <v>31</v>
      </c>
      <c r="D2362" t="s">
        <v>56</v>
      </c>
      <c r="E2362" t="s">
        <v>17</v>
      </c>
      <c r="F2362">
        <v>21</v>
      </c>
      <c r="G2362">
        <v>39270</v>
      </c>
      <c r="H2362">
        <v>824670</v>
      </c>
      <c r="I2362" t="s">
        <v>339</v>
      </c>
      <c r="J2362" t="s">
        <v>963</v>
      </c>
      <c r="K2362">
        <v>21</v>
      </c>
      <c r="L2362">
        <v>0</v>
      </c>
      <c r="M2362" t="s">
        <v>115</v>
      </c>
      <c r="N2362" t="str">
        <f t="shared" si="216"/>
        <v>PO-102361</v>
      </c>
      <c r="O2362" t="str">
        <f t="shared" si="217"/>
        <v>Delivered</v>
      </c>
      <c r="P2362" t="str">
        <f t="shared" si="218"/>
        <v>WH-BLR</v>
      </c>
      <c r="Q2362" t="str">
        <f>VLOOKUP(C2362, Lookups!$A$2:$D$10, 2, FALSE())</f>
        <v>Global Networks</v>
      </c>
      <c r="R2362" t="str">
        <f>_xlfn.XLOOKUP(D2362, Lookups!$A$12:$A$51, Lookups!$C$12:$C$51, "Unknown")</f>
        <v>Networking</v>
      </c>
      <c r="S2362" t="str">
        <f>IF(ISBLANK(I2362), B2362+VLOOKUP(C2362, Lookups!$A$2:$D$10, 4, FALSE()), I2362)</f>
        <v>2026-04-20</v>
      </c>
      <c r="T2362">
        <f t="shared" si="219"/>
        <v>22</v>
      </c>
      <c r="U2362" t="str">
        <f t="shared" si="220"/>
        <v>Late</v>
      </c>
      <c r="V2362">
        <f t="shared" si="221"/>
        <v>0</v>
      </c>
    </row>
    <row r="2363" spans="1:22" x14ac:dyDescent="0.45">
      <c r="A2363" t="s">
        <v>3218</v>
      </c>
      <c r="B2363" t="s">
        <v>1005</v>
      </c>
      <c r="C2363" t="s">
        <v>36</v>
      </c>
      <c r="D2363" t="s">
        <v>87</v>
      </c>
      <c r="E2363" t="s">
        <v>15</v>
      </c>
      <c r="F2363">
        <v>217</v>
      </c>
      <c r="G2363">
        <v>82930</v>
      </c>
      <c r="H2363">
        <v>17995810</v>
      </c>
      <c r="I2363" t="s">
        <v>1574</v>
      </c>
      <c r="J2363" t="s">
        <v>400</v>
      </c>
      <c r="K2363">
        <v>217</v>
      </c>
      <c r="L2363">
        <v>0</v>
      </c>
      <c r="M2363" t="s">
        <v>115</v>
      </c>
      <c r="N2363" t="str">
        <f t="shared" si="216"/>
        <v>PO-102362</v>
      </c>
      <c r="O2363" t="str">
        <f t="shared" si="217"/>
        <v>Delivered</v>
      </c>
      <c r="P2363" t="str">
        <f t="shared" si="218"/>
        <v>WH-BOM</v>
      </c>
      <c r="Q2363" t="str">
        <f>VLOOKUP(C2363, Lookups!$A$2:$D$10, 2, FALSE())</f>
        <v>NextGen Hardware</v>
      </c>
      <c r="R2363" t="str">
        <f>_xlfn.XLOOKUP(D2363, Lookups!$A$12:$A$51, Lookups!$C$12:$C$51, "Unknown")</f>
        <v>Electronics</v>
      </c>
      <c r="S2363" t="str">
        <f>IF(ISBLANK(I2363), B2363+VLOOKUP(C2363, Lookups!$A$2:$D$10, 4, FALSE()), I2363)</f>
        <v>2025-11-30</v>
      </c>
      <c r="T2363">
        <f t="shared" si="219"/>
        <v>32</v>
      </c>
      <c r="U2363" t="str">
        <f t="shared" si="220"/>
        <v>Late</v>
      </c>
      <c r="V2363">
        <f t="shared" si="221"/>
        <v>0</v>
      </c>
    </row>
    <row r="2364" spans="1:22" x14ac:dyDescent="0.45">
      <c r="A2364" t="s">
        <v>3219</v>
      </c>
      <c r="B2364" t="s">
        <v>493</v>
      </c>
      <c r="C2364" t="s">
        <v>32</v>
      </c>
      <c r="D2364" t="s">
        <v>67</v>
      </c>
      <c r="E2364" t="s">
        <v>15</v>
      </c>
      <c r="F2364">
        <v>196</v>
      </c>
      <c r="G2364">
        <v>1553</v>
      </c>
      <c r="H2364">
        <v>304388</v>
      </c>
      <c r="I2364" t="s">
        <v>556</v>
      </c>
      <c r="J2364" t="s">
        <v>658</v>
      </c>
      <c r="K2364">
        <v>163</v>
      </c>
      <c r="L2364">
        <v>0</v>
      </c>
      <c r="M2364" t="s">
        <v>115</v>
      </c>
      <c r="N2364" t="str">
        <f t="shared" si="216"/>
        <v>PO-102363</v>
      </c>
      <c r="O2364" t="str">
        <f t="shared" si="217"/>
        <v>Delivered</v>
      </c>
      <c r="P2364" t="str">
        <f t="shared" si="218"/>
        <v>WH-BOM</v>
      </c>
      <c r="Q2364" t="str">
        <f>VLOOKUP(C2364, Lookups!$A$2:$D$10, 2, FALSE())</f>
        <v>OfficeDepot Pro</v>
      </c>
      <c r="R2364" t="str">
        <f>_xlfn.XLOOKUP(D2364, Lookups!$A$12:$A$51, Lookups!$C$12:$C$51, "Unknown")</f>
        <v>Peripherals</v>
      </c>
      <c r="S2364" t="str">
        <f>IF(ISBLANK(I2364), B2364+VLOOKUP(C2364, Lookups!$A$2:$D$10, 4, FALSE()), I2364)</f>
        <v>2026-09-15</v>
      </c>
      <c r="T2364">
        <f t="shared" si="219"/>
        <v>22</v>
      </c>
      <c r="U2364" t="str">
        <f t="shared" si="220"/>
        <v>Late</v>
      </c>
      <c r="V2364">
        <f t="shared" si="221"/>
        <v>0</v>
      </c>
    </row>
    <row r="2365" spans="1:22" x14ac:dyDescent="0.45">
      <c r="A2365" t="s">
        <v>3220</v>
      </c>
      <c r="B2365" t="s">
        <v>1119</v>
      </c>
      <c r="C2365" t="s">
        <v>36</v>
      </c>
      <c r="D2365" t="s">
        <v>90</v>
      </c>
      <c r="E2365" t="s">
        <v>15</v>
      </c>
      <c r="F2365">
        <v>94</v>
      </c>
      <c r="G2365">
        <v>81434</v>
      </c>
      <c r="H2365">
        <v>7654796</v>
      </c>
      <c r="I2365" t="s">
        <v>495</v>
      </c>
      <c r="J2365" t="s">
        <v>495</v>
      </c>
      <c r="K2365">
        <v>94</v>
      </c>
      <c r="L2365">
        <v>0</v>
      </c>
      <c r="M2365" t="s">
        <v>115</v>
      </c>
      <c r="N2365" t="str">
        <f t="shared" si="216"/>
        <v>PO-102364</v>
      </c>
      <c r="O2365" t="str">
        <f t="shared" si="217"/>
        <v>Delivered</v>
      </c>
      <c r="P2365" t="str">
        <f t="shared" si="218"/>
        <v>WH-BOM</v>
      </c>
      <c r="Q2365" t="str">
        <f>VLOOKUP(C2365, Lookups!$A$2:$D$10, 2, FALSE())</f>
        <v>NextGen Hardware</v>
      </c>
      <c r="R2365" t="str">
        <f>_xlfn.XLOOKUP(D2365, Lookups!$A$12:$A$51, Lookups!$C$12:$C$51, "Unknown")</f>
        <v>Electronics</v>
      </c>
      <c r="S2365" t="str">
        <f>IF(ISBLANK(I2365), B2365+VLOOKUP(C2365, Lookups!$A$2:$D$10, 4, FALSE()), I2365)</f>
        <v>2026-09-23</v>
      </c>
      <c r="T2365">
        <f t="shared" si="219"/>
        <v>24</v>
      </c>
      <c r="U2365" t="str">
        <f t="shared" si="220"/>
        <v>On-Time</v>
      </c>
      <c r="V2365">
        <f t="shared" si="221"/>
        <v>0</v>
      </c>
    </row>
    <row r="2366" spans="1:22" x14ac:dyDescent="0.45">
      <c r="A2366" t="s">
        <v>3221</v>
      </c>
      <c r="B2366" t="s">
        <v>1549</v>
      </c>
      <c r="C2366" t="s">
        <v>35</v>
      </c>
      <c r="D2366" t="s">
        <v>65</v>
      </c>
      <c r="E2366" t="s">
        <v>17</v>
      </c>
      <c r="F2366">
        <v>192</v>
      </c>
      <c r="G2366">
        <v>4936</v>
      </c>
      <c r="H2366">
        <v>947712</v>
      </c>
      <c r="I2366" t="s">
        <v>426</v>
      </c>
      <c r="J2366" t="s">
        <v>648</v>
      </c>
      <c r="K2366">
        <v>192</v>
      </c>
      <c r="L2366">
        <v>0</v>
      </c>
      <c r="M2366" t="s">
        <v>115</v>
      </c>
      <c r="N2366" t="str">
        <f t="shared" si="216"/>
        <v>PO-102365</v>
      </c>
      <c r="O2366" t="str">
        <f t="shared" si="217"/>
        <v>Delivered</v>
      </c>
      <c r="P2366" t="str">
        <f t="shared" si="218"/>
        <v>WH-BLR</v>
      </c>
      <c r="Q2366" t="str">
        <f>VLOOKUP(C2366, Lookups!$A$2:$D$10, 2, FALSE())</f>
        <v>Peripheral Source</v>
      </c>
      <c r="R2366" t="str">
        <f>_xlfn.XLOOKUP(D2366, Lookups!$A$12:$A$51, Lookups!$C$12:$C$51, "Unknown")</f>
        <v>Peripherals</v>
      </c>
      <c r="S2366" t="str">
        <f>IF(ISBLANK(I2366), B2366+VLOOKUP(C2366, Lookups!$A$2:$D$10, 4, FALSE()), I2366)</f>
        <v>2025-07-27</v>
      </c>
      <c r="T2366">
        <f t="shared" si="219"/>
        <v>11</v>
      </c>
      <c r="U2366" t="str">
        <f t="shared" si="220"/>
        <v>Late</v>
      </c>
      <c r="V2366">
        <f t="shared" si="221"/>
        <v>0</v>
      </c>
    </row>
    <row r="2367" spans="1:22" x14ac:dyDescent="0.45">
      <c r="A2367" t="s">
        <v>3222</v>
      </c>
      <c r="B2367" t="s">
        <v>583</v>
      </c>
      <c r="C2367" t="s">
        <v>36</v>
      </c>
      <c r="D2367" t="s">
        <v>55</v>
      </c>
      <c r="E2367" t="s">
        <v>17</v>
      </c>
      <c r="F2367">
        <v>106</v>
      </c>
      <c r="G2367">
        <v>58434</v>
      </c>
      <c r="H2367">
        <v>6194004</v>
      </c>
      <c r="I2367" t="s">
        <v>168</v>
      </c>
      <c r="J2367" t="s">
        <v>168</v>
      </c>
      <c r="K2367">
        <v>106</v>
      </c>
      <c r="L2367">
        <v>0</v>
      </c>
      <c r="M2367" t="s">
        <v>115</v>
      </c>
      <c r="N2367" t="str">
        <f t="shared" si="216"/>
        <v>PO-102366</v>
      </c>
      <c r="O2367" t="str">
        <f t="shared" si="217"/>
        <v>Delivered</v>
      </c>
      <c r="P2367" t="str">
        <f t="shared" si="218"/>
        <v>WH-BLR</v>
      </c>
      <c r="Q2367" t="str">
        <f>VLOOKUP(C2367, Lookups!$A$2:$D$10, 2, FALSE())</f>
        <v>NextGen Hardware</v>
      </c>
      <c r="R2367" t="str">
        <f>_xlfn.XLOOKUP(D2367, Lookups!$A$12:$A$51, Lookups!$C$12:$C$51, "Unknown")</f>
        <v>Electronics</v>
      </c>
      <c r="S2367" t="str">
        <f>IF(ISBLANK(I2367), B2367+VLOOKUP(C2367, Lookups!$A$2:$D$10, 4, FALSE()), I2367)</f>
        <v>2025-05-20</v>
      </c>
      <c r="T2367">
        <f t="shared" si="219"/>
        <v>24</v>
      </c>
      <c r="U2367" t="str">
        <f t="shared" si="220"/>
        <v>On-Time</v>
      </c>
      <c r="V2367">
        <f t="shared" si="221"/>
        <v>0</v>
      </c>
    </row>
    <row r="2368" spans="1:22" x14ac:dyDescent="0.45">
      <c r="A2368" t="s">
        <v>3223</v>
      </c>
      <c r="B2368" t="s">
        <v>158</v>
      </c>
      <c r="C2368" t="s">
        <v>37</v>
      </c>
      <c r="D2368" t="s">
        <v>79</v>
      </c>
      <c r="E2368" t="s">
        <v>15</v>
      </c>
      <c r="F2368">
        <v>172</v>
      </c>
      <c r="G2368">
        <v>23054</v>
      </c>
      <c r="H2368">
        <v>3965288</v>
      </c>
      <c r="I2368" t="s">
        <v>1024</v>
      </c>
      <c r="J2368" t="s">
        <v>671</v>
      </c>
      <c r="K2368">
        <v>172</v>
      </c>
      <c r="L2368">
        <v>0</v>
      </c>
      <c r="M2368" t="s">
        <v>115</v>
      </c>
      <c r="N2368" t="str">
        <f t="shared" si="216"/>
        <v>PO-102367</v>
      </c>
      <c r="O2368" t="str">
        <f t="shared" si="217"/>
        <v>Delivered</v>
      </c>
      <c r="P2368" t="str">
        <f t="shared" si="218"/>
        <v>WH-BOM</v>
      </c>
      <c r="Q2368" t="str">
        <f>VLOOKUP(C2368, Lookups!$A$2:$D$10, 2, FALSE())</f>
        <v>Premium Desks Ltd</v>
      </c>
      <c r="R2368" t="str">
        <f>_xlfn.XLOOKUP(D2368, Lookups!$A$12:$A$51, Lookups!$C$12:$C$51, "Unknown")</f>
        <v>Office Furniture</v>
      </c>
      <c r="S2368" t="str">
        <f>IF(ISBLANK(I2368), B2368+VLOOKUP(C2368, Lookups!$A$2:$D$10, 4, FALSE()), I2368)</f>
        <v>2026-11-17</v>
      </c>
      <c r="T2368">
        <f t="shared" si="219"/>
        <v>8</v>
      </c>
      <c r="U2368" t="str">
        <f t="shared" si="220"/>
        <v>On-Time</v>
      </c>
      <c r="V2368">
        <f t="shared" si="221"/>
        <v>0</v>
      </c>
    </row>
    <row r="2369" spans="1:22" x14ac:dyDescent="0.45">
      <c r="A2369" t="s">
        <v>3224</v>
      </c>
      <c r="B2369" t="s">
        <v>1165</v>
      </c>
      <c r="C2369" t="s">
        <v>37</v>
      </c>
      <c r="D2369" t="s">
        <v>78</v>
      </c>
      <c r="E2369" t="s">
        <v>18</v>
      </c>
      <c r="F2369">
        <v>155</v>
      </c>
      <c r="G2369">
        <v>9423</v>
      </c>
      <c r="H2369">
        <v>1460565</v>
      </c>
      <c r="I2369" t="s">
        <v>1082</v>
      </c>
      <c r="J2369" t="s">
        <v>1082</v>
      </c>
      <c r="K2369">
        <v>155</v>
      </c>
      <c r="L2369">
        <v>0</v>
      </c>
      <c r="M2369" t="s">
        <v>115</v>
      </c>
      <c r="N2369" t="str">
        <f t="shared" si="216"/>
        <v>PO-102368</v>
      </c>
      <c r="O2369" t="str">
        <f t="shared" si="217"/>
        <v>Delivered</v>
      </c>
      <c r="P2369" t="str">
        <f t="shared" si="218"/>
        <v>WH-PUN</v>
      </c>
      <c r="Q2369" t="str">
        <f>VLOOKUP(C2369, Lookups!$A$2:$D$10, 2, FALSE())</f>
        <v>Premium Desks Ltd</v>
      </c>
      <c r="R2369" t="str">
        <f>_xlfn.XLOOKUP(D2369, Lookups!$A$12:$A$51, Lookups!$C$12:$C$51, "Unknown")</f>
        <v>Office Furniture</v>
      </c>
      <c r="S2369" t="str">
        <f>IF(ISBLANK(I2369), B2369+VLOOKUP(C2369, Lookups!$A$2:$D$10, 4, FALSE()), I2369)</f>
        <v>2025-04-22</v>
      </c>
      <c r="T2369">
        <f t="shared" si="219"/>
        <v>12</v>
      </c>
      <c r="U2369" t="str">
        <f t="shared" si="220"/>
        <v>On-Time</v>
      </c>
      <c r="V2369">
        <f t="shared" si="221"/>
        <v>0</v>
      </c>
    </row>
    <row r="2370" spans="1:22" x14ac:dyDescent="0.45">
      <c r="A2370" t="s">
        <v>3225</v>
      </c>
      <c r="B2370" t="s">
        <v>1736</v>
      </c>
      <c r="C2370" t="s">
        <v>36</v>
      </c>
      <c r="D2370" t="s">
        <v>62</v>
      </c>
      <c r="E2370" t="s">
        <v>17</v>
      </c>
      <c r="F2370">
        <v>241</v>
      </c>
      <c r="G2370">
        <v>48478</v>
      </c>
      <c r="H2370">
        <v>11683198</v>
      </c>
      <c r="I2370" t="s">
        <v>505</v>
      </c>
      <c r="J2370" t="s">
        <v>276</v>
      </c>
      <c r="K2370">
        <v>241</v>
      </c>
      <c r="L2370">
        <v>0</v>
      </c>
      <c r="M2370" t="s">
        <v>115</v>
      </c>
      <c r="N2370" t="str">
        <f t="shared" ref="N2370:N2433" si="222">TRIM(A2370)</f>
        <v>PO-102369</v>
      </c>
      <c r="O2370" t="str">
        <f t="shared" ref="O2370:O2433" si="223">PROPER(TRIM(M2370))</f>
        <v>Delivered</v>
      </c>
      <c r="P2370" t="str">
        <f t="shared" ref="P2370:P2433" si="224">TRIM(E2370)</f>
        <v>WH-BLR</v>
      </c>
      <c r="Q2370" t="str">
        <f>VLOOKUP(C2370, Lookups!$A$2:$D$10, 2, FALSE())</f>
        <v>NextGen Hardware</v>
      </c>
      <c r="R2370" t="str">
        <f>_xlfn.XLOOKUP(D2370, Lookups!$A$12:$A$51, Lookups!$C$12:$C$51, "Unknown")</f>
        <v>Electronics</v>
      </c>
      <c r="S2370" t="str">
        <f>IF(ISBLANK(I2370), B2370+VLOOKUP(C2370, Lookups!$A$2:$D$10, 4, FALSE()), I2370)</f>
        <v>2025-04-11</v>
      </c>
      <c r="T2370">
        <f t="shared" ref="T2370:T2433" si="225">IF(ISBLANK(J2370), "", J2370-B2370)</f>
        <v>25</v>
      </c>
      <c r="U2370" t="str">
        <f t="shared" ref="U2370:U2433" si="226">IF(O2370="Open", "Open", IF(J2370&gt;S2370, "Late", "On-Time"))</f>
        <v>Late</v>
      </c>
      <c r="V2370">
        <f t="shared" ref="V2370:V2433" si="227">IF(K2370&gt;0, L2370/K2370, 0)</f>
        <v>0</v>
      </c>
    </row>
    <row r="2371" spans="1:22" x14ac:dyDescent="0.45">
      <c r="A2371" t="s">
        <v>3226</v>
      </c>
      <c r="B2371" t="s">
        <v>993</v>
      </c>
      <c r="C2371" t="s">
        <v>32</v>
      </c>
      <c r="D2371" t="s">
        <v>84</v>
      </c>
      <c r="E2371" t="s">
        <v>15</v>
      </c>
      <c r="F2371">
        <v>48</v>
      </c>
      <c r="G2371">
        <v>7271</v>
      </c>
      <c r="H2371">
        <v>349008</v>
      </c>
      <c r="I2371" t="s">
        <v>238</v>
      </c>
      <c r="J2371" t="s">
        <v>327</v>
      </c>
      <c r="K2371">
        <v>48</v>
      </c>
      <c r="L2371">
        <v>0</v>
      </c>
      <c r="M2371" t="s">
        <v>115</v>
      </c>
      <c r="N2371" t="str">
        <f t="shared" si="222"/>
        <v>PO-102370</v>
      </c>
      <c r="O2371" t="str">
        <f t="shared" si="223"/>
        <v>Delivered</v>
      </c>
      <c r="P2371" t="str">
        <f t="shared" si="224"/>
        <v>WH-BOM</v>
      </c>
      <c r="Q2371" t="str">
        <f>VLOOKUP(C2371, Lookups!$A$2:$D$10, 2, FALSE())</f>
        <v>OfficeDepot Pro</v>
      </c>
      <c r="R2371" t="str">
        <f>_xlfn.XLOOKUP(D2371, Lookups!$A$12:$A$51, Lookups!$C$12:$C$51, "Unknown")</f>
        <v>Peripherals</v>
      </c>
      <c r="S2371" t="str">
        <f>IF(ISBLANK(I2371), B2371+VLOOKUP(C2371, Lookups!$A$2:$D$10, 4, FALSE()), I2371)</f>
        <v>2025-06-04</v>
      </c>
      <c r="T2371">
        <f t="shared" si="225"/>
        <v>8</v>
      </c>
      <c r="U2371" t="str">
        <f t="shared" si="226"/>
        <v>Late</v>
      </c>
      <c r="V2371">
        <f t="shared" si="227"/>
        <v>0</v>
      </c>
    </row>
    <row r="2372" spans="1:22" x14ac:dyDescent="0.45">
      <c r="A2372" t="s">
        <v>3227</v>
      </c>
      <c r="B2372" t="s">
        <v>718</v>
      </c>
      <c r="C2372" t="s">
        <v>36</v>
      </c>
      <c r="D2372" t="s">
        <v>62</v>
      </c>
      <c r="E2372" t="s">
        <v>15</v>
      </c>
      <c r="F2372">
        <v>127</v>
      </c>
      <c r="G2372">
        <v>48478</v>
      </c>
      <c r="H2372">
        <v>6156706</v>
      </c>
      <c r="I2372" t="s">
        <v>315</v>
      </c>
      <c r="J2372" t="s">
        <v>316</v>
      </c>
      <c r="K2372">
        <v>127</v>
      </c>
      <c r="L2372">
        <v>0</v>
      </c>
      <c r="M2372" t="s">
        <v>115</v>
      </c>
      <c r="N2372" t="str">
        <f t="shared" si="222"/>
        <v>PO-102371</v>
      </c>
      <c r="O2372" t="str">
        <f t="shared" si="223"/>
        <v>Delivered</v>
      </c>
      <c r="P2372" t="str">
        <f t="shared" si="224"/>
        <v>WH-BOM</v>
      </c>
      <c r="Q2372" t="str">
        <f>VLOOKUP(C2372, Lookups!$A$2:$D$10, 2, FALSE())</f>
        <v>NextGen Hardware</v>
      </c>
      <c r="R2372" t="str">
        <f>_xlfn.XLOOKUP(D2372, Lookups!$A$12:$A$51, Lookups!$C$12:$C$51, "Unknown")</f>
        <v>Electronics</v>
      </c>
      <c r="S2372" t="str">
        <f>IF(ISBLANK(I2372), B2372+VLOOKUP(C2372, Lookups!$A$2:$D$10, 4, FALSE()), I2372)</f>
        <v>2026-03-07</v>
      </c>
      <c r="T2372">
        <f t="shared" si="225"/>
        <v>25</v>
      </c>
      <c r="U2372" t="str">
        <f t="shared" si="226"/>
        <v>Late</v>
      </c>
      <c r="V2372">
        <f t="shared" si="227"/>
        <v>0</v>
      </c>
    </row>
    <row r="2373" spans="1:22" x14ac:dyDescent="0.45">
      <c r="A2373" t="s">
        <v>3228</v>
      </c>
      <c r="B2373" t="s">
        <v>356</v>
      </c>
      <c r="C2373" t="s">
        <v>33</v>
      </c>
      <c r="D2373" t="s">
        <v>89</v>
      </c>
      <c r="E2373" t="s">
        <v>17</v>
      </c>
      <c r="F2373">
        <v>163</v>
      </c>
      <c r="G2373">
        <v>11309</v>
      </c>
      <c r="H2373">
        <v>1843367</v>
      </c>
      <c r="I2373" t="s">
        <v>1077</v>
      </c>
      <c r="J2373" t="s">
        <v>905</v>
      </c>
      <c r="K2373">
        <v>163</v>
      </c>
      <c r="L2373">
        <v>0</v>
      </c>
      <c r="M2373" t="s">
        <v>115</v>
      </c>
      <c r="N2373" t="str">
        <f t="shared" si="222"/>
        <v>PO-102372</v>
      </c>
      <c r="O2373" t="str">
        <f t="shared" si="223"/>
        <v>Delivered</v>
      </c>
      <c r="P2373" t="str">
        <f t="shared" si="224"/>
        <v>WH-BLR</v>
      </c>
      <c r="Q2373" t="str">
        <f>VLOOKUP(C2373, Lookups!$A$2:$D$10, 2, FALSE())</f>
        <v>MegaFurnish</v>
      </c>
      <c r="R2373" t="str">
        <f>_xlfn.XLOOKUP(D2373, Lookups!$A$12:$A$51, Lookups!$C$12:$C$51, "Unknown")</f>
        <v>Office Furniture</v>
      </c>
      <c r="S2373" t="str">
        <f>IF(ISBLANK(I2373), B2373+VLOOKUP(C2373, Lookups!$A$2:$D$10, 4, FALSE()), I2373)</f>
        <v>2025-10-27</v>
      </c>
      <c r="T2373">
        <f t="shared" si="225"/>
        <v>34</v>
      </c>
      <c r="U2373" t="str">
        <f t="shared" si="226"/>
        <v>Late</v>
      </c>
      <c r="V2373">
        <f t="shared" si="227"/>
        <v>0</v>
      </c>
    </row>
    <row r="2374" spans="1:22" x14ac:dyDescent="0.45">
      <c r="A2374" t="s">
        <v>3229</v>
      </c>
      <c r="B2374" t="s">
        <v>209</v>
      </c>
      <c r="C2374" t="s">
        <v>30</v>
      </c>
      <c r="D2374" t="s">
        <v>52</v>
      </c>
      <c r="E2374" t="s">
        <v>16</v>
      </c>
      <c r="F2374">
        <v>67</v>
      </c>
      <c r="G2374">
        <v>59592</v>
      </c>
      <c r="H2374">
        <v>3992664</v>
      </c>
      <c r="I2374" t="s">
        <v>486</v>
      </c>
      <c r="J2374" t="s">
        <v>1187</v>
      </c>
      <c r="K2374">
        <v>67</v>
      </c>
      <c r="L2374">
        <v>0</v>
      </c>
      <c r="M2374" t="s">
        <v>115</v>
      </c>
      <c r="N2374" t="str">
        <f t="shared" si="222"/>
        <v>PO-102373</v>
      </c>
      <c r="O2374" t="str">
        <f t="shared" si="223"/>
        <v>Delivered</v>
      </c>
      <c r="P2374" t="str">
        <f t="shared" si="224"/>
        <v>WH-DEL</v>
      </c>
      <c r="Q2374" t="str">
        <f>VLOOKUP(C2374, Lookups!$A$2:$D$10, 2, FALSE())</f>
        <v>TechSupply Corp</v>
      </c>
      <c r="R2374" t="str">
        <f>_xlfn.XLOOKUP(D2374, Lookups!$A$12:$A$51, Lookups!$C$12:$C$51, "Unknown")</f>
        <v>Electronics</v>
      </c>
      <c r="S2374" t="str">
        <f>IF(ISBLANK(I2374), B2374+VLOOKUP(C2374, Lookups!$A$2:$D$10, 4, FALSE()), I2374)</f>
        <v>2025-06-16</v>
      </c>
      <c r="T2374">
        <f t="shared" si="225"/>
        <v>29</v>
      </c>
      <c r="U2374" t="str">
        <f t="shared" si="226"/>
        <v>Late</v>
      </c>
      <c r="V2374">
        <f t="shared" si="227"/>
        <v>0</v>
      </c>
    </row>
    <row r="2375" spans="1:22" x14ac:dyDescent="0.45">
      <c r="A2375" t="s">
        <v>3230</v>
      </c>
      <c r="B2375" t="s">
        <v>787</v>
      </c>
      <c r="C2375" t="s">
        <v>34</v>
      </c>
      <c r="D2375" t="s">
        <v>74</v>
      </c>
      <c r="E2375" t="s">
        <v>18</v>
      </c>
      <c r="F2375">
        <v>193</v>
      </c>
      <c r="G2375">
        <v>94797</v>
      </c>
      <c r="H2375">
        <v>18295821</v>
      </c>
      <c r="I2375" t="s">
        <v>361</v>
      </c>
      <c r="J2375" t="s">
        <v>361</v>
      </c>
      <c r="K2375">
        <v>193</v>
      </c>
      <c r="L2375">
        <v>0</v>
      </c>
      <c r="M2375" t="s">
        <v>115</v>
      </c>
      <c r="N2375" t="str">
        <f t="shared" si="222"/>
        <v>PO-102374</v>
      </c>
      <c r="O2375" t="str">
        <f t="shared" si="223"/>
        <v>Delivered</v>
      </c>
      <c r="P2375" t="str">
        <f t="shared" si="224"/>
        <v>WH-PUN</v>
      </c>
      <c r="Q2375" t="str">
        <f>VLOOKUP(C2375, Lookups!$A$2:$D$10, 2, FALSE())</f>
        <v>FastElectronics</v>
      </c>
      <c r="R2375" t="str">
        <f>_xlfn.XLOOKUP(D2375, Lookups!$A$12:$A$51, Lookups!$C$12:$C$51, "Unknown")</f>
        <v>Electronics</v>
      </c>
      <c r="S2375" t="str">
        <f>IF(ISBLANK(I2375), B2375+VLOOKUP(C2375, Lookups!$A$2:$D$10, 4, FALSE()), I2375)</f>
        <v>2026-03-22</v>
      </c>
      <c r="T2375">
        <f t="shared" si="225"/>
        <v>18</v>
      </c>
      <c r="U2375" t="str">
        <f t="shared" si="226"/>
        <v>On-Time</v>
      </c>
      <c r="V2375">
        <f t="shared" si="227"/>
        <v>0</v>
      </c>
    </row>
    <row r="2376" spans="1:22" x14ac:dyDescent="0.45">
      <c r="A2376" t="s">
        <v>3231</v>
      </c>
      <c r="B2376" t="s">
        <v>1459</v>
      </c>
      <c r="C2376" t="s">
        <v>32</v>
      </c>
      <c r="D2376" t="s">
        <v>84</v>
      </c>
      <c r="E2376" t="s">
        <v>15</v>
      </c>
      <c r="F2376">
        <v>64</v>
      </c>
      <c r="G2376">
        <v>7271</v>
      </c>
      <c r="H2376">
        <v>465344</v>
      </c>
      <c r="I2376" t="s">
        <v>724</v>
      </c>
      <c r="J2376" t="s">
        <v>413</v>
      </c>
      <c r="K2376">
        <v>64</v>
      </c>
      <c r="L2376">
        <v>0</v>
      </c>
      <c r="M2376" t="s">
        <v>115</v>
      </c>
      <c r="N2376" t="str">
        <f t="shared" si="222"/>
        <v>PO-102375</v>
      </c>
      <c r="O2376" t="str">
        <f t="shared" si="223"/>
        <v>Delivered</v>
      </c>
      <c r="P2376" t="str">
        <f t="shared" si="224"/>
        <v>WH-BOM</v>
      </c>
      <c r="Q2376" t="str">
        <f>VLOOKUP(C2376, Lookups!$A$2:$D$10, 2, FALSE())</f>
        <v>OfficeDepot Pro</v>
      </c>
      <c r="R2376" t="str">
        <f>_xlfn.XLOOKUP(D2376, Lookups!$A$12:$A$51, Lookups!$C$12:$C$51, "Unknown")</f>
        <v>Peripherals</v>
      </c>
      <c r="S2376" t="str">
        <f>IF(ISBLANK(I2376), B2376+VLOOKUP(C2376, Lookups!$A$2:$D$10, 4, FALSE()), I2376)</f>
        <v>2026-05-25</v>
      </c>
      <c r="T2376">
        <f t="shared" si="225"/>
        <v>18</v>
      </c>
      <c r="U2376" t="str">
        <f t="shared" si="226"/>
        <v>Late</v>
      </c>
      <c r="V2376">
        <f t="shared" si="227"/>
        <v>0</v>
      </c>
    </row>
    <row r="2377" spans="1:22" x14ac:dyDescent="0.45">
      <c r="A2377" t="s">
        <v>3232</v>
      </c>
      <c r="B2377" t="s">
        <v>231</v>
      </c>
      <c r="C2377" t="s">
        <v>32</v>
      </c>
      <c r="D2377" t="s">
        <v>67</v>
      </c>
      <c r="E2377" t="s">
        <v>18</v>
      </c>
      <c r="F2377">
        <v>84</v>
      </c>
      <c r="G2377">
        <v>1553</v>
      </c>
      <c r="H2377">
        <v>130452</v>
      </c>
      <c r="I2377" t="s">
        <v>232</v>
      </c>
      <c r="J2377" t="s">
        <v>1087</v>
      </c>
      <c r="K2377">
        <v>84</v>
      </c>
      <c r="L2377">
        <v>7</v>
      </c>
      <c r="M2377" t="s">
        <v>115</v>
      </c>
      <c r="N2377" t="str">
        <f t="shared" si="222"/>
        <v>PO-102376</v>
      </c>
      <c r="O2377" t="str">
        <f t="shared" si="223"/>
        <v>Delivered</v>
      </c>
      <c r="P2377" t="str">
        <f t="shared" si="224"/>
        <v>WH-PUN</v>
      </c>
      <c r="Q2377" t="str">
        <f>VLOOKUP(C2377, Lookups!$A$2:$D$10, 2, FALSE())</f>
        <v>OfficeDepot Pro</v>
      </c>
      <c r="R2377" t="str">
        <f>_xlfn.XLOOKUP(D2377, Lookups!$A$12:$A$51, Lookups!$C$12:$C$51, "Unknown")</f>
        <v>Peripherals</v>
      </c>
      <c r="S2377" t="str">
        <f>IF(ISBLANK(I2377), B2377+VLOOKUP(C2377, Lookups!$A$2:$D$10, 4, FALSE()), I2377)</f>
        <v>2025-11-14</v>
      </c>
      <c r="T2377">
        <f t="shared" si="225"/>
        <v>8</v>
      </c>
      <c r="U2377" t="str">
        <f t="shared" si="226"/>
        <v>Late</v>
      </c>
      <c r="V2377">
        <f t="shared" si="227"/>
        <v>8.3333333333333329E-2</v>
      </c>
    </row>
    <row r="2378" spans="1:22" x14ac:dyDescent="0.45">
      <c r="A2378" t="s">
        <v>3233</v>
      </c>
      <c r="B2378" t="s">
        <v>993</v>
      </c>
      <c r="C2378" t="s">
        <v>30</v>
      </c>
      <c r="D2378" t="s">
        <v>88</v>
      </c>
      <c r="E2378" t="s">
        <v>17</v>
      </c>
      <c r="F2378">
        <v>58</v>
      </c>
      <c r="G2378">
        <v>75512</v>
      </c>
      <c r="H2378">
        <v>4379696</v>
      </c>
      <c r="I2378" t="s">
        <v>791</v>
      </c>
      <c r="J2378" t="s">
        <v>791</v>
      </c>
      <c r="K2378">
        <v>58</v>
      </c>
      <c r="L2378">
        <v>0</v>
      </c>
      <c r="M2378" t="s">
        <v>115</v>
      </c>
      <c r="N2378" t="str">
        <f t="shared" si="222"/>
        <v>PO-102377</v>
      </c>
      <c r="O2378" t="str">
        <f t="shared" si="223"/>
        <v>Delivered</v>
      </c>
      <c r="P2378" t="str">
        <f t="shared" si="224"/>
        <v>WH-BLR</v>
      </c>
      <c r="Q2378" t="str">
        <f>VLOOKUP(C2378, Lookups!$A$2:$D$10, 2, FALSE())</f>
        <v>TechSupply Corp</v>
      </c>
      <c r="R2378" t="str">
        <f>_xlfn.XLOOKUP(D2378, Lookups!$A$12:$A$51, Lookups!$C$12:$C$51, "Unknown")</f>
        <v>Electronics</v>
      </c>
      <c r="S2378" t="str">
        <f>IF(ISBLANK(I2378), B2378+VLOOKUP(C2378, Lookups!$A$2:$D$10, 4, FALSE()), I2378)</f>
        <v>2025-06-11</v>
      </c>
      <c r="T2378">
        <f t="shared" si="225"/>
        <v>14</v>
      </c>
      <c r="U2378" t="str">
        <f t="shared" si="226"/>
        <v>On-Time</v>
      </c>
      <c r="V2378">
        <f t="shared" si="227"/>
        <v>0</v>
      </c>
    </row>
    <row r="2379" spans="1:22" x14ac:dyDescent="0.45">
      <c r="A2379" t="s">
        <v>3234</v>
      </c>
      <c r="B2379" t="s">
        <v>668</v>
      </c>
      <c r="C2379" t="s">
        <v>30</v>
      </c>
      <c r="D2379" t="s">
        <v>82</v>
      </c>
      <c r="E2379" t="s">
        <v>16</v>
      </c>
      <c r="F2379">
        <v>79</v>
      </c>
      <c r="G2379">
        <v>83427</v>
      </c>
      <c r="H2379">
        <v>6590733</v>
      </c>
      <c r="I2379" t="s">
        <v>782</v>
      </c>
      <c r="J2379" t="s">
        <v>259</v>
      </c>
      <c r="K2379">
        <v>79</v>
      </c>
      <c r="L2379">
        <v>0</v>
      </c>
      <c r="M2379" t="s">
        <v>115</v>
      </c>
      <c r="N2379" t="str">
        <f t="shared" si="222"/>
        <v>PO-102378</v>
      </c>
      <c r="O2379" t="str">
        <f t="shared" si="223"/>
        <v>Delivered</v>
      </c>
      <c r="P2379" t="str">
        <f t="shared" si="224"/>
        <v>WH-DEL</v>
      </c>
      <c r="Q2379" t="str">
        <f>VLOOKUP(C2379, Lookups!$A$2:$D$10, 2, FALSE())</f>
        <v>TechSupply Corp</v>
      </c>
      <c r="R2379" t="str">
        <f>_xlfn.XLOOKUP(D2379, Lookups!$A$12:$A$51, Lookups!$C$12:$C$51, "Unknown")</f>
        <v>Electronics</v>
      </c>
      <c r="S2379" t="str">
        <f>IF(ISBLANK(I2379), B2379+VLOOKUP(C2379, Lookups!$A$2:$D$10, 4, FALSE()), I2379)</f>
        <v>2025-02-07</v>
      </c>
      <c r="T2379">
        <f t="shared" si="225"/>
        <v>15</v>
      </c>
      <c r="U2379" t="str">
        <f t="shared" si="226"/>
        <v>Late</v>
      </c>
      <c r="V2379">
        <f t="shared" si="227"/>
        <v>0</v>
      </c>
    </row>
    <row r="2380" spans="1:22" x14ac:dyDescent="0.45">
      <c r="A2380" t="s">
        <v>3235</v>
      </c>
      <c r="B2380" t="s">
        <v>715</v>
      </c>
      <c r="C2380" t="s">
        <v>37</v>
      </c>
      <c r="D2380" t="s">
        <v>78</v>
      </c>
      <c r="E2380" t="s">
        <v>15</v>
      </c>
      <c r="F2380">
        <v>238</v>
      </c>
      <c r="G2380">
        <v>9423</v>
      </c>
      <c r="H2380">
        <v>2242674</v>
      </c>
      <c r="I2380" t="s">
        <v>585</v>
      </c>
      <c r="J2380" t="s">
        <v>249</v>
      </c>
      <c r="K2380">
        <v>238</v>
      </c>
      <c r="L2380">
        <v>0</v>
      </c>
      <c r="M2380" t="s">
        <v>301</v>
      </c>
      <c r="N2380" t="str">
        <f t="shared" si="222"/>
        <v>PO-102379</v>
      </c>
      <c r="O2380" t="str">
        <f t="shared" si="223"/>
        <v>Delivered</v>
      </c>
      <c r="P2380" t="str">
        <f t="shared" si="224"/>
        <v>WH-BOM</v>
      </c>
      <c r="Q2380" t="str">
        <f>VLOOKUP(C2380, Lookups!$A$2:$D$10, 2, FALSE())</f>
        <v>Premium Desks Ltd</v>
      </c>
      <c r="R2380" t="str">
        <f>_xlfn.XLOOKUP(D2380, Lookups!$A$12:$A$51, Lookups!$C$12:$C$51, "Unknown")</f>
        <v>Office Furniture</v>
      </c>
      <c r="S2380" t="str">
        <f>IF(ISBLANK(I2380), B2380+VLOOKUP(C2380, Lookups!$A$2:$D$10, 4, FALSE()), I2380)</f>
        <v>2025-07-22</v>
      </c>
      <c r="T2380">
        <f t="shared" si="225"/>
        <v>10</v>
      </c>
      <c r="U2380" t="str">
        <f t="shared" si="226"/>
        <v>On-Time</v>
      </c>
      <c r="V2380">
        <f t="shared" si="227"/>
        <v>0</v>
      </c>
    </row>
    <row r="2381" spans="1:22" x14ac:dyDescent="0.45">
      <c r="A2381" t="s">
        <v>3236</v>
      </c>
      <c r="B2381" t="s">
        <v>549</v>
      </c>
      <c r="C2381" t="s">
        <v>37</v>
      </c>
      <c r="D2381" t="s">
        <v>83</v>
      </c>
      <c r="E2381" t="s">
        <v>17</v>
      </c>
      <c r="F2381">
        <v>92</v>
      </c>
      <c r="G2381">
        <v>19850</v>
      </c>
      <c r="H2381">
        <v>1826200</v>
      </c>
      <c r="I2381" t="s">
        <v>422</v>
      </c>
      <c r="J2381" t="s">
        <v>422</v>
      </c>
      <c r="K2381">
        <v>92</v>
      </c>
      <c r="L2381">
        <v>6</v>
      </c>
      <c r="M2381" t="s">
        <v>115</v>
      </c>
      <c r="N2381" t="str">
        <f t="shared" si="222"/>
        <v>PO-102380</v>
      </c>
      <c r="O2381" t="str">
        <f t="shared" si="223"/>
        <v>Delivered</v>
      </c>
      <c r="P2381" t="str">
        <f t="shared" si="224"/>
        <v>WH-BLR</v>
      </c>
      <c r="Q2381" t="str">
        <f>VLOOKUP(C2381, Lookups!$A$2:$D$10, 2, FALSE())</f>
        <v>Premium Desks Ltd</v>
      </c>
      <c r="R2381" t="str">
        <f>_xlfn.XLOOKUP(D2381, Lookups!$A$12:$A$51, Lookups!$C$12:$C$51, "Unknown")</f>
        <v>Office Furniture</v>
      </c>
      <c r="S2381" t="str">
        <f>IF(ISBLANK(I2381), B2381+VLOOKUP(C2381, Lookups!$A$2:$D$10, 4, FALSE()), I2381)</f>
        <v>2026-01-19</v>
      </c>
      <c r="T2381">
        <f t="shared" si="225"/>
        <v>12</v>
      </c>
      <c r="U2381" t="str">
        <f t="shared" si="226"/>
        <v>On-Time</v>
      </c>
      <c r="V2381">
        <f t="shared" si="227"/>
        <v>6.5217391304347824E-2</v>
      </c>
    </row>
    <row r="2382" spans="1:22" x14ac:dyDescent="0.45">
      <c r="A2382" t="s">
        <v>3237</v>
      </c>
      <c r="B2382" t="s">
        <v>483</v>
      </c>
      <c r="C2382" t="s">
        <v>31</v>
      </c>
      <c r="D2382" t="s">
        <v>64</v>
      </c>
      <c r="E2382" t="s">
        <v>16</v>
      </c>
      <c r="F2382">
        <v>89</v>
      </c>
      <c r="G2382">
        <v>36295</v>
      </c>
      <c r="H2382">
        <v>3230255</v>
      </c>
      <c r="I2382" t="s">
        <v>882</v>
      </c>
      <c r="J2382" t="s">
        <v>882</v>
      </c>
      <c r="K2382">
        <v>89</v>
      </c>
      <c r="L2382">
        <v>0</v>
      </c>
      <c r="M2382" t="s">
        <v>115</v>
      </c>
      <c r="N2382" t="str">
        <f t="shared" si="222"/>
        <v>PO-102381</v>
      </c>
      <c r="O2382" t="str">
        <f t="shared" si="223"/>
        <v>Delivered</v>
      </c>
      <c r="P2382" t="str">
        <f t="shared" si="224"/>
        <v>WH-DEL</v>
      </c>
      <c r="Q2382" t="str">
        <f>VLOOKUP(C2382, Lookups!$A$2:$D$10, 2, FALSE())</f>
        <v>Global Networks</v>
      </c>
      <c r="R2382" t="str">
        <f>_xlfn.XLOOKUP(D2382, Lookups!$A$12:$A$51, Lookups!$C$12:$C$51, "Unknown")</f>
        <v>Networking</v>
      </c>
      <c r="S2382" t="str">
        <f>IF(ISBLANK(I2382), B2382+VLOOKUP(C2382, Lookups!$A$2:$D$10, 4, FALSE()), I2382)</f>
        <v>2026-06-22</v>
      </c>
      <c r="T2382">
        <f t="shared" si="225"/>
        <v>21</v>
      </c>
      <c r="U2382" t="str">
        <f t="shared" si="226"/>
        <v>On-Time</v>
      </c>
      <c r="V2382">
        <f t="shared" si="227"/>
        <v>0</v>
      </c>
    </row>
    <row r="2383" spans="1:22" x14ac:dyDescent="0.45">
      <c r="A2383" t="s">
        <v>3238</v>
      </c>
      <c r="B2383" t="s">
        <v>1367</v>
      </c>
      <c r="C2383" t="s">
        <v>37</v>
      </c>
      <c r="D2383" t="s">
        <v>69</v>
      </c>
      <c r="E2383" t="s">
        <v>16</v>
      </c>
      <c r="F2383">
        <v>182</v>
      </c>
      <c r="G2383">
        <v>13231</v>
      </c>
      <c r="H2383">
        <v>2408042</v>
      </c>
      <c r="I2383" t="s">
        <v>670</v>
      </c>
      <c r="J2383" t="s">
        <v>1401</v>
      </c>
      <c r="K2383">
        <v>182</v>
      </c>
      <c r="L2383">
        <v>0</v>
      </c>
      <c r="M2383" t="s">
        <v>115</v>
      </c>
      <c r="N2383" t="str">
        <f t="shared" si="222"/>
        <v>PO-102382</v>
      </c>
      <c r="O2383" t="str">
        <f t="shared" si="223"/>
        <v>Delivered</v>
      </c>
      <c r="P2383" t="str">
        <f t="shared" si="224"/>
        <v>WH-DEL</v>
      </c>
      <c r="Q2383" t="str">
        <f>VLOOKUP(C2383, Lookups!$A$2:$D$10, 2, FALSE())</f>
        <v>Premium Desks Ltd</v>
      </c>
      <c r="R2383" t="str">
        <f>_xlfn.XLOOKUP(D2383, Lookups!$A$12:$A$51, Lookups!$C$12:$C$51, "Unknown")</f>
        <v>Office Furniture</v>
      </c>
      <c r="S2383" t="str">
        <f>IF(ISBLANK(I2383), B2383+VLOOKUP(C2383, Lookups!$A$2:$D$10, 4, FALSE()), I2383)</f>
        <v>2026-10-23</v>
      </c>
      <c r="T2383">
        <f t="shared" si="225"/>
        <v>13</v>
      </c>
      <c r="U2383" t="str">
        <f t="shared" si="226"/>
        <v>Late</v>
      </c>
      <c r="V2383">
        <f t="shared" si="227"/>
        <v>0</v>
      </c>
    </row>
    <row r="2384" spans="1:22" x14ac:dyDescent="0.45">
      <c r="A2384" t="s">
        <v>3239</v>
      </c>
      <c r="B2384" t="s">
        <v>984</v>
      </c>
      <c r="C2384" t="s">
        <v>33</v>
      </c>
      <c r="D2384" t="s">
        <v>89</v>
      </c>
      <c r="E2384" t="s">
        <v>16</v>
      </c>
      <c r="F2384">
        <v>13</v>
      </c>
      <c r="G2384">
        <v>11309</v>
      </c>
      <c r="H2384">
        <v>147017</v>
      </c>
      <c r="I2384" t="s">
        <v>169</v>
      </c>
      <c r="J2384" t="s">
        <v>731</v>
      </c>
      <c r="K2384">
        <v>13</v>
      </c>
      <c r="L2384">
        <v>0</v>
      </c>
      <c r="M2384" t="s">
        <v>115</v>
      </c>
      <c r="N2384" t="str">
        <f t="shared" si="222"/>
        <v>PO-102383</v>
      </c>
      <c r="O2384" t="str">
        <f t="shared" si="223"/>
        <v>Delivered</v>
      </c>
      <c r="P2384" t="str">
        <f t="shared" si="224"/>
        <v>WH-DEL</v>
      </c>
      <c r="Q2384" t="str">
        <f>VLOOKUP(C2384, Lookups!$A$2:$D$10, 2, FALSE())</f>
        <v>MegaFurnish</v>
      </c>
      <c r="R2384" t="str">
        <f>_xlfn.XLOOKUP(D2384, Lookups!$A$12:$A$51, Lookups!$C$12:$C$51, "Unknown")</f>
        <v>Office Furniture</v>
      </c>
      <c r="S2384" t="str">
        <f>IF(ISBLANK(I2384), B2384+VLOOKUP(C2384, Lookups!$A$2:$D$10, 4, FALSE()), I2384)</f>
        <v>2025-06-07</v>
      </c>
      <c r="T2384">
        <f t="shared" si="225"/>
        <v>31</v>
      </c>
      <c r="U2384" t="str">
        <f t="shared" si="226"/>
        <v>Late</v>
      </c>
      <c r="V2384">
        <f t="shared" si="227"/>
        <v>0</v>
      </c>
    </row>
    <row r="2385" spans="1:22" x14ac:dyDescent="0.45">
      <c r="A2385" t="s">
        <v>3240</v>
      </c>
      <c r="B2385" t="s">
        <v>1442</v>
      </c>
      <c r="C2385" t="s">
        <v>35</v>
      </c>
      <c r="D2385" t="s">
        <v>75</v>
      </c>
      <c r="E2385" t="s">
        <v>18</v>
      </c>
      <c r="F2385">
        <v>217</v>
      </c>
      <c r="G2385">
        <v>4440</v>
      </c>
      <c r="H2385">
        <v>963480</v>
      </c>
      <c r="I2385" t="s">
        <v>1530</v>
      </c>
      <c r="J2385" t="s">
        <v>1641</v>
      </c>
      <c r="K2385">
        <v>217</v>
      </c>
      <c r="L2385">
        <v>0</v>
      </c>
      <c r="M2385" t="s">
        <v>115</v>
      </c>
      <c r="N2385" t="str">
        <f t="shared" si="222"/>
        <v>PO-102384</v>
      </c>
      <c r="O2385" t="str">
        <f t="shared" si="223"/>
        <v>Delivered</v>
      </c>
      <c r="P2385" t="str">
        <f t="shared" si="224"/>
        <v>WH-PUN</v>
      </c>
      <c r="Q2385" t="str">
        <f>VLOOKUP(C2385, Lookups!$A$2:$D$10, 2, FALSE())</f>
        <v>Peripheral Source</v>
      </c>
      <c r="R2385" t="str">
        <f>_xlfn.XLOOKUP(D2385, Lookups!$A$12:$A$51, Lookups!$C$12:$C$51, "Unknown")</f>
        <v>Peripherals</v>
      </c>
      <c r="S2385" t="str">
        <f>IF(ISBLANK(I2385), B2385+VLOOKUP(C2385, Lookups!$A$2:$D$10, 4, FALSE()), I2385)</f>
        <v>2025-07-12</v>
      </c>
      <c r="T2385">
        <f t="shared" si="225"/>
        <v>19</v>
      </c>
      <c r="U2385" t="str">
        <f t="shared" si="226"/>
        <v>Late</v>
      </c>
      <c r="V2385">
        <f t="shared" si="227"/>
        <v>0</v>
      </c>
    </row>
    <row r="2386" spans="1:22" x14ac:dyDescent="0.45">
      <c r="A2386" t="s">
        <v>3241</v>
      </c>
      <c r="B2386" t="s">
        <v>172</v>
      </c>
      <c r="C2386" t="s">
        <v>37</v>
      </c>
      <c r="D2386" t="s">
        <v>78</v>
      </c>
      <c r="E2386" t="s">
        <v>16</v>
      </c>
      <c r="F2386">
        <v>31</v>
      </c>
      <c r="G2386">
        <v>9423</v>
      </c>
      <c r="H2386">
        <v>292113</v>
      </c>
      <c r="I2386" t="s">
        <v>593</v>
      </c>
      <c r="J2386" t="s">
        <v>394</v>
      </c>
      <c r="K2386">
        <v>31</v>
      </c>
      <c r="L2386">
        <v>0</v>
      </c>
      <c r="M2386" t="s">
        <v>927</v>
      </c>
      <c r="N2386" t="str">
        <f t="shared" si="222"/>
        <v>PO-102385</v>
      </c>
      <c r="O2386" t="str">
        <f t="shared" si="223"/>
        <v>Delivered</v>
      </c>
      <c r="P2386" t="str">
        <f t="shared" si="224"/>
        <v>WH-DEL</v>
      </c>
      <c r="Q2386" t="str">
        <f>VLOOKUP(C2386, Lookups!$A$2:$D$10, 2, FALSE())</f>
        <v>Premium Desks Ltd</v>
      </c>
      <c r="R2386" t="str">
        <f>_xlfn.XLOOKUP(D2386, Lookups!$A$12:$A$51, Lookups!$C$12:$C$51, "Unknown")</f>
        <v>Office Furniture</v>
      </c>
      <c r="S2386" t="str">
        <f>IF(ISBLANK(I2386), B2386+VLOOKUP(C2386, Lookups!$A$2:$D$10, 4, FALSE()), I2386)</f>
        <v>2025-09-15</v>
      </c>
      <c r="T2386">
        <f t="shared" si="225"/>
        <v>13</v>
      </c>
      <c r="U2386" t="str">
        <f t="shared" si="226"/>
        <v>Late</v>
      </c>
      <c r="V2386">
        <f t="shared" si="227"/>
        <v>0</v>
      </c>
    </row>
    <row r="2387" spans="1:22" x14ac:dyDescent="0.45">
      <c r="A2387" t="s">
        <v>3242</v>
      </c>
      <c r="B2387" t="s">
        <v>1191</v>
      </c>
      <c r="C2387" t="s">
        <v>30</v>
      </c>
      <c r="D2387" t="s">
        <v>86</v>
      </c>
      <c r="E2387" t="s">
        <v>16</v>
      </c>
      <c r="F2387">
        <v>166</v>
      </c>
      <c r="G2387">
        <v>74871</v>
      </c>
      <c r="H2387">
        <v>12428586</v>
      </c>
      <c r="I2387" t="s">
        <v>168</v>
      </c>
      <c r="J2387" t="s">
        <v>831</v>
      </c>
      <c r="K2387">
        <v>166</v>
      </c>
      <c r="L2387">
        <v>0</v>
      </c>
      <c r="M2387" t="s">
        <v>115</v>
      </c>
      <c r="N2387" t="str">
        <f t="shared" si="222"/>
        <v>PO-102386</v>
      </c>
      <c r="O2387" t="str">
        <f t="shared" si="223"/>
        <v>Delivered</v>
      </c>
      <c r="P2387" t="str">
        <f t="shared" si="224"/>
        <v>WH-DEL</v>
      </c>
      <c r="Q2387" t="str">
        <f>VLOOKUP(C2387, Lookups!$A$2:$D$10, 2, FALSE())</f>
        <v>TechSupply Corp</v>
      </c>
      <c r="R2387" t="str">
        <f>_xlfn.XLOOKUP(D2387, Lookups!$A$12:$A$51, Lookups!$C$12:$C$51, "Unknown")</f>
        <v>Electronics</v>
      </c>
      <c r="S2387" t="str">
        <f>IF(ISBLANK(I2387), B2387+VLOOKUP(C2387, Lookups!$A$2:$D$10, 4, FALSE()), I2387)</f>
        <v>2025-05-20</v>
      </c>
      <c r="T2387">
        <f t="shared" si="225"/>
        <v>15</v>
      </c>
      <c r="U2387" t="str">
        <f t="shared" si="226"/>
        <v>Late</v>
      </c>
      <c r="V2387">
        <f t="shared" si="227"/>
        <v>0</v>
      </c>
    </row>
    <row r="2388" spans="1:22" x14ac:dyDescent="0.45">
      <c r="A2388" t="s">
        <v>3243</v>
      </c>
      <c r="B2388" t="s">
        <v>1003</v>
      </c>
      <c r="C2388" t="s">
        <v>36</v>
      </c>
      <c r="D2388" t="s">
        <v>87</v>
      </c>
      <c r="E2388" t="s">
        <v>15</v>
      </c>
      <c r="F2388">
        <v>51</v>
      </c>
      <c r="G2388">
        <v>82930</v>
      </c>
      <c r="H2388">
        <v>4229430</v>
      </c>
      <c r="I2388" t="s">
        <v>1501</v>
      </c>
      <c r="J2388" t="s">
        <v>1501</v>
      </c>
      <c r="K2388">
        <v>51</v>
      </c>
      <c r="L2388">
        <v>7</v>
      </c>
      <c r="M2388" t="s">
        <v>115</v>
      </c>
      <c r="N2388" t="str">
        <f t="shared" si="222"/>
        <v>PO-102387</v>
      </c>
      <c r="O2388" t="str">
        <f t="shared" si="223"/>
        <v>Delivered</v>
      </c>
      <c r="P2388" t="str">
        <f t="shared" si="224"/>
        <v>WH-BOM</v>
      </c>
      <c r="Q2388" t="str">
        <f>VLOOKUP(C2388, Lookups!$A$2:$D$10, 2, FALSE())</f>
        <v>NextGen Hardware</v>
      </c>
      <c r="R2388" t="str">
        <f>_xlfn.XLOOKUP(D2388, Lookups!$A$12:$A$51, Lookups!$C$12:$C$51, "Unknown")</f>
        <v>Electronics</v>
      </c>
      <c r="S2388" t="str">
        <f>IF(ISBLANK(I2388), B2388+VLOOKUP(C2388, Lookups!$A$2:$D$10, 4, FALSE()), I2388)</f>
        <v>2026-05-21</v>
      </c>
      <c r="T2388">
        <f t="shared" si="225"/>
        <v>24</v>
      </c>
      <c r="U2388" t="str">
        <f t="shared" si="226"/>
        <v>On-Time</v>
      </c>
      <c r="V2388">
        <f t="shared" si="227"/>
        <v>0.13725490196078433</v>
      </c>
    </row>
    <row r="2389" spans="1:22" x14ac:dyDescent="0.45">
      <c r="A2389" t="s">
        <v>3244</v>
      </c>
      <c r="B2389" t="s">
        <v>587</v>
      </c>
      <c r="C2389" t="s">
        <v>37</v>
      </c>
      <c r="D2389" t="s">
        <v>83</v>
      </c>
      <c r="E2389" t="s">
        <v>15</v>
      </c>
      <c r="F2389">
        <v>183</v>
      </c>
      <c r="G2389">
        <v>19850</v>
      </c>
      <c r="H2389">
        <v>3632550</v>
      </c>
      <c r="I2389" t="s">
        <v>217</v>
      </c>
      <c r="J2389" t="s">
        <v>218</v>
      </c>
      <c r="K2389">
        <v>183</v>
      </c>
      <c r="L2389">
        <v>0</v>
      </c>
      <c r="M2389" t="s">
        <v>115</v>
      </c>
      <c r="N2389" t="str">
        <f t="shared" si="222"/>
        <v>PO-102388</v>
      </c>
      <c r="O2389" t="str">
        <f t="shared" si="223"/>
        <v>Delivered</v>
      </c>
      <c r="P2389" t="str">
        <f t="shared" si="224"/>
        <v>WH-BOM</v>
      </c>
      <c r="Q2389" t="str">
        <f>VLOOKUP(C2389, Lookups!$A$2:$D$10, 2, FALSE())</f>
        <v>Premium Desks Ltd</v>
      </c>
      <c r="R2389" t="str">
        <f>_xlfn.XLOOKUP(D2389, Lookups!$A$12:$A$51, Lookups!$C$12:$C$51, "Unknown")</f>
        <v>Office Furniture</v>
      </c>
      <c r="S2389" t="str">
        <f>IF(ISBLANK(I2389), B2389+VLOOKUP(C2389, Lookups!$A$2:$D$10, 4, FALSE()), I2389)</f>
        <v>2026-04-23</v>
      </c>
      <c r="T2389">
        <f t="shared" si="225"/>
        <v>13</v>
      </c>
      <c r="U2389" t="str">
        <f t="shared" si="226"/>
        <v>Late</v>
      </c>
      <c r="V2389">
        <f t="shared" si="227"/>
        <v>0</v>
      </c>
    </row>
    <row r="2390" spans="1:22" x14ac:dyDescent="0.45">
      <c r="A2390" t="s">
        <v>3245</v>
      </c>
      <c r="B2390" t="s">
        <v>257</v>
      </c>
      <c r="C2390" t="s">
        <v>35</v>
      </c>
      <c r="D2390" t="s">
        <v>60</v>
      </c>
      <c r="E2390" t="s">
        <v>18</v>
      </c>
      <c r="F2390">
        <v>179</v>
      </c>
      <c r="G2390">
        <v>3291</v>
      </c>
      <c r="H2390">
        <v>589089</v>
      </c>
      <c r="I2390" t="s">
        <v>607</v>
      </c>
      <c r="J2390" t="s">
        <v>1051</v>
      </c>
      <c r="K2390">
        <v>179</v>
      </c>
      <c r="L2390">
        <v>0</v>
      </c>
      <c r="M2390" t="s">
        <v>115</v>
      </c>
      <c r="N2390" t="str">
        <f t="shared" si="222"/>
        <v>PO-102389</v>
      </c>
      <c r="O2390" t="str">
        <f t="shared" si="223"/>
        <v>Delivered</v>
      </c>
      <c r="P2390" t="str">
        <f t="shared" si="224"/>
        <v>WH-PUN</v>
      </c>
      <c r="Q2390" t="str">
        <f>VLOOKUP(C2390, Lookups!$A$2:$D$10, 2, FALSE())</f>
        <v>Peripheral Source</v>
      </c>
      <c r="R2390" t="str">
        <f>_xlfn.XLOOKUP(D2390, Lookups!$A$12:$A$51, Lookups!$C$12:$C$51, "Unknown")</f>
        <v>Peripherals</v>
      </c>
      <c r="S2390" t="str">
        <f>IF(ISBLANK(I2390), B2390+VLOOKUP(C2390, Lookups!$A$2:$D$10, 4, FALSE()), I2390)</f>
        <v>2025-01-29</v>
      </c>
      <c r="T2390">
        <f t="shared" si="225"/>
        <v>11</v>
      </c>
      <c r="U2390" t="str">
        <f t="shared" si="226"/>
        <v>Late</v>
      </c>
      <c r="V2390">
        <f t="shared" si="227"/>
        <v>0</v>
      </c>
    </row>
    <row r="2391" spans="1:22" x14ac:dyDescent="0.45">
      <c r="A2391" t="s">
        <v>3246</v>
      </c>
      <c r="B2391" t="s">
        <v>1415</v>
      </c>
      <c r="C2391" t="s">
        <v>35</v>
      </c>
      <c r="D2391" t="s">
        <v>65</v>
      </c>
      <c r="E2391" t="s">
        <v>17</v>
      </c>
      <c r="F2391">
        <v>34</v>
      </c>
      <c r="G2391">
        <v>4936</v>
      </c>
      <c r="H2391">
        <v>167824</v>
      </c>
      <c r="I2391" t="s">
        <v>422</v>
      </c>
      <c r="J2391" t="s">
        <v>591</v>
      </c>
      <c r="K2391">
        <v>34</v>
      </c>
      <c r="L2391">
        <v>0</v>
      </c>
      <c r="M2391" t="s">
        <v>115</v>
      </c>
      <c r="N2391" t="str">
        <f t="shared" si="222"/>
        <v>PO-102390</v>
      </c>
      <c r="O2391" t="str">
        <f t="shared" si="223"/>
        <v>Delivered</v>
      </c>
      <c r="P2391" t="str">
        <f t="shared" si="224"/>
        <v>WH-BLR</v>
      </c>
      <c r="Q2391" t="str">
        <f>VLOOKUP(C2391, Lookups!$A$2:$D$10, 2, FALSE())</f>
        <v>Peripheral Source</v>
      </c>
      <c r="R2391" t="str">
        <f>_xlfn.XLOOKUP(D2391, Lookups!$A$12:$A$51, Lookups!$C$12:$C$51, "Unknown")</f>
        <v>Peripherals</v>
      </c>
      <c r="S2391" t="str">
        <f>IF(ISBLANK(I2391), B2391+VLOOKUP(C2391, Lookups!$A$2:$D$10, 4, FALSE()), I2391)</f>
        <v>2026-01-19</v>
      </c>
      <c r="T2391">
        <f t="shared" si="225"/>
        <v>11</v>
      </c>
      <c r="U2391" t="str">
        <f t="shared" si="226"/>
        <v>Late</v>
      </c>
      <c r="V2391">
        <f t="shared" si="227"/>
        <v>0</v>
      </c>
    </row>
    <row r="2392" spans="1:22" x14ac:dyDescent="0.45">
      <c r="A2392" t="s">
        <v>3247</v>
      </c>
      <c r="B2392" t="s">
        <v>1544</v>
      </c>
      <c r="C2392" t="s">
        <v>35</v>
      </c>
      <c r="D2392" t="s">
        <v>65</v>
      </c>
      <c r="E2392" t="s">
        <v>16</v>
      </c>
      <c r="F2392">
        <v>71</v>
      </c>
      <c r="G2392">
        <v>4936</v>
      </c>
      <c r="H2392">
        <v>350456</v>
      </c>
      <c r="I2392" t="s">
        <v>1486</v>
      </c>
      <c r="J2392" t="s">
        <v>1486</v>
      </c>
      <c r="K2392">
        <v>71</v>
      </c>
      <c r="L2392">
        <v>0</v>
      </c>
      <c r="M2392" t="s">
        <v>115</v>
      </c>
      <c r="N2392" t="str">
        <f t="shared" si="222"/>
        <v>PO-102391</v>
      </c>
      <c r="O2392" t="str">
        <f t="shared" si="223"/>
        <v>Delivered</v>
      </c>
      <c r="P2392" t="str">
        <f t="shared" si="224"/>
        <v>WH-DEL</v>
      </c>
      <c r="Q2392" t="str">
        <f>VLOOKUP(C2392, Lookups!$A$2:$D$10, 2, FALSE())</f>
        <v>Peripheral Source</v>
      </c>
      <c r="R2392" t="str">
        <f>_xlfn.XLOOKUP(D2392, Lookups!$A$12:$A$51, Lookups!$C$12:$C$51, "Unknown")</f>
        <v>Peripherals</v>
      </c>
      <c r="S2392" t="str">
        <f>IF(ISBLANK(I2392), B2392+VLOOKUP(C2392, Lookups!$A$2:$D$10, 4, FALSE()), I2392)</f>
        <v>2025-02-11</v>
      </c>
      <c r="T2392">
        <f t="shared" si="225"/>
        <v>10</v>
      </c>
      <c r="U2392" t="str">
        <f t="shared" si="226"/>
        <v>On-Time</v>
      </c>
      <c r="V2392">
        <f t="shared" si="227"/>
        <v>0</v>
      </c>
    </row>
    <row r="2393" spans="1:22" x14ac:dyDescent="0.45">
      <c r="A2393" t="s">
        <v>3248</v>
      </c>
      <c r="B2393" t="s">
        <v>903</v>
      </c>
      <c r="C2393" t="s">
        <v>37</v>
      </c>
      <c r="D2393" t="s">
        <v>79</v>
      </c>
      <c r="E2393" t="s">
        <v>18</v>
      </c>
      <c r="F2393">
        <v>229</v>
      </c>
      <c r="G2393">
        <v>23054</v>
      </c>
      <c r="H2393">
        <v>5279366</v>
      </c>
      <c r="I2393" t="s">
        <v>693</v>
      </c>
      <c r="J2393" t="s">
        <v>693</v>
      </c>
      <c r="K2393">
        <v>229</v>
      </c>
      <c r="L2393">
        <v>0</v>
      </c>
      <c r="M2393" t="s">
        <v>115</v>
      </c>
      <c r="N2393" t="str">
        <f t="shared" si="222"/>
        <v>PO-102392</v>
      </c>
      <c r="O2393" t="str">
        <f t="shared" si="223"/>
        <v>Delivered</v>
      </c>
      <c r="P2393" t="str">
        <f t="shared" si="224"/>
        <v>WH-PUN</v>
      </c>
      <c r="Q2393" t="str">
        <f>VLOOKUP(C2393, Lookups!$A$2:$D$10, 2, FALSE())</f>
        <v>Premium Desks Ltd</v>
      </c>
      <c r="R2393" t="str">
        <f>_xlfn.XLOOKUP(D2393, Lookups!$A$12:$A$51, Lookups!$C$12:$C$51, "Unknown")</f>
        <v>Office Furniture</v>
      </c>
      <c r="S2393" t="str">
        <f>IF(ISBLANK(I2393), B2393+VLOOKUP(C2393, Lookups!$A$2:$D$10, 4, FALSE()), I2393)</f>
        <v>2026-11-22</v>
      </c>
      <c r="T2393">
        <f t="shared" si="225"/>
        <v>12</v>
      </c>
      <c r="U2393" t="str">
        <f t="shared" si="226"/>
        <v>On-Time</v>
      </c>
      <c r="V2393">
        <f t="shared" si="227"/>
        <v>0</v>
      </c>
    </row>
    <row r="2394" spans="1:22" x14ac:dyDescent="0.45">
      <c r="A2394" t="s">
        <v>3249</v>
      </c>
      <c r="B2394" t="s">
        <v>1048</v>
      </c>
      <c r="C2394" t="s">
        <v>34</v>
      </c>
      <c r="D2394" t="s">
        <v>68</v>
      </c>
      <c r="E2394" t="s">
        <v>18</v>
      </c>
      <c r="F2394">
        <v>133</v>
      </c>
      <c r="G2394">
        <v>41405</v>
      </c>
      <c r="H2394">
        <v>5506865</v>
      </c>
      <c r="I2394" t="s">
        <v>483</v>
      </c>
      <c r="J2394" t="s">
        <v>483</v>
      </c>
      <c r="K2394">
        <v>133</v>
      </c>
      <c r="L2394">
        <v>0</v>
      </c>
      <c r="M2394" t="s">
        <v>115</v>
      </c>
      <c r="N2394" t="str">
        <f t="shared" si="222"/>
        <v>PO-102393</v>
      </c>
      <c r="O2394" t="str">
        <f t="shared" si="223"/>
        <v>Delivered</v>
      </c>
      <c r="P2394" t="str">
        <f t="shared" si="224"/>
        <v>WH-PUN</v>
      </c>
      <c r="Q2394" t="str">
        <f>VLOOKUP(C2394, Lookups!$A$2:$D$10, 2, FALSE())</f>
        <v>FastElectronics</v>
      </c>
      <c r="R2394" t="str">
        <f>_xlfn.XLOOKUP(D2394, Lookups!$A$12:$A$51, Lookups!$C$12:$C$51, "Unknown")</f>
        <v>Networking</v>
      </c>
      <c r="S2394" t="str">
        <f>IF(ISBLANK(I2394), B2394+VLOOKUP(C2394, Lookups!$A$2:$D$10, 4, FALSE()), I2394)</f>
        <v>2026-06-01</v>
      </c>
      <c r="T2394">
        <f t="shared" si="225"/>
        <v>18</v>
      </c>
      <c r="U2394" t="str">
        <f t="shared" si="226"/>
        <v>On-Time</v>
      </c>
      <c r="V2394">
        <f t="shared" si="227"/>
        <v>0</v>
      </c>
    </row>
    <row r="2395" spans="1:22" x14ac:dyDescent="0.45">
      <c r="A2395" t="s">
        <v>3250</v>
      </c>
      <c r="B2395" t="s">
        <v>1165</v>
      </c>
      <c r="C2395" t="s">
        <v>35</v>
      </c>
      <c r="D2395" t="s">
        <v>57</v>
      </c>
      <c r="E2395" t="s">
        <v>15</v>
      </c>
      <c r="F2395">
        <v>85</v>
      </c>
      <c r="G2395">
        <v>2212</v>
      </c>
      <c r="H2395">
        <v>188020</v>
      </c>
      <c r="I2395" t="s">
        <v>269</v>
      </c>
      <c r="J2395" t="s">
        <v>805</v>
      </c>
      <c r="K2395">
        <v>85</v>
      </c>
      <c r="L2395">
        <v>0</v>
      </c>
      <c r="M2395" t="s">
        <v>115</v>
      </c>
      <c r="N2395" t="str">
        <f t="shared" si="222"/>
        <v>PO-102394</v>
      </c>
      <c r="O2395" t="str">
        <f t="shared" si="223"/>
        <v>Delivered</v>
      </c>
      <c r="P2395" t="str">
        <f t="shared" si="224"/>
        <v>WH-BOM</v>
      </c>
      <c r="Q2395" t="str">
        <f>VLOOKUP(C2395, Lookups!$A$2:$D$10, 2, FALSE())</f>
        <v>Peripheral Source</v>
      </c>
      <c r="R2395" t="str">
        <f>_xlfn.XLOOKUP(D2395, Lookups!$A$12:$A$51, Lookups!$C$12:$C$51, "Unknown")</f>
        <v>Peripherals</v>
      </c>
      <c r="S2395" t="str">
        <f>IF(ISBLANK(I2395), B2395+VLOOKUP(C2395, Lookups!$A$2:$D$10, 4, FALSE()), I2395)</f>
        <v>2025-04-20</v>
      </c>
      <c r="T2395">
        <f t="shared" si="225"/>
        <v>15</v>
      </c>
      <c r="U2395" t="str">
        <f t="shared" si="226"/>
        <v>Late</v>
      </c>
      <c r="V2395">
        <f t="shared" si="227"/>
        <v>0</v>
      </c>
    </row>
    <row r="2396" spans="1:22" x14ac:dyDescent="0.45">
      <c r="A2396" t="s">
        <v>3251</v>
      </c>
      <c r="B2396" t="s">
        <v>1058</v>
      </c>
      <c r="C2396" t="s">
        <v>36</v>
      </c>
      <c r="D2396" t="s">
        <v>87</v>
      </c>
      <c r="E2396" t="s">
        <v>16</v>
      </c>
      <c r="F2396">
        <v>110</v>
      </c>
      <c r="G2396">
        <v>82930</v>
      </c>
      <c r="H2396">
        <v>9122300</v>
      </c>
      <c r="I2396" t="s">
        <v>542</v>
      </c>
      <c r="J2396" t="s">
        <v>123</v>
      </c>
      <c r="K2396">
        <v>110</v>
      </c>
      <c r="L2396">
        <v>0</v>
      </c>
      <c r="M2396" t="s">
        <v>115</v>
      </c>
      <c r="N2396" t="str">
        <f t="shared" si="222"/>
        <v>PO-102395</v>
      </c>
      <c r="O2396" t="str">
        <f t="shared" si="223"/>
        <v>Delivered</v>
      </c>
      <c r="P2396" t="str">
        <f t="shared" si="224"/>
        <v>WH-DEL</v>
      </c>
      <c r="Q2396" t="str">
        <f>VLOOKUP(C2396, Lookups!$A$2:$D$10, 2, FALSE())</f>
        <v>NextGen Hardware</v>
      </c>
      <c r="R2396" t="str">
        <f>_xlfn.XLOOKUP(D2396, Lookups!$A$12:$A$51, Lookups!$C$12:$C$51, "Unknown")</f>
        <v>Electronics</v>
      </c>
      <c r="S2396" t="str">
        <f>IF(ISBLANK(I2396), B2396+VLOOKUP(C2396, Lookups!$A$2:$D$10, 4, FALSE()), I2396)</f>
        <v>2026-05-19</v>
      </c>
      <c r="T2396">
        <f t="shared" si="225"/>
        <v>27</v>
      </c>
      <c r="U2396" t="str">
        <f t="shared" si="226"/>
        <v>Late</v>
      </c>
      <c r="V2396">
        <f t="shared" si="227"/>
        <v>0</v>
      </c>
    </row>
    <row r="2397" spans="1:22" x14ac:dyDescent="0.45">
      <c r="A2397" t="s">
        <v>3252</v>
      </c>
      <c r="B2397" t="s">
        <v>1227</v>
      </c>
      <c r="C2397" t="s">
        <v>35</v>
      </c>
      <c r="D2397" t="s">
        <v>91</v>
      </c>
      <c r="E2397" t="s">
        <v>17</v>
      </c>
      <c r="F2397">
        <v>174</v>
      </c>
      <c r="G2397">
        <v>6707</v>
      </c>
      <c r="H2397">
        <v>1167018</v>
      </c>
      <c r="I2397" t="s">
        <v>1780</v>
      </c>
      <c r="J2397" t="s">
        <v>863</v>
      </c>
      <c r="K2397">
        <v>174</v>
      </c>
      <c r="L2397">
        <v>0</v>
      </c>
      <c r="M2397" t="s">
        <v>115</v>
      </c>
      <c r="N2397" t="str">
        <f t="shared" si="222"/>
        <v>PO-102396</v>
      </c>
      <c r="O2397" t="str">
        <f t="shared" si="223"/>
        <v>Delivered</v>
      </c>
      <c r="P2397" t="str">
        <f t="shared" si="224"/>
        <v>WH-BLR</v>
      </c>
      <c r="Q2397" t="str">
        <f>VLOOKUP(C2397, Lookups!$A$2:$D$10, 2, FALSE())</f>
        <v>Peripheral Source</v>
      </c>
      <c r="R2397" t="str">
        <f>_xlfn.XLOOKUP(D2397, Lookups!$A$12:$A$51, Lookups!$C$12:$C$51, "Unknown")</f>
        <v>Peripherals</v>
      </c>
      <c r="S2397" t="str">
        <f>IF(ISBLANK(I2397), B2397+VLOOKUP(C2397, Lookups!$A$2:$D$10, 4, FALSE()), I2397)</f>
        <v>2026-05-13</v>
      </c>
      <c r="T2397">
        <f t="shared" si="225"/>
        <v>8</v>
      </c>
      <c r="U2397" t="str">
        <f t="shared" si="226"/>
        <v>On-Time</v>
      </c>
      <c r="V2397">
        <f t="shared" si="227"/>
        <v>0</v>
      </c>
    </row>
    <row r="2398" spans="1:22" x14ac:dyDescent="0.45">
      <c r="A2398" t="s">
        <v>3253</v>
      </c>
      <c r="B2398" t="s">
        <v>520</v>
      </c>
      <c r="C2398" t="s">
        <v>31</v>
      </c>
      <c r="D2398" t="s">
        <v>66</v>
      </c>
      <c r="E2398" t="s">
        <v>16</v>
      </c>
      <c r="F2398">
        <v>44</v>
      </c>
      <c r="G2398">
        <v>29719</v>
      </c>
      <c r="H2398">
        <v>1307636</v>
      </c>
      <c r="I2398" t="s">
        <v>117</v>
      </c>
      <c r="J2398" t="s">
        <v>866</v>
      </c>
      <c r="K2398">
        <v>44</v>
      </c>
      <c r="L2398">
        <v>0</v>
      </c>
      <c r="M2398" t="s">
        <v>115</v>
      </c>
      <c r="N2398" t="str">
        <f t="shared" si="222"/>
        <v>PO-102397</v>
      </c>
      <c r="O2398" t="str">
        <f t="shared" si="223"/>
        <v>Delivered</v>
      </c>
      <c r="P2398" t="str">
        <f t="shared" si="224"/>
        <v>WH-DEL</v>
      </c>
      <c r="Q2398" t="str">
        <f>VLOOKUP(C2398, Lookups!$A$2:$D$10, 2, FALSE())</f>
        <v>Global Networks</v>
      </c>
      <c r="R2398" t="str">
        <f>_xlfn.XLOOKUP(D2398, Lookups!$A$12:$A$51, Lookups!$C$12:$C$51, "Unknown")</f>
        <v>Networking</v>
      </c>
      <c r="S2398" t="str">
        <f>IF(ISBLANK(I2398), B2398+VLOOKUP(C2398, Lookups!$A$2:$D$10, 4, FALSE()), I2398)</f>
        <v>2026-09-19</v>
      </c>
      <c r="T2398">
        <f t="shared" si="225"/>
        <v>22</v>
      </c>
      <c r="U2398" t="str">
        <f t="shared" si="226"/>
        <v>Late</v>
      </c>
      <c r="V2398">
        <f t="shared" si="227"/>
        <v>0</v>
      </c>
    </row>
    <row r="2399" spans="1:22" x14ac:dyDescent="0.45">
      <c r="A2399" t="s">
        <v>3254</v>
      </c>
      <c r="B2399" t="s">
        <v>540</v>
      </c>
      <c r="C2399" t="s">
        <v>36</v>
      </c>
      <c r="D2399" t="s">
        <v>63</v>
      </c>
      <c r="E2399" t="s">
        <v>18</v>
      </c>
      <c r="F2399">
        <v>126</v>
      </c>
      <c r="G2399">
        <v>71062</v>
      </c>
      <c r="H2399">
        <v>8953812</v>
      </c>
      <c r="I2399" t="s">
        <v>574</v>
      </c>
      <c r="J2399" t="s">
        <v>856</v>
      </c>
      <c r="K2399">
        <v>126</v>
      </c>
      <c r="L2399">
        <v>4</v>
      </c>
      <c r="M2399" t="s">
        <v>115</v>
      </c>
      <c r="N2399" t="str">
        <f t="shared" si="222"/>
        <v>PO-102398</v>
      </c>
      <c r="O2399" t="str">
        <f t="shared" si="223"/>
        <v>Delivered</v>
      </c>
      <c r="P2399" t="str">
        <f t="shared" si="224"/>
        <v>WH-PUN</v>
      </c>
      <c r="Q2399" t="str">
        <f>VLOOKUP(C2399, Lookups!$A$2:$D$10, 2, FALSE())</f>
        <v>NextGen Hardware</v>
      </c>
      <c r="R2399" t="str">
        <f>_xlfn.XLOOKUP(D2399, Lookups!$A$12:$A$51, Lookups!$C$12:$C$51, "Unknown")</f>
        <v>Electronics</v>
      </c>
      <c r="S2399" t="str">
        <f>IF(ISBLANK(I2399), B2399+VLOOKUP(C2399, Lookups!$A$2:$D$10, 4, FALSE()), I2399)</f>
        <v>2026-05-01</v>
      </c>
      <c r="T2399">
        <f t="shared" si="225"/>
        <v>25</v>
      </c>
      <c r="U2399" t="str">
        <f t="shared" si="226"/>
        <v>Late</v>
      </c>
      <c r="V2399">
        <f t="shared" si="227"/>
        <v>3.1746031746031744E-2</v>
      </c>
    </row>
    <row r="2400" spans="1:22" x14ac:dyDescent="0.45">
      <c r="A2400" t="s">
        <v>3255</v>
      </c>
      <c r="B2400" t="s">
        <v>734</v>
      </c>
      <c r="C2400" t="s">
        <v>31</v>
      </c>
      <c r="D2400" t="s">
        <v>85</v>
      </c>
      <c r="E2400" t="s">
        <v>17</v>
      </c>
      <c r="F2400">
        <v>57</v>
      </c>
      <c r="G2400">
        <v>16501</v>
      </c>
      <c r="H2400">
        <v>940557</v>
      </c>
      <c r="I2400" t="s">
        <v>811</v>
      </c>
      <c r="J2400" t="s">
        <v>1170</v>
      </c>
      <c r="K2400">
        <v>57</v>
      </c>
      <c r="L2400">
        <v>0</v>
      </c>
      <c r="M2400" t="s">
        <v>115</v>
      </c>
      <c r="N2400" t="str">
        <f t="shared" si="222"/>
        <v>PO-102399</v>
      </c>
      <c r="O2400" t="str">
        <f t="shared" si="223"/>
        <v>Delivered</v>
      </c>
      <c r="P2400" t="str">
        <f t="shared" si="224"/>
        <v>WH-BLR</v>
      </c>
      <c r="Q2400" t="str">
        <f>VLOOKUP(C2400, Lookups!$A$2:$D$10, 2, FALSE())</f>
        <v>Global Networks</v>
      </c>
      <c r="R2400" t="str">
        <f>_xlfn.XLOOKUP(D2400, Lookups!$A$12:$A$51, Lookups!$C$12:$C$51, "Unknown")</f>
        <v>Networking</v>
      </c>
      <c r="S2400" t="str">
        <f>IF(ISBLANK(I2400), B2400+VLOOKUP(C2400, Lookups!$A$2:$D$10, 4, FALSE()), I2400)</f>
        <v>2026-11-27</v>
      </c>
      <c r="T2400">
        <f t="shared" si="225"/>
        <v>27</v>
      </c>
      <c r="U2400" t="str">
        <f t="shared" si="226"/>
        <v>Late</v>
      </c>
      <c r="V2400">
        <f t="shared" si="227"/>
        <v>0</v>
      </c>
    </row>
    <row r="2401" spans="1:22" x14ac:dyDescent="0.45">
      <c r="A2401" t="s">
        <v>3256</v>
      </c>
      <c r="B2401" t="s">
        <v>613</v>
      </c>
      <c r="C2401" t="s">
        <v>31</v>
      </c>
      <c r="D2401" t="s">
        <v>66</v>
      </c>
      <c r="E2401" t="s">
        <v>18</v>
      </c>
      <c r="F2401">
        <v>58</v>
      </c>
      <c r="G2401">
        <v>29719</v>
      </c>
      <c r="H2401">
        <v>1723702</v>
      </c>
      <c r="I2401" t="s">
        <v>185</v>
      </c>
      <c r="J2401" t="s">
        <v>299</v>
      </c>
      <c r="K2401">
        <v>58</v>
      </c>
      <c r="L2401">
        <v>0</v>
      </c>
      <c r="M2401" t="s">
        <v>115</v>
      </c>
      <c r="N2401" t="str">
        <f t="shared" si="222"/>
        <v>PO-102400</v>
      </c>
      <c r="O2401" t="str">
        <f t="shared" si="223"/>
        <v>Delivered</v>
      </c>
      <c r="P2401" t="str">
        <f t="shared" si="224"/>
        <v>WH-PUN</v>
      </c>
      <c r="Q2401" t="str">
        <f>VLOOKUP(C2401, Lookups!$A$2:$D$10, 2, FALSE())</f>
        <v>Global Networks</v>
      </c>
      <c r="R2401" t="str">
        <f>_xlfn.XLOOKUP(D2401, Lookups!$A$12:$A$51, Lookups!$C$12:$C$51, "Unknown")</f>
        <v>Networking</v>
      </c>
      <c r="S2401" t="str">
        <f>IF(ISBLANK(I2401), B2401+VLOOKUP(C2401, Lookups!$A$2:$D$10, 4, FALSE()), I2401)</f>
        <v>2025-02-26</v>
      </c>
      <c r="T2401">
        <f t="shared" si="225"/>
        <v>22</v>
      </c>
      <c r="U2401" t="str">
        <f t="shared" si="226"/>
        <v>Late</v>
      </c>
      <c r="V2401">
        <f t="shared" si="227"/>
        <v>0</v>
      </c>
    </row>
    <row r="2402" spans="1:22" x14ac:dyDescent="0.45">
      <c r="A2402" t="s">
        <v>3257</v>
      </c>
      <c r="B2402" t="s">
        <v>195</v>
      </c>
      <c r="C2402" t="s">
        <v>32</v>
      </c>
      <c r="D2402" t="s">
        <v>84</v>
      </c>
      <c r="E2402" t="s">
        <v>17</v>
      </c>
      <c r="F2402">
        <v>55</v>
      </c>
      <c r="G2402">
        <v>7271</v>
      </c>
      <c r="H2402">
        <v>399905</v>
      </c>
      <c r="I2402" t="s">
        <v>428</v>
      </c>
      <c r="J2402" t="s">
        <v>428</v>
      </c>
      <c r="K2402">
        <v>55</v>
      </c>
      <c r="L2402">
        <v>0</v>
      </c>
      <c r="M2402" t="s">
        <v>115</v>
      </c>
      <c r="N2402" t="str">
        <f t="shared" si="222"/>
        <v>PO-102401</v>
      </c>
      <c r="O2402" t="str">
        <f t="shared" si="223"/>
        <v>Delivered</v>
      </c>
      <c r="P2402" t="str">
        <f t="shared" si="224"/>
        <v>WH-BLR</v>
      </c>
      <c r="Q2402" t="str">
        <f>VLOOKUP(C2402, Lookups!$A$2:$D$10, 2, FALSE())</f>
        <v>OfficeDepot Pro</v>
      </c>
      <c r="R2402" t="str">
        <f>_xlfn.XLOOKUP(D2402, Lookups!$A$12:$A$51, Lookups!$C$12:$C$51, "Unknown")</f>
        <v>Peripherals</v>
      </c>
      <c r="S2402" t="str">
        <f>IF(ISBLANK(I2402), B2402+VLOOKUP(C2402, Lookups!$A$2:$D$10, 4, FALSE()), I2402)</f>
        <v>2026-07-17</v>
      </c>
      <c r="T2402">
        <f t="shared" si="225"/>
        <v>7</v>
      </c>
      <c r="U2402" t="str">
        <f t="shared" si="226"/>
        <v>On-Time</v>
      </c>
      <c r="V2402">
        <f t="shared" si="227"/>
        <v>0</v>
      </c>
    </row>
    <row r="2403" spans="1:22" x14ac:dyDescent="0.45">
      <c r="A2403" t="s">
        <v>3258</v>
      </c>
      <c r="B2403" t="s">
        <v>642</v>
      </c>
      <c r="C2403" t="s">
        <v>34</v>
      </c>
      <c r="D2403" t="s">
        <v>81</v>
      </c>
      <c r="E2403" t="s">
        <v>17</v>
      </c>
      <c r="F2403">
        <v>240</v>
      </c>
      <c r="G2403">
        <v>55328</v>
      </c>
      <c r="H2403">
        <v>13278720</v>
      </c>
      <c r="I2403" t="s">
        <v>231</v>
      </c>
      <c r="J2403" t="s">
        <v>231</v>
      </c>
      <c r="K2403">
        <v>240</v>
      </c>
      <c r="L2403">
        <v>0</v>
      </c>
      <c r="M2403" t="s">
        <v>115</v>
      </c>
      <c r="N2403" t="str">
        <f t="shared" si="222"/>
        <v>PO-102402</v>
      </c>
      <c r="O2403" t="str">
        <f t="shared" si="223"/>
        <v>Delivered</v>
      </c>
      <c r="P2403" t="str">
        <f t="shared" si="224"/>
        <v>WH-BLR</v>
      </c>
      <c r="Q2403" t="str">
        <f>VLOOKUP(C2403, Lookups!$A$2:$D$10, 2, FALSE())</f>
        <v>FastElectronics</v>
      </c>
      <c r="R2403" t="str">
        <f>_xlfn.XLOOKUP(D2403, Lookups!$A$12:$A$51, Lookups!$C$12:$C$51, "Unknown")</f>
        <v>Electronics</v>
      </c>
      <c r="S2403" t="str">
        <f>IF(ISBLANK(I2403), B2403+VLOOKUP(C2403, Lookups!$A$2:$D$10, 4, FALSE()), I2403)</f>
        <v>2025-11-07</v>
      </c>
      <c r="T2403">
        <f t="shared" si="225"/>
        <v>18</v>
      </c>
      <c r="U2403" t="str">
        <f t="shared" si="226"/>
        <v>On-Time</v>
      </c>
      <c r="V2403">
        <f t="shared" si="227"/>
        <v>0</v>
      </c>
    </row>
    <row r="2404" spans="1:22" x14ac:dyDescent="0.45">
      <c r="A2404" t="s">
        <v>3259</v>
      </c>
      <c r="B2404" t="s">
        <v>555</v>
      </c>
      <c r="C2404" t="s">
        <v>36</v>
      </c>
      <c r="D2404" t="s">
        <v>71</v>
      </c>
      <c r="E2404" t="s">
        <v>18</v>
      </c>
      <c r="F2404">
        <v>202</v>
      </c>
      <c r="G2404">
        <v>65379</v>
      </c>
      <c r="H2404">
        <v>13206558</v>
      </c>
      <c r="I2404" t="s">
        <v>869</v>
      </c>
      <c r="J2404" t="s">
        <v>1223</v>
      </c>
      <c r="K2404">
        <v>202</v>
      </c>
      <c r="L2404">
        <v>0</v>
      </c>
      <c r="M2404" t="s">
        <v>115</v>
      </c>
      <c r="N2404" t="str">
        <f t="shared" si="222"/>
        <v>PO-102403</v>
      </c>
      <c r="O2404" t="str">
        <f t="shared" si="223"/>
        <v>Delivered</v>
      </c>
      <c r="P2404" t="str">
        <f t="shared" si="224"/>
        <v>WH-PUN</v>
      </c>
      <c r="Q2404" t="str">
        <f>VLOOKUP(C2404, Lookups!$A$2:$D$10, 2, FALSE())</f>
        <v>NextGen Hardware</v>
      </c>
      <c r="R2404" t="str">
        <f>_xlfn.XLOOKUP(D2404, Lookups!$A$12:$A$51, Lookups!$C$12:$C$51, "Unknown")</f>
        <v>Electronics</v>
      </c>
      <c r="S2404" t="str">
        <f>IF(ISBLANK(I2404), B2404+VLOOKUP(C2404, Lookups!$A$2:$D$10, 4, FALSE()), I2404)</f>
        <v>2026-09-25</v>
      </c>
      <c r="T2404">
        <f t="shared" si="225"/>
        <v>25</v>
      </c>
      <c r="U2404" t="str">
        <f t="shared" si="226"/>
        <v>Late</v>
      </c>
      <c r="V2404">
        <f t="shared" si="227"/>
        <v>0</v>
      </c>
    </row>
    <row r="2405" spans="1:22" x14ac:dyDescent="0.45">
      <c r="A2405" t="s">
        <v>3260</v>
      </c>
      <c r="B2405" t="s">
        <v>137</v>
      </c>
      <c r="C2405" t="s">
        <v>33</v>
      </c>
      <c r="D2405" t="s">
        <v>89</v>
      </c>
      <c r="E2405" t="s">
        <v>16</v>
      </c>
      <c r="F2405">
        <v>144</v>
      </c>
      <c r="G2405">
        <v>11309</v>
      </c>
      <c r="H2405">
        <v>1628496</v>
      </c>
      <c r="I2405" t="s">
        <v>146</v>
      </c>
      <c r="J2405" t="s">
        <v>146</v>
      </c>
      <c r="K2405">
        <v>144</v>
      </c>
      <c r="L2405">
        <v>11</v>
      </c>
      <c r="M2405" t="s">
        <v>115</v>
      </c>
      <c r="N2405" t="str">
        <f t="shared" si="222"/>
        <v>PO-102404</v>
      </c>
      <c r="O2405" t="str">
        <f t="shared" si="223"/>
        <v>Delivered</v>
      </c>
      <c r="P2405" t="str">
        <f t="shared" si="224"/>
        <v>WH-DEL</v>
      </c>
      <c r="Q2405" t="str">
        <f>VLOOKUP(C2405, Lookups!$A$2:$D$10, 2, FALSE())</f>
        <v>MegaFurnish</v>
      </c>
      <c r="R2405" t="str">
        <f>_xlfn.XLOOKUP(D2405, Lookups!$A$12:$A$51, Lookups!$C$12:$C$51, "Unknown")</f>
        <v>Office Furniture</v>
      </c>
      <c r="S2405" t="str">
        <f>IF(ISBLANK(I2405), B2405+VLOOKUP(C2405, Lookups!$A$2:$D$10, 4, FALSE()), I2405)</f>
        <v>2025-10-08</v>
      </c>
      <c r="T2405">
        <f t="shared" si="225"/>
        <v>30</v>
      </c>
      <c r="U2405" t="str">
        <f t="shared" si="226"/>
        <v>On-Time</v>
      </c>
      <c r="V2405">
        <f t="shared" si="227"/>
        <v>7.6388888888888895E-2</v>
      </c>
    </row>
    <row r="2406" spans="1:22" x14ac:dyDescent="0.45">
      <c r="A2406" t="s">
        <v>3261</v>
      </c>
      <c r="B2406" t="s">
        <v>232</v>
      </c>
      <c r="C2406" t="s">
        <v>37</v>
      </c>
      <c r="D2406" t="s">
        <v>78</v>
      </c>
      <c r="E2406" t="s">
        <v>15</v>
      </c>
      <c r="F2406">
        <v>228</v>
      </c>
      <c r="G2406">
        <v>9423</v>
      </c>
      <c r="H2406">
        <v>2148444</v>
      </c>
      <c r="I2406" t="s">
        <v>399</v>
      </c>
      <c r="J2406" t="s">
        <v>638</v>
      </c>
      <c r="K2406">
        <v>228</v>
      </c>
      <c r="L2406">
        <v>0</v>
      </c>
      <c r="M2406" t="s">
        <v>115</v>
      </c>
      <c r="N2406" t="str">
        <f t="shared" si="222"/>
        <v>PO-102405</v>
      </c>
      <c r="O2406" t="str">
        <f t="shared" si="223"/>
        <v>Delivered</v>
      </c>
      <c r="P2406" t="str">
        <f t="shared" si="224"/>
        <v>WH-BOM</v>
      </c>
      <c r="Q2406" t="str">
        <f>VLOOKUP(C2406, Lookups!$A$2:$D$10, 2, FALSE())</f>
        <v>Premium Desks Ltd</v>
      </c>
      <c r="R2406" t="str">
        <f>_xlfn.XLOOKUP(D2406, Lookups!$A$12:$A$51, Lookups!$C$12:$C$51, "Unknown")</f>
        <v>Office Furniture</v>
      </c>
      <c r="S2406" t="str">
        <f>IF(ISBLANK(I2406), B2406+VLOOKUP(C2406, Lookups!$A$2:$D$10, 4, FALSE()), I2406)</f>
        <v>2025-11-26</v>
      </c>
      <c r="T2406">
        <f t="shared" si="225"/>
        <v>13</v>
      </c>
      <c r="U2406" t="str">
        <f t="shared" si="226"/>
        <v>Late</v>
      </c>
      <c r="V2406">
        <f t="shared" si="227"/>
        <v>0</v>
      </c>
    </row>
    <row r="2407" spans="1:22" x14ac:dyDescent="0.45">
      <c r="A2407" t="s">
        <v>3262</v>
      </c>
      <c r="B2407" t="s">
        <v>362</v>
      </c>
      <c r="C2407" t="s">
        <v>34</v>
      </c>
      <c r="D2407" t="s">
        <v>80</v>
      </c>
      <c r="E2407" t="s">
        <v>15</v>
      </c>
      <c r="F2407">
        <v>143</v>
      </c>
      <c r="G2407">
        <v>19090</v>
      </c>
      <c r="H2407">
        <v>2729870</v>
      </c>
      <c r="I2407" t="s">
        <v>559</v>
      </c>
      <c r="J2407" t="s">
        <v>339</v>
      </c>
      <c r="K2407">
        <v>143</v>
      </c>
      <c r="L2407">
        <v>0</v>
      </c>
      <c r="M2407" t="s">
        <v>115</v>
      </c>
      <c r="N2407" t="str">
        <f t="shared" si="222"/>
        <v>PO-102406</v>
      </c>
      <c r="O2407" t="str">
        <f t="shared" si="223"/>
        <v>Delivered</v>
      </c>
      <c r="P2407" t="str">
        <f t="shared" si="224"/>
        <v>WH-BOM</v>
      </c>
      <c r="Q2407" t="str">
        <f>VLOOKUP(C2407, Lookups!$A$2:$D$10, 2, FALSE())</f>
        <v>FastElectronics</v>
      </c>
      <c r="R2407" t="str">
        <f>_xlfn.XLOOKUP(D2407, Lookups!$A$12:$A$51, Lookups!$C$12:$C$51, "Unknown")</f>
        <v>Networking</v>
      </c>
      <c r="S2407" t="str">
        <f>IF(ISBLANK(I2407), B2407+VLOOKUP(C2407, Lookups!$A$2:$D$10, 4, FALSE()), I2407)</f>
        <v>2026-04-19</v>
      </c>
      <c r="T2407">
        <f t="shared" si="225"/>
        <v>19</v>
      </c>
      <c r="U2407" t="str">
        <f t="shared" si="226"/>
        <v>Late</v>
      </c>
      <c r="V2407">
        <f t="shared" si="227"/>
        <v>0</v>
      </c>
    </row>
    <row r="2408" spans="1:22" x14ac:dyDescent="0.45">
      <c r="A2408" t="s">
        <v>3263</v>
      </c>
      <c r="B2408" t="s">
        <v>1092</v>
      </c>
      <c r="C2408" t="s">
        <v>31</v>
      </c>
      <c r="D2408" t="s">
        <v>66</v>
      </c>
      <c r="E2408" t="s">
        <v>17</v>
      </c>
      <c r="F2408">
        <v>168</v>
      </c>
      <c r="G2408">
        <v>29719</v>
      </c>
      <c r="H2408">
        <v>4992792</v>
      </c>
      <c r="I2408" t="s">
        <v>276</v>
      </c>
      <c r="J2408" t="s">
        <v>268</v>
      </c>
      <c r="K2408">
        <v>168</v>
      </c>
      <c r="L2408">
        <v>0</v>
      </c>
      <c r="M2408" t="s">
        <v>115</v>
      </c>
      <c r="N2408" t="str">
        <f t="shared" si="222"/>
        <v>PO-102407</v>
      </c>
      <c r="O2408" t="str">
        <f t="shared" si="223"/>
        <v>Delivered</v>
      </c>
      <c r="P2408" t="str">
        <f t="shared" si="224"/>
        <v>WH-BLR</v>
      </c>
      <c r="Q2408" t="str">
        <f>VLOOKUP(C2408, Lookups!$A$2:$D$10, 2, FALSE())</f>
        <v>Global Networks</v>
      </c>
      <c r="R2408" t="str">
        <f>_xlfn.XLOOKUP(D2408, Lookups!$A$12:$A$51, Lookups!$C$12:$C$51, "Unknown")</f>
        <v>Networking</v>
      </c>
      <c r="S2408" t="str">
        <f>IF(ISBLANK(I2408), B2408+VLOOKUP(C2408, Lookups!$A$2:$D$10, 4, FALSE()), I2408)</f>
        <v>2025-04-12</v>
      </c>
      <c r="T2408">
        <f t="shared" si="225"/>
        <v>22</v>
      </c>
      <c r="U2408" t="str">
        <f t="shared" si="226"/>
        <v>Late</v>
      </c>
      <c r="V2408">
        <f t="shared" si="227"/>
        <v>0</v>
      </c>
    </row>
    <row r="2409" spans="1:22" x14ac:dyDescent="0.45">
      <c r="A2409" t="s">
        <v>3264</v>
      </c>
      <c r="B2409" t="s">
        <v>926</v>
      </c>
      <c r="C2409" t="s">
        <v>30</v>
      </c>
      <c r="D2409" t="s">
        <v>59</v>
      </c>
      <c r="E2409" t="s">
        <v>17</v>
      </c>
      <c r="F2409">
        <v>201</v>
      </c>
      <c r="G2409">
        <v>48905</v>
      </c>
      <c r="H2409">
        <v>9829905</v>
      </c>
      <c r="I2409" t="s">
        <v>1092</v>
      </c>
      <c r="J2409" t="s">
        <v>1092</v>
      </c>
      <c r="K2409">
        <v>201</v>
      </c>
      <c r="L2409">
        <v>0</v>
      </c>
      <c r="M2409" t="s">
        <v>115</v>
      </c>
      <c r="N2409" t="str">
        <f t="shared" si="222"/>
        <v>PO-102408</v>
      </c>
      <c r="O2409" t="str">
        <f t="shared" si="223"/>
        <v>Delivered</v>
      </c>
      <c r="P2409" t="str">
        <f t="shared" si="224"/>
        <v>WH-BLR</v>
      </c>
      <c r="Q2409" t="str">
        <f>VLOOKUP(C2409, Lookups!$A$2:$D$10, 2, FALSE())</f>
        <v>TechSupply Corp</v>
      </c>
      <c r="R2409" t="str">
        <f>_xlfn.XLOOKUP(D2409, Lookups!$A$12:$A$51, Lookups!$C$12:$C$51, "Unknown")</f>
        <v>Electronics</v>
      </c>
      <c r="S2409" t="str">
        <f>IF(ISBLANK(I2409), B2409+VLOOKUP(C2409, Lookups!$A$2:$D$10, 4, FALSE()), I2409)</f>
        <v>2025-03-22</v>
      </c>
      <c r="T2409">
        <f t="shared" si="225"/>
        <v>14</v>
      </c>
      <c r="U2409" t="str">
        <f t="shared" si="226"/>
        <v>On-Time</v>
      </c>
      <c r="V2409">
        <f t="shared" si="227"/>
        <v>0</v>
      </c>
    </row>
    <row r="2410" spans="1:22" x14ac:dyDescent="0.45">
      <c r="A2410" t="s">
        <v>3265</v>
      </c>
      <c r="B2410" t="s">
        <v>280</v>
      </c>
      <c r="C2410" t="s">
        <v>36</v>
      </c>
      <c r="D2410" t="s">
        <v>55</v>
      </c>
      <c r="E2410" t="s">
        <v>15</v>
      </c>
      <c r="F2410">
        <v>168</v>
      </c>
      <c r="G2410">
        <v>58434</v>
      </c>
      <c r="H2410">
        <v>9816912</v>
      </c>
      <c r="I2410" t="s">
        <v>847</v>
      </c>
      <c r="J2410" t="s">
        <v>847</v>
      </c>
      <c r="K2410">
        <v>168</v>
      </c>
      <c r="L2410">
        <v>0</v>
      </c>
      <c r="M2410" t="s">
        <v>115</v>
      </c>
      <c r="N2410" t="str">
        <f t="shared" si="222"/>
        <v>PO-102409</v>
      </c>
      <c r="O2410" t="str">
        <f t="shared" si="223"/>
        <v>Delivered</v>
      </c>
      <c r="P2410" t="str">
        <f t="shared" si="224"/>
        <v>WH-BOM</v>
      </c>
      <c r="Q2410" t="str">
        <f>VLOOKUP(C2410, Lookups!$A$2:$D$10, 2, FALSE())</f>
        <v>NextGen Hardware</v>
      </c>
      <c r="R2410" t="str">
        <f>_xlfn.XLOOKUP(D2410, Lookups!$A$12:$A$51, Lookups!$C$12:$C$51, "Unknown")</f>
        <v>Electronics</v>
      </c>
      <c r="S2410" t="str">
        <f>IF(ISBLANK(I2410), B2410+VLOOKUP(C2410, Lookups!$A$2:$D$10, 4, FALSE()), I2410)</f>
        <v>2026-11-01</v>
      </c>
      <c r="T2410">
        <f t="shared" si="225"/>
        <v>24</v>
      </c>
      <c r="U2410" t="str">
        <f t="shared" si="226"/>
        <v>On-Time</v>
      </c>
      <c r="V2410">
        <f t="shared" si="227"/>
        <v>0</v>
      </c>
    </row>
    <row r="2411" spans="1:22" x14ac:dyDescent="0.45">
      <c r="A2411" t="s">
        <v>3266</v>
      </c>
      <c r="B2411" t="s">
        <v>831</v>
      </c>
      <c r="C2411" t="s">
        <v>31</v>
      </c>
      <c r="D2411" t="s">
        <v>77</v>
      </c>
      <c r="E2411" t="s">
        <v>16</v>
      </c>
      <c r="F2411">
        <v>139</v>
      </c>
      <c r="G2411">
        <v>23667</v>
      </c>
      <c r="H2411">
        <v>3289713</v>
      </c>
      <c r="I2411" t="s">
        <v>791</v>
      </c>
      <c r="J2411" t="s">
        <v>161</v>
      </c>
      <c r="K2411">
        <v>139</v>
      </c>
      <c r="L2411">
        <v>0</v>
      </c>
      <c r="M2411" t="s">
        <v>115</v>
      </c>
      <c r="N2411" t="str">
        <f t="shared" si="222"/>
        <v>PO-102410</v>
      </c>
      <c r="O2411" t="str">
        <f t="shared" si="223"/>
        <v>Delivered</v>
      </c>
      <c r="P2411" t="str">
        <f t="shared" si="224"/>
        <v>WH-DEL</v>
      </c>
      <c r="Q2411" t="str">
        <f>VLOOKUP(C2411, Lookups!$A$2:$D$10, 2, FALSE())</f>
        <v>Global Networks</v>
      </c>
      <c r="R2411" t="str">
        <f>_xlfn.XLOOKUP(D2411, Lookups!$A$12:$A$51, Lookups!$C$12:$C$51, "Unknown")</f>
        <v>Networking</v>
      </c>
      <c r="S2411" t="str">
        <f>IF(ISBLANK(I2411), B2411+VLOOKUP(C2411, Lookups!$A$2:$D$10, 4, FALSE()), I2411)</f>
        <v>2025-06-11</v>
      </c>
      <c r="T2411">
        <f t="shared" si="225"/>
        <v>22</v>
      </c>
      <c r="U2411" t="str">
        <f t="shared" si="226"/>
        <v>Late</v>
      </c>
      <c r="V2411">
        <f t="shared" si="227"/>
        <v>0</v>
      </c>
    </row>
    <row r="2412" spans="1:22" x14ac:dyDescent="0.45">
      <c r="A2412" t="s">
        <v>3267</v>
      </c>
      <c r="B2412" t="s">
        <v>225</v>
      </c>
      <c r="C2412" t="s">
        <v>35</v>
      </c>
      <c r="D2412" t="s">
        <v>91</v>
      </c>
      <c r="E2412" t="s">
        <v>18</v>
      </c>
      <c r="F2412">
        <v>183</v>
      </c>
      <c r="G2412">
        <v>6707</v>
      </c>
      <c r="H2412">
        <v>1227381</v>
      </c>
      <c r="I2412" t="s">
        <v>1044</v>
      </c>
      <c r="J2412" t="s">
        <v>1044</v>
      </c>
      <c r="K2412">
        <v>183</v>
      </c>
      <c r="L2412">
        <v>0</v>
      </c>
      <c r="M2412" t="s">
        <v>115</v>
      </c>
      <c r="N2412" t="str">
        <f t="shared" si="222"/>
        <v>PO-102411</v>
      </c>
      <c r="O2412" t="str">
        <f t="shared" si="223"/>
        <v>Delivered</v>
      </c>
      <c r="P2412" t="str">
        <f t="shared" si="224"/>
        <v>WH-PUN</v>
      </c>
      <c r="Q2412" t="str">
        <f>VLOOKUP(C2412, Lookups!$A$2:$D$10, 2, FALSE())</f>
        <v>Peripheral Source</v>
      </c>
      <c r="R2412" t="str">
        <f>_xlfn.XLOOKUP(D2412, Lookups!$A$12:$A$51, Lookups!$C$12:$C$51, "Unknown")</f>
        <v>Peripherals</v>
      </c>
      <c r="S2412" t="str">
        <f>IF(ISBLANK(I2412), B2412+VLOOKUP(C2412, Lookups!$A$2:$D$10, 4, FALSE()), I2412)</f>
        <v>2026-08-10</v>
      </c>
      <c r="T2412">
        <f t="shared" si="225"/>
        <v>10</v>
      </c>
      <c r="U2412" t="str">
        <f t="shared" si="226"/>
        <v>On-Time</v>
      </c>
      <c r="V2412">
        <f t="shared" si="227"/>
        <v>0</v>
      </c>
    </row>
    <row r="2413" spans="1:22" x14ac:dyDescent="0.45">
      <c r="A2413" t="s">
        <v>3268</v>
      </c>
      <c r="B2413" t="s">
        <v>180</v>
      </c>
      <c r="C2413" t="s">
        <v>30</v>
      </c>
      <c r="D2413" t="s">
        <v>61</v>
      </c>
      <c r="E2413" t="s">
        <v>16</v>
      </c>
      <c r="F2413">
        <v>15</v>
      </c>
      <c r="G2413">
        <v>111237</v>
      </c>
      <c r="H2413">
        <v>1668555</v>
      </c>
      <c r="I2413" t="s">
        <v>670</v>
      </c>
      <c r="J2413" t="s">
        <v>158</v>
      </c>
      <c r="K2413">
        <v>15</v>
      </c>
      <c r="L2413">
        <v>1</v>
      </c>
      <c r="M2413" t="s">
        <v>115</v>
      </c>
      <c r="N2413" t="str">
        <f t="shared" si="222"/>
        <v>PO-102412</v>
      </c>
      <c r="O2413" t="str">
        <f t="shared" si="223"/>
        <v>Delivered</v>
      </c>
      <c r="P2413" t="str">
        <f t="shared" si="224"/>
        <v>WH-DEL</v>
      </c>
      <c r="Q2413" t="str">
        <f>VLOOKUP(C2413, Lookups!$A$2:$D$10, 2, FALSE())</f>
        <v>TechSupply Corp</v>
      </c>
      <c r="R2413" t="str">
        <f>_xlfn.XLOOKUP(D2413, Lookups!$A$12:$A$51, Lookups!$C$12:$C$51, "Unknown")</f>
        <v>Electronics</v>
      </c>
      <c r="S2413" t="str">
        <f>IF(ISBLANK(I2413), B2413+VLOOKUP(C2413, Lookups!$A$2:$D$10, 4, FALSE()), I2413)</f>
        <v>2026-10-23</v>
      </c>
      <c r="T2413">
        <f t="shared" si="225"/>
        <v>27</v>
      </c>
      <c r="U2413" t="str">
        <f t="shared" si="226"/>
        <v>Late</v>
      </c>
      <c r="V2413">
        <f t="shared" si="227"/>
        <v>6.6666666666666666E-2</v>
      </c>
    </row>
    <row r="2414" spans="1:22" x14ac:dyDescent="0.45">
      <c r="A2414" t="s">
        <v>3269</v>
      </c>
      <c r="B2414" t="s">
        <v>1165</v>
      </c>
      <c r="C2414" t="s">
        <v>34</v>
      </c>
      <c r="D2414" t="s">
        <v>68</v>
      </c>
      <c r="E2414" t="s">
        <v>16</v>
      </c>
      <c r="F2414">
        <v>139</v>
      </c>
      <c r="G2414">
        <v>41405</v>
      </c>
      <c r="H2414">
        <v>5755295</v>
      </c>
      <c r="I2414" t="s">
        <v>844</v>
      </c>
      <c r="J2414" t="s">
        <v>1190</v>
      </c>
      <c r="K2414">
        <v>139</v>
      </c>
      <c r="L2414">
        <v>0</v>
      </c>
      <c r="M2414" t="s">
        <v>115</v>
      </c>
      <c r="N2414" t="str">
        <f t="shared" si="222"/>
        <v>PO-102413</v>
      </c>
      <c r="O2414" t="str">
        <f t="shared" si="223"/>
        <v>Delivered</v>
      </c>
      <c r="P2414" t="str">
        <f t="shared" si="224"/>
        <v>WH-DEL</v>
      </c>
      <c r="Q2414" t="str">
        <f>VLOOKUP(C2414, Lookups!$A$2:$D$10, 2, FALSE())</f>
        <v>FastElectronics</v>
      </c>
      <c r="R2414" t="str">
        <f>_xlfn.XLOOKUP(D2414, Lookups!$A$12:$A$51, Lookups!$C$12:$C$51, "Unknown")</f>
        <v>Networking</v>
      </c>
      <c r="S2414" t="str">
        <f>IF(ISBLANK(I2414), B2414+VLOOKUP(C2414, Lookups!$A$2:$D$10, 4, FALSE()), I2414)</f>
        <v>2025-04-28</v>
      </c>
      <c r="T2414">
        <f t="shared" si="225"/>
        <v>19</v>
      </c>
      <c r="U2414" t="str">
        <f t="shared" si="226"/>
        <v>Late</v>
      </c>
      <c r="V2414">
        <f t="shared" si="227"/>
        <v>0</v>
      </c>
    </row>
    <row r="2415" spans="1:22" x14ac:dyDescent="0.45">
      <c r="A2415" t="s">
        <v>3270</v>
      </c>
      <c r="B2415" t="s">
        <v>755</v>
      </c>
      <c r="C2415" t="s">
        <v>35</v>
      </c>
      <c r="D2415" t="s">
        <v>57</v>
      </c>
      <c r="E2415" t="s">
        <v>17</v>
      </c>
      <c r="F2415">
        <v>135</v>
      </c>
      <c r="G2415">
        <v>2212</v>
      </c>
      <c r="H2415">
        <v>298620</v>
      </c>
      <c r="I2415" t="s">
        <v>2813</v>
      </c>
      <c r="J2415" t="s">
        <v>1597</v>
      </c>
      <c r="K2415">
        <v>135</v>
      </c>
      <c r="L2415">
        <v>0</v>
      </c>
      <c r="M2415" t="s">
        <v>115</v>
      </c>
      <c r="N2415" t="str">
        <f t="shared" si="222"/>
        <v>PO-102414</v>
      </c>
      <c r="O2415" t="str">
        <f t="shared" si="223"/>
        <v>Delivered</v>
      </c>
      <c r="P2415" t="str">
        <f t="shared" si="224"/>
        <v>WH-BLR</v>
      </c>
      <c r="Q2415" t="str">
        <f>VLOOKUP(C2415, Lookups!$A$2:$D$10, 2, FALSE())</f>
        <v>Peripheral Source</v>
      </c>
      <c r="R2415" t="str">
        <f>_xlfn.XLOOKUP(D2415, Lookups!$A$12:$A$51, Lookups!$C$12:$C$51, "Unknown")</f>
        <v>Peripherals</v>
      </c>
      <c r="S2415" t="str">
        <f>IF(ISBLANK(I2415), B2415+VLOOKUP(C2415, Lookups!$A$2:$D$10, 4, FALSE()), I2415)</f>
        <v>2025-12-04</v>
      </c>
      <c r="T2415">
        <f t="shared" si="225"/>
        <v>11</v>
      </c>
      <c r="U2415" t="str">
        <f t="shared" si="226"/>
        <v>Late</v>
      </c>
      <c r="V2415">
        <f t="shared" si="227"/>
        <v>0</v>
      </c>
    </row>
    <row r="2416" spans="1:22" x14ac:dyDescent="0.45">
      <c r="A2416" t="s">
        <v>3271</v>
      </c>
      <c r="B2416" t="s">
        <v>438</v>
      </c>
      <c r="C2416" t="s">
        <v>30</v>
      </c>
      <c r="D2416" t="s">
        <v>88</v>
      </c>
      <c r="E2416" t="s">
        <v>18</v>
      </c>
      <c r="F2416">
        <v>123</v>
      </c>
      <c r="G2416">
        <v>75512</v>
      </c>
      <c r="H2416">
        <v>9287976</v>
      </c>
      <c r="I2416" t="s">
        <v>299</v>
      </c>
      <c r="J2416" t="s">
        <v>1345</v>
      </c>
      <c r="K2416">
        <v>123</v>
      </c>
      <c r="L2416">
        <v>0</v>
      </c>
      <c r="M2416" t="s">
        <v>115</v>
      </c>
      <c r="N2416" t="str">
        <f t="shared" si="222"/>
        <v>PO-102415</v>
      </c>
      <c r="O2416" t="str">
        <f t="shared" si="223"/>
        <v>Delivered</v>
      </c>
      <c r="P2416" t="str">
        <f t="shared" si="224"/>
        <v>WH-PUN</v>
      </c>
      <c r="Q2416" t="str">
        <f>VLOOKUP(C2416, Lookups!$A$2:$D$10, 2, FALSE())</f>
        <v>TechSupply Corp</v>
      </c>
      <c r="R2416" t="str">
        <f>_xlfn.XLOOKUP(D2416, Lookups!$A$12:$A$51, Lookups!$C$12:$C$51, "Unknown")</f>
        <v>Electronics</v>
      </c>
      <c r="S2416" t="str">
        <f>IF(ISBLANK(I2416), B2416+VLOOKUP(C2416, Lookups!$A$2:$D$10, 4, FALSE()), I2416)</f>
        <v>2025-02-27</v>
      </c>
      <c r="T2416">
        <f t="shared" si="225"/>
        <v>27</v>
      </c>
      <c r="U2416" t="str">
        <f t="shared" si="226"/>
        <v>Late</v>
      </c>
      <c r="V2416">
        <f t="shared" si="227"/>
        <v>0</v>
      </c>
    </row>
    <row r="2417" spans="1:22" x14ac:dyDescent="0.45">
      <c r="A2417" t="s">
        <v>3272</v>
      </c>
      <c r="B2417" t="s">
        <v>965</v>
      </c>
      <c r="C2417" t="s">
        <v>32</v>
      </c>
      <c r="D2417" t="s">
        <v>84</v>
      </c>
      <c r="E2417" t="s">
        <v>15</v>
      </c>
      <c r="F2417">
        <v>10</v>
      </c>
      <c r="G2417">
        <v>7271</v>
      </c>
      <c r="H2417">
        <v>72710</v>
      </c>
      <c r="I2417" t="s">
        <v>697</v>
      </c>
      <c r="J2417" t="s">
        <v>466</v>
      </c>
      <c r="K2417">
        <v>10</v>
      </c>
      <c r="L2417">
        <v>0</v>
      </c>
      <c r="M2417" t="s">
        <v>115</v>
      </c>
      <c r="N2417" t="str">
        <f t="shared" si="222"/>
        <v>PO-102416</v>
      </c>
      <c r="O2417" t="str">
        <f t="shared" si="223"/>
        <v>Delivered</v>
      </c>
      <c r="P2417" t="str">
        <f t="shared" si="224"/>
        <v>WH-BOM</v>
      </c>
      <c r="Q2417" t="str">
        <f>VLOOKUP(C2417, Lookups!$A$2:$D$10, 2, FALSE())</f>
        <v>OfficeDepot Pro</v>
      </c>
      <c r="R2417" t="str">
        <f>_xlfn.XLOOKUP(D2417, Lookups!$A$12:$A$51, Lookups!$C$12:$C$51, "Unknown")</f>
        <v>Peripherals</v>
      </c>
      <c r="S2417" t="str">
        <f>IF(ISBLANK(I2417), B2417+VLOOKUP(C2417, Lookups!$A$2:$D$10, 4, FALSE()), I2417)</f>
        <v>2025-01-22</v>
      </c>
      <c r="T2417">
        <f t="shared" si="225"/>
        <v>8</v>
      </c>
      <c r="U2417" t="str">
        <f t="shared" si="226"/>
        <v>Late</v>
      </c>
      <c r="V2417">
        <f t="shared" si="227"/>
        <v>0</v>
      </c>
    </row>
    <row r="2418" spans="1:22" x14ac:dyDescent="0.45">
      <c r="A2418" t="s">
        <v>3273</v>
      </c>
      <c r="B2418" t="s">
        <v>629</v>
      </c>
      <c r="C2418" t="s">
        <v>37</v>
      </c>
      <c r="D2418" t="s">
        <v>69</v>
      </c>
      <c r="E2418" t="s">
        <v>913</v>
      </c>
      <c r="F2418">
        <v>178</v>
      </c>
      <c r="G2418">
        <v>13231</v>
      </c>
      <c r="H2418">
        <v>2355118</v>
      </c>
      <c r="I2418" t="s">
        <v>468</v>
      </c>
      <c r="J2418" t="s">
        <v>234</v>
      </c>
      <c r="K2418">
        <v>178</v>
      </c>
      <c r="L2418">
        <v>0</v>
      </c>
      <c r="M2418" t="s">
        <v>115</v>
      </c>
      <c r="N2418" t="str">
        <f t="shared" si="222"/>
        <v>PO-102417</v>
      </c>
      <c r="O2418" t="str">
        <f t="shared" si="223"/>
        <v>Delivered</v>
      </c>
      <c r="P2418" t="str">
        <f t="shared" si="224"/>
        <v>WH-DEL</v>
      </c>
      <c r="Q2418" t="str">
        <f>VLOOKUP(C2418, Lookups!$A$2:$D$10, 2, FALSE())</f>
        <v>Premium Desks Ltd</v>
      </c>
      <c r="R2418" t="str">
        <f>_xlfn.XLOOKUP(D2418, Lookups!$A$12:$A$51, Lookups!$C$12:$C$51, "Unknown")</f>
        <v>Office Furniture</v>
      </c>
      <c r="S2418" t="str">
        <f>IF(ISBLANK(I2418), B2418+VLOOKUP(C2418, Lookups!$A$2:$D$10, 4, FALSE()), I2418)</f>
        <v>2025-07-19</v>
      </c>
      <c r="T2418">
        <f t="shared" si="225"/>
        <v>27</v>
      </c>
      <c r="U2418" t="str">
        <f t="shared" si="226"/>
        <v>Late</v>
      </c>
      <c r="V2418">
        <f t="shared" si="227"/>
        <v>0</v>
      </c>
    </row>
    <row r="2419" spans="1:22" x14ac:dyDescent="0.45">
      <c r="A2419" t="s">
        <v>3274</v>
      </c>
      <c r="B2419" t="s">
        <v>766</v>
      </c>
      <c r="C2419" t="s">
        <v>33</v>
      </c>
      <c r="D2419" t="s">
        <v>89</v>
      </c>
      <c r="E2419" t="s">
        <v>18</v>
      </c>
      <c r="F2419">
        <v>118</v>
      </c>
      <c r="G2419">
        <v>11309</v>
      </c>
      <c r="H2419">
        <v>1334462</v>
      </c>
      <c r="I2419" t="s">
        <v>3275</v>
      </c>
      <c r="J2419" t="s">
        <v>3275</v>
      </c>
      <c r="K2419">
        <v>118</v>
      </c>
      <c r="L2419">
        <v>0</v>
      </c>
      <c r="M2419" t="s">
        <v>115</v>
      </c>
      <c r="N2419" t="str">
        <f t="shared" si="222"/>
        <v>PO-102418</v>
      </c>
      <c r="O2419" t="str">
        <f t="shared" si="223"/>
        <v>Delivered</v>
      </c>
      <c r="P2419" t="str">
        <f t="shared" si="224"/>
        <v>WH-PUN</v>
      </c>
      <c r="Q2419" t="str">
        <f>VLOOKUP(C2419, Lookups!$A$2:$D$10, 2, FALSE())</f>
        <v>MegaFurnish</v>
      </c>
      <c r="R2419" t="str">
        <f>_xlfn.XLOOKUP(D2419, Lookups!$A$12:$A$51, Lookups!$C$12:$C$51, "Unknown")</f>
        <v>Office Furniture</v>
      </c>
      <c r="S2419" t="str">
        <f>IF(ISBLANK(I2419), B2419+VLOOKUP(C2419, Lookups!$A$2:$D$10, 4, FALSE()), I2419)</f>
        <v>2027-01-09</v>
      </c>
      <c r="T2419">
        <f t="shared" si="225"/>
        <v>30</v>
      </c>
      <c r="U2419" t="str">
        <f t="shared" si="226"/>
        <v>On-Time</v>
      </c>
      <c r="V2419">
        <f t="shared" si="227"/>
        <v>0</v>
      </c>
    </row>
    <row r="2420" spans="1:22" x14ac:dyDescent="0.45">
      <c r="A2420" t="s">
        <v>3276</v>
      </c>
      <c r="B2420" t="s">
        <v>266</v>
      </c>
      <c r="C2420" t="s">
        <v>34</v>
      </c>
      <c r="D2420" t="s">
        <v>74</v>
      </c>
      <c r="E2420" t="s">
        <v>15</v>
      </c>
      <c r="F2420">
        <v>126</v>
      </c>
      <c r="G2420">
        <v>94797</v>
      </c>
      <c r="H2420">
        <v>11944422</v>
      </c>
      <c r="I2420" t="s">
        <v>741</v>
      </c>
      <c r="J2420" t="s">
        <v>1331</v>
      </c>
      <c r="K2420">
        <v>126</v>
      </c>
      <c r="L2420">
        <v>0</v>
      </c>
      <c r="M2420" t="s">
        <v>115</v>
      </c>
      <c r="N2420" t="str">
        <f t="shared" si="222"/>
        <v>PO-102419</v>
      </c>
      <c r="O2420" t="str">
        <f t="shared" si="223"/>
        <v>Delivered</v>
      </c>
      <c r="P2420" t="str">
        <f t="shared" si="224"/>
        <v>WH-BOM</v>
      </c>
      <c r="Q2420" t="str">
        <f>VLOOKUP(C2420, Lookups!$A$2:$D$10, 2, FALSE())</f>
        <v>FastElectronics</v>
      </c>
      <c r="R2420" t="str">
        <f>_xlfn.XLOOKUP(D2420, Lookups!$A$12:$A$51, Lookups!$C$12:$C$51, "Unknown")</f>
        <v>Electronics</v>
      </c>
      <c r="S2420" t="str">
        <f>IF(ISBLANK(I2420), B2420+VLOOKUP(C2420, Lookups!$A$2:$D$10, 4, FALSE()), I2420)</f>
        <v>2025-03-05</v>
      </c>
      <c r="T2420">
        <f t="shared" si="225"/>
        <v>27</v>
      </c>
      <c r="U2420" t="str">
        <f t="shared" si="226"/>
        <v>Late</v>
      </c>
      <c r="V2420">
        <f t="shared" si="227"/>
        <v>0</v>
      </c>
    </row>
    <row r="2421" spans="1:22" x14ac:dyDescent="0.45">
      <c r="A2421" t="s">
        <v>3277</v>
      </c>
      <c r="B2421" t="s">
        <v>1133</v>
      </c>
      <c r="C2421" t="s">
        <v>35</v>
      </c>
      <c r="D2421" t="s">
        <v>65</v>
      </c>
      <c r="E2421" t="s">
        <v>17</v>
      </c>
      <c r="F2421">
        <v>62</v>
      </c>
      <c r="G2421">
        <v>4936</v>
      </c>
      <c r="H2421">
        <v>306032</v>
      </c>
      <c r="I2421" t="s">
        <v>458</v>
      </c>
      <c r="J2421" t="s">
        <v>458</v>
      </c>
      <c r="K2421">
        <v>62</v>
      </c>
      <c r="L2421">
        <v>0</v>
      </c>
      <c r="M2421" t="s">
        <v>301</v>
      </c>
      <c r="N2421" t="str">
        <f t="shared" si="222"/>
        <v>PO-102420</v>
      </c>
      <c r="O2421" t="str">
        <f t="shared" si="223"/>
        <v>Delivered</v>
      </c>
      <c r="P2421" t="str">
        <f t="shared" si="224"/>
        <v>WH-BLR</v>
      </c>
      <c r="Q2421" t="str">
        <f>VLOOKUP(C2421, Lookups!$A$2:$D$10, 2, FALSE())</f>
        <v>Peripheral Source</v>
      </c>
      <c r="R2421" t="str">
        <f>_xlfn.XLOOKUP(D2421, Lookups!$A$12:$A$51, Lookups!$C$12:$C$51, "Unknown")</f>
        <v>Peripherals</v>
      </c>
      <c r="S2421" t="str">
        <f>IF(ISBLANK(I2421), B2421+VLOOKUP(C2421, Lookups!$A$2:$D$10, 4, FALSE()), I2421)</f>
        <v>2025-07-14</v>
      </c>
      <c r="T2421">
        <f t="shared" si="225"/>
        <v>10</v>
      </c>
      <c r="U2421" t="str">
        <f t="shared" si="226"/>
        <v>On-Time</v>
      </c>
      <c r="V2421">
        <f t="shared" si="227"/>
        <v>0</v>
      </c>
    </row>
    <row r="2422" spans="1:22" x14ac:dyDescent="0.45">
      <c r="A2422" t="s">
        <v>3278</v>
      </c>
      <c r="B2422" t="s">
        <v>339</v>
      </c>
      <c r="C2422" t="s">
        <v>35</v>
      </c>
      <c r="D2422" t="s">
        <v>75</v>
      </c>
      <c r="E2422" t="s">
        <v>18</v>
      </c>
      <c r="F2422">
        <v>184</v>
      </c>
      <c r="G2422">
        <v>4440</v>
      </c>
      <c r="H2422">
        <v>816960</v>
      </c>
      <c r="I2422" t="s">
        <v>573</v>
      </c>
      <c r="J2422" t="s">
        <v>574</v>
      </c>
      <c r="K2422">
        <v>184</v>
      </c>
      <c r="L2422">
        <v>0</v>
      </c>
      <c r="M2422" t="s">
        <v>115</v>
      </c>
      <c r="N2422" t="str">
        <f t="shared" si="222"/>
        <v>PO-102421</v>
      </c>
      <c r="O2422" t="str">
        <f t="shared" si="223"/>
        <v>Delivered</v>
      </c>
      <c r="P2422" t="str">
        <f t="shared" si="224"/>
        <v>WH-PUN</v>
      </c>
      <c r="Q2422" t="str">
        <f>VLOOKUP(C2422, Lookups!$A$2:$D$10, 2, FALSE())</f>
        <v>Peripheral Source</v>
      </c>
      <c r="R2422" t="str">
        <f>_xlfn.XLOOKUP(D2422, Lookups!$A$12:$A$51, Lookups!$C$12:$C$51, "Unknown")</f>
        <v>Peripherals</v>
      </c>
      <c r="S2422" t="str">
        <f>IF(ISBLANK(I2422), B2422+VLOOKUP(C2422, Lookups!$A$2:$D$10, 4, FALSE()), I2422)</f>
        <v>2026-04-30</v>
      </c>
      <c r="T2422">
        <f t="shared" si="225"/>
        <v>11</v>
      </c>
      <c r="U2422" t="str">
        <f t="shared" si="226"/>
        <v>Late</v>
      </c>
      <c r="V2422">
        <f t="shared" si="227"/>
        <v>0</v>
      </c>
    </row>
    <row r="2423" spans="1:22" x14ac:dyDescent="0.45">
      <c r="A2423" t="s">
        <v>3279</v>
      </c>
      <c r="B2423" t="s">
        <v>408</v>
      </c>
      <c r="C2423" t="s">
        <v>34</v>
      </c>
      <c r="D2423" t="s">
        <v>76</v>
      </c>
      <c r="E2423" t="s">
        <v>17</v>
      </c>
      <c r="F2423">
        <v>146</v>
      </c>
      <c r="G2423">
        <v>26270</v>
      </c>
      <c r="H2423">
        <v>3835420</v>
      </c>
      <c r="I2423" t="s">
        <v>409</v>
      </c>
      <c r="J2423" t="s">
        <v>209</v>
      </c>
      <c r="K2423">
        <v>81</v>
      </c>
      <c r="L2423">
        <v>12</v>
      </c>
      <c r="M2423" t="s">
        <v>115</v>
      </c>
      <c r="N2423" t="str">
        <f t="shared" si="222"/>
        <v>PO-102422</v>
      </c>
      <c r="O2423" t="str">
        <f t="shared" si="223"/>
        <v>Delivered</v>
      </c>
      <c r="P2423" t="str">
        <f t="shared" si="224"/>
        <v>WH-BLR</v>
      </c>
      <c r="Q2423" t="str">
        <f>VLOOKUP(C2423, Lookups!$A$2:$D$10, 2, FALSE())</f>
        <v>FastElectronics</v>
      </c>
      <c r="R2423" t="str">
        <f>_xlfn.XLOOKUP(D2423, Lookups!$A$12:$A$51, Lookups!$C$12:$C$51, "Unknown")</f>
        <v>Networking</v>
      </c>
      <c r="S2423" t="str">
        <f>IF(ISBLANK(I2423), B2423+VLOOKUP(C2423, Lookups!$A$2:$D$10, 4, FALSE()), I2423)</f>
        <v>2025-06-01</v>
      </c>
      <c r="T2423">
        <f t="shared" si="225"/>
        <v>19</v>
      </c>
      <c r="U2423" t="str">
        <f t="shared" si="226"/>
        <v>Late</v>
      </c>
      <c r="V2423">
        <f t="shared" si="227"/>
        <v>0.14814814814814814</v>
      </c>
    </row>
    <row r="2424" spans="1:22" x14ac:dyDescent="0.45">
      <c r="A2424" t="s">
        <v>3280</v>
      </c>
      <c r="B2424" t="s">
        <v>1318</v>
      </c>
      <c r="C2424" t="s">
        <v>33</v>
      </c>
      <c r="D2424" t="s">
        <v>89</v>
      </c>
      <c r="E2424" t="s">
        <v>18</v>
      </c>
      <c r="F2424">
        <v>163</v>
      </c>
      <c r="G2424">
        <v>11309</v>
      </c>
      <c r="H2424">
        <v>1843367</v>
      </c>
      <c r="I2424" t="s">
        <v>296</v>
      </c>
      <c r="J2424" t="s">
        <v>1148</v>
      </c>
      <c r="K2424">
        <v>163</v>
      </c>
      <c r="L2424">
        <v>0</v>
      </c>
      <c r="M2424" t="s">
        <v>115</v>
      </c>
      <c r="N2424" t="str">
        <f t="shared" si="222"/>
        <v>PO-102423</v>
      </c>
      <c r="O2424" t="str">
        <f t="shared" si="223"/>
        <v>Delivered</v>
      </c>
      <c r="P2424" t="str">
        <f t="shared" si="224"/>
        <v>WH-PUN</v>
      </c>
      <c r="Q2424" t="str">
        <f>VLOOKUP(C2424, Lookups!$A$2:$D$10, 2, FALSE())</f>
        <v>MegaFurnish</v>
      </c>
      <c r="R2424" t="str">
        <f>_xlfn.XLOOKUP(D2424, Lookups!$A$12:$A$51, Lookups!$C$12:$C$51, "Unknown")</f>
        <v>Office Furniture</v>
      </c>
      <c r="S2424" t="str">
        <f>IF(ISBLANK(I2424), B2424+VLOOKUP(C2424, Lookups!$A$2:$D$10, 4, FALSE()), I2424)</f>
        <v>2026-11-24</v>
      </c>
      <c r="T2424">
        <f t="shared" si="225"/>
        <v>32</v>
      </c>
      <c r="U2424" t="str">
        <f t="shared" si="226"/>
        <v>Late</v>
      </c>
      <c r="V2424">
        <f t="shared" si="227"/>
        <v>0</v>
      </c>
    </row>
    <row r="2425" spans="1:22" x14ac:dyDescent="0.45">
      <c r="A2425" t="s">
        <v>3281</v>
      </c>
      <c r="B2425" t="s">
        <v>646</v>
      </c>
      <c r="C2425" t="s">
        <v>36</v>
      </c>
      <c r="D2425" t="s">
        <v>63</v>
      </c>
      <c r="E2425" t="s">
        <v>15</v>
      </c>
      <c r="F2425">
        <v>211</v>
      </c>
      <c r="G2425">
        <v>71062</v>
      </c>
      <c r="H2425">
        <v>14994082</v>
      </c>
      <c r="I2425" t="s">
        <v>182</v>
      </c>
      <c r="J2425" t="s">
        <v>182</v>
      </c>
      <c r="K2425">
        <v>211</v>
      </c>
      <c r="L2425">
        <v>0</v>
      </c>
      <c r="M2425" t="s">
        <v>115</v>
      </c>
      <c r="N2425" t="str">
        <f t="shared" si="222"/>
        <v>PO-102424</v>
      </c>
      <c r="O2425" t="str">
        <f t="shared" si="223"/>
        <v>Delivered</v>
      </c>
      <c r="P2425" t="str">
        <f t="shared" si="224"/>
        <v>WH-BOM</v>
      </c>
      <c r="Q2425" t="str">
        <f>VLOOKUP(C2425, Lookups!$A$2:$D$10, 2, FALSE())</f>
        <v>NextGen Hardware</v>
      </c>
      <c r="R2425" t="str">
        <f>_xlfn.XLOOKUP(D2425, Lookups!$A$12:$A$51, Lookups!$C$12:$C$51, "Unknown")</f>
        <v>Electronics</v>
      </c>
      <c r="S2425" t="str">
        <f>IF(ISBLANK(I2425), B2425+VLOOKUP(C2425, Lookups!$A$2:$D$10, 4, FALSE()), I2425)</f>
        <v>2026-10-31</v>
      </c>
      <c r="T2425">
        <f t="shared" si="225"/>
        <v>24</v>
      </c>
      <c r="U2425" t="str">
        <f t="shared" si="226"/>
        <v>On-Time</v>
      </c>
      <c r="V2425">
        <f t="shared" si="227"/>
        <v>0</v>
      </c>
    </row>
    <row r="2426" spans="1:22" x14ac:dyDescent="0.45">
      <c r="A2426" t="s">
        <v>3282</v>
      </c>
      <c r="B2426" t="s">
        <v>262</v>
      </c>
      <c r="C2426" t="s">
        <v>31</v>
      </c>
      <c r="D2426" t="s">
        <v>77</v>
      </c>
      <c r="E2426" t="s">
        <v>18</v>
      </c>
      <c r="F2426">
        <v>164</v>
      </c>
      <c r="G2426">
        <v>23667</v>
      </c>
      <c r="H2426">
        <v>3881388</v>
      </c>
      <c r="I2426" t="s">
        <v>222</v>
      </c>
      <c r="J2426" t="s">
        <v>1413</v>
      </c>
      <c r="K2426">
        <v>164</v>
      </c>
      <c r="L2426">
        <v>0</v>
      </c>
      <c r="M2426" t="s">
        <v>115</v>
      </c>
      <c r="N2426" t="str">
        <f t="shared" si="222"/>
        <v>PO-102425</v>
      </c>
      <c r="O2426" t="str">
        <f t="shared" si="223"/>
        <v>Delivered</v>
      </c>
      <c r="P2426" t="str">
        <f t="shared" si="224"/>
        <v>WH-PUN</v>
      </c>
      <c r="Q2426" t="str">
        <f>VLOOKUP(C2426, Lookups!$A$2:$D$10, 2, FALSE())</f>
        <v>Global Networks</v>
      </c>
      <c r="R2426" t="str">
        <f>_xlfn.XLOOKUP(D2426, Lookups!$A$12:$A$51, Lookups!$C$12:$C$51, "Unknown")</f>
        <v>Networking</v>
      </c>
      <c r="S2426" t="str">
        <f>IF(ISBLANK(I2426), B2426+VLOOKUP(C2426, Lookups!$A$2:$D$10, 4, FALSE()), I2426)</f>
        <v>2026-03-01</v>
      </c>
      <c r="T2426">
        <f t="shared" si="225"/>
        <v>22</v>
      </c>
      <c r="U2426" t="str">
        <f t="shared" si="226"/>
        <v>Late</v>
      </c>
      <c r="V2426">
        <f t="shared" si="227"/>
        <v>0</v>
      </c>
    </row>
    <row r="2427" spans="1:22" x14ac:dyDescent="0.45">
      <c r="A2427" t="s">
        <v>3283</v>
      </c>
      <c r="B2427" t="s">
        <v>499</v>
      </c>
      <c r="C2427" t="s">
        <v>34</v>
      </c>
      <c r="D2427" t="s">
        <v>81</v>
      </c>
      <c r="E2427" t="s">
        <v>15</v>
      </c>
      <c r="F2427">
        <v>202</v>
      </c>
      <c r="G2427">
        <v>55328</v>
      </c>
      <c r="H2427">
        <v>11176256</v>
      </c>
      <c r="I2427" t="s">
        <v>582</v>
      </c>
      <c r="J2427" t="s">
        <v>1082</v>
      </c>
      <c r="K2427">
        <v>202</v>
      </c>
      <c r="L2427">
        <v>0</v>
      </c>
      <c r="M2427" t="s">
        <v>115</v>
      </c>
      <c r="N2427" t="str">
        <f t="shared" si="222"/>
        <v>PO-102426</v>
      </c>
      <c r="O2427" t="str">
        <f t="shared" si="223"/>
        <v>Delivered</v>
      </c>
      <c r="P2427" t="str">
        <f t="shared" si="224"/>
        <v>WH-BOM</v>
      </c>
      <c r="Q2427" t="str">
        <f>VLOOKUP(C2427, Lookups!$A$2:$D$10, 2, FALSE())</f>
        <v>FastElectronics</v>
      </c>
      <c r="R2427" t="str">
        <f>_xlfn.XLOOKUP(D2427, Lookups!$A$12:$A$51, Lookups!$C$12:$C$51, "Unknown")</f>
        <v>Electronics</v>
      </c>
      <c r="S2427" t="str">
        <f>IF(ISBLANK(I2427), B2427+VLOOKUP(C2427, Lookups!$A$2:$D$10, 4, FALSE()), I2427)</f>
        <v>2025-04-21</v>
      </c>
      <c r="T2427">
        <f t="shared" si="225"/>
        <v>19</v>
      </c>
      <c r="U2427" t="str">
        <f t="shared" si="226"/>
        <v>Late</v>
      </c>
      <c r="V2427">
        <f t="shared" si="227"/>
        <v>0</v>
      </c>
    </row>
    <row r="2428" spans="1:22" x14ac:dyDescent="0.45">
      <c r="A2428" t="s">
        <v>3284</v>
      </c>
      <c r="B2428" t="s">
        <v>685</v>
      </c>
      <c r="C2428" t="s">
        <v>32</v>
      </c>
      <c r="D2428" t="s">
        <v>84</v>
      </c>
      <c r="E2428" t="s">
        <v>16</v>
      </c>
      <c r="F2428">
        <v>210</v>
      </c>
      <c r="G2428">
        <v>7271</v>
      </c>
      <c r="H2428">
        <v>1526910</v>
      </c>
      <c r="I2428" t="s">
        <v>840</v>
      </c>
      <c r="J2428" t="s">
        <v>840</v>
      </c>
      <c r="K2428">
        <v>210</v>
      </c>
      <c r="L2428">
        <v>0</v>
      </c>
      <c r="M2428" t="s">
        <v>115</v>
      </c>
      <c r="N2428" t="str">
        <f t="shared" si="222"/>
        <v>PO-102427</v>
      </c>
      <c r="O2428" t="str">
        <f t="shared" si="223"/>
        <v>Delivered</v>
      </c>
      <c r="P2428" t="str">
        <f t="shared" si="224"/>
        <v>WH-DEL</v>
      </c>
      <c r="Q2428" t="str">
        <f>VLOOKUP(C2428, Lookups!$A$2:$D$10, 2, FALSE())</f>
        <v>OfficeDepot Pro</v>
      </c>
      <c r="R2428" t="str">
        <f>_xlfn.XLOOKUP(D2428, Lookups!$A$12:$A$51, Lookups!$C$12:$C$51, "Unknown")</f>
        <v>Peripherals</v>
      </c>
      <c r="S2428" t="str">
        <f>IF(ISBLANK(I2428), B2428+VLOOKUP(C2428, Lookups!$A$2:$D$10, 4, FALSE()), I2428)</f>
        <v>2026-03-17</v>
      </c>
      <c r="T2428">
        <f t="shared" si="225"/>
        <v>7</v>
      </c>
      <c r="U2428" t="str">
        <f t="shared" si="226"/>
        <v>On-Time</v>
      </c>
      <c r="V2428">
        <f t="shared" si="227"/>
        <v>0</v>
      </c>
    </row>
    <row r="2429" spans="1:22" x14ac:dyDescent="0.45">
      <c r="A2429" t="s">
        <v>3285</v>
      </c>
      <c r="B2429" t="s">
        <v>1641</v>
      </c>
      <c r="C2429" t="s">
        <v>34</v>
      </c>
      <c r="D2429" t="s">
        <v>76</v>
      </c>
      <c r="E2429" t="s">
        <v>17</v>
      </c>
      <c r="F2429">
        <v>193</v>
      </c>
      <c r="G2429">
        <v>26270</v>
      </c>
      <c r="H2429">
        <v>5070110</v>
      </c>
      <c r="I2429" t="s">
        <v>250</v>
      </c>
      <c r="J2429" t="s">
        <v>1070</v>
      </c>
      <c r="K2429">
        <v>193</v>
      </c>
      <c r="L2429">
        <v>0</v>
      </c>
      <c r="M2429" t="s">
        <v>115</v>
      </c>
      <c r="N2429" t="str">
        <f t="shared" si="222"/>
        <v>PO-102428</v>
      </c>
      <c r="O2429" t="str">
        <f t="shared" si="223"/>
        <v>Delivered</v>
      </c>
      <c r="P2429" t="str">
        <f t="shared" si="224"/>
        <v>WH-BLR</v>
      </c>
      <c r="Q2429" t="str">
        <f>VLOOKUP(C2429, Lookups!$A$2:$D$10, 2, FALSE())</f>
        <v>FastElectronics</v>
      </c>
      <c r="R2429" t="str">
        <f>_xlfn.XLOOKUP(D2429, Lookups!$A$12:$A$51, Lookups!$C$12:$C$51, "Unknown")</f>
        <v>Networking</v>
      </c>
      <c r="S2429" t="str">
        <f>IF(ISBLANK(I2429), B2429+VLOOKUP(C2429, Lookups!$A$2:$D$10, 4, FALSE()), I2429)</f>
        <v>2025-08-08</v>
      </c>
      <c r="T2429">
        <f t="shared" si="225"/>
        <v>25</v>
      </c>
      <c r="U2429" t="str">
        <f t="shared" si="226"/>
        <v>Late</v>
      </c>
      <c r="V2429">
        <f t="shared" si="227"/>
        <v>0</v>
      </c>
    </row>
    <row r="2430" spans="1:22" x14ac:dyDescent="0.45">
      <c r="A2430" t="s">
        <v>3286</v>
      </c>
      <c r="B2430" t="s">
        <v>538</v>
      </c>
      <c r="C2430" t="s">
        <v>37</v>
      </c>
      <c r="D2430" t="s">
        <v>83</v>
      </c>
      <c r="E2430" t="s">
        <v>16</v>
      </c>
      <c r="F2430">
        <v>91</v>
      </c>
      <c r="G2430">
        <v>19850</v>
      </c>
      <c r="H2430">
        <v>1806350</v>
      </c>
      <c r="I2430" t="s">
        <v>164</v>
      </c>
      <c r="J2430" t="s">
        <v>861</v>
      </c>
      <c r="K2430">
        <v>91</v>
      </c>
      <c r="L2430">
        <v>0</v>
      </c>
      <c r="M2430" t="s">
        <v>115</v>
      </c>
      <c r="N2430" t="str">
        <f t="shared" si="222"/>
        <v>PO-102429</v>
      </c>
      <c r="O2430" t="str">
        <f t="shared" si="223"/>
        <v>Delivered</v>
      </c>
      <c r="P2430" t="str">
        <f t="shared" si="224"/>
        <v>WH-DEL</v>
      </c>
      <c r="Q2430" t="str">
        <f>VLOOKUP(C2430, Lookups!$A$2:$D$10, 2, FALSE())</f>
        <v>Premium Desks Ltd</v>
      </c>
      <c r="R2430" t="str">
        <f>_xlfn.XLOOKUP(D2430, Lookups!$A$12:$A$51, Lookups!$C$12:$C$51, "Unknown")</f>
        <v>Office Furniture</v>
      </c>
      <c r="S2430" t="str">
        <f>IF(ISBLANK(I2430), B2430+VLOOKUP(C2430, Lookups!$A$2:$D$10, 4, FALSE()), I2430)</f>
        <v>2026-02-05</v>
      </c>
      <c r="T2430">
        <f t="shared" si="225"/>
        <v>13</v>
      </c>
      <c r="U2430" t="str">
        <f t="shared" si="226"/>
        <v>Late</v>
      </c>
      <c r="V2430">
        <f t="shared" si="227"/>
        <v>0</v>
      </c>
    </row>
    <row r="2431" spans="1:22" x14ac:dyDescent="0.45">
      <c r="A2431" t="s">
        <v>3287</v>
      </c>
      <c r="B2431" t="s">
        <v>185</v>
      </c>
      <c r="C2431" t="s">
        <v>37</v>
      </c>
      <c r="D2431" t="s">
        <v>83</v>
      </c>
      <c r="E2431" t="s">
        <v>16</v>
      </c>
      <c r="F2431">
        <v>143</v>
      </c>
      <c r="G2431">
        <v>19850</v>
      </c>
      <c r="H2431">
        <v>2838550</v>
      </c>
      <c r="I2431" t="s">
        <v>476</v>
      </c>
      <c r="J2431" t="s">
        <v>665</v>
      </c>
      <c r="K2431">
        <v>143</v>
      </c>
      <c r="L2431">
        <v>0</v>
      </c>
      <c r="M2431" t="s">
        <v>115</v>
      </c>
      <c r="N2431" t="str">
        <f t="shared" si="222"/>
        <v>PO-102430</v>
      </c>
      <c r="O2431" t="str">
        <f t="shared" si="223"/>
        <v>Delivered</v>
      </c>
      <c r="P2431" t="str">
        <f t="shared" si="224"/>
        <v>WH-DEL</v>
      </c>
      <c r="Q2431" t="str">
        <f>VLOOKUP(C2431, Lookups!$A$2:$D$10, 2, FALSE())</f>
        <v>Premium Desks Ltd</v>
      </c>
      <c r="R2431" t="str">
        <f>_xlfn.XLOOKUP(D2431, Lookups!$A$12:$A$51, Lookups!$C$12:$C$51, "Unknown")</f>
        <v>Office Furniture</v>
      </c>
      <c r="S2431" t="str">
        <f>IF(ISBLANK(I2431), B2431+VLOOKUP(C2431, Lookups!$A$2:$D$10, 4, FALSE()), I2431)</f>
        <v>2025-03-10</v>
      </c>
      <c r="T2431">
        <f t="shared" si="225"/>
        <v>13</v>
      </c>
      <c r="U2431" t="str">
        <f t="shared" si="226"/>
        <v>Late</v>
      </c>
      <c r="V2431">
        <f t="shared" si="227"/>
        <v>0</v>
      </c>
    </row>
    <row r="2432" spans="1:22" x14ac:dyDescent="0.45">
      <c r="A2432" t="s">
        <v>3288</v>
      </c>
      <c r="B2432" t="s">
        <v>609</v>
      </c>
      <c r="C2432" t="s">
        <v>37</v>
      </c>
      <c r="D2432" t="s">
        <v>78</v>
      </c>
      <c r="E2432" t="s">
        <v>15</v>
      </c>
      <c r="F2432">
        <v>56</v>
      </c>
      <c r="G2432">
        <v>9423</v>
      </c>
      <c r="H2432">
        <v>527688</v>
      </c>
      <c r="I2432" t="s">
        <v>319</v>
      </c>
      <c r="J2432" t="s">
        <v>319</v>
      </c>
      <c r="K2432">
        <v>56</v>
      </c>
      <c r="L2432">
        <v>0</v>
      </c>
      <c r="M2432" t="s">
        <v>115</v>
      </c>
      <c r="N2432" t="str">
        <f t="shared" si="222"/>
        <v>PO-102431</v>
      </c>
      <c r="O2432" t="str">
        <f t="shared" si="223"/>
        <v>Delivered</v>
      </c>
      <c r="P2432" t="str">
        <f t="shared" si="224"/>
        <v>WH-BOM</v>
      </c>
      <c r="Q2432" t="str">
        <f>VLOOKUP(C2432, Lookups!$A$2:$D$10, 2, FALSE())</f>
        <v>Premium Desks Ltd</v>
      </c>
      <c r="R2432" t="str">
        <f>_xlfn.XLOOKUP(D2432, Lookups!$A$12:$A$51, Lookups!$C$12:$C$51, "Unknown")</f>
        <v>Office Furniture</v>
      </c>
      <c r="S2432" t="str">
        <f>IF(ISBLANK(I2432), B2432+VLOOKUP(C2432, Lookups!$A$2:$D$10, 4, FALSE()), I2432)</f>
        <v>2025-10-14</v>
      </c>
      <c r="T2432">
        <f t="shared" si="225"/>
        <v>12</v>
      </c>
      <c r="U2432" t="str">
        <f t="shared" si="226"/>
        <v>On-Time</v>
      </c>
      <c r="V2432">
        <f t="shared" si="227"/>
        <v>0</v>
      </c>
    </row>
    <row r="2433" spans="1:22" x14ac:dyDescent="0.45">
      <c r="A2433" t="s">
        <v>3289</v>
      </c>
      <c r="B2433" t="s">
        <v>556</v>
      </c>
      <c r="C2433" t="s">
        <v>35</v>
      </c>
      <c r="D2433" t="s">
        <v>65</v>
      </c>
      <c r="E2433" t="s">
        <v>18</v>
      </c>
      <c r="F2433">
        <v>181</v>
      </c>
      <c r="G2433">
        <v>4936</v>
      </c>
      <c r="H2433">
        <v>893416</v>
      </c>
      <c r="I2433" t="s">
        <v>869</v>
      </c>
      <c r="J2433" t="s">
        <v>869</v>
      </c>
      <c r="K2433">
        <v>181</v>
      </c>
      <c r="L2433">
        <v>0</v>
      </c>
      <c r="M2433" t="s">
        <v>115</v>
      </c>
      <c r="N2433" t="str">
        <f t="shared" si="222"/>
        <v>PO-102432</v>
      </c>
      <c r="O2433" t="str">
        <f t="shared" si="223"/>
        <v>Delivered</v>
      </c>
      <c r="P2433" t="str">
        <f t="shared" si="224"/>
        <v>WH-PUN</v>
      </c>
      <c r="Q2433" t="str">
        <f>VLOOKUP(C2433, Lookups!$A$2:$D$10, 2, FALSE())</f>
        <v>Peripheral Source</v>
      </c>
      <c r="R2433" t="str">
        <f>_xlfn.XLOOKUP(D2433, Lookups!$A$12:$A$51, Lookups!$C$12:$C$51, "Unknown")</f>
        <v>Peripherals</v>
      </c>
      <c r="S2433" t="str">
        <f>IF(ISBLANK(I2433), B2433+VLOOKUP(C2433, Lookups!$A$2:$D$10, 4, FALSE()), I2433)</f>
        <v>2026-09-25</v>
      </c>
      <c r="T2433">
        <f t="shared" si="225"/>
        <v>10</v>
      </c>
      <c r="U2433" t="str">
        <f t="shared" si="226"/>
        <v>On-Time</v>
      </c>
      <c r="V2433">
        <f t="shared" si="227"/>
        <v>0</v>
      </c>
    </row>
    <row r="2434" spans="1:22" x14ac:dyDescent="0.45">
      <c r="A2434" t="s">
        <v>3290</v>
      </c>
      <c r="B2434" t="s">
        <v>1671</v>
      </c>
      <c r="C2434" t="s">
        <v>34</v>
      </c>
      <c r="D2434" t="s">
        <v>73</v>
      </c>
      <c r="E2434" t="s">
        <v>18</v>
      </c>
      <c r="F2434">
        <v>188</v>
      </c>
      <c r="G2434">
        <v>58396</v>
      </c>
      <c r="H2434">
        <v>10978448</v>
      </c>
      <c r="I2434" t="s">
        <v>367</v>
      </c>
      <c r="J2434" t="s">
        <v>367</v>
      </c>
      <c r="K2434">
        <v>188</v>
      </c>
      <c r="L2434">
        <v>0</v>
      </c>
      <c r="M2434" t="s">
        <v>115</v>
      </c>
      <c r="N2434" t="str">
        <f t="shared" ref="N2434:N2497" si="228">TRIM(A2434)</f>
        <v>PO-102433</v>
      </c>
      <c r="O2434" t="str">
        <f t="shared" ref="O2434:O2497" si="229">PROPER(TRIM(M2434))</f>
        <v>Delivered</v>
      </c>
      <c r="P2434" t="str">
        <f t="shared" ref="P2434:P2497" si="230">TRIM(E2434)</f>
        <v>WH-PUN</v>
      </c>
      <c r="Q2434" t="str">
        <f>VLOOKUP(C2434, Lookups!$A$2:$D$10, 2, FALSE())</f>
        <v>FastElectronics</v>
      </c>
      <c r="R2434" t="str">
        <f>_xlfn.XLOOKUP(D2434, Lookups!$A$12:$A$51, Lookups!$C$12:$C$51, "Unknown")</f>
        <v>Electronics</v>
      </c>
      <c r="S2434" t="str">
        <f>IF(ISBLANK(I2434), B2434+VLOOKUP(C2434, Lookups!$A$2:$D$10, 4, FALSE()), I2434)</f>
        <v>2026-04-15</v>
      </c>
      <c r="T2434">
        <f t="shared" ref="T2434:T2497" si="231">IF(ISBLANK(J2434), "", J2434-B2434)</f>
        <v>18</v>
      </c>
      <c r="U2434" t="str">
        <f t="shared" ref="U2434:U2497" si="232">IF(O2434="Open", "Open", IF(J2434&gt;S2434, "Late", "On-Time"))</f>
        <v>On-Time</v>
      </c>
      <c r="V2434">
        <f t="shared" ref="V2434:V2497" si="233">IF(K2434&gt;0, L2434/K2434, 0)</f>
        <v>0</v>
      </c>
    </row>
    <row r="2435" spans="1:22" x14ac:dyDescent="0.45">
      <c r="A2435" t="s">
        <v>3291</v>
      </c>
      <c r="B2435" t="s">
        <v>1615</v>
      </c>
      <c r="C2435" t="s">
        <v>35</v>
      </c>
      <c r="D2435" t="s">
        <v>72</v>
      </c>
      <c r="E2435" t="s">
        <v>15</v>
      </c>
      <c r="F2435">
        <v>171</v>
      </c>
      <c r="G2435">
        <v>7754</v>
      </c>
      <c r="H2435">
        <v>1325934</v>
      </c>
      <c r="I2435" t="s">
        <v>1271</v>
      </c>
      <c r="J2435" t="s">
        <v>555</v>
      </c>
      <c r="K2435">
        <v>171</v>
      </c>
      <c r="L2435">
        <v>0</v>
      </c>
      <c r="M2435" t="s">
        <v>115</v>
      </c>
      <c r="N2435" t="str">
        <f t="shared" si="228"/>
        <v>PO-102434</v>
      </c>
      <c r="O2435" t="str">
        <f t="shared" si="229"/>
        <v>Delivered</v>
      </c>
      <c r="P2435" t="str">
        <f t="shared" si="230"/>
        <v>WH-BOM</v>
      </c>
      <c r="Q2435" t="str">
        <f>VLOOKUP(C2435, Lookups!$A$2:$D$10, 2, FALSE())</f>
        <v>Peripheral Source</v>
      </c>
      <c r="R2435" t="str">
        <f>_xlfn.XLOOKUP(D2435, Lookups!$A$12:$A$51, Lookups!$C$12:$C$51, "Unknown")</f>
        <v>Peripherals</v>
      </c>
      <c r="S2435" t="str">
        <f>IF(ISBLANK(I2435), B2435+VLOOKUP(C2435, Lookups!$A$2:$D$10, 4, FALSE()), I2435)</f>
        <v>2026-08-31</v>
      </c>
      <c r="T2435">
        <f t="shared" si="231"/>
        <v>11</v>
      </c>
      <c r="U2435" t="str">
        <f t="shared" si="232"/>
        <v>Late</v>
      </c>
      <c r="V2435">
        <f t="shared" si="233"/>
        <v>0</v>
      </c>
    </row>
    <row r="2436" spans="1:22" x14ac:dyDescent="0.45">
      <c r="A2436" t="s">
        <v>3292</v>
      </c>
      <c r="B2436" t="s">
        <v>716</v>
      </c>
      <c r="C2436" t="s">
        <v>30</v>
      </c>
      <c r="D2436" t="s">
        <v>53</v>
      </c>
      <c r="E2436" t="s">
        <v>15</v>
      </c>
      <c r="F2436">
        <v>176</v>
      </c>
      <c r="G2436">
        <v>81048</v>
      </c>
      <c r="H2436">
        <v>14264448</v>
      </c>
      <c r="I2436" t="s">
        <v>895</v>
      </c>
      <c r="J2436" t="s">
        <v>834</v>
      </c>
      <c r="K2436">
        <v>176</v>
      </c>
      <c r="L2436">
        <v>0</v>
      </c>
      <c r="M2436" t="s">
        <v>115</v>
      </c>
      <c r="N2436" t="str">
        <f t="shared" si="228"/>
        <v>PO-102435</v>
      </c>
      <c r="O2436" t="str">
        <f t="shared" si="229"/>
        <v>Delivered</v>
      </c>
      <c r="P2436" t="str">
        <f t="shared" si="230"/>
        <v>WH-BOM</v>
      </c>
      <c r="Q2436" t="str">
        <f>VLOOKUP(C2436, Lookups!$A$2:$D$10, 2, FALSE())</f>
        <v>TechSupply Corp</v>
      </c>
      <c r="R2436" t="str">
        <f>_xlfn.XLOOKUP(D2436, Lookups!$A$12:$A$51, Lookups!$C$12:$C$51, "Unknown")</f>
        <v>Electronics</v>
      </c>
      <c r="S2436" t="str">
        <f>IF(ISBLANK(I2436), B2436+VLOOKUP(C2436, Lookups!$A$2:$D$10, 4, FALSE()), I2436)</f>
        <v>2025-08-25</v>
      </c>
      <c r="T2436">
        <f t="shared" si="231"/>
        <v>15</v>
      </c>
      <c r="U2436" t="str">
        <f t="shared" si="232"/>
        <v>Late</v>
      </c>
      <c r="V2436">
        <f t="shared" si="233"/>
        <v>0</v>
      </c>
    </row>
    <row r="2437" spans="1:22" x14ac:dyDescent="0.45">
      <c r="A2437" t="s">
        <v>3293</v>
      </c>
      <c r="B2437" t="s">
        <v>188</v>
      </c>
      <c r="C2437" t="s">
        <v>34</v>
      </c>
      <c r="D2437" t="s">
        <v>74</v>
      </c>
      <c r="E2437" t="s">
        <v>15</v>
      </c>
      <c r="F2437">
        <v>109</v>
      </c>
      <c r="G2437">
        <v>94797</v>
      </c>
      <c r="H2437">
        <v>10332873</v>
      </c>
      <c r="I2437" t="s">
        <v>1090</v>
      </c>
      <c r="J2437" t="s">
        <v>431</v>
      </c>
      <c r="K2437">
        <v>109</v>
      </c>
      <c r="L2437">
        <v>0</v>
      </c>
      <c r="M2437" t="s">
        <v>115</v>
      </c>
      <c r="N2437" t="str">
        <f t="shared" si="228"/>
        <v>PO-102436</v>
      </c>
      <c r="O2437" t="str">
        <f t="shared" si="229"/>
        <v>Delivered</v>
      </c>
      <c r="P2437" t="str">
        <f t="shared" si="230"/>
        <v>WH-BOM</v>
      </c>
      <c r="Q2437" t="str">
        <f>VLOOKUP(C2437, Lookups!$A$2:$D$10, 2, FALSE())</f>
        <v>FastElectronics</v>
      </c>
      <c r="R2437" t="str">
        <f>_xlfn.XLOOKUP(D2437, Lookups!$A$12:$A$51, Lookups!$C$12:$C$51, "Unknown")</f>
        <v>Electronics</v>
      </c>
      <c r="S2437" t="str">
        <f>IF(ISBLANK(I2437), B2437+VLOOKUP(C2437, Lookups!$A$2:$D$10, 4, FALSE()), I2437)</f>
        <v>2025-03-15</v>
      </c>
      <c r="T2437">
        <f t="shared" si="231"/>
        <v>19</v>
      </c>
      <c r="U2437" t="str">
        <f t="shared" si="232"/>
        <v>Late</v>
      </c>
      <c r="V2437">
        <f t="shared" si="233"/>
        <v>0</v>
      </c>
    </row>
    <row r="2438" spans="1:22" x14ac:dyDescent="0.45">
      <c r="A2438" t="s">
        <v>3294</v>
      </c>
      <c r="B2438" t="s">
        <v>281</v>
      </c>
      <c r="C2438" t="s">
        <v>36</v>
      </c>
      <c r="D2438" t="s">
        <v>55</v>
      </c>
      <c r="E2438" t="s">
        <v>17</v>
      </c>
      <c r="F2438">
        <v>224</v>
      </c>
      <c r="G2438">
        <v>58434</v>
      </c>
      <c r="H2438">
        <v>13089216</v>
      </c>
      <c r="I2438" t="s">
        <v>674</v>
      </c>
      <c r="J2438" t="s">
        <v>674</v>
      </c>
      <c r="K2438">
        <v>206</v>
      </c>
      <c r="L2438">
        <v>0</v>
      </c>
      <c r="M2438" t="s">
        <v>115</v>
      </c>
      <c r="N2438" t="str">
        <f t="shared" si="228"/>
        <v>PO-102437</v>
      </c>
      <c r="O2438" t="str">
        <f t="shared" si="229"/>
        <v>Delivered</v>
      </c>
      <c r="P2438" t="str">
        <f t="shared" si="230"/>
        <v>WH-BLR</v>
      </c>
      <c r="Q2438" t="str">
        <f>VLOOKUP(C2438, Lookups!$A$2:$D$10, 2, FALSE())</f>
        <v>NextGen Hardware</v>
      </c>
      <c r="R2438" t="str">
        <f>_xlfn.XLOOKUP(D2438, Lookups!$A$12:$A$51, Lookups!$C$12:$C$51, "Unknown")</f>
        <v>Electronics</v>
      </c>
      <c r="S2438" t="str">
        <f>IF(ISBLANK(I2438), B2438+VLOOKUP(C2438, Lookups!$A$2:$D$10, 4, FALSE()), I2438)</f>
        <v>2026-11-19</v>
      </c>
      <c r="T2438">
        <f t="shared" si="231"/>
        <v>24</v>
      </c>
      <c r="U2438" t="str">
        <f t="shared" si="232"/>
        <v>On-Time</v>
      </c>
      <c r="V2438">
        <f t="shared" si="233"/>
        <v>0</v>
      </c>
    </row>
    <row r="2439" spans="1:22" x14ac:dyDescent="0.45">
      <c r="A2439" t="s">
        <v>3295</v>
      </c>
      <c r="B2439" t="s">
        <v>249</v>
      </c>
      <c r="C2439" t="s">
        <v>30</v>
      </c>
      <c r="D2439" t="s">
        <v>82</v>
      </c>
      <c r="E2439" t="s">
        <v>16</v>
      </c>
      <c r="F2439">
        <v>164</v>
      </c>
      <c r="G2439">
        <v>83427</v>
      </c>
      <c r="H2439">
        <v>13682028</v>
      </c>
      <c r="I2439" t="s">
        <v>234</v>
      </c>
      <c r="J2439" t="s">
        <v>234</v>
      </c>
      <c r="K2439">
        <v>164</v>
      </c>
      <c r="L2439">
        <v>0</v>
      </c>
      <c r="M2439" t="s">
        <v>115</v>
      </c>
      <c r="N2439" t="str">
        <f t="shared" si="228"/>
        <v>PO-102438</v>
      </c>
      <c r="O2439" t="str">
        <f t="shared" si="229"/>
        <v>Delivered</v>
      </c>
      <c r="P2439" t="str">
        <f t="shared" si="230"/>
        <v>WH-DEL</v>
      </c>
      <c r="Q2439" t="str">
        <f>VLOOKUP(C2439, Lookups!$A$2:$D$10, 2, FALSE())</f>
        <v>TechSupply Corp</v>
      </c>
      <c r="R2439" t="str">
        <f>_xlfn.XLOOKUP(D2439, Lookups!$A$12:$A$51, Lookups!$C$12:$C$51, "Unknown")</f>
        <v>Electronics</v>
      </c>
      <c r="S2439" t="str">
        <f>IF(ISBLANK(I2439), B2439+VLOOKUP(C2439, Lookups!$A$2:$D$10, 4, FALSE()), I2439)</f>
        <v>2025-08-03</v>
      </c>
      <c r="T2439">
        <f t="shared" si="231"/>
        <v>14</v>
      </c>
      <c r="U2439" t="str">
        <f t="shared" si="232"/>
        <v>On-Time</v>
      </c>
      <c r="V2439">
        <f t="shared" si="233"/>
        <v>0</v>
      </c>
    </row>
    <row r="2440" spans="1:22" x14ac:dyDescent="0.45">
      <c r="A2440" t="s">
        <v>3296</v>
      </c>
      <c r="B2440" t="s">
        <v>213</v>
      </c>
      <c r="C2440" t="s">
        <v>36</v>
      </c>
      <c r="D2440" t="s">
        <v>90</v>
      </c>
      <c r="E2440" t="s">
        <v>17</v>
      </c>
      <c r="F2440">
        <v>158</v>
      </c>
      <c r="G2440">
        <v>81434</v>
      </c>
      <c r="H2440">
        <v>12866572</v>
      </c>
      <c r="I2440" t="s">
        <v>1145</v>
      </c>
      <c r="J2440" t="s">
        <v>1530</v>
      </c>
      <c r="K2440">
        <v>158</v>
      </c>
      <c r="L2440">
        <v>0</v>
      </c>
      <c r="M2440" t="s">
        <v>115</v>
      </c>
      <c r="N2440" t="str">
        <f t="shared" si="228"/>
        <v>PO-102439</v>
      </c>
      <c r="O2440" t="str">
        <f t="shared" si="229"/>
        <v>Delivered</v>
      </c>
      <c r="P2440" t="str">
        <f t="shared" si="230"/>
        <v>WH-BLR</v>
      </c>
      <c r="Q2440" t="str">
        <f>VLOOKUP(C2440, Lookups!$A$2:$D$10, 2, FALSE())</f>
        <v>NextGen Hardware</v>
      </c>
      <c r="R2440" t="str">
        <f>_xlfn.XLOOKUP(D2440, Lookups!$A$12:$A$51, Lookups!$C$12:$C$51, "Unknown")</f>
        <v>Electronics</v>
      </c>
      <c r="S2440" t="str">
        <f>IF(ISBLANK(I2440), B2440+VLOOKUP(C2440, Lookups!$A$2:$D$10, 4, FALSE()), I2440)</f>
        <v>2025-07-11</v>
      </c>
      <c r="T2440">
        <f t="shared" si="231"/>
        <v>25</v>
      </c>
      <c r="U2440" t="str">
        <f t="shared" si="232"/>
        <v>Late</v>
      </c>
      <c r="V2440">
        <f t="shared" si="233"/>
        <v>0</v>
      </c>
    </row>
    <row r="2441" spans="1:22" x14ac:dyDescent="0.45">
      <c r="A2441" t="s">
        <v>3297</v>
      </c>
      <c r="B2441" t="s">
        <v>430</v>
      </c>
      <c r="C2441" t="s">
        <v>34</v>
      </c>
      <c r="D2441" t="s">
        <v>73</v>
      </c>
      <c r="E2441" t="s">
        <v>17</v>
      </c>
      <c r="F2441">
        <v>86</v>
      </c>
      <c r="G2441">
        <v>58396</v>
      </c>
      <c r="H2441">
        <v>5022056</v>
      </c>
      <c r="I2441" t="s">
        <v>1092</v>
      </c>
      <c r="J2441" t="s">
        <v>1092</v>
      </c>
      <c r="K2441">
        <v>86</v>
      </c>
      <c r="L2441">
        <v>0</v>
      </c>
      <c r="M2441" t="s">
        <v>115</v>
      </c>
      <c r="N2441" t="str">
        <f t="shared" si="228"/>
        <v>PO-102440</v>
      </c>
      <c r="O2441" t="str">
        <f t="shared" si="229"/>
        <v>Delivered</v>
      </c>
      <c r="P2441" t="str">
        <f t="shared" si="230"/>
        <v>WH-BLR</v>
      </c>
      <c r="Q2441" t="str">
        <f>VLOOKUP(C2441, Lookups!$A$2:$D$10, 2, FALSE())</f>
        <v>FastElectronics</v>
      </c>
      <c r="R2441" t="str">
        <f>_xlfn.XLOOKUP(D2441, Lookups!$A$12:$A$51, Lookups!$C$12:$C$51, "Unknown")</f>
        <v>Electronics</v>
      </c>
      <c r="S2441" t="str">
        <f>IF(ISBLANK(I2441), B2441+VLOOKUP(C2441, Lookups!$A$2:$D$10, 4, FALSE()), I2441)</f>
        <v>2025-03-22</v>
      </c>
      <c r="T2441">
        <f t="shared" si="231"/>
        <v>18</v>
      </c>
      <c r="U2441" t="str">
        <f t="shared" si="232"/>
        <v>On-Time</v>
      </c>
      <c r="V2441">
        <f t="shared" si="233"/>
        <v>0</v>
      </c>
    </row>
    <row r="2442" spans="1:22" x14ac:dyDescent="0.45">
      <c r="A2442" t="s">
        <v>3298</v>
      </c>
      <c r="B2442" t="s">
        <v>789</v>
      </c>
      <c r="C2442" t="s">
        <v>33</v>
      </c>
      <c r="D2442" t="s">
        <v>89</v>
      </c>
      <c r="E2442" t="s">
        <v>18</v>
      </c>
      <c r="F2442">
        <v>165</v>
      </c>
      <c r="G2442">
        <v>11309</v>
      </c>
      <c r="H2442">
        <v>1865985</v>
      </c>
      <c r="K2442">
        <v>0</v>
      </c>
      <c r="L2442">
        <v>0</v>
      </c>
      <c r="M2442" t="s">
        <v>297</v>
      </c>
      <c r="N2442" t="str">
        <f t="shared" si="228"/>
        <v>PO-102441</v>
      </c>
      <c r="O2442" t="str">
        <f t="shared" si="229"/>
        <v>Open</v>
      </c>
      <c r="P2442" t="str">
        <f t="shared" si="230"/>
        <v>WH-PUN</v>
      </c>
      <c r="Q2442" t="str">
        <f>VLOOKUP(C2442, Lookups!$A$2:$D$10, 2, FALSE())</f>
        <v>MegaFurnish</v>
      </c>
      <c r="R2442" t="str">
        <f>_xlfn.XLOOKUP(D2442, Lookups!$A$12:$A$51, Lookups!$C$12:$C$51, "Unknown")</f>
        <v>Office Furniture</v>
      </c>
      <c r="S2442">
        <f>IF(ISBLANK(I2442), B2442+VLOOKUP(C2442, Lookups!$A$2:$D$10, 4, FALSE()), I2442)</f>
        <v>46398</v>
      </c>
      <c r="T2442" t="str">
        <f t="shared" si="231"/>
        <v/>
      </c>
      <c r="U2442" t="str">
        <f t="shared" si="232"/>
        <v>Open</v>
      </c>
      <c r="V2442">
        <f t="shared" si="233"/>
        <v>0</v>
      </c>
    </row>
    <row r="2443" spans="1:22" x14ac:dyDescent="0.45">
      <c r="A2443" t="s">
        <v>3299</v>
      </c>
      <c r="B2443" t="s">
        <v>428</v>
      </c>
      <c r="C2443" t="s">
        <v>36</v>
      </c>
      <c r="D2443" t="s">
        <v>63</v>
      </c>
      <c r="E2443" t="s">
        <v>18</v>
      </c>
      <c r="F2443">
        <v>12</v>
      </c>
      <c r="G2443">
        <v>71062</v>
      </c>
      <c r="H2443">
        <v>852744</v>
      </c>
      <c r="I2443" t="s">
        <v>1044</v>
      </c>
      <c r="J2443" t="s">
        <v>1122</v>
      </c>
      <c r="K2443">
        <v>12</v>
      </c>
      <c r="L2443">
        <v>0</v>
      </c>
      <c r="M2443" t="s">
        <v>115</v>
      </c>
      <c r="N2443" t="str">
        <f t="shared" si="228"/>
        <v>PO-102442</v>
      </c>
      <c r="O2443" t="str">
        <f t="shared" si="229"/>
        <v>Delivered</v>
      </c>
      <c r="P2443" t="str">
        <f t="shared" si="230"/>
        <v>WH-PUN</v>
      </c>
      <c r="Q2443" t="str">
        <f>VLOOKUP(C2443, Lookups!$A$2:$D$10, 2, FALSE())</f>
        <v>NextGen Hardware</v>
      </c>
      <c r="R2443" t="str">
        <f>_xlfn.XLOOKUP(D2443, Lookups!$A$12:$A$51, Lookups!$C$12:$C$51, "Unknown")</f>
        <v>Electronics</v>
      </c>
      <c r="S2443" t="str">
        <f>IF(ISBLANK(I2443), B2443+VLOOKUP(C2443, Lookups!$A$2:$D$10, 4, FALSE()), I2443)</f>
        <v>2026-08-10</v>
      </c>
      <c r="T2443">
        <f t="shared" si="231"/>
        <v>28</v>
      </c>
      <c r="U2443" t="str">
        <f t="shared" si="232"/>
        <v>Late</v>
      </c>
      <c r="V2443">
        <f t="shared" si="233"/>
        <v>0</v>
      </c>
    </row>
    <row r="2444" spans="1:22" x14ac:dyDescent="0.45">
      <c r="A2444" t="s">
        <v>3300</v>
      </c>
      <c r="B2444" t="s">
        <v>653</v>
      </c>
      <c r="C2444" t="s">
        <v>34</v>
      </c>
      <c r="D2444" t="s">
        <v>58</v>
      </c>
      <c r="E2444" t="s">
        <v>16</v>
      </c>
      <c r="F2444">
        <v>42</v>
      </c>
      <c r="G2444">
        <v>100302</v>
      </c>
      <c r="H2444">
        <v>4212684</v>
      </c>
      <c r="K2444">
        <v>0</v>
      </c>
      <c r="L2444">
        <v>0</v>
      </c>
      <c r="M2444" t="s">
        <v>297</v>
      </c>
      <c r="N2444" t="str">
        <f t="shared" si="228"/>
        <v>PO-102443</v>
      </c>
      <c r="O2444" t="str">
        <f t="shared" si="229"/>
        <v>Open</v>
      </c>
      <c r="P2444" t="str">
        <f t="shared" si="230"/>
        <v>WH-DEL</v>
      </c>
      <c r="Q2444" t="str">
        <f>VLOOKUP(C2444, Lookups!$A$2:$D$10, 2, FALSE())</f>
        <v>FastElectronics</v>
      </c>
      <c r="R2444" t="str">
        <f>_xlfn.XLOOKUP(D2444, Lookups!$A$12:$A$51, Lookups!$C$12:$C$51, "Unknown")</f>
        <v>Electronics</v>
      </c>
      <c r="S2444">
        <f>IF(ISBLANK(I2444), B2444+VLOOKUP(C2444, Lookups!$A$2:$D$10, 4, FALSE()), I2444)</f>
        <v>46388</v>
      </c>
      <c r="T2444" t="str">
        <f t="shared" si="231"/>
        <v/>
      </c>
      <c r="U2444" t="str">
        <f t="shared" si="232"/>
        <v>Open</v>
      </c>
      <c r="V2444">
        <f t="shared" si="233"/>
        <v>0</v>
      </c>
    </row>
    <row r="2445" spans="1:22" x14ac:dyDescent="0.45">
      <c r="A2445" t="s">
        <v>3301</v>
      </c>
      <c r="B2445" t="s">
        <v>138</v>
      </c>
      <c r="C2445" t="s">
        <v>37</v>
      </c>
      <c r="D2445" t="s">
        <v>78</v>
      </c>
      <c r="E2445" t="s">
        <v>15</v>
      </c>
      <c r="F2445">
        <v>50</v>
      </c>
      <c r="G2445">
        <v>9423</v>
      </c>
      <c r="H2445">
        <v>471150</v>
      </c>
      <c r="I2445" t="s">
        <v>146</v>
      </c>
      <c r="J2445" t="s">
        <v>199</v>
      </c>
      <c r="K2445">
        <v>50</v>
      </c>
      <c r="L2445">
        <v>0</v>
      </c>
      <c r="M2445" t="s">
        <v>115</v>
      </c>
      <c r="N2445" t="str">
        <f t="shared" si="228"/>
        <v>PO-102444</v>
      </c>
      <c r="O2445" t="str">
        <f t="shared" si="229"/>
        <v>Delivered</v>
      </c>
      <c r="P2445" t="str">
        <f t="shared" si="230"/>
        <v>WH-BOM</v>
      </c>
      <c r="Q2445" t="str">
        <f>VLOOKUP(C2445, Lookups!$A$2:$D$10, 2, FALSE())</f>
        <v>Premium Desks Ltd</v>
      </c>
      <c r="R2445" t="str">
        <f>_xlfn.XLOOKUP(D2445, Lookups!$A$12:$A$51, Lookups!$C$12:$C$51, "Unknown")</f>
        <v>Office Furniture</v>
      </c>
      <c r="S2445" t="str">
        <f>IF(ISBLANK(I2445), B2445+VLOOKUP(C2445, Lookups!$A$2:$D$10, 4, FALSE()), I2445)</f>
        <v>2025-10-08</v>
      </c>
      <c r="T2445">
        <f t="shared" si="231"/>
        <v>20</v>
      </c>
      <c r="U2445" t="str">
        <f t="shared" si="232"/>
        <v>Late</v>
      </c>
      <c r="V2445">
        <f t="shared" si="233"/>
        <v>0</v>
      </c>
    </row>
    <row r="2446" spans="1:22" x14ac:dyDescent="0.45">
      <c r="A2446" t="s">
        <v>3302</v>
      </c>
      <c r="B2446" t="s">
        <v>200</v>
      </c>
      <c r="C2446" t="s">
        <v>31</v>
      </c>
      <c r="D2446" t="s">
        <v>56</v>
      </c>
      <c r="E2446" t="s">
        <v>17</v>
      </c>
      <c r="F2446">
        <v>137</v>
      </c>
      <c r="G2446">
        <v>39270</v>
      </c>
      <c r="H2446">
        <v>5379990</v>
      </c>
      <c r="I2446" t="s">
        <v>651</v>
      </c>
      <c r="J2446" t="s">
        <v>651</v>
      </c>
      <c r="K2446">
        <v>137</v>
      </c>
      <c r="L2446">
        <v>0</v>
      </c>
      <c r="M2446" t="s">
        <v>115</v>
      </c>
      <c r="N2446" t="str">
        <f t="shared" si="228"/>
        <v>PO-102445</v>
      </c>
      <c r="O2446" t="str">
        <f t="shared" si="229"/>
        <v>Delivered</v>
      </c>
      <c r="P2446" t="str">
        <f t="shared" si="230"/>
        <v>WH-BLR</v>
      </c>
      <c r="Q2446" t="str">
        <f>VLOOKUP(C2446, Lookups!$A$2:$D$10, 2, FALSE())</f>
        <v>Global Networks</v>
      </c>
      <c r="R2446" t="str">
        <f>_xlfn.XLOOKUP(D2446, Lookups!$A$12:$A$51, Lookups!$C$12:$C$51, "Unknown")</f>
        <v>Networking</v>
      </c>
      <c r="S2446" t="str">
        <f>IF(ISBLANK(I2446), B2446+VLOOKUP(C2446, Lookups!$A$2:$D$10, 4, FALSE()), I2446)</f>
        <v>2025-11-12</v>
      </c>
      <c r="T2446">
        <f t="shared" si="231"/>
        <v>21</v>
      </c>
      <c r="U2446" t="str">
        <f t="shared" si="232"/>
        <v>On-Time</v>
      </c>
      <c r="V2446">
        <f t="shared" si="233"/>
        <v>0</v>
      </c>
    </row>
    <row r="2447" spans="1:22" x14ac:dyDescent="0.45">
      <c r="A2447" t="s">
        <v>3303</v>
      </c>
      <c r="B2447" t="s">
        <v>304</v>
      </c>
      <c r="C2447" t="s">
        <v>37</v>
      </c>
      <c r="D2447" t="s">
        <v>69</v>
      </c>
      <c r="E2447" t="s">
        <v>16</v>
      </c>
      <c r="F2447">
        <v>189</v>
      </c>
      <c r="G2447">
        <v>13231</v>
      </c>
      <c r="H2447">
        <v>2500659</v>
      </c>
      <c r="I2447" t="s">
        <v>114</v>
      </c>
      <c r="J2447" t="s">
        <v>883</v>
      </c>
      <c r="K2447">
        <v>169</v>
      </c>
      <c r="L2447">
        <v>0</v>
      </c>
      <c r="M2447" t="s">
        <v>115</v>
      </c>
      <c r="N2447" t="str">
        <f t="shared" si="228"/>
        <v>PO-102446</v>
      </c>
      <c r="O2447" t="str">
        <f t="shared" si="229"/>
        <v>Delivered</v>
      </c>
      <c r="P2447" t="str">
        <f t="shared" si="230"/>
        <v>WH-DEL</v>
      </c>
      <c r="Q2447" t="str">
        <f>VLOOKUP(C2447, Lookups!$A$2:$D$10, 2, FALSE())</f>
        <v>Premium Desks Ltd</v>
      </c>
      <c r="R2447" t="str">
        <f>_xlfn.XLOOKUP(D2447, Lookups!$A$12:$A$51, Lookups!$C$12:$C$51, "Unknown")</f>
        <v>Office Furniture</v>
      </c>
      <c r="S2447" t="str">
        <f>IF(ISBLANK(I2447), B2447+VLOOKUP(C2447, Lookups!$A$2:$D$10, 4, FALSE()), I2447)</f>
        <v>2026-07-05</v>
      </c>
      <c r="T2447">
        <f t="shared" si="231"/>
        <v>13</v>
      </c>
      <c r="U2447" t="str">
        <f t="shared" si="232"/>
        <v>Late</v>
      </c>
      <c r="V2447">
        <f t="shared" si="233"/>
        <v>0</v>
      </c>
    </row>
    <row r="2448" spans="1:22" x14ac:dyDescent="0.45">
      <c r="A2448" t="s">
        <v>3304</v>
      </c>
      <c r="B2448" t="s">
        <v>221</v>
      </c>
      <c r="C2448" t="s">
        <v>35</v>
      </c>
      <c r="D2448" t="s">
        <v>57</v>
      </c>
      <c r="E2448" t="s">
        <v>18</v>
      </c>
      <c r="F2448">
        <v>121</v>
      </c>
      <c r="G2448">
        <v>2212</v>
      </c>
      <c r="H2448">
        <v>267652</v>
      </c>
      <c r="I2448" t="s">
        <v>685</v>
      </c>
      <c r="J2448" t="s">
        <v>1496</v>
      </c>
      <c r="K2448">
        <v>121</v>
      </c>
      <c r="L2448">
        <v>0</v>
      </c>
      <c r="M2448" t="s">
        <v>115</v>
      </c>
      <c r="N2448" t="str">
        <f t="shared" si="228"/>
        <v>PO-102447</v>
      </c>
      <c r="O2448" t="str">
        <f t="shared" si="229"/>
        <v>Delivered</v>
      </c>
      <c r="P2448" t="str">
        <f t="shared" si="230"/>
        <v>WH-PUN</v>
      </c>
      <c r="Q2448" t="str">
        <f>VLOOKUP(C2448, Lookups!$A$2:$D$10, 2, FALSE())</f>
        <v>Peripheral Source</v>
      </c>
      <c r="R2448" t="str">
        <f>_xlfn.XLOOKUP(D2448, Lookups!$A$12:$A$51, Lookups!$C$12:$C$51, "Unknown")</f>
        <v>Peripherals</v>
      </c>
      <c r="S2448" t="str">
        <f>IF(ISBLANK(I2448), B2448+VLOOKUP(C2448, Lookups!$A$2:$D$10, 4, FALSE()), I2448)</f>
        <v>2026-03-10</v>
      </c>
      <c r="T2448">
        <f t="shared" si="231"/>
        <v>11</v>
      </c>
      <c r="U2448" t="str">
        <f t="shared" si="232"/>
        <v>Late</v>
      </c>
      <c r="V2448">
        <f t="shared" si="233"/>
        <v>0</v>
      </c>
    </row>
    <row r="2449" spans="1:22" x14ac:dyDescent="0.45">
      <c r="A2449" t="s">
        <v>3305</v>
      </c>
      <c r="B2449" t="s">
        <v>731</v>
      </c>
      <c r="C2449" t="s">
        <v>31</v>
      </c>
      <c r="D2449" t="s">
        <v>66</v>
      </c>
      <c r="E2449" t="s">
        <v>17</v>
      </c>
      <c r="F2449">
        <v>102</v>
      </c>
      <c r="G2449">
        <v>29719</v>
      </c>
      <c r="H2449">
        <v>3031338</v>
      </c>
      <c r="I2449" t="s">
        <v>880</v>
      </c>
      <c r="J2449" t="s">
        <v>636</v>
      </c>
      <c r="K2449">
        <v>102</v>
      </c>
      <c r="L2449">
        <v>0</v>
      </c>
      <c r="M2449" t="s">
        <v>115</v>
      </c>
      <c r="N2449" t="str">
        <f t="shared" si="228"/>
        <v>PO-102448</v>
      </c>
      <c r="O2449" t="str">
        <f t="shared" si="229"/>
        <v>Delivered</v>
      </c>
      <c r="P2449" t="str">
        <f t="shared" si="230"/>
        <v>WH-BLR</v>
      </c>
      <c r="Q2449" t="str">
        <f>VLOOKUP(C2449, Lookups!$A$2:$D$10, 2, FALSE())</f>
        <v>Global Networks</v>
      </c>
      <c r="R2449" t="str">
        <f>_xlfn.XLOOKUP(D2449, Lookups!$A$12:$A$51, Lookups!$C$12:$C$51, "Unknown")</f>
        <v>Networking</v>
      </c>
      <c r="S2449" t="str">
        <f>IF(ISBLANK(I2449), B2449+VLOOKUP(C2449, Lookups!$A$2:$D$10, 4, FALSE()), I2449)</f>
        <v>2025-06-29</v>
      </c>
      <c r="T2449">
        <f t="shared" si="231"/>
        <v>22</v>
      </c>
      <c r="U2449" t="str">
        <f t="shared" si="232"/>
        <v>Late</v>
      </c>
      <c r="V2449">
        <f t="shared" si="233"/>
        <v>0</v>
      </c>
    </row>
    <row r="2450" spans="1:22" x14ac:dyDescent="0.45">
      <c r="A2450" t="s">
        <v>3306</v>
      </c>
      <c r="B2450" t="s">
        <v>322</v>
      </c>
      <c r="C2450" t="s">
        <v>31</v>
      </c>
      <c r="D2450" t="s">
        <v>64</v>
      </c>
      <c r="E2450" t="s">
        <v>15</v>
      </c>
      <c r="F2450">
        <v>210</v>
      </c>
      <c r="G2450">
        <v>36295</v>
      </c>
      <c r="H2450">
        <v>7621950</v>
      </c>
      <c r="I2450" t="s">
        <v>151</v>
      </c>
      <c r="J2450" t="s">
        <v>151</v>
      </c>
      <c r="K2450">
        <v>210</v>
      </c>
      <c r="L2450">
        <v>0</v>
      </c>
      <c r="M2450" t="s">
        <v>115</v>
      </c>
      <c r="N2450" t="str">
        <f t="shared" si="228"/>
        <v>PO-102449</v>
      </c>
      <c r="O2450" t="str">
        <f t="shared" si="229"/>
        <v>Delivered</v>
      </c>
      <c r="P2450" t="str">
        <f t="shared" si="230"/>
        <v>WH-BOM</v>
      </c>
      <c r="Q2450" t="str">
        <f>VLOOKUP(C2450, Lookups!$A$2:$D$10, 2, FALSE())</f>
        <v>Global Networks</v>
      </c>
      <c r="R2450" t="str">
        <f>_xlfn.XLOOKUP(D2450, Lookups!$A$12:$A$51, Lookups!$C$12:$C$51, "Unknown")</f>
        <v>Networking</v>
      </c>
      <c r="S2450" t="str">
        <f>IF(ISBLANK(I2450), B2450+VLOOKUP(C2450, Lookups!$A$2:$D$10, 4, FALSE()), I2450)</f>
        <v>2026-04-14</v>
      </c>
      <c r="T2450">
        <f t="shared" si="231"/>
        <v>21</v>
      </c>
      <c r="U2450" t="str">
        <f t="shared" si="232"/>
        <v>On-Time</v>
      </c>
      <c r="V2450">
        <f t="shared" si="233"/>
        <v>0</v>
      </c>
    </row>
    <row r="2451" spans="1:22" x14ac:dyDescent="0.45">
      <c r="A2451" t="s">
        <v>3307</v>
      </c>
      <c r="B2451" t="s">
        <v>1187</v>
      </c>
      <c r="C2451" t="s">
        <v>36</v>
      </c>
      <c r="D2451" t="s">
        <v>90</v>
      </c>
      <c r="E2451" t="s">
        <v>16</v>
      </c>
      <c r="F2451">
        <v>214</v>
      </c>
      <c r="G2451">
        <v>81434</v>
      </c>
      <c r="H2451">
        <v>17426876</v>
      </c>
      <c r="I2451" t="s">
        <v>191</v>
      </c>
      <c r="J2451" t="s">
        <v>191</v>
      </c>
      <c r="K2451">
        <v>214</v>
      </c>
      <c r="L2451">
        <v>0</v>
      </c>
      <c r="M2451" t="s">
        <v>115</v>
      </c>
      <c r="N2451" t="str">
        <f t="shared" si="228"/>
        <v>PO-102450</v>
      </c>
      <c r="O2451" t="str">
        <f t="shared" si="229"/>
        <v>Delivered</v>
      </c>
      <c r="P2451" t="str">
        <f t="shared" si="230"/>
        <v>WH-DEL</v>
      </c>
      <c r="Q2451" t="str">
        <f>VLOOKUP(C2451, Lookups!$A$2:$D$10, 2, FALSE())</f>
        <v>NextGen Hardware</v>
      </c>
      <c r="R2451" t="str">
        <f>_xlfn.XLOOKUP(D2451, Lookups!$A$12:$A$51, Lookups!$C$12:$C$51, "Unknown")</f>
        <v>Electronics</v>
      </c>
      <c r="S2451" t="str">
        <f>IF(ISBLANK(I2451), B2451+VLOOKUP(C2451, Lookups!$A$2:$D$10, 4, FALSE()), I2451)</f>
        <v>2025-07-25</v>
      </c>
      <c r="T2451">
        <f t="shared" si="231"/>
        <v>24</v>
      </c>
      <c r="U2451" t="str">
        <f t="shared" si="232"/>
        <v>On-Time</v>
      </c>
      <c r="V2451">
        <f t="shared" si="233"/>
        <v>0</v>
      </c>
    </row>
    <row r="2452" spans="1:22" x14ac:dyDescent="0.45">
      <c r="A2452" t="s">
        <v>3308</v>
      </c>
      <c r="B2452" t="s">
        <v>866</v>
      </c>
      <c r="C2452" t="s">
        <v>37</v>
      </c>
      <c r="D2452" t="s">
        <v>83</v>
      </c>
      <c r="E2452" t="s">
        <v>15</v>
      </c>
      <c r="F2452">
        <v>105</v>
      </c>
      <c r="G2452">
        <v>19850</v>
      </c>
      <c r="H2452">
        <v>2084250</v>
      </c>
      <c r="I2452" t="s">
        <v>1338</v>
      </c>
      <c r="J2452" t="s">
        <v>1338</v>
      </c>
      <c r="K2452">
        <v>105</v>
      </c>
      <c r="L2452">
        <v>0</v>
      </c>
      <c r="M2452" t="s">
        <v>115</v>
      </c>
      <c r="N2452" t="str">
        <f t="shared" si="228"/>
        <v>PO-102451</v>
      </c>
      <c r="O2452" t="str">
        <f t="shared" si="229"/>
        <v>Delivered</v>
      </c>
      <c r="P2452" t="str">
        <f t="shared" si="230"/>
        <v>WH-BOM</v>
      </c>
      <c r="Q2452" t="str">
        <f>VLOOKUP(C2452, Lookups!$A$2:$D$10, 2, FALSE())</f>
        <v>Premium Desks Ltd</v>
      </c>
      <c r="R2452" t="str">
        <f>_xlfn.XLOOKUP(D2452, Lookups!$A$12:$A$51, Lookups!$C$12:$C$51, "Unknown")</f>
        <v>Office Furniture</v>
      </c>
      <c r="S2452" t="str">
        <f>IF(ISBLANK(I2452), B2452+VLOOKUP(C2452, Lookups!$A$2:$D$10, 4, FALSE()), I2452)</f>
        <v>2026-10-02</v>
      </c>
      <c r="T2452">
        <f t="shared" si="231"/>
        <v>12</v>
      </c>
      <c r="U2452" t="str">
        <f t="shared" si="232"/>
        <v>On-Time</v>
      </c>
      <c r="V2452">
        <f t="shared" si="233"/>
        <v>0</v>
      </c>
    </row>
    <row r="2453" spans="1:22" x14ac:dyDescent="0.45">
      <c r="A2453" t="s">
        <v>3309</v>
      </c>
      <c r="B2453" t="s">
        <v>282</v>
      </c>
      <c r="C2453" t="s">
        <v>37</v>
      </c>
      <c r="D2453" t="s">
        <v>78</v>
      </c>
      <c r="E2453" t="s">
        <v>17</v>
      </c>
      <c r="F2453">
        <v>134</v>
      </c>
      <c r="G2453">
        <v>9423</v>
      </c>
      <c r="H2453">
        <v>1262682</v>
      </c>
      <c r="I2453" t="s">
        <v>921</v>
      </c>
      <c r="J2453" t="s">
        <v>922</v>
      </c>
      <c r="K2453">
        <v>134</v>
      </c>
      <c r="L2453">
        <v>0</v>
      </c>
      <c r="M2453" t="s">
        <v>115</v>
      </c>
      <c r="N2453" t="str">
        <f t="shared" si="228"/>
        <v>PO-102452</v>
      </c>
      <c r="O2453" t="str">
        <f t="shared" si="229"/>
        <v>Delivered</v>
      </c>
      <c r="P2453" t="str">
        <f t="shared" si="230"/>
        <v>WH-BLR</v>
      </c>
      <c r="Q2453" t="str">
        <f>VLOOKUP(C2453, Lookups!$A$2:$D$10, 2, FALSE())</f>
        <v>Premium Desks Ltd</v>
      </c>
      <c r="R2453" t="str">
        <f>_xlfn.XLOOKUP(D2453, Lookups!$A$12:$A$51, Lookups!$C$12:$C$51, "Unknown")</f>
        <v>Office Furniture</v>
      </c>
      <c r="S2453" t="str">
        <f>IF(ISBLANK(I2453), B2453+VLOOKUP(C2453, Lookups!$A$2:$D$10, 4, FALSE()), I2453)</f>
        <v>2026-11-08</v>
      </c>
      <c r="T2453">
        <f t="shared" si="231"/>
        <v>13</v>
      </c>
      <c r="U2453" t="str">
        <f t="shared" si="232"/>
        <v>Late</v>
      </c>
      <c r="V2453">
        <f t="shared" si="233"/>
        <v>0</v>
      </c>
    </row>
    <row r="2454" spans="1:22" x14ac:dyDescent="0.45">
      <c r="A2454" t="s">
        <v>3310</v>
      </c>
      <c r="B2454" t="s">
        <v>958</v>
      </c>
      <c r="C2454" t="s">
        <v>37</v>
      </c>
      <c r="D2454" t="s">
        <v>69</v>
      </c>
      <c r="E2454" t="s">
        <v>532</v>
      </c>
      <c r="F2454">
        <v>80</v>
      </c>
      <c r="G2454">
        <v>13231</v>
      </c>
      <c r="H2454">
        <v>1058480</v>
      </c>
      <c r="I2454" t="s">
        <v>530</v>
      </c>
      <c r="J2454" t="s">
        <v>703</v>
      </c>
      <c r="K2454">
        <v>49</v>
      </c>
      <c r="L2454">
        <v>0</v>
      </c>
      <c r="M2454" t="s">
        <v>115</v>
      </c>
      <c r="N2454" t="str">
        <f t="shared" si="228"/>
        <v>PO-102453</v>
      </c>
      <c r="O2454" t="str">
        <f t="shared" si="229"/>
        <v>Delivered</v>
      </c>
      <c r="P2454" t="str">
        <f t="shared" si="230"/>
        <v>WH-PUN</v>
      </c>
      <c r="Q2454" t="str">
        <f>VLOOKUP(C2454, Lookups!$A$2:$D$10, 2, FALSE())</f>
        <v>Premium Desks Ltd</v>
      </c>
      <c r="R2454" t="str">
        <f>_xlfn.XLOOKUP(D2454, Lookups!$A$12:$A$51, Lookups!$C$12:$C$51, "Unknown")</f>
        <v>Office Furniture</v>
      </c>
      <c r="S2454" t="str">
        <f>IF(ISBLANK(I2454), B2454+VLOOKUP(C2454, Lookups!$A$2:$D$10, 4, FALSE()), I2454)</f>
        <v>2026-06-07</v>
      </c>
      <c r="T2454">
        <f t="shared" si="231"/>
        <v>13</v>
      </c>
      <c r="U2454" t="str">
        <f t="shared" si="232"/>
        <v>Late</v>
      </c>
      <c r="V2454">
        <f t="shared" si="233"/>
        <v>0</v>
      </c>
    </row>
    <row r="2455" spans="1:22" x14ac:dyDescent="0.45">
      <c r="A2455" t="s">
        <v>3311</v>
      </c>
      <c r="B2455" t="s">
        <v>568</v>
      </c>
      <c r="C2455" t="s">
        <v>34</v>
      </c>
      <c r="D2455" t="s">
        <v>58</v>
      </c>
      <c r="E2455" t="s">
        <v>15</v>
      </c>
      <c r="F2455">
        <v>246</v>
      </c>
      <c r="G2455">
        <v>100302</v>
      </c>
      <c r="H2455">
        <v>24674292</v>
      </c>
      <c r="I2455" t="s">
        <v>356</v>
      </c>
      <c r="J2455" t="s">
        <v>729</v>
      </c>
      <c r="K2455">
        <v>246</v>
      </c>
      <c r="L2455">
        <v>35</v>
      </c>
      <c r="M2455" t="s">
        <v>115</v>
      </c>
      <c r="N2455" t="str">
        <f t="shared" si="228"/>
        <v>PO-102454</v>
      </c>
      <c r="O2455" t="str">
        <f t="shared" si="229"/>
        <v>Delivered</v>
      </c>
      <c r="P2455" t="str">
        <f t="shared" si="230"/>
        <v>WH-BOM</v>
      </c>
      <c r="Q2455" t="str">
        <f>VLOOKUP(C2455, Lookups!$A$2:$D$10, 2, FALSE())</f>
        <v>FastElectronics</v>
      </c>
      <c r="R2455" t="str">
        <f>_xlfn.XLOOKUP(D2455, Lookups!$A$12:$A$51, Lookups!$C$12:$C$51, "Unknown")</f>
        <v>Electronics</v>
      </c>
      <c r="S2455" t="str">
        <f>IF(ISBLANK(I2455), B2455+VLOOKUP(C2455, Lookups!$A$2:$D$10, 4, FALSE()), I2455)</f>
        <v>2025-09-27</v>
      </c>
      <c r="T2455">
        <f t="shared" si="231"/>
        <v>19</v>
      </c>
      <c r="U2455" t="str">
        <f t="shared" si="232"/>
        <v>Late</v>
      </c>
      <c r="V2455">
        <f t="shared" si="233"/>
        <v>0.14227642276422764</v>
      </c>
    </row>
    <row r="2456" spans="1:22" x14ac:dyDescent="0.45">
      <c r="A2456" t="s">
        <v>3312</v>
      </c>
      <c r="B2456" t="s">
        <v>925</v>
      </c>
      <c r="C2456" t="s">
        <v>30</v>
      </c>
      <c r="D2456" t="s">
        <v>86</v>
      </c>
      <c r="E2456" t="s">
        <v>18</v>
      </c>
      <c r="F2456">
        <v>90</v>
      </c>
      <c r="G2456">
        <v>74871</v>
      </c>
      <c r="H2456">
        <v>6738390</v>
      </c>
      <c r="I2456" t="s">
        <v>380</v>
      </c>
      <c r="J2456" t="s">
        <v>189</v>
      </c>
      <c r="K2456">
        <v>90</v>
      </c>
      <c r="L2456">
        <v>0</v>
      </c>
      <c r="M2456" t="s">
        <v>115</v>
      </c>
      <c r="N2456" t="str">
        <f t="shared" si="228"/>
        <v>PO-102455</v>
      </c>
      <c r="O2456" t="str">
        <f t="shared" si="229"/>
        <v>Delivered</v>
      </c>
      <c r="P2456" t="str">
        <f t="shared" si="230"/>
        <v>WH-PUN</v>
      </c>
      <c r="Q2456" t="str">
        <f>VLOOKUP(C2456, Lookups!$A$2:$D$10, 2, FALSE())</f>
        <v>TechSupply Corp</v>
      </c>
      <c r="R2456" t="str">
        <f>_xlfn.XLOOKUP(D2456, Lookups!$A$12:$A$51, Lookups!$C$12:$C$51, "Unknown")</f>
        <v>Electronics</v>
      </c>
      <c r="S2456" t="str">
        <f>IF(ISBLANK(I2456), B2456+VLOOKUP(C2456, Lookups!$A$2:$D$10, 4, FALSE()), I2456)</f>
        <v>2025-03-06</v>
      </c>
      <c r="T2456">
        <f t="shared" si="231"/>
        <v>15</v>
      </c>
      <c r="U2456" t="str">
        <f t="shared" si="232"/>
        <v>Late</v>
      </c>
      <c r="V2456">
        <f t="shared" si="233"/>
        <v>0</v>
      </c>
    </row>
    <row r="2457" spans="1:22" x14ac:dyDescent="0.45">
      <c r="A2457" t="s">
        <v>3313</v>
      </c>
      <c r="B2457" t="s">
        <v>763</v>
      </c>
      <c r="C2457" t="s">
        <v>34</v>
      </c>
      <c r="D2457" t="s">
        <v>73</v>
      </c>
      <c r="E2457" t="s">
        <v>15</v>
      </c>
      <c r="F2457">
        <v>176</v>
      </c>
      <c r="G2457">
        <v>58396</v>
      </c>
      <c r="H2457">
        <v>10277696</v>
      </c>
      <c r="I2457" t="s">
        <v>265</v>
      </c>
      <c r="J2457" t="s">
        <v>565</v>
      </c>
      <c r="K2457">
        <v>88</v>
      </c>
      <c r="L2457">
        <v>0</v>
      </c>
      <c r="M2457" t="s">
        <v>115</v>
      </c>
      <c r="N2457" t="str">
        <f t="shared" si="228"/>
        <v>PO-102456</v>
      </c>
      <c r="O2457" t="str">
        <f t="shared" si="229"/>
        <v>Delivered</v>
      </c>
      <c r="P2457" t="str">
        <f t="shared" si="230"/>
        <v>WH-BOM</v>
      </c>
      <c r="Q2457" t="str">
        <f>VLOOKUP(C2457, Lookups!$A$2:$D$10, 2, FALSE())</f>
        <v>FastElectronics</v>
      </c>
      <c r="R2457" t="str">
        <f>_xlfn.XLOOKUP(D2457, Lookups!$A$12:$A$51, Lookups!$C$12:$C$51, "Unknown")</f>
        <v>Electronics</v>
      </c>
      <c r="S2457" t="str">
        <f>IF(ISBLANK(I2457), B2457+VLOOKUP(C2457, Lookups!$A$2:$D$10, 4, FALSE()), I2457)</f>
        <v>2025-02-14</v>
      </c>
      <c r="T2457">
        <f t="shared" si="231"/>
        <v>28</v>
      </c>
      <c r="U2457" t="str">
        <f t="shared" si="232"/>
        <v>Late</v>
      </c>
      <c r="V2457">
        <f t="shared" si="233"/>
        <v>0</v>
      </c>
    </row>
    <row r="2458" spans="1:22" x14ac:dyDescent="0.45">
      <c r="A2458" t="s">
        <v>3314</v>
      </c>
      <c r="B2458" t="s">
        <v>750</v>
      </c>
      <c r="C2458" t="s">
        <v>36</v>
      </c>
      <c r="D2458" t="s">
        <v>87</v>
      </c>
      <c r="E2458" t="s">
        <v>18</v>
      </c>
      <c r="F2458">
        <v>134</v>
      </c>
      <c r="G2458">
        <v>82930</v>
      </c>
      <c r="H2458">
        <v>11112620</v>
      </c>
      <c r="I2458" t="s">
        <v>671</v>
      </c>
      <c r="J2458" t="s">
        <v>672</v>
      </c>
      <c r="K2458">
        <v>134</v>
      </c>
      <c r="L2458">
        <v>0</v>
      </c>
      <c r="M2458" t="s">
        <v>115</v>
      </c>
      <c r="N2458" t="str">
        <f t="shared" si="228"/>
        <v>PO-102457</v>
      </c>
      <c r="O2458" t="str">
        <f t="shared" si="229"/>
        <v>Delivered</v>
      </c>
      <c r="P2458" t="str">
        <f t="shared" si="230"/>
        <v>WH-PUN</v>
      </c>
      <c r="Q2458" t="str">
        <f>VLOOKUP(C2458, Lookups!$A$2:$D$10, 2, FALSE())</f>
        <v>NextGen Hardware</v>
      </c>
      <c r="R2458" t="str">
        <f>_xlfn.XLOOKUP(D2458, Lookups!$A$12:$A$51, Lookups!$C$12:$C$51, "Unknown")</f>
        <v>Electronics</v>
      </c>
      <c r="S2458" t="str">
        <f>IF(ISBLANK(I2458), B2458+VLOOKUP(C2458, Lookups!$A$2:$D$10, 4, FALSE()), I2458)</f>
        <v>2026-11-13</v>
      </c>
      <c r="T2458">
        <f t="shared" si="231"/>
        <v>25</v>
      </c>
      <c r="U2458" t="str">
        <f t="shared" si="232"/>
        <v>Late</v>
      </c>
      <c r="V2458">
        <f t="shared" si="233"/>
        <v>0</v>
      </c>
    </row>
    <row r="2459" spans="1:22" x14ac:dyDescent="0.45">
      <c r="A2459" t="s">
        <v>3315</v>
      </c>
      <c r="B2459" t="s">
        <v>307</v>
      </c>
      <c r="C2459" t="s">
        <v>35</v>
      </c>
      <c r="D2459" t="s">
        <v>65</v>
      </c>
      <c r="E2459" t="s">
        <v>18</v>
      </c>
      <c r="F2459">
        <v>146</v>
      </c>
      <c r="G2459">
        <v>4936</v>
      </c>
      <c r="H2459">
        <v>720656</v>
      </c>
      <c r="I2459" t="s">
        <v>350</v>
      </c>
      <c r="J2459" t="s">
        <v>657</v>
      </c>
      <c r="K2459">
        <v>146</v>
      </c>
      <c r="L2459">
        <v>0</v>
      </c>
      <c r="M2459" t="s">
        <v>115</v>
      </c>
      <c r="N2459" t="str">
        <f t="shared" si="228"/>
        <v>PO-102458</v>
      </c>
      <c r="O2459" t="str">
        <f t="shared" si="229"/>
        <v>Delivered</v>
      </c>
      <c r="P2459" t="str">
        <f t="shared" si="230"/>
        <v>WH-PUN</v>
      </c>
      <c r="Q2459" t="str">
        <f>VLOOKUP(C2459, Lookups!$A$2:$D$10, 2, FALSE())</f>
        <v>Peripheral Source</v>
      </c>
      <c r="R2459" t="str">
        <f>_xlfn.XLOOKUP(D2459, Lookups!$A$12:$A$51, Lookups!$C$12:$C$51, "Unknown")</f>
        <v>Peripherals</v>
      </c>
      <c r="S2459" t="str">
        <f>IF(ISBLANK(I2459), B2459+VLOOKUP(C2459, Lookups!$A$2:$D$10, 4, FALSE()), I2459)</f>
        <v>2026-09-05</v>
      </c>
      <c r="T2459">
        <f t="shared" si="231"/>
        <v>11</v>
      </c>
      <c r="U2459" t="str">
        <f t="shared" si="232"/>
        <v>Late</v>
      </c>
      <c r="V2459">
        <f t="shared" si="233"/>
        <v>0</v>
      </c>
    </row>
    <row r="2460" spans="1:22" x14ac:dyDescent="0.45">
      <c r="A2460" t="s">
        <v>3316</v>
      </c>
      <c r="B2460" t="s">
        <v>980</v>
      </c>
      <c r="C2460" t="s">
        <v>35</v>
      </c>
      <c r="D2460" t="s">
        <v>70</v>
      </c>
      <c r="E2460" t="s">
        <v>18</v>
      </c>
      <c r="F2460">
        <v>205</v>
      </c>
      <c r="G2460">
        <v>4287</v>
      </c>
      <c r="H2460">
        <v>878835</v>
      </c>
      <c r="I2460" t="s">
        <v>157</v>
      </c>
      <c r="J2460" t="s">
        <v>157</v>
      </c>
      <c r="K2460">
        <v>205</v>
      </c>
      <c r="L2460">
        <v>0</v>
      </c>
      <c r="M2460" t="s">
        <v>115</v>
      </c>
      <c r="N2460" t="str">
        <f t="shared" si="228"/>
        <v>PO-102459</v>
      </c>
      <c r="O2460" t="str">
        <f t="shared" si="229"/>
        <v>Delivered</v>
      </c>
      <c r="P2460" t="str">
        <f t="shared" si="230"/>
        <v>WH-PUN</v>
      </c>
      <c r="Q2460" t="str">
        <f>VLOOKUP(C2460, Lookups!$A$2:$D$10, 2, FALSE())</f>
        <v>Peripheral Source</v>
      </c>
      <c r="R2460" t="str">
        <f>_xlfn.XLOOKUP(D2460, Lookups!$A$12:$A$51, Lookups!$C$12:$C$51, "Unknown")</f>
        <v>Peripherals</v>
      </c>
      <c r="S2460" t="str">
        <f>IF(ISBLANK(I2460), B2460+VLOOKUP(C2460, Lookups!$A$2:$D$10, 4, FALSE()), I2460)</f>
        <v>2026-10-22</v>
      </c>
      <c r="T2460">
        <f t="shared" si="231"/>
        <v>10</v>
      </c>
      <c r="U2460" t="str">
        <f t="shared" si="232"/>
        <v>On-Time</v>
      </c>
      <c r="V2460">
        <f t="shared" si="233"/>
        <v>0</v>
      </c>
    </row>
    <row r="2461" spans="1:22" x14ac:dyDescent="0.45">
      <c r="A2461" t="s">
        <v>3317</v>
      </c>
      <c r="B2461" t="s">
        <v>577</v>
      </c>
      <c r="C2461" t="s">
        <v>37</v>
      </c>
      <c r="D2461" t="s">
        <v>69</v>
      </c>
      <c r="E2461" t="s">
        <v>18</v>
      </c>
      <c r="F2461">
        <v>68</v>
      </c>
      <c r="G2461">
        <v>13231</v>
      </c>
      <c r="H2461">
        <v>899708</v>
      </c>
      <c r="I2461" t="s">
        <v>587</v>
      </c>
      <c r="J2461" t="s">
        <v>686</v>
      </c>
      <c r="K2461">
        <v>68</v>
      </c>
      <c r="L2461">
        <v>0</v>
      </c>
      <c r="M2461" t="s">
        <v>115</v>
      </c>
      <c r="N2461" t="str">
        <f t="shared" si="228"/>
        <v>PO-102460</v>
      </c>
      <c r="O2461" t="str">
        <f t="shared" si="229"/>
        <v>Delivered</v>
      </c>
      <c r="P2461" t="str">
        <f t="shared" si="230"/>
        <v>WH-PUN</v>
      </c>
      <c r="Q2461" t="str">
        <f>VLOOKUP(C2461, Lookups!$A$2:$D$10, 2, FALSE())</f>
        <v>Premium Desks Ltd</v>
      </c>
      <c r="R2461" t="str">
        <f>_xlfn.XLOOKUP(D2461, Lookups!$A$12:$A$51, Lookups!$C$12:$C$51, "Unknown")</f>
        <v>Office Furniture</v>
      </c>
      <c r="S2461" t="str">
        <f>IF(ISBLANK(I2461), B2461+VLOOKUP(C2461, Lookups!$A$2:$D$10, 4, FALSE()), I2461)</f>
        <v>2026-04-11</v>
      </c>
      <c r="T2461">
        <f t="shared" si="231"/>
        <v>11</v>
      </c>
      <c r="U2461" t="str">
        <f t="shared" si="232"/>
        <v>On-Time</v>
      </c>
      <c r="V2461">
        <f t="shared" si="233"/>
        <v>0</v>
      </c>
    </row>
    <row r="2462" spans="1:22" x14ac:dyDescent="0.45">
      <c r="A2462" t="s">
        <v>3318</v>
      </c>
      <c r="B2462" t="s">
        <v>832</v>
      </c>
      <c r="C2462" t="s">
        <v>37</v>
      </c>
      <c r="D2462" t="s">
        <v>79</v>
      </c>
      <c r="E2462" t="s">
        <v>16</v>
      </c>
      <c r="F2462">
        <v>138</v>
      </c>
      <c r="G2462">
        <v>23054</v>
      </c>
      <c r="H2462">
        <v>3181452</v>
      </c>
      <c r="I2462" t="s">
        <v>211</v>
      </c>
      <c r="J2462" t="s">
        <v>474</v>
      </c>
      <c r="K2462">
        <v>138</v>
      </c>
      <c r="L2462">
        <v>0</v>
      </c>
      <c r="M2462" t="s">
        <v>115</v>
      </c>
      <c r="N2462" t="str">
        <f t="shared" si="228"/>
        <v>PO-102461</v>
      </c>
      <c r="O2462" t="str">
        <f t="shared" si="229"/>
        <v>Delivered</v>
      </c>
      <c r="P2462" t="str">
        <f t="shared" si="230"/>
        <v>WH-DEL</v>
      </c>
      <c r="Q2462" t="str">
        <f>VLOOKUP(C2462, Lookups!$A$2:$D$10, 2, FALSE())</f>
        <v>Premium Desks Ltd</v>
      </c>
      <c r="R2462" t="str">
        <f>_xlfn.XLOOKUP(D2462, Lookups!$A$12:$A$51, Lookups!$C$12:$C$51, "Unknown")</f>
        <v>Office Furniture</v>
      </c>
      <c r="S2462" t="str">
        <f>IF(ISBLANK(I2462), B2462+VLOOKUP(C2462, Lookups!$A$2:$D$10, 4, FALSE()), I2462)</f>
        <v>2025-06-21</v>
      </c>
      <c r="T2462">
        <f t="shared" si="231"/>
        <v>15</v>
      </c>
      <c r="U2462" t="str">
        <f t="shared" si="232"/>
        <v>Late</v>
      </c>
      <c r="V2462">
        <f t="shared" si="233"/>
        <v>0</v>
      </c>
    </row>
    <row r="2463" spans="1:22" x14ac:dyDescent="0.45">
      <c r="A2463" t="s">
        <v>3319</v>
      </c>
      <c r="B2463" t="s">
        <v>957</v>
      </c>
      <c r="C2463" t="s">
        <v>35</v>
      </c>
      <c r="D2463" t="s">
        <v>70</v>
      </c>
      <c r="E2463" t="s">
        <v>16</v>
      </c>
      <c r="F2463">
        <v>150</v>
      </c>
      <c r="G2463">
        <v>4287</v>
      </c>
      <c r="H2463">
        <v>643050</v>
      </c>
      <c r="I2463" t="s">
        <v>123</v>
      </c>
      <c r="J2463" t="s">
        <v>1405</v>
      </c>
      <c r="K2463">
        <v>150</v>
      </c>
      <c r="L2463">
        <v>0</v>
      </c>
      <c r="M2463" t="s">
        <v>115</v>
      </c>
      <c r="N2463" t="str">
        <f t="shared" si="228"/>
        <v>PO-102462</v>
      </c>
      <c r="O2463" t="str">
        <f t="shared" si="229"/>
        <v>Delivered</v>
      </c>
      <c r="P2463" t="str">
        <f t="shared" si="230"/>
        <v>WH-DEL</v>
      </c>
      <c r="Q2463" t="str">
        <f>VLOOKUP(C2463, Lookups!$A$2:$D$10, 2, FALSE())</f>
        <v>Peripheral Source</v>
      </c>
      <c r="R2463" t="str">
        <f>_xlfn.XLOOKUP(D2463, Lookups!$A$12:$A$51, Lookups!$C$12:$C$51, "Unknown")</f>
        <v>Peripherals</v>
      </c>
      <c r="S2463" t="str">
        <f>IF(ISBLANK(I2463), B2463+VLOOKUP(C2463, Lookups!$A$2:$D$10, 4, FALSE()), I2463)</f>
        <v>2026-05-22</v>
      </c>
      <c r="T2463">
        <f t="shared" si="231"/>
        <v>11</v>
      </c>
      <c r="U2463" t="str">
        <f t="shared" si="232"/>
        <v>Late</v>
      </c>
      <c r="V2463">
        <f t="shared" si="233"/>
        <v>0</v>
      </c>
    </row>
    <row r="2464" spans="1:22" x14ac:dyDescent="0.45">
      <c r="A2464" t="s">
        <v>3320</v>
      </c>
      <c r="B2464" t="s">
        <v>1484</v>
      </c>
      <c r="C2464" t="s">
        <v>35</v>
      </c>
      <c r="D2464" t="s">
        <v>72</v>
      </c>
      <c r="E2464" t="s">
        <v>16</v>
      </c>
      <c r="F2464">
        <v>39</v>
      </c>
      <c r="G2464">
        <v>7754</v>
      </c>
      <c r="H2464">
        <v>302406</v>
      </c>
      <c r="I2464" t="s">
        <v>2461</v>
      </c>
      <c r="J2464" t="s">
        <v>2461</v>
      </c>
      <c r="K2464">
        <v>39</v>
      </c>
      <c r="L2464">
        <v>0</v>
      </c>
      <c r="M2464" t="s">
        <v>115</v>
      </c>
      <c r="N2464" t="str">
        <f t="shared" si="228"/>
        <v>PO-102463</v>
      </c>
      <c r="O2464" t="str">
        <f t="shared" si="229"/>
        <v>Delivered</v>
      </c>
      <c r="P2464" t="str">
        <f t="shared" si="230"/>
        <v>WH-DEL</v>
      </c>
      <c r="Q2464" t="str">
        <f>VLOOKUP(C2464, Lookups!$A$2:$D$10, 2, FALSE())</f>
        <v>Peripheral Source</v>
      </c>
      <c r="R2464" t="str">
        <f>_xlfn.XLOOKUP(D2464, Lookups!$A$12:$A$51, Lookups!$C$12:$C$51, "Unknown")</f>
        <v>Peripherals</v>
      </c>
      <c r="S2464" t="str">
        <f>IF(ISBLANK(I2464), B2464+VLOOKUP(C2464, Lookups!$A$2:$D$10, 4, FALSE()), I2464)</f>
        <v>2025-03-03</v>
      </c>
      <c r="T2464">
        <f t="shared" si="231"/>
        <v>10</v>
      </c>
      <c r="U2464" t="str">
        <f t="shared" si="232"/>
        <v>On-Time</v>
      </c>
      <c r="V2464">
        <f t="shared" si="233"/>
        <v>0</v>
      </c>
    </row>
    <row r="2465" spans="1:22" x14ac:dyDescent="0.45">
      <c r="A2465" t="s">
        <v>3321</v>
      </c>
      <c r="B2465" t="s">
        <v>394</v>
      </c>
      <c r="C2465" t="s">
        <v>30</v>
      </c>
      <c r="D2465" t="s">
        <v>82</v>
      </c>
      <c r="E2465" t="s">
        <v>16</v>
      </c>
      <c r="F2465">
        <v>202</v>
      </c>
      <c r="G2465">
        <v>83427</v>
      </c>
      <c r="H2465">
        <v>16852254</v>
      </c>
      <c r="I2465" t="s">
        <v>978</v>
      </c>
      <c r="J2465" t="s">
        <v>1252</v>
      </c>
      <c r="K2465">
        <v>202</v>
      </c>
      <c r="L2465">
        <v>0</v>
      </c>
      <c r="M2465" t="s">
        <v>115</v>
      </c>
      <c r="N2465" t="str">
        <f t="shared" si="228"/>
        <v>PO-102464</v>
      </c>
      <c r="O2465" t="str">
        <f t="shared" si="229"/>
        <v>Delivered</v>
      </c>
      <c r="P2465" t="str">
        <f t="shared" si="230"/>
        <v>WH-DEL</v>
      </c>
      <c r="Q2465" t="str">
        <f>VLOOKUP(C2465, Lookups!$A$2:$D$10, 2, FALSE())</f>
        <v>TechSupply Corp</v>
      </c>
      <c r="R2465" t="str">
        <f>_xlfn.XLOOKUP(D2465, Lookups!$A$12:$A$51, Lookups!$C$12:$C$51, "Unknown")</f>
        <v>Electronics</v>
      </c>
      <c r="S2465" t="str">
        <f>IF(ISBLANK(I2465), B2465+VLOOKUP(C2465, Lookups!$A$2:$D$10, 4, FALSE()), I2465)</f>
        <v>2025-09-30</v>
      </c>
      <c r="T2465">
        <f t="shared" si="231"/>
        <v>15</v>
      </c>
      <c r="U2465" t="str">
        <f t="shared" si="232"/>
        <v>Late</v>
      </c>
      <c r="V2465">
        <f t="shared" si="233"/>
        <v>0</v>
      </c>
    </row>
    <row r="2466" spans="1:22" x14ac:dyDescent="0.45">
      <c r="A2466" t="s">
        <v>3322</v>
      </c>
      <c r="B2466" t="s">
        <v>935</v>
      </c>
      <c r="C2466" t="s">
        <v>36</v>
      </c>
      <c r="D2466" t="s">
        <v>62</v>
      </c>
      <c r="E2466" t="s">
        <v>15</v>
      </c>
      <c r="F2466">
        <v>79</v>
      </c>
      <c r="G2466">
        <v>48478</v>
      </c>
      <c r="H2466">
        <v>3829762</v>
      </c>
      <c r="I2466" t="s">
        <v>540</v>
      </c>
      <c r="J2466" t="s">
        <v>203</v>
      </c>
      <c r="K2466">
        <v>79</v>
      </c>
      <c r="L2466">
        <v>0</v>
      </c>
      <c r="M2466" t="s">
        <v>115</v>
      </c>
      <c r="N2466" t="str">
        <f t="shared" si="228"/>
        <v>PO-102465</v>
      </c>
      <c r="O2466" t="str">
        <f t="shared" si="229"/>
        <v>Delivered</v>
      </c>
      <c r="P2466" t="str">
        <f t="shared" si="230"/>
        <v>WH-BOM</v>
      </c>
      <c r="Q2466" t="str">
        <f>VLOOKUP(C2466, Lookups!$A$2:$D$10, 2, FALSE())</f>
        <v>NextGen Hardware</v>
      </c>
      <c r="R2466" t="str">
        <f>_xlfn.XLOOKUP(D2466, Lookups!$A$12:$A$51, Lookups!$C$12:$C$51, "Unknown")</f>
        <v>Electronics</v>
      </c>
      <c r="S2466" t="str">
        <f>IF(ISBLANK(I2466), B2466+VLOOKUP(C2466, Lookups!$A$2:$D$10, 4, FALSE()), I2466)</f>
        <v>2026-04-07</v>
      </c>
      <c r="T2466">
        <f t="shared" si="231"/>
        <v>25</v>
      </c>
      <c r="U2466" t="str">
        <f t="shared" si="232"/>
        <v>Late</v>
      </c>
      <c r="V2466">
        <f t="shared" si="233"/>
        <v>0</v>
      </c>
    </row>
    <row r="2467" spans="1:22" x14ac:dyDescent="0.45">
      <c r="A2467" t="s">
        <v>3323</v>
      </c>
      <c r="B2467" t="s">
        <v>1216</v>
      </c>
      <c r="C2467" t="s">
        <v>34</v>
      </c>
      <c r="D2467" t="s">
        <v>76</v>
      </c>
      <c r="E2467" t="s">
        <v>15</v>
      </c>
      <c r="F2467">
        <v>156</v>
      </c>
      <c r="G2467">
        <v>26270</v>
      </c>
      <c r="H2467">
        <v>4098120</v>
      </c>
      <c r="I2467" t="s">
        <v>935</v>
      </c>
      <c r="J2467" t="s">
        <v>625</v>
      </c>
      <c r="K2467">
        <v>156</v>
      </c>
      <c r="L2467">
        <v>0</v>
      </c>
      <c r="M2467" t="s">
        <v>115</v>
      </c>
      <c r="N2467" t="str">
        <f t="shared" si="228"/>
        <v>PO-102466</v>
      </c>
      <c r="O2467" t="str">
        <f t="shared" si="229"/>
        <v>Delivered</v>
      </c>
      <c r="P2467" t="str">
        <f t="shared" si="230"/>
        <v>WH-BOM</v>
      </c>
      <c r="Q2467" t="str">
        <f>VLOOKUP(C2467, Lookups!$A$2:$D$10, 2, FALSE())</f>
        <v>FastElectronics</v>
      </c>
      <c r="R2467" t="str">
        <f>_xlfn.XLOOKUP(D2467, Lookups!$A$12:$A$51, Lookups!$C$12:$C$51, "Unknown")</f>
        <v>Networking</v>
      </c>
      <c r="S2467" t="str">
        <f>IF(ISBLANK(I2467), B2467+VLOOKUP(C2467, Lookups!$A$2:$D$10, 4, FALSE()), I2467)</f>
        <v>2026-03-14</v>
      </c>
      <c r="T2467">
        <f t="shared" si="231"/>
        <v>19</v>
      </c>
      <c r="U2467" t="str">
        <f t="shared" si="232"/>
        <v>Late</v>
      </c>
      <c r="V2467">
        <f t="shared" si="233"/>
        <v>0</v>
      </c>
    </row>
    <row r="2468" spans="1:22" x14ac:dyDescent="0.45">
      <c r="A2468" t="s">
        <v>3324</v>
      </c>
      <c r="B2468" t="s">
        <v>397</v>
      </c>
      <c r="C2468" t="s">
        <v>34</v>
      </c>
      <c r="D2468" t="s">
        <v>80</v>
      </c>
      <c r="E2468" t="s">
        <v>17</v>
      </c>
      <c r="F2468">
        <v>134</v>
      </c>
      <c r="G2468">
        <v>19090</v>
      </c>
      <c r="H2468">
        <v>2558060</v>
      </c>
      <c r="I2468" t="s">
        <v>352</v>
      </c>
      <c r="J2468" t="s">
        <v>352</v>
      </c>
      <c r="K2468">
        <v>134</v>
      </c>
      <c r="L2468">
        <v>0</v>
      </c>
      <c r="M2468" t="s">
        <v>115</v>
      </c>
      <c r="N2468" t="str">
        <f t="shared" si="228"/>
        <v>PO-102467</v>
      </c>
      <c r="O2468" t="str">
        <f t="shared" si="229"/>
        <v>Delivered</v>
      </c>
      <c r="P2468" t="str">
        <f t="shared" si="230"/>
        <v>WH-BLR</v>
      </c>
      <c r="Q2468" t="str">
        <f>VLOOKUP(C2468, Lookups!$A$2:$D$10, 2, FALSE())</f>
        <v>FastElectronics</v>
      </c>
      <c r="R2468" t="str">
        <f>_xlfn.XLOOKUP(D2468, Lookups!$A$12:$A$51, Lookups!$C$12:$C$51, "Unknown")</f>
        <v>Networking</v>
      </c>
      <c r="S2468" t="str">
        <f>IF(ISBLANK(I2468), B2468+VLOOKUP(C2468, Lookups!$A$2:$D$10, 4, FALSE()), I2468)</f>
        <v>2025-04-24</v>
      </c>
      <c r="T2468">
        <f t="shared" si="231"/>
        <v>18</v>
      </c>
      <c r="U2468" t="str">
        <f t="shared" si="232"/>
        <v>On-Time</v>
      </c>
      <c r="V2468">
        <f t="shared" si="233"/>
        <v>0</v>
      </c>
    </row>
    <row r="2469" spans="1:22" x14ac:dyDescent="0.45">
      <c r="A2469" t="s">
        <v>3325</v>
      </c>
      <c r="B2469" t="s">
        <v>1480</v>
      </c>
      <c r="C2469" t="s">
        <v>34</v>
      </c>
      <c r="D2469" t="s">
        <v>80</v>
      </c>
      <c r="E2469" t="s">
        <v>17</v>
      </c>
      <c r="F2469">
        <v>144</v>
      </c>
      <c r="G2469">
        <v>19090</v>
      </c>
      <c r="H2469">
        <v>2748960</v>
      </c>
      <c r="I2469" t="s">
        <v>180</v>
      </c>
      <c r="J2469" t="s">
        <v>1254</v>
      </c>
      <c r="K2469">
        <v>144</v>
      </c>
      <c r="L2469">
        <v>0</v>
      </c>
      <c r="M2469" t="s">
        <v>115</v>
      </c>
      <c r="N2469" t="str">
        <f t="shared" si="228"/>
        <v>PO-102468</v>
      </c>
      <c r="O2469" t="str">
        <f t="shared" si="229"/>
        <v>Delivered</v>
      </c>
      <c r="P2469" t="str">
        <f t="shared" si="230"/>
        <v>WH-BLR</v>
      </c>
      <c r="Q2469" t="str">
        <f>VLOOKUP(C2469, Lookups!$A$2:$D$10, 2, FALSE())</f>
        <v>FastElectronics</v>
      </c>
      <c r="R2469" t="str">
        <f>_xlfn.XLOOKUP(D2469, Lookups!$A$12:$A$51, Lookups!$C$12:$C$51, "Unknown")</f>
        <v>Networking</v>
      </c>
      <c r="S2469" t="str">
        <f>IF(ISBLANK(I2469), B2469+VLOOKUP(C2469, Lookups!$A$2:$D$10, 4, FALSE()), I2469)</f>
        <v>2026-10-09</v>
      </c>
      <c r="T2469">
        <f t="shared" si="231"/>
        <v>19</v>
      </c>
      <c r="U2469" t="str">
        <f t="shared" si="232"/>
        <v>Late</v>
      </c>
      <c r="V2469">
        <f t="shared" si="233"/>
        <v>0</v>
      </c>
    </row>
    <row r="2470" spans="1:22" x14ac:dyDescent="0.45">
      <c r="A2470" t="s">
        <v>3326</v>
      </c>
      <c r="B2470" t="s">
        <v>675</v>
      </c>
      <c r="C2470" t="s">
        <v>34</v>
      </c>
      <c r="D2470" t="s">
        <v>74</v>
      </c>
      <c r="E2470" t="s">
        <v>17</v>
      </c>
      <c r="F2470">
        <v>125</v>
      </c>
      <c r="G2470">
        <v>94797</v>
      </c>
      <c r="H2470">
        <v>11849625</v>
      </c>
      <c r="I2470" t="s">
        <v>955</v>
      </c>
      <c r="J2470" t="s">
        <v>1713</v>
      </c>
      <c r="K2470">
        <v>125</v>
      </c>
      <c r="L2470">
        <v>0</v>
      </c>
      <c r="M2470" t="s">
        <v>115</v>
      </c>
      <c r="N2470" t="str">
        <f t="shared" si="228"/>
        <v>PO-102469</v>
      </c>
      <c r="O2470" t="str">
        <f t="shared" si="229"/>
        <v>Delivered</v>
      </c>
      <c r="P2470" t="str">
        <f t="shared" si="230"/>
        <v>WH-BLR</v>
      </c>
      <c r="Q2470" t="str">
        <f>VLOOKUP(C2470, Lookups!$A$2:$D$10, 2, FALSE())</f>
        <v>FastElectronics</v>
      </c>
      <c r="R2470" t="str">
        <f>_xlfn.XLOOKUP(D2470, Lookups!$A$12:$A$51, Lookups!$C$12:$C$51, "Unknown")</f>
        <v>Electronics</v>
      </c>
      <c r="S2470" t="str">
        <f>IF(ISBLANK(I2470), B2470+VLOOKUP(C2470, Lookups!$A$2:$D$10, 4, FALSE()), I2470)</f>
        <v>2026-12-16</v>
      </c>
      <c r="T2470">
        <f t="shared" si="231"/>
        <v>21</v>
      </c>
      <c r="U2470" t="str">
        <f t="shared" si="232"/>
        <v>Late</v>
      </c>
      <c r="V2470">
        <f t="shared" si="233"/>
        <v>0</v>
      </c>
    </row>
    <row r="2471" spans="1:22" x14ac:dyDescent="0.45">
      <c r="A2471" t="s">
        <v>3327</v>
      </c>
      <c r="B2471" t="s">
        <v>138</v>
      </c>
      <c r="C2471" t="s">
        <v>34</v>
      </c>
      <c r="D2471" t="s">
        <v>68</v>
      </c>
      <c r="E2471" t="s">
        <v>18</v>
      </c>
      <c r="F2471">
        <v>26</v>
      </c>
      <c r="G2471">
        <v>41405</v>
      </c>
      <c r="H2471">
        <v>1076530</v>
      </c>
      <c r="I2471" t="s">
        <v>319</v>
      </c>
      <c r="J2471" t="s">
        <v>319</v>
      </c>
      <c r="K2471">
        <v>26</v>
      </c>
      <c r="L2471">
        <v>0</v>
      </c>
      <c r="M2471" t="s">
        <v>115</v>
      </c>
      <c r="N2471" t="str">
        <f t="shared" si="228"/>
        <v>PO-102470</v>
      </c>
      <c r="O2471" t="str">
        <f t="shared" si="229"/>
        <v>Delivered</v>
      </c>
      <c r="P2471" t="str">
        <f t="shared" si="230"/>
        <v>WH-PUN</v>
      </c>
      <c r="Q2471" t="str">
        <f>VLOOKUP(C2471, Lookups!$A$2:$D$10, 2, FALSE())</f>
        <v>FastElectronics</v>
      </c>
      <c r="R2471" t="str">
        <f>_xlfn.XLOOKUP(D2471, Lookups!$A$12:$A$51, Lookups!$C$12:$C$51, "Unknown")</f>
        <v>Networking</v>
      </c>
      <c r="S2471" t="str">
        <f>IF(ISBLANK(I2471), B2471+VLOOKUP(C2471, Lookups!$A$2:$D$10, 4, FALSE()), I2471)</f>
        <v>2025-10-14</v>
      </c>
      <c r="T2471">
        <f t="shared" si="231"/>
        <v>18</v>
      </c>
      <c r="U2471" t="str">
        <f t="shared" si="232"/>
        <v>On-Time</v>
      </c>
      <c r="V2471">
        <f t="shared" si="233"/>
        <v>0</v>
      </c>
    </row>
    <row r="2472" spans="1:22" x14ac:dyDescent="0.45">
      <c r="A2472" t="s">
        <v>3328</v>
      </c>
      <c r="B2472" t="s">
        <v>207</v>
      </c>
      <c r="C2472" t="s">
        <v>30</v>
      </c>
      <c r="D2472" t="s">
        <v>82</v>
      </c>
      <c r="E2472" t="s">
        <v>17</v>
      </c>
      <c r="F2472">
        <v>132</v>
      </c>
      <c r="G2472">
        <v>83427</v>
      </c>
      <c r="H2472">
        <v>11012364</v>
      </c>
      <c r="I2472" t="s">
        <v>1430</v>
      </c>
      <c r="J2472" t="s">
        <v>579</v>
      </c>
      <c r="K2472">
        <v>132</v>
      </c>
      <c r="L2472">
        <v>0</v>
      </c>
      <c r="M2472" t="s">
        <v>115</v>
      </c>
      <c r="N2472" t="str">
        <f t="shared" si="228"/>
        <v>PO-102471</v>
      </c>
      <c r="O2472" t="str">
        <f t="shared" si="229"/>
        <v>Delivered</v>
      </c>
      <c r="P2472" t="str">
        <f t="shared" si="230"/>
        <v>WH-BLR</v>
      </c>
      <c r="Q2472" t="str">
        <f>VLOOKUP(C2472, Lookups!$A$2:$D$10, 2, FALSE())</f>
        <v>TechSupply Corp</v>
      </c>
      <c r="R2472" t="str">
        <f>_xlfn.XLOOKUP(D2472, Lookups!$A$12:$A$51, Lookups!$C$12:$C$51, "Unknown")</f>
        <v>Electronics</v>
      </c>
      <c r="S2472" t="str">
        <f>IF(ISBLANK(I2472), B2472+VLOOKUP(C2472, Lookups!$A$2:$D$10, 4, FALSE()), I2472)</f>
        <v>2025-12-28</v>
      </c>
      <c r="T2472">
        <f t="shared" si="231"/>
        <v>15</v>
      </c>
      <c r="U2472" t="str">
        <f t="shared" si="232"/>
        <v>Late</v>
      </c>
      <c r="V2472">
        <f t="shared" si="233"/>
        <v>0</v>
      </c>
    </row>
    <row r="2473" spans="1:22" x14ac:dyDescent="0.45">
      <c r="A2473" t="s">
        <v>3329</v>
      </c>
      <c r="B2473" t="s">
        <v>1164</v>
      </c>
      <c r="C2473" t="s">
        <v>30</v>
      </c>
      <c r="D2473" t="s">
        <v>61</v>
      </c>
      <c r="E2473" t="s">
        <v>16</v>
      </c>
      <c r="F2473">
        <v>139</v>
      </c>
      <c r="G2473">
        <v>111237</v>
      </c>
      <c r="H2473">
        <v>15461943</v>
      </c>
      <c r="I2473" t="s">
        <v>397</v>
      </c>
      <c r="J2473" t="s">
        <v>1265</v>
      </c>
      <c r="K2473">
        <v>139</v>
      </c>
      <c r="L2473">
        <v>0</v>
      </c>
      <c r="M2473" t="s">
        <v>115</v>
      </c>
      <c r="N2473" t="str">
        <f t="shared" si="228"/>
        <v>PO-102472</v>
      </c>
      <c r="O2473" t="str">
        <f t="shared" si="229"/>
        <v>Delivered</v>
      </c>
      <c r="P2473" t="str">
        <f t="shared" si="230"/>
        <v>WH-DEL</v>
      </c>
      <c r="Q2473" t="str">
        <f>VLOOKUP(C2473, Lookups!$A$2:$D$10, 2, FALSE())</f>
        <v>TechSupply Corp</v>
      </c>
      <c r="R2473" t="str">
        <f>_xlfn.XLOOKUP(D2473, Lookups!$A$12:$A$51, Lookups!$C$12:$C$51, "Unknown")</f>
        <v>Electronics</v>
      </c>
      <c r="S2473" t="str">
        <f>IF(ISBLANK(I2473), B2473+VLOOKUP(C2473, Lookups!$A$2:$D$10, 4, FALSE()), I2473)</f>
        <v>2025-04-06</v>
      </c>
      <c r="T2473">
        <f t="shared" si="231"/>
        <v>15</v>
      </c>
      <c r="U2473" t="str">
        <f t="shared" si="232"/>
        <v>Late</v>
      </c>
      <c r="V2473">
        <f t="shared" si="233"/>
        <v>0</v>
      </c>
    </row>
    <row r="2474" spans="1:22" x14ac:dyDescent="0.45">
      <c r="A2474" t="s">
        <v>3330</v>
      </c>
      <c r="B2474" t="s">
        <v>431</v>
      </c>
      <c r="C2474" t="s">
        <v>35</v>
      </c>
      <c r="D2474" t="s">
        <v>91</v>
      </c>
      <c r="E2474" t="s">
        <v>15</v>
      </c>
      <c r="F2474">
        <v>247</v>
      </c>
      <c r="G2474">
        <v>6707</v>
      </c>
      <c r="H2474">
        <v>1656629</v>
      </c>
      <c r="I2474" t="s">
        <v>1168</v>
      </c>
      <c r="J2474" t="s">
        <v>396</v>
      </c>
      <c r="K2474">
        <v>247</v>
      </c>
      <c r="L2474">
        <v>0</v>
      </c>
      <c r="M2474" t="s">
        <v>115</v>
      </c>
      <c r="N2474" t="str">
        <f t="shared" si="228"/>
        <v>PO-102473</v>
      </c>
      <c r="O2474" t="str">
        <f t="shared" si="229"/>
        <v>Delivered</v>
      </c>
      <c r="P2474" t="str">
        <f t="shared" si="230"/>
        <v>WH-BOM</v>
      </c>
      <c r="Q2474" t="str">
        <f>VLOOKUP(C2474, Lookups!$A$2:$D$10, 2, FALSE())</f>
        <v>Peripheral Source</v>
      </c>
      <c r="R2474" t="str">
        <f>_xlfn.XLOOKUP(D2474, Lookups!$A$12:$A$51, Lookups!$C$12:$C$51, "Unknown")</f>
        <v>Peripherals</v>
      </c>
      <c r="S2474" t="str">
        <f>IF(ISBLANK(I2474), B2474+VLOOKUP(C2474, Lookups!$A$2:$D$10, 4, FALSE()), I2474)</f>
        <v>2025-03-26</v>
      </c>
      <c r="T2474">
        <f t="shared" si="231"/>
        <v>11</v>
      </c>
      <c r="U2474" t="str">
        <f t="shared" si="232"/>
        <v>Late</v>
      </c>
      <c r="V2474">
        <f t="shared" si="233"/>
        <v>0</v>
      </c>
    </row>
    <row r="2475" spans="1:22" x14ac:dyDescent="0.45">
      <c r="A2475" t="s">
        <v>3331</v>
      </c>
      <c r="B2475" t="s">
        <v>954</v>
      </c>
      <c r="C2475" t="s">
        <v>30</v>
      </c>
      <c r="D2475" t="s">
        <v>86</v>
      </c>
      <c r="E2475" t="s">
        <v>16</v>
      </c>
      <c r="F2475">
        <v>42</v>
      </c>
      <c r="G2475">
        <v>74871</v>
      </c>
      <c r="H2475">
        <v>3144582</v>
      </c>
      <c r="I2475" t="s">
        <v>1140</v>
      </c>
      <c r="J2475" t="s">
        <v>1140</v>
      </c>
      <c r="K2475">
        <v>42</v>
      </c>
      <c r="L2475">
        <v>1</v>
      </c>
      <c r="M2475" t="s">
        <v>115</v>
      </c>
      <c r="N2475" t="str">
        <f t="shared" si="228"/>
        <v>PO-102474</v>
      </c>
      <c r="O2475" t="str">
        <f t="shared" si="229"/>
        <v>Delivered</v>
      </c>
      <c r="P2475" t="str">
        <f t="shared" si="230"/>
        <v>WH-DEL</v>
      </c>
      <c r="Q2475" t="str">
        <f>VLOOKUP(C2475, Lookups!$A$2:$D$10, 2, FALSE())</f>
        <v>TechSupply Corp</v>
      </c>
      <c r="R2475" t="str">
        <f>_xlfn.XLOOKUP(D2475, Lookups!$A$12:$A$51, Lookups!$C$12:$C$51, "Unknown")</f>
        <v>Electronics</v>
      </c>
      <c r="S2475" t="str">
        <f>IF(ISBLANK(I2475), B2475+VLOOKUP(C2475, Lookups!$A$2:$D$10, 4, FALSE()), I2475)</f>
        <v>2026-11-30</v>
      </c>
      <c r="T2475">
        <f t="shared" si="231"/>
        <v>14</v>
      </c>
      <c r="U2475" t="str">
        <f t="shared" si="232"/>
        <v>On-Time</v>
      </c>
      <c r="V2475">
        <f t="shared" si="233"/>
        <v>2.3809523809523808E-2</v>
      </c>
    </row>
    <row r="2476" spans="1:22" x14ac:dyDescent="0.45">
      <c r="A2476" t="s">
        <v>3332</v>
      </c>
      <c r="B2476" t="s">
        <v>929</v>
      </c>
      <c r="C2476" t="s">
        <v>33</v>
      </c>
      <c r="D2476" t="s">
        <v>89</v>
      </c>
      <c r="E2476" t="s">
        <v>245</v>
      </c>
      <c r="F2476">
        <v>91</v>
      </c>
      <c r="G2476">
        <v>11309</v>
      </c>
      <c r="H2476">
        <v>1029119</v>
      </c>
      <c r="I2476" t="s">
        <v>1430</v>
      </c>
      <c r="J2476" t="s">
        <v>1430</v>
      </c>
      <c r="K2476">
        <v>91</v>
      </c>
      <c r="L2476">
        <v>0</v>
      </c>
      <c r="M2476" t="s">
        <v>115</v>
      </c>
      <c r="N2476" t="str">
        <f t="shared" si="228"/>
        <v>PO-102475</v>
      </c>
      <c r="O2476" t="str">
        <f t="shared" si="229"/>
        <v>Delivered</v>
      </c>
      <c r="P2476" t="str">
        <f t="shared" si="230"/>
        <v>WH-BOM</v>
      </c>
      <c r="Q2476" t="str">
        <f>VLOOKUP(C2476, Lookups!$A$2:$D$10, 2, FALSE())</f>
        <v>MegaFurnish</v>
      </c>
      <c r="R2476" t="str">
        <f>_xlfn.XLOOKUP(D2476, Lookups!$A$12:$A$51, Lookups!$C$12:$C$51, "Unknown")</f>
        <v>Office Furniture</v>
      </c>
      <c r="S2476" t="str">
        <f>IF(ISBLANK(I2476), B2476+VLOOKUP(C2476, Lookups!$A$2:$D$10, 4, FALSE()), I2476)</f>
        <v>2025-12-28</v>
      </c>
      <c r="T2476">
        <f t="shared" si="231"/>
        <v>30</v>
      </c>
      <c r="U2476" t="str">
        <f t="shared" si="232"/>
        <v>On-Time</v>
      </c>
      <c r="V2476">
        <f t="shared" si="233"/>
        <v>0</v>
      </c>
    </row>
    <row r="2477" spans="1:22" x14ac:dyDescent="0.45">
      <c r="A2477" t="s">
        <v>3333</v>
      </c>
      <c r="B2477" t="s">
        <v>1279</v>
      </c>
      <c r="C2477" t="s">
        <v>35</v>
      </c>
      <c r="D2477" t="s">
        <v>75</v>
      </c>
      <c r="E2477" t="s">
        <v>17</v>
      </c>
      <c r="F2477">
        <v>18</v>
      </c>
      <c r="G2477">
        <v>4440</v>
      </c>
      <c r="H2477">
        <v>79920</v>
      </c>
      <c r="I2477" t="s">
        <v>175</v>
      </c>
      <c r="J2477" t="s">
        <v>175</v>
      </c>
      <c r="K2477">
        <v>18</v>
      </c>
      <c r="L2477">
        <v>0</v>
      </c>
      <c r="M2477" t="s">
        <v>115</v>
      </c>
      <c r="N2477" t="str">
        <f t="shared" si="228"/>
        <v>PO-102476</v>
      </c>
      <c r="O2477" t="str">
        <f t="shared" si="229"/>
        <v>Delivered</v>
      </c>
      <c r="P2477" t="str">
        <f t="shared" si="230"/>
        <v>WH-BLR</v>
      </c>
      <c r="Q2477" t="str">
        <f>VLOOKUP(C2477, Lookups!$A$2:$D$10, 2, FALSE())</f>
        <v>Peripheral Source</v>
      </c>
      <c r="R2477" t="str">
        <f>_xlfn.XLOOKUP(D2477, Lookups!$A$12:$A$51, Lookups!$C$12:$C$51, "Unknown")</f>
        <v>Peripherals</v>
      </c>
      <c r="S2477" t="str">
        <f>IF(ISBLANK(I2477), B2477+VLOOKUP(C2477, Lookups!$A$2:$D$10, 4, FALSE()), I2477)</f>
        <v>2026-07-28</v>
      </c>
      <c r="T2477">
        <f t="shared" si="231"/>
        <v>10</v>
      </c>
      <c r="U2477" t="str">
        <f t="shared" si="232"/>
        <v>On-Time</v>
      </c>
      <c r="V2477">
        <f t="shared" si="233"/>
        <v>0</v>
      </c>
    </row>
    <row r="2478" spans="1:22" x14ac:dyDescent="0.45">
      <c r="A2478" t="s">
        <v>3334</v>
      </c>
      <c r="B2478" t="s">
        <v>229</v>
      </c>
      <c r="C2478" t="s">
        <v>35</v>
      </c>
      <c r="D2478" t="s">
        <v>70</v>
      </c>
      <c r="E2478" t="s">
        <v>532</v>
      </c>
      <c r="F2478">
        <v>42</v>
      </c>
      <c r="G2478">
        <v>4287</v>
      </c>
      <c r="H2478">
        <v>180054</v>
      </c>
      <c r="I2478" t="s">
        <v>468</v>
      </c>
      <c r="J2478" t="s">
        <v>249</v>
      </c>
      <c r="K2478">
        <v>42</v>
      </c>
      <c r="L2478">
        <v>0</v>
      </c>
      <c r="M2478" t="s">
        <v>115</v>
      </c>
      <c r="N2478" t="str">
        <f t="shared" si="228"/>
        <v>PO-102477</v>
      </c>
      <c r="O2478" t="str">
        <f t="shared" si="229"/>
        <v>Delivered</v>
      </c>
      <c r="P2478" t="str">
        <f t="shared" si="230"/>
        <v>WH-PUN</v>
      </c>
      <c r="Q2478" t="str">
        <f>VLOOKUP(C2478, Lookups!$A$2:$D$10, 2, FALSE())</f>
        <v>Peripheral Source</v>
      </c>
      <c r="R2478" t="str">
        <f>_xlfn.XLOOKUP(D2478, Lookups!$A$12:$A$51, Lookups!$C$12:$C$51, "Unknown")</f>
        <v>Peripherals</v>
      </c>
      <c r="S2478" t="str">
        <f>IF(ISBLANK(I2478), B2478+VLOOKUP(C2478, Lookups!$A$2:$D$10, 4, FALSE()), I2478)</f>
        <v>2025-07-19</v>
      </c>
      <c r="T2478">
        <f t="shared" si="231"/>
        <v>11</v>
      </c>
      <c r="U2478" t="str">
        <f t="shared" si="232"/>
        <v>Late</v>
      </c>
      <c r="V2478">
        <f t="shared" si="233"/>
        <v>0</v>
      </c>
    </row>
    <row r="2479" spans="1:22" x14ac:dyDescent="0.45">
      <c r="A2479" t="s">
        <v>3335</v>
      </c>
      <c r="B2479" t="s">
        <v>795</v>
      </c>
      <c r="C2479" t="s">
        <v>31</v>
      </c>
      <c r="D2479" t="s">
        <v>66</v>
      </c>
      <c r="E2479" t="s">
        <v>16</v>
      </c>
      <c r="F2479">
        <v>250</v>
      </c>
      <c r="G2479">
        <v>29719</v>
      </c>
      <c r="H2479">
        <v>7429750</v>
      </c>
      <c r="I2479" t="s">
        <v>280</v>
      </c>
      <c r="J2479" t="s">
        <v>280</v>
      </c>
      <c r="K2479">
        <v>250</v>
      </c>
      <c r="L2479">
        <v>0</v>
      </c>
      <c r="M2479" t="s">
        <v>115</v>
      </c>
      <c r="N2479" t="str">
        <f t="shared" si="228"/>
        <v>PO-102478</v>
      </c>
      <c r="O2479" t="str">
        <f t="shared" si="229"/>
        <v>Delivered</v>
      </c>
      <c r="P2479" t="str">
        <f t="shared" si="230"/>
        <v>WH-DEL</v>
      </c>
      <c r="Q2479" t="str">
        <f>VLOOKUP(C2479, Lookups!$A$2:$D$10, 2, FALSE())</f>
        <v>Global Networks</v>
      </c>
      <c r="R2479" t="str">
        <f>_xlfn.XLOOKUP(D2479, Lookups!$A$12:$A$51, Lookups!$C$12:$C$51, "Unknown")</f>
        <v>Networking</v>
      </c>
      <c r="S2479" t="str">
        <f>IF(ISBLANK(I2479), B2479+VLOOKUP(C2479, Lookups!$A$2:$D$10, 4, FALSE()), I2479)</f>
        <v>2026-10-08</v>
      </c>
      <c r="T2479">
        <f t="shared" si="231"/>
        <v>21</v>
      </c>
      <c r="U2479" t="str">
        <f t="shared" si="232"/>
        <v>On-Time</v>
      </c>
      <c r="V2479">
        <f t="shared" si="233"/>
        <v>0</v>
      </c>
    </row>
    <row r="2480" spans="1:22" x14ac:dyDescent="0.45">
      <c r="A2480" t="s">
        <v>3336</v>
      </c>
      <c r="B2480" t="s">
        <v>639</v>
      </c>
      <c r="C2480" t="s">
        <v>32</v>
      </c>
      <c r="D2480" t="s">
        <v>67</v>
      </c>
      <c r="E2480" t="s">
        <v>16</v>
      </c>
      <c r="F2480">
        <v>105</v>
      </c>
      <c r="G2480">
        <v>1553</v>
      </c>
      <c r="H2480">
        <v>163065</v>
      </c>
      <c r="I2480" t="s">
        <v>448</v>
      </c>
      <c r="J2480" t="s">
        <v>448</v>
      </c>
      <c r="K2480">
        <v>105</v>
      </c>
      <c r="L2480">
        <v>0</v>
      </c>
      <c r="M2480" t="s">
        <v>115</v>
      </c>
      <c r="N2480" t="str">
        <f t="shared" si="228"/>
        <v>PO-102479</v>
      </c>
      <c r="O2480" t="str">
        <f t="shared" si="229"/>
        <v>Delivered</v>
      </c>
      <c r="P2480" t="str">
        <f t="shared" si="230"/>
        <v>WH-DEL</v>
      </c>
      <c r="Q2480" t="str">
        <f>VLOOKUP(C2480, Lookups!$A$2:$D$10, 2, FALSE())</f>
        <v>OfficeDepot Pro</v>
      </c>
      <c r="R2480" t="str">
        <f>_xlfn.XLOOKUP(D2480, Lookups!$A$12:$A$51, Lookups!$C$12:$C$51, "Unknown")</f>
        <v>Peripherals</v>
      </c>
      <c r="S2480" t="str">
        <f>IF(ISBLANK(I2480), B2480+VLOOKUP(C2480, Lookups!$A$2:$D$10, 4, FALSE()), I2480)</f>
        <v>2025-12-18</v>
      </c>
      <c r="T2480">
        <f t="shared" si="231"/>
        <v>7</v>
      </c>
      <c r="U2480" t="str">
        <f t="shared" si="232"/>
        <v>On-Time</v>
      </c>
      <c r="V2480">
        <f t="shared" si="233"/>
        <v>0</v>
      </c>
    </row>
    <row r="2481" spans="1:22" x14ac:dyDescent="0.45">
      <c r="A2481" t="s">
        <v>3337</v>
      </c>
      <c r="B2481" t="s">
        <v>688</v>
      </c>
      <c r="C2481" t="s">
        <v>35</v>
      </c>
      <c r="D2481" t="s">
        <v>72</v>
      </c>
      <c r="E2481" t="s">
        <v>15</v>
      </c>
      <c r="F2481">
        <v>156</v>
      </c>
      <c r="G2481">
        <v>7754</v>
      </c>
      <c r="H2481">
        <v>1209624</v>
      </c>
      <c r="I2481" t="s">
        <v>411</v>
      </c>
      <c r="J2481" t="s">
        <v>411</v>
      </c>
      <c r="K2481">
        <v>156</v>
      </c>
      <c r="L2481">
        <v>0</v>
      </c>
      <c r="M2481" t="s">
        <v>115</v>
      </c>
      <c r="N2481" t="str">
        <f t="shared" si="228"/>
        <v>PO-102480</v>
      </c>
      <c r="O2481" t="str">
        <f t="shared" si="229"/>
        <v>Delivered</v>
      </c>
      <c r="P2481" t="str">
        <f t="shared" si="230"/>
        <v>WH-BOM</v>
      </c>
      <c r="Q2481" t="str">
        <f>VLOOKUP(C2481, Lookups!$A$2:$D$10, 2, FALSE())</f>
        <v>Peripheral Source</v>
      </c>
      <c r="R2481" t="str">
        <f>_xlfn.XLOOKUP(D2481, Lookups!$A$12:$A$51, Lookups!$C$12:$C$51, "Unknown")</f>
        <v>Peripherals</v>
      </c>
      <c r="S2481" t="str">
        <f>IF(ISBLANK(I2481), B2481+VLOOKUP(C2481, Lookups!$A$2:$D$10, 4, FALSE()), I2481)</f>
        <v>2026-05-09</v>
      </c>
      <c r="T2481">
        <f t="shared" si="231"/>
        <v>10</v>
      </c>
      <c r="U2481" t="str">
        <f t="shared" si="232"/>
        <v>On-Time</v>
      </c>
      <c r="V2481">
        <f t="shared" si="233"/>
        <v>0</v>
      </c>
    </row>
    <row r="2482" spans="1:22" x14ac:dyDescent="0.45">
      <c r="A2482" t="s">
        <v>3338</v>
      </c>
      <c r="B2482" t="s">
        <v>961</v>
      </c>
      <c r="C2482" t="s">
        <v>36</v>
      </c>
      <c r="D2482" t="s">
        <v>90</v>
      </c>
      <c r="E2482" t="s">
        <v>18</v>
      </c>
      <c r="F2482">
        <v>244</v>
      </c>
      <c r="G2482">
        <v>81434</v>
      </c>
      <c r="H2482">
        <v>19869896</v>
      </c>
      <c r="I2482" t="s">
        <v>1593</v>
      </c>
      <c r="J2482" t="s">
        <v>327</v>
      </c>
      <c r="K2482">
        <v>244</v>
      </c>
      <c r="L2482">
        <v>0</v>
      </c>
      <c r="M2482" t="s">
        <v>115</v>
      </c>
      <c r="N2482" t="str">
        <f t="shared" si="228"/>
        <v>PO-102481</v>
      </c>
      <c r="O2482" t="str">
        <f t="shared" si="229"/>
        <v>Delivered</v>
      </c>
      <c r="P2482" t="str">
        <f t="shared" si="230"/>
        <v>WH-PUN</v>
      </c>
      <c r="Q2482" t="str">
        <f>VLOOKUP(C2482, Lookups!$A$2:$D$10, 2, FALSE())</f>
        <v>NextGen Hardware</v>
      </c>
      <c r="R2482" t="str">
        <f>_xlfn.XLOOKUP(D2482, Lookups!$A$12:$A$51, Lookups!$C$12:$C$51, "Unknown")</f>
        <v>Electronics</v>
      </c>
      <c r="S2482" t="str">
        <f>IF(ISBLANK(I2482), B2482+VLOOKUP(C2482, Lookups!$A$2:$D$10, 4, FALSE()), I2482)</f>
        <v>2025-05-27</v>
      </c>
      <c r="T2482">
        <f t="shared" si="231"/>
        <v>33</v>
      </c>
      <c r="U2482" t="str">
        <f t="shared" si="232"/>
        <v>Late</v>
      </c>
      <c r="V2482">
        <f t="shared" si="233"/>
        <v>0</v>
      </c>
    </row>
    <row r="2483" spans="1:22" x14ac:dyDescent="0.45">
      <c r="A2483" t="s">
        <v>3339</v>
      </c>
      <c r="B2483" t="s">
        <v>1574</v>
      </c>
      <c r="C2483" t="s">
        <v>30</v>
      </c>
      <c r="D2483" t="s">
        <v>82</v>
      </c>
      <c r="E2483" t="s">
        <v>16</v>
      </c>
      <c r="F2483">
        <v>209</v>
      </c>
      <c r="G2483">
        <v>83427</v>
      </c>
      <c r="H2483">
        <v>17436243</v>
      </c>
      <c r="I2483" t="s">
        <v>207</v>
      </c>
      <c r="J2483" t="s">
        <v>885</v>
      </c>
      <c r="K2483">
        <v>209</v>
      </c>
      <c r="L2483">
        <v>0</v>
      </c>
      <c r="M2483" t="s">
        <v>115</v>
      </c>
      <c r="N2483" t="str">
        <f t="shared" si="228"/>
        <v>PO-102482</v>
      </c>
      <c r="O2483" t="str">
        <f t="shared" si="229"/>
        <v>Delivered</v>
      </c>
      <c r="P2483" t="str">
        <f t="shared" si="230"/>
        <v>WH-DEL</v>
      </c>
      <c r="Q2483" t="str">
        <f>VLOOKUP(C2483, Lookups!$A$2:$D$10, 2, FALSE())</f>
        <v>TechSupply Corp</v>
      </c>
      <c r="R2483" t="str">
        <f>_xlfn.XLOOKUP(D2483, Lookups!$A$12:$A$51, Lookups!$C$12:$C$51, "Unknown")</f>
        <v>Electronics</v>
      </c>
      <c r="S2483" t="str">
        <f>IF(ISBLANK(I2483), B2483+VLOOKUP(C2483, Lookups!$A$2:$D$10, 4, FALSE()), I2483)</f>
        <v>2025-12-14</v>
      </c>
      <c r="T2483">
        <f t="shared" si="231"/>
        <v>15</v>
      </c>
      <c r="U2483" t="str">
        <f t="shared" si="232"/>
        <v>Late</v>
      </c>
      <c r="V2483">
        <f t="shared" si="233"/>
        <v>0</v>
      </c>
    </row>
    <row r="2484" spans="1:22" x14ac:dyDescent="0.45">
      <c r="A2484" t="s">
        <v>3340</v>
      </c>
      <c r="B2484" t="s">
        <v>337</v>
      </c>
      <c r="C2484" t="s">
        <v>32</v>
      </c>
      <c r="D2484" t="s">
        <v>67</v>
      </c>
      <c r="E2484" t="s">
        <v>15</v>
      </c>
      <c r="F2484">
        <v>160</v>
      </c>
      <c r="G2484">
        <v>1553</v>
      </c>
      <c r="H2484">
        <v>248480</v>
      </c>
      <c r="I2484" t="s">
        <v>619</v>
      </c>
      <c r="J2484" t="s">
        <v>1084</v>
      </c>
      <c r="K2484">
        <v>160</v>
      </c>
      <c r="L2484">
        <v>0</v>
      </c>
      <c r="M2484" t="s">
        <v>115</v>
      </c>
      <c r="N2484" t="str">
        <f t="shared" si="228"/>
        <v>PO-102483</v>
      </c>
      <c r="O2484" t="str">
        <f t="shared" si="229"/>
        <v>Delivered</v>
      </c>
      <c r="P2484" t="str">
        <f t="shared" si="230"/>
        <v>WH-BOM</v>
      </c>
      <c r="Q2484" t="str">
        <f>VLOOKUP(C2484, Lookups!$A$2:$D$10, 2, FALSE())</f>
        <v>OfficeDepot Pro</v>
      </c>
      <c r="R2484" t="str">
        <f>_xlfn.XLOOKUP(D2484, Lookups!$A$12:$A$51, Lookups!$C$12:$C$51, "Unknown")</f>
        <v>Peripherals</v>
      </c>
      <c r="S2484" t="str">
        <f>IF(ISBLANK(I2484), B2484+VLOOKUP(C2484, Lookups!$A$2:$D$10, 4, FALSE()), I2484)</f>
        <v>2026-03-19</v>
      </c>
      <c r="T2484">
        <f t="shared" si="231"/>
        <v>8</v>
      </c>
      <c r="U2484" t="str">
        <f t="shared" si="232"/>
        <v>Late</v>
      </c>
      <c r="V2484">
        <f t="shared" si="233"/>
        <v>0</v>
      </c>
    </row>
    <row r="2485" spans="1:22" x14ac:dyDescent="0.45">
      <c r="A2485" t="s">
        <v>3341</v>
      </c>
      <c r="B2485" t="s">
        <v>124</v>
      </c>
      <c r="C2485" t="s">
        <v>32</v>
      </c>
      <c r="D2485" t="s">
        <v>67</v>
      </c>
      <c r="E2485" t="s">
        <v>18</v>
      </c>
      <c r="F2485">
        <v>226</v>
      </c>
      <c r="G2485">
        <v>1553</v>
      </c>
      <c r="H2485">
        <v>350978</v>
      </c>
      <c r="I2485" t="s">
        <v>1218</v>
      </c>
      <c r="J2485" t="s">
        <v>1218</v>
      </c>
      <c r="K2485">
        <v>226</v>
      </c>
      <c r="L2485">
        <v>0</v>
      </c>
      <c r="M2485" t="s">
        <v>115</v>
      </c>
      <c r="N2485" t="str">
        <f t="shared" si="228"/>
        <v>PO-102484</v>
      </c>
      <c r="O2485" t="str">
        <f t="shared" si="229"/>
        <v>Delivered</v>
      </c>
      <c r="P2485" t="str">
        <f t="shared" si="230"/>
        <v>WH-PUN</v>
      </c>
      <c r="Q2485" t="str">
        <f>VLOOKUP(C2485, Lookups!$A$2:$D$10, 2, FALSE())</f>
        <v>OfficeDepot Pro</v>
      </c>
      <c r="R2485" t="str">
        <f>_xlfn.XLOOKUP(D2485, Lookups!$A$12:$A$51, Lookups!$C$12:$C$51, "Unknown")</f>
        <v>Peripherals</v>
      </c>
      <c r="S2485" t="str">
        <f>IF(ISBLANK(I2485), B2485+VLOOKUP(C2485, Lookups!$A$2:$D$10, 4, FALSE()), I2485)</f>
        <v>2026-06-19</v>
      </c>
      <c r="T2485">
        <f t="shared" si="231"/>
        <v>7</v>
      </c>
      <c r="U2485" t="str">
        <f t="shared" si="232"/>
        <v>On-Time</v>
      </c>
      <c r="V2485">
        <f t="shared" si="233"/>
        <v>0</v>
      </c>
    </row>
    <row r="2486" spans="1:22" x14ac:dyDescent="0.45">
      <c r="A2486" t="s">
        <v>3342</v>
      </c>
      <c r="B2486" t="s">
        <v>958</v>
      </c>
      <c r="C2486" t="s">
        <v>32</v>
      </c>
      <c r="D2486" t="s">
        <v>84</v>
      </c>
      <c r="E2486" t="s">
        <v>17</v>
      </c>
      <c r="F2486">
        <v>248</v>
      </c>
      <c r="G2486">
        <v>7271</v>
      </c>
      <c r="H2486">
        <v>1803208</v>
      </c>
      <c r="I2486" t="s">
        <v>417</v>
      </c>
      <c r="J2486" t="s">
        <v>417</v>
      </c>
      <c r="K2486">
        <v>248</v>
      </c>
      <c r="L2486">
        <v>0</v>
      </c>
      <c r="M2486" t="s">
        <v>115</v>
      </c>
      <c r="N2486" t="str">
        <f t="shared" si="228"/>
        <v>PO-102485</v>
      </c>
      <c r="O2486" t="str">
        <f t="shared" si="229"/>
        <v>Delivered</v>
      </c>
      <c r="P2486" t="str">
        <f t="shared" si="230"/>
        <v>WH-BLR</v>
      </c>
      <c r="Q2486" t="str">
        <f>VLOOKUP(C2486, Lookups!$A$2:$D$10, 2, FALSE())</f>
        <v>OfficeDepot Pro</v>
      </c>
      <c r="R2486" t="str">
        <f>_xlfn.XLOOKUP(D2486, Lookups!$A$12:$A$51, Lookups!$C$12:$C$51, "Unknown")</f>
        <v>Peripherals</v>
      </c>
      <c r="S2486" t="str">
        <f>IF(ISBLANK(I2486), B2486+VLOOKUP(C2486, Lookups!$A$2:$D$10, 4, FALSE()), I2486)</f>
        <v>2026-06-02</v>
      </c>
      <c r="T2486">
        <f t="shared" si="231"/>
        <v>7</v>
      </c>
      <c r="U2486" t="str">
        <f t="shared" si="232"/>
        <v>On-Time</v>
      </c>
      <c r="V2486">
        <f t="shared" si="233"/>
        <v>0</v>
      </c>
    </row>
    <row r="2487" spans="1:22" x14ac:dyDescent="0.45">
      <c r="A2487" t="s">
        <v>3343</v>
      </c>
      <c r="B2487" t="s">
        <v>877</v>
      </c>
      <c r="C2487" t="s">
        <v>35</v>
      </c>
      <c r="D2487" t="s">
        <v>70</v>
      </c>
      <c r="E2487" t="s">
        <v>17</v>
      </c>
      <c r="F2487">
        <v>103</v>
      </c>
      <c r="G2487">
        <v>4287</v>
      </c>
      <c r="H2487">
        <v>441561</v>
      </c>
      <c r="I2487" t="s">
        <v>653</v>
      </c>
      <c r="J2487" t="s">
        <v>1697</v>
      </c>
      <c r="K2487">
        <v>103</v>
      </c>
      <c r="L2487">
        <v>0</v>
      </c>
      <c r="M2487" t="s">
        <v>115</v>
      </c>
      <c r="N2487" t="str">
        <f t="shared" si="228"/>
        <v>PO-102486</v>
      </c>
      <c r="O2487" t="str">
        <f t="shared" si="229"/>
        <v>Delivered</v>
      </c>
      <c r="P2487" t="str">
        <f t="shared" si="230"/>
        <v>WH-BLR</v>
      </c>
      <c r="Q2487" t="str">
        <f>VLOOKUP(C2487, Lookups!$A$2:$D$10, 2, FALSE())</f>
        <v>Peripheral Source</v>
      </c>
      <c r="R2487" t="str">
        <f>_xlfn.XLOOKUP(D2487, Lookups!$A$12:$A$51, Lookups!$C$12:$C$51, "Unknown")</f>
        <v>Peripherals</v>
      </c>
      <c r="S2487" t="str">
        <f>IF(ISBLANK(I2487), B2487+VLOOKUP(C2487, Lookups!$A$2:$D$10, 4, FALSE()), I2487)</f>
        <v>2026-12-14</v>
      </c>
      <c r="T2487">
        <f t="shared" si="231"/>
        <v>11</v>
      </c>
      <c r="U2487" t="str">
        <f t="shared" si="232"/>
        <v>Late</v>
      </c>
      <c r="V2487">
        <f t="shared" si="233"/>
        <v>0</v>
      </c>
    </row>
    <row r="2488" spans="1:22" x14ac:dyDescent="0.45">
      <c r="A2488" t="s">
        <v>3344</v>
      </c>
      <c r="B2488" t="s">
        <v>795</v>
      </c>
      <c r="C2488" t="s">
        <v>30</v>
      </c>
      <c r="D2488" t="s">
        <v>53</v>
      </c>
      <c r="E2488" t="s">
        <v>15</v>
      </c>
      <c r="F2488">
        <v>14</v>
      </c>
      <c r="G2488">
        <v>81048</v>
      </c>
      <c r="H2488">
        <v>1134672</v>
      </c>
      <c r="I2488" t="s">
        <v>659</v>
      </c>
      <c r="J2488" t="s">
        <v>659</v>
      </c>
      <c r="K2488">
        <v>14</v>
      </c>
      <c r="L2488">
        <v>0</v>
      </c>
      <c r="M2488" t="s">
        <v>115</v>
      </c>
      <c r="N2488" t="str">
        <f t="shared" si="228"/>
        <v>PO-102487</v>
      </c>
      <c r="O2488" t="str">
        <f t="shared" si="229"/>
        <v>Delivered</v>
      </c>
      <c r="P2488" t="str">
        <f t="shared" si="230"/>
        <v>WH-BOM</v>
      </c>
      <c r="Q2488" t="str">
        <f>VLOOKUP(C2488, Lookups!$A$2:$D$10, 2, FALSE())</f>
        <v>TechSupply Corp</v>
      </c>
      <c r="R2488" t="str">
        <f>_xlfn.XLOOKUP(D2488, Lookups!$A$12:$A$51, Lookups!$C$12:$C$51, "Unknown")</f>
        <v>Electronics</v>
      </c>
      <c r="S2488" t="str">
        <f>IF(ISBLANK(I2488), B2488+VLOOKUP(C2488, Lookups!$A$2:$D$10, 4, FALSE()), I2488)</f>
        <v>2026-10-01</v>
      </c>
      <c r="T2488">
        <f t="shared" si="231"/>
        <v>14</v>
      </c>
      <c r="U2488" t="str">
        <f t="shared" si="232"/>
        <v>On-Time</v>
      </c>
      <c r="V2488">
        <f t="shared" si="233"/>
        <v>0</v>
      </c>
    </row>
    <row r="2489" spans="1:22" x14ac:dyDescent="0.45">
      <c r="A2489" t="s">
        <v>3345</v>
      </c>
      <c r="B2489" t="s">
        <v>409</v>
      </c>
      <c r="C2489" t="s">
        <v>31</v>
      </c>
      <c r="D2489" t="s">
        <v>77</v>
      </c>
      <c r="E2489" t="s">
        <v>17</v>
      </c>
      <c r="F2489">
        <v>47</v>
      </c>
      <c r="G2489">
        <v>23667</v>
      </c>
      <c r="H2489">
        <v>1112349</v>
      </c>
      <c r="I2489" t="s">
        <v>1639</v>
      </c>
      <c r="J2489" t="s">
        <v>1639</v>
      </c>
      <c r="K2489">
        <v>47</v>
      </c>
      <c r="L2489">
        <v>0</v>
      </c>
      <c r="M2489" t="s">
        <v>115</v>
      </c>
      <c r="N2489" t="str">
        <f t="shared" si="228"/>
        <v>PO-102488</v>
      </c>
      <c r="O2489" t="str">
        <f t="shared" si="229"/>
        <v>Delivered</v>
      </c>
      <c r="P2489" t="str">
        <f t="shared" si="230"/>
        <v>WH-BLR</v>
      </c>
      <c r="Q2489" t="str">
        <f>VLOOKUP(C2489, Lookups!$A$2:$D$10, 2, FALSE())</f>
        <v>Global Networks</v>
      </c>
      <c r="R2489" t="str">
        <f>_xlfn.XLOOKUP(D2489, Lookups!$A$12:$A$51, Lookups!$C$12:$C$51, "Unknown")</f>
        <v>Networking</v>
      </c>
      <c r="S2489" t="str">
        <f>IF(ISBLANK(I2489), B2489+VLOOKUP(C2489, Lookups!$A$2:$D$10, 4, FALSE()), I2489)</f>
        <v>2025-06-22</v>
      </c>
      <c r="T2489">
        <f t="shared" si="231"/>
        <v>21</v>
      </c>
      <c r="U2489" t="str">
        <f t="shared" si="232"/>
        <v>On-Time</v>
      </c>
      <c r="V2489">
        <f t="shared" si="233"/>
        <v>0</v>
      </c>
    </row>
    <row r="2490" spans="1:22" x14ac:dyDescent="0.45">
      <c r="A2490" t="s">
        <v>3346</v>
      </c>
      <c r="B2490" t="s">
        <v>121</v>
      </c>
      <c r="C2490" t="s">
        <v>34</v>
      </c>
      <c r="D2490" t="s">
        <v>73</v>
      </c>
      <c r="E2490" t="s">
        <v>17</v>
      </c>
      <c r="F2490">
        <v>181</v>
      </c>
      <c r="G2490">
        <v>58396</v>
      </c>
      <c r="H2490">
        <v>10569676</v>
      </c>
      <c r="I2490" t="s">
        <v>612</v>
      </c>
      <c r="J2490" t="s">
        <v>1486</v>
      </c>
      <c r="K2490">
        <v>181</v>
      </c>
      <c r="L2490">
        <v>0</v>
      </c>
      <c r="M2490" t="s">
        <v>115</v>
      </c>
      <c r="N2490" t="str">
        <f t="shared" si="228"/>
        <v>PO-102489</v>
      </c>
      <c r="O2490" t="str">
        <f t="shared" si="229"/>
        <v>Delivered</v>
      </c>
      <c r="P2490" t="str">
        <f t="shared" si="230"/>
        <v>WH-BLR</v>
      </c>
      <c r="Q2490" t="str">
        <f>VLOOKUP(C2490, Lookups!$A$2:$D$10, 2, FALSE())</f>
        <v>FastElectronics</v>
      </c>
      <c r="R2490" t="str">
        <f>_xlfn.XLOOKUP(D2490, Lookups!$A$12:$A$51, Lookups!$C$12:$C$51, "Unknown")</f>
        <v>Electronics</v>
      </c>
      <c r="S2490" t="str">
        <f>IF(ISBLANK(I2490), B2490+VLOOKUP(C2490, Lookups!$A$2:$D$10, 4, FALSE()), I2490)</f>
        <v>2025-02-04</v>
      </c>
      <c r="T2490">
        <f t="shared" si="231"/>
        <v>25</v>
      </c>
      <c r="U2490" t="str">
        <f t="shared" si="232"/>
        <v>Late</v>
      </c>
      <c r="V2490">
        <f t="shared" si="233"/>
        <v>0</v>
      </c>
    </row>
    <row r="2491" spans="1:22" x14ac:dyDescent="0.45">
      <c r="A2491" t="s">
        <v>3347</v>
      </c>
      <c r="B2491" t="s">
        <v>367</v>
      </c>
      <c r="C2491" t="s">
        <v>34</v>
      </c>
      <c r="D2491" t="s">
        <v>80</v>
      </c>
      <c r="E2491" t="s">
        <v>17</v>
      </c>
      <c r="F2491">
        <v>62</v>
      </c>
      <c r="G2491">
        <v>19090</v>
      </c>
      <c r="H2491">
        <v>1183580</v>
      </c>
      <c r="I2491" t="s">
        <v>1227</v>
      </c>
      <c r="J2491" t="s">
        <v>723</v>
      </c>
      <c r="K2491">
        <v>62</v>
      </c>
      <c r="L2491">
        <v>0</v>
      </c>
      <c r="M2491" t="s">
        <v>115</v>
      </c>
      <c r="N2491" t="str">
        <f t="shared" si="228"/>
        <v>PO-102490</v>
      </c>
      <c r="O2491" t="str">
        <f t="shared" si="229"/>
        <v>Delivered</v>
      </c>
      <c r="P2491" t="str">
        <f t="shared" si="230"/>
        <v>WH-BLR</v>
      </c>
      <c r="Q2491" t="str">
        <f>VLOOKUP(C2491, Lookups!$A$2:$D$10, 2, FALSE())</f>
        <v>FastElectronics</v>
      </c>
      <c r="R2491" t="str">
        <f>_xlfn.XLOOKUP(D2491, Lookups!$A$12:$A$51, Lookups!$C$12:$C$51, "Unknown")</f>
        <v>Networking</v>
      </c>
      <c r="S2491" t="str">
        <f>IF(ISBLANK(I2491), B2491+VLOOKUP(C2491, Lookups!$A$2:$D$10, 4, FALSE()), I2491)</f>
        <v>2026-05-03</v>
      </c>
      <c r="T2491">
        <f t="shared" si="231"/>
        <v>19</v>
      </c>
      <c r="U2491" t="str">
        <f t="shared" si="232"/>
        <v>Late</v>
      </c>
      <c r="V2491">
        <f t="shared" si="233"/>
        <v>0</v>
      </c>
    </row>
    <row r="2492" spans="1:22" x14ac:dyDescent="0.45">
      <c r="A2492" t="s">
        <v>3348</v>
      </c>
      <c r="B2492" t="s">
        <v>464</v>
      </c>
      <c r="C2492" t="s">
        <v>36</v>
      </c>
      <c r="D2492" t="s">
        <v>87</v>
      </c>
      <c r="E2492" t="s">
        <v>15</v>
      </c>
      <c r="F2492">
        <v>193</v>
      </c>
      <c r="G2492">
        <v>82930</v>
      </c>
      <c r="H2492">
        <v>16005490</v>
      </c>
      <c r="I2492" t="s">
        <v>207</v>
      </c>
      <c r="J2492" t="s">
        <v>885</v>
      </c>
      <c r="K2492">
        <v>193</v>
      </c>
      <c r="L2492">
        <v>0</v>
      </c>
      <c r="M2492" t="s">
        <v>115</v>
      </c>
      <c r="N2492" t="str">
        <f t="shared" si="228"/>
        <v>PO-102491</v>
      </c>
      <c r="O2492" t="str">
        <f t="shared" si="229"/>
        <v>Delivered</v>
      </c>
      <c r="P2492" t="str">
        <f t="shared" si="230"/>
        <v>WH-BOM</v>
      </c>
      <c r="Q2492" t="str">
        <f>VLOOKUP(C2492, Lookups!$A$2:$D$10, 2, FALSE())</f>
        <v>NextGen Hardware</v>
      </c>
      <c r="R2492" t="str">
        <f>_xlfn.XLOOKUP(D2492, Lookups!$A$12:$A$51, Lookups!$C$12:$C$51, "Unknown")</f>
        <v>Electronics</v>
      </c>
      <c r="S2492" t="str">
        <f>IF(ISBLANK(I2492), B2492+VLOOKUP(C2492, Lookups!$A$2:$D$10, 4, FALSE()), I2492)</f>
        <v>2025-12-14</v>
      </c>
      <c r="T2492">
        <f t="shared" si="231"/>
        <v>25</v>
      </c>
      <c r="U2492" t="str">
        <f t="shared" si="232"/>
        <v>Late</v>
      </c>
      <c r="V2492">
        <f t="shared" si="233"/>
        <v>0</v>
      </c>
    </row>
    <row r="2493" spans="1:22" x14ac:dyDescent="0.45">
      <c r="A2493" t="s">
        <v>3349</v>
      </c>
      <c r="B2493" t="s">
        <v>674</v>
      </c>
      <c r="C2493" t="s">
        <v>32</v>
      </c>
      <c r="D2493" t="s">
        <v>84</v>
      </c>
      <c r="E2493" t="s">
        <v>17</v>
      </c>
      <c r="F2493">
        <v>11</v>
      </c>
      <c r="G2493">
        <v>7271</v>
      </c>
      <c r="H2493">
        <v>79981</v>
      </c>
      <c r="I2493" t="s">
        <v>1148</v>
      </c>
      <c r="J2493" t="s">
        <v>811</v>
      </c>
      <c r="K2493">
        <v>11</v>
      </c>
      <c r="L2493">
        <v>0</v>
      </c>
      <c r="M2493" t="s">
        <v>115</v>
      </c>
      <c r="N2493" t="str">
        <f t="shared" si="228"/>
        <v>PO-102492</v>
      </c>
      <c r="O2493" t="str">
        <f t="shared" si="229"/>
        <v>Delivered</v>
      </c>
      <c r="P2493" t="str">
        <f t="shared" si="230"/>
        <v>WH-BLR</v>
      </c>
      <c r="Q2493" t="str">
        <f>VLOOKUP(C2493, Lookups!$A$2:$D$10, 2, FALSE())</f>
        <v>OfficeDepot Pro</v>
      </c>
      <c r="R2493" t="str">
        <f>_xlfn.XLOOKUP(D2493, Lookups!$A$12:$A$51, Lookups!$C$12:$C$51, "Unknown")</f>
        <v>Peripherals</v>
      </c>
      <c r="S2493" t="str">
        <f>IF(ISBLANK(I2493), B2493+VLOOKUP(C2493, Lookups!$A$2:$D$10, 4, FALSE()), I2493)</f>
        <v>2026-11-26</v>
      </c>
      <c r="T2493">
        <f t="shared" si="231"/>
        <v>8</v>
      </c>
      <c r="U2493" t="str">
        <f t="shared" si="232"/>
        <v>Late</v>
      </c>
      <c r="V2493">
        <f t="shared" si="233"/>
        <v>0</v>
      </c>
    </row>
    <row r="2494" spans="1:22" x14ac:dyDescent="0.45">
      <c r="A2494" t="s">
        <v>3350</v>
      </c>
      <c r="B2494" t="s">
        <v>120</v>
      </c>
      <c r="C2494" t="s">
        <v>35</v>
      </c>
      <c r="D2494" t="s">
        <v>75</v>
      </c>
      <c r="E2494" t="s">
        <v>16</v>
      </c>
      <c r="F2494">
        <v>199</v>
      </c>
      <c r="G2494">
        <v>4440</v>
      </c>
      <c r="H2494">
        <v>883560</v>
      </c>
      <c r="I2494" t="s">
        <v>726</v>
      </c>
      <c r="J2494" t="s">
        <v>1209</v>
      </c>
      <c r="K2494">
        <v>199</v>
      </c>
      <c r="L2494">
        <v>0</v>
      </c>
      <c r="M2494" t="s">
        <v>115</v>
      </c>
      <c r="N2494" t="str">
        <f t="shared" si="228"/>
        <v>PO-102493</v>
      </c>
      <c r="O2494" t="str">
        <f t="shared" si="229"/>
        <v>Delivered</v>
      </c>
      <c r="P2494" t="str">
        <f t="shared" si="230"/>
        <v>WH-DEL</v>
      </c>
      <c r="Q2494" t="str">
        <f>VLOOKUP(C2494, Lookups!$A$2:$D$10, 2, FALSE())</f>
        <v>Peripheral Source</v>
      </c>
      <c r="R2494" t="str">
        <f>_xlfn.XLOOKUP(D2494, Lookups!$A$12:$A$51, Lookups!$C$12:$C$51, "Unknown")</f>
        <v>Peripherals</v>
      </c>
      <c r="S2494" t="str">
        <f>IF(ISBLANK(I2494), B2494+VLOOKUP(C2494, Lookups!$A$2:$D$10, 4, FALSE()), I2494)</f>
        <v>2025-01-13</v>
      </c>
      <c r="T2494">
        <f t="shared" si="231"/>
        <v>11</v>
      </c>
      <c r="U2494" t="str">
        <f t="shared" si="232"/>
        <v>Late</v>
      </c>
      <c r="V2494">
        <f t="shared" si="233"/>
        <v>0</v>
      </c>
    </row>
    <row r="2495" spans="1:22" x14ac:dyDescent="0.45">
      <c r="A2495" t="s">
        <v>3351</v>
      </c>
      <c r="B2495" t="s">
        <v>1519</v>
      </c>
      <c r="C2495" t="s">
        <v>35</v>
      </c>
      <c r="D2495" t="s">
        <v>75</v>
      </c>
      <c r="E2495" t="s">
        <v>15</v>
      </c>
      <c r="F2495">
        <v>206</v>
      </c>
      <c r="G2495">
        <v>4440</v>
      </c>
      <c r="H2495">
        <v>914640</v>
      </c>
      <c r="I2495" t="s">
        <v>646</v>
      </c>
      <c r="J2495" t="s">
        <v>646</v>
      </c>
      <c r="K2495">
        <v>206</v>
      </c>
      <c r="L2495">
        <v>0</v>
      </c>
      <c r="M2495" t="s">
        <v>115</v>
      </c>
      <c r="N2495" t="str">
        <f t="shared" si="228"/>
        <v>PO-102494</v>
      </c>
      <c r="O2495" t="str">
        <f t="shared" si="229"/>
        <v>Delivered</v>
      </c>
      <c r="P2495" t="str">
        <f t="shared" si="230"/>
        <v>WH-BOM</v>
      </c>
      <c r="Q2495" t="str">
        <f>VLOOKUP(C2495, Lookups!$A$2:$D$10, 2, FALSE())</f>
        <v>Peripheral Source</v>
      </c>
      <c r="R2495" t="str">
        <f>_xlfn.XLOOKUP(D2495, Lookups!$A$12:$A$51, Lookups!$C$12:$C$51, "Unknown")</f>
        <v>Peripherals</v>
      </c>
      <c r="S2495" t="str">
        <f>IF(ISBLANK(I2495), B2495+VLOOKUP(C2495, Lookups!$A$2:$D$10, 4, FALSE()), I2495)</f>
        <v>2026-10-07</v>
      </c>
      <c r="T2495">
        <f t="shared" si="231"/>
        <v>10</v>
      </c>
      <c r="U2495" t="str">
        <f t="shared" si="232"/>
        <v>On-Time</v>
      </c>
      <c r="V2495">
        <f t="shared" si="233"/>
        <v>0</v>
      </c>
    </row>
    <row r="2496" spans="1:22" x14ac:dyDescent="0.45">
      <c r="A2496" t="s">
        <v>3352</v>
      </c>
      <c r="B2496" t="s">
        <v>379</v>
      </c>
      <c r="C2496" t="s">
        <v>37</v>
      </c>
      <c r="D2496" t="s">
        <v>78</v>
      </c>
      <c r="E2496" t="s">
        <v>18</v>
      </c>
      <c r="F2496">
        <v>124</v>
      </c>
      <c r="G2496">
        <v>9423</v>
      </c>
      <c r="H2496">
        <v>1168452</v>
      </c>
      <c r="I2496" t="s">
        <v>186</v>
      </c>
      <c r="J2496" t="s">
        <v>188</v>
      </c>
      <c r="K2496">
        <v>124</v>
      </c>
      <c r="L2496">
        <v>0</v>
      </c>
      <c r="M2496" t="s">
        <v>115</v>
      </c>
      <c r="N2496" t="str">
        <f t="shared" si="228"/>
        <v>PO-102495</v>
      </c>
      <c r="O2496" t="str">
        <f t="shared" si="229"/>
        <v>Delivered</v>
      </c>
      <c r="P2496" t="str">
        <f t="shared" si="230"/>
        <v>WH-PUN</v>
      </c>
      <c r="Q2496" t="str">
        <f>VLOOKUP(C2496, Lookups!$A$2:$D$10, 2, FALSE())</f>
        <v>Premium Desks Ltd</v>
      </c>
      <c r="R2496" t="str">
        <f>_xlfn.XLOOKUP(D2496, Lookups!$A$12:$A$51, Lookups!$C$12:$C$51, "Unknown")</f>
        <v>Office Furniture</v>
      </c>
      <c r="S2496" t="str">
        <f>IF(ISBLANK(I2496), B2496+VLOOKUP(C2496, Lookups!$A$2:$D$10, 4, FALSE()), I2496)</f>
        <v>2025-02-28</v>
      </c>
      <c r="T2496">
        <f t="shared" si="231"/>
        <v>9</v>
      </c>
      <c r="U2496" t="str">
        <f t="shared" si="232"/>
        <v>On-Time</v>
      </c>
      <c r="V2496">
        <f t="shared" si="233"/>
        <v>0</v>
      </c>
    </row>
    <row r="2497" spans="1:22" x14ac:dyDescent="0.45">
      <c r="A2497" t="s">
        <v>3353</v>
      </c>
      <c r="B2497" t="s">
        <v>130</v>
      </c>
      <c r="C2497" t="s">
        <v>32</v>
      </c>
      <c r="D2497" t="s">
        <v>67</v>
      </c>
      <c r="E2497" t="s">
        <v>18</v>
      </c>
      <c r="F2497">
        <v>210</v>
      </c>
      <c r="G2497">
        <v>1553</v>
      </c>
      <c r="H2497">
        <v>326130</v>
      </c>
      <c r="I2497" t="s">
        <v>420</v>
      </c>
      <c r="J2497" t="s">
        <v>1066</v>
      </c>
      <c r="K2497">
        <v>210</v>
      </c>
      <c r="L2497">
        <v>0</v>
      </c>
      <c r="M2497" t="s">
        <v>115</v>
      </c>
      <c r="N2497" t="str">
        <f t="shared" si="228"/>
        <v>PO-102496</v>
      </c>
      <c r="O2497" t="str">
        <f t="shared" si="229"/>
        <v>Delivered</v>
      </c>
      <c r="P2497" t="str">
        <f t="shared" si="230"/>
        <v>WH-PUN</v>
      </c>
      <c r="Q2497" t="str">
        <f>VLOOKUP(C2497, Lookups!$A$2:$D$10, 2, FALSE())</f>
        <v>OfficeDepot Pro</v>
      </c>
      <c r="R2497" t="str">
        <f>_xlfn.XLOOKUP(D2497, Lookups!$A$12:$A$51, Lookups!$C$12:$C$51, "Unknown")</f>
        <v>Peripherals</v>
      </c>
      <c r="S2497" t="str">
        <f>IF(ISBLANK(I2497), B2497+VLOOKUP(C2497, Lookups!$A$2:$D$10, 4, FALSE()), I2497)</f>
        <v>2026-07-22</v>
      </c>
      <c r="T2497">
        <f t="shared" si="231"/>
        <v>11</v>
      </c>
      <c r="U2497" t="str">
        <f t="shared" si="232"/>
        <v>Late</v>
      </c>
      <c r="V2497">
        <f t="shared" si="233"/>
        <v>0</v>
      </c>
    </row>
    <row r="2498" spans="1:22" x14ac:dyDescent="0.45">
      <c r="A2498" t="s">
        <v>3354</v>
      </c>
      <c r="B2498" t="s">
        <v>400</v>
      </c>
      <c r="C2498" t="s">
        <v>31</v>
      </c>
      <c r="D2498" t="s">
        <v>66</v>
      </c>
      <c r="E2498" t="s">
        <v>18</v>
      </c>
      <c r="F2498">
        <v>155</v>
      </c>
      <c r="G2498">
        <v>29719</v>
      </c>
      <c r="H2498">
        <v>4606445</v>
      </c>
      <c r="I2498" t="s">
        <v>579</v>
      </c>
      <c r="J2498" t="s">
        <v>579</v>
      </c>
      <c r="K2498">
        <v>155</v>
      </c>
      <c r="L2498">
        <v>0</v>
      </c>
      <c r="M2498" t="s">
        <v>115</v>
      </c>
      <c r="N2498" t="str">
        <f t="shared" ref="N2498:N2561" si="234">TRIM(A2498)</f>
        <v>PO-102497</v>
      </c>
      <c r="O2498" t="str">
        <f t="shared" ref="O2498:O2561" si="235">PROPER(TRIM(M2498))</f>
        <v>Delivered</v>
      </c>
      <c r="P2498" t="str">
        <f t="shared" ref="P2498:P2561" si="236">TRIM(E2498)</f>
        <v>WH-PUN</v>
      </c>
      <c r="Q2498" t="str">
        <f>VLOOKUP(C2498, Lookups!$A$2:$D$10, 2, FALSE())</f>
        <v>Global Networks</v>
      </c>
      <c r="R2498" t="str">
        <f>_xlfn.XLOOKUP(D2498, Lookups!$A$12:$A$51, Lookups!$C$12:$C$51, "Unknown")</f>
        <v>Networking</v>
      </c>
      <c r="S2498" t="str">
        <f>IF(ISBLANK(I2498), B2498+VLOOKUP(C2498, Lookups!$A$2:$D$10, 4, FALSE()), I2498)</f>
        <v>2025-12-29</v>
      </c>
      <c r="T2498">
        <f t="shared" ref="T2498:T2561" si="237">IF(ISBLANK(J2498), "", J2498-B2498)</f>
        <v>21</v>
      </c>
      <c r="U2498" t="str">
        <f t="shared" ref="U2498:U2561" si="238">IF(O2498="Open", "Open", IF(J2498&gt;S2498, "Late", "On-Time"))</f>
        <v>On-Time</v>
      </c>
      <c r="V2498">
        <f t="shared" ref="V2498:V2561" si="239">IF(K2498&gt;0, L2498/K2498, 0)</f>
        <v>0</v>
      </c>
    </row>
    <row r="2499" spans="1:22" x14ac:dyDescent="0.45">
      <c r="A2499" t="s">
        <v>3355</v>
      </c>
      <c r="B2499" t="s">
        <v>1295</v>
      </c>
      <c r="C2499" t="s">
        <v>36</v>
      </c>
      <c r="D2499" t="s">
        <v>62</v>
      </c>
      <c r="E2499" t="s">
        <v>17</v>
      </c>
      <c r="F2499">
        <v>31</v>
      </c>
      <c r="G2499">
        <v>48478</v>
      </c>
      <c r="H2499">
        <v>1502818</v>
      </c>
      <c r="I2499" t="s">
        <v>349</v>
      </c>
      <c r="J2499" t="s">
        <v>1271</v>
      </c>
      <c r="K2499">
        <v>31</v>
      </c>
      <c r="L2499">
        <v>4</v>
      </c>
      <c r="M2499" t="s">
        <v>115</v>
      </c>
      <c r="N2499" t="str">
        <f t="shared" si="234"/>
        <v>PO-102498</v>
      </c>
      <c r="O2499" t="str">
        <f t="shared" si="235"/>
        <v>Delivered</v>
      </c>
      <c r="P2499" t="str">
        <f t="shared" si="236"/>
        <v>WH-BLR</v>
      </c>
      <c r="Q2499" t="str">
        <f>VLOOKUP(C2499, Lookups!$A$2:$D$10, 2, FALSE())</f>
        <v>NextGen Hardware</v>
      </c>
      <c r="R2499" t="str">
        <f>_xlfn.XLOOKUP(D2499, Lookups!$A$12:$A$51, Lookups!$C$12:$C$51, "Unknown")</f>
        <v>Electronics</v>
      </c>
      <c r="S2499" t="str">
        <f>IF(ISBLANK(I2499), B2499+VLOOKUP(C2499, Lookups!$A$2:$D$10, 4, FALSE()), I2499)</f>
        <v>2026-09-04</v>
      </c>
      <c r="T2499">
        <f t="shared" si="237"/>
        <v>20</v>
      </c>
      <c r="U2499" t="str">
        <f t="shared" si="238"/>
        <v>On-Time</v>
      </c>
      <c r="V2499">
        <f t="shared" si="239"/>
        <v>0.12903225806451613</v>
      </c>
    </row>
    <row r="2500" spans="1:22" x14ac:dyDescent="0.45">
      <c r="A2500" t="s">
        <v>3356</v>
      </c>
      <c r="B2500" t="s">
        <v>824</v>
      </c>
      <c r="C2500" t="s">
        <v>31</v>
      </c>
      <c r="D2500" t="s">
        <v>64</v>
      </c>
      <c r="E2500" t="s">
        <v>15</v>
      </c>
      <c r="F2500">
        <v>222</v>
      </c>
      <c r="G2500">
        <v>36295</v>
      </c>
      <c r="H2500">
        <v>8057490</v>
      </c>
      <c r="I2500" t="s">
        <v>825</v>
      </c>
      <c r="K2500">
        <v>0</v>
      </c>
      <c r="L2500">
        <v>0</v>
      </c>
      <c r="M2500" t="s">
        <v>297</v>
      </c>
      <c r="N2500" t="str">
        <f t="shared" si="234"/>
        <v>PO-102499</v>
      </c>
      <c r="O2500" t="str">
        <f t="shared" si="235"/>
        <v>Open</v>
      </c>
      <c r="P2500" t="str">
        <f t="shared" si="236"/>
        <v>WH-BOM</v>
      </c>
      <c r="Q2500" t="str">
        <f>VLOOKUP(C2500, Lookups!$A$2:$D$10, 2, FALSE())</f>
        <v>Global Networks</v>
      </c>
      <c r="R2500" t="str">
        <f>_xlfn.XLOOKUP(D2500, Lookups!$A$12:$A$51, Lookups!$C$12:$C$51, "Unknown")</f>
        <v>Networking</v>
      </c>
      <c r="S2500" t="str">
        <f>IF(ISBLANK(I2500), B2500+VLOOKUP(C2500, Lookups!$A$2:$D$10, 4, FALSE()), I2500)</f>
        <v>2026-12-28</v>
      </c>
      <c r="T2500" t="str">
        <f t="shared" si="237"/>
        <v/>
      </c>
      <c r="U2500" t="str">
        <f t="shared" si="238"/>
        <v>Open</v>
      </c>
      <c r="V2500">
        <f t="shared" si="239"/>
        <v>0</v>
      </c>
    </row>
    <row r="2501" spans="1:22" x14ac:dyDescent="0.45">
      <c r="A2501" t="s">
        <v>3357</v>
      </c>
      <c r="B2501" t="s">
        <v>612</v>
      </c>
      <c r="C2501" t="s">
        <v>37</v>
      </c>
      <c r="D2501" t="s">
        <v>78</v>
      </c>
      <c r="E2501" t="s">
        <v>17</v>
      </c>
      <c r="F2501">
        <v>184</v>
      </c>
      <c r="G2501">
        <v>9423</v>
      </c>
      <c r="H2501">
        <v>1733832</v>
      </c>
      <c r="I2501" t="s">
        <v>379</v>
      </c>
      <c r="J2501" t="s">
        <v>379</v>
      </c>
      <c r="K2501">
        <v>184</v>
      </c>
      <c r="L2501">
        <v>0</v>
      </c>
      <c r="M2501" t="s">
        <v>115</v>
      </c>
      <c r="N2501" t="str">
        <f t="shared" si="234"/>
        <v>PO-102500</v>
      </c>
      <c r="O2501" t="str">
        <f t="shared" si="235"/>
        <v>Delivered</v>
      </c>
      <c r="P2501" t="str">
        <f t="shared" si="236"/>
        <v>WH-BLR</v>
      </c>
      <c r="Q2501" t="str">
        <f>VLOOKUP(C2501, Lookups!$A$2:$D$10, 2, FALSE())</f>
        <v>Premium Desks Ltd</v>
      </c>
      <c r="R2501" t="str">
        <f>_xlfn.XLOOKUP(D2501, Lookups!$A$12:$A$51, Lookups!$C$12:$C$51, "Unknown")</f>
        <v>Office Furniture</v>
      </c>
      <c r="S2501" t="str">
        <f>IF(ISBLANK(I2501), B2501+VLOOKUP(C2501, Lookups!$A$2:$D$10, 4, FALSE()), I2501)</f>
        <v>2025-02-16</v>
      </c>
      <c r="T2501">
        <f t="shared" si="237"/>
        <v>12</v>
      </c>
      <c r="U2501" t="str">
        <f t="shared" si="238"/>
        <v>On-Time</v>
      </c>
      <c r="V2501">
        <f t="shared" si="239"/>
        <v>0</v>
      </c>
    </row>
    <row r="2502" spans="1:22" x14ac:dyDescent="0.45">
      <c r="A2502" t="s">
        <v>3358</v>
      </c>
      <c r="B2502" t="s">
        <v>125</v>
      </c>
      <c r="C2502" t="s">
        <v>30</v>
      </c>
      <c r="D2502" t="s">
        <v>59</v>
      </c>
      <c r="E2502" t="s">
        <v>18</v>
      </c>
      <c r="F2502">
        <v>123</v>
      </c>
      <c r="G2502">
        <v>48905</v>
      </c>
      <c r="H2502">
        <v>6015315</v>
      </c>
      <c r="I2502" t="s">
        <v>631</v>
      </c>
      <c r="J2502" t="s">
        <v>527</v>
      </c>
      <c r="K2502">
        <v>123</v>
      </c>
      <c r="L2502">
        <v>0</v>
      </c>
      <c r="M2502" t="s">
        <v>115</v>
      </c>
      <c r="N2502" t="str">
        <f t="shared" si="234"/>
        <v>PO-102501</v>
      </c>
      <c r="O2502" t="str">
        <f t="shared" si="235"/>
        <v>Delivered</v>
      </c>
      <c r="P2502" t="str">
        <f t="shared" si="236"/>
        <v>WH-PUN</v>
      </c>
      <c r="Q2502" t="str">
        <f>VLOOKUP(C2502, Lookups!$A$2:$D$10, 2, FALSE())</f>
        <v>TechSupply Corp</v>
      </c>
      <c r="R2502" t="str">
        <f>_xlfn.XLOOKUP(D2502, Lookups!$A$12:$A$51, Lookups!$C$12:$C$51, "Unknown")</f>
        <v>Electronics</v>
      </c>
      <c r="S2502" t="str">
        <f>IF(ISBLANK(I2502), B2502+VLOOKUP(C2502, Lookups!$A$2:$D$10, 4, FALSE()), I2502)</f>
        <v>2026-06-27</v>
      </c>
      <c r="T2502">
        <f t="shared" si="237"/>
        <v>24</v>
      </c>
      <c r="U2502" t="str">
        <f t="shared" si="238"/>
        <v>Late</v>
      </c>
      <c r="V2502">
        <f t="shared" si="239"/>
        <v>0</v>
      </c>
    </row>
    <row r="2503" spans="1:22" x14ac:dyDescent="0.45">
      <c r="A2503" t="s">
        <v>3359</v>
      </c>
      <c r="B2503" t="s">
        <v>221</v>
      </c>
      <c r="C2503" t="s">
        <v>34</v>
      </c>
      <c r="D2503" t="s">
        <v>54</v>
      </c>
      <c r="E2503" t="s">
        <v>18</v>
      </c>
      <c r="F2503">
        <v>131</v>
      </c>
      <c r="G2503">
        <v>22314</v>
      </c>
      <c r="H2503">
        <v>2923134</v>
      </c>
      <c r="I2503" t="s">
        <v>387</v>
      </c>
      <c r="J2503" t="s">
        <v>619</v>
      </c>
      <c r="K2503">
        <v>131</v>
      </c>
      <c r="L2503">
        <v>0</v>
      </c>
      <c r="M2503" t="s">
        <v>115</v>
      </c>
      <c r="N2503" t="str">
        <f t="shared" si="234"/>
        <v>PO-102502</v>
      </c>
      <c r="O2503" t="str">
        <f t="shared" si="235"/>
        <v>Delivered</v>
      </c>
      <c r="P2503" t="str">
        <f t="shared" si="236"/>
        <v>WH-PUN</v>
      </c>
      <c r="Q2503" t="str">
        <f>VLOOKUP(C2503, Lookups!$A$2:$D$10, 2, FALSE())</f>
        <v>FastElectronics</v>
      </c>
      <c r="R2503" t="str">
        <f>_xlfn.XLOOKUP(D2503, Lookups!$A$12:$A$51, Lookups!$C$12:$C$51, "Unknown")</f>
        <v>Networking</v>
      </c>
      <c r="S2503" t="str">
        <f>IF(ISBLANK(I2503), B2503+VLOOKUP(C2503, Lookups!$A$2:$D$10, 4, FALSE()), I2503)</f>
        <v>2026-03-18</v>
      </c>
      <c r="T2503">
        <f t="shared" si="237"/>
        <v>19</v>
      </c>
      <c r="U2503" t="str">
        <f t="shared" si="238"/>
        <v>Late</v>
      </c>
      <c r="V2503">
        <f t="shared" si="239"/>
        <v>0</v>
      </c>
    </row>
    <row r="2504" spans="1:22" x14ac:dyDescent="0.45">
      <c r="A2504" t="s">
        <v>3360</v>
      </c>
      <c r="B2504" t="s">
        <v>1604</v>
      </c>
      <c r="C2504" t="s">
        <v>35</v>
      </c>
      <c r="D2504" t="s">
        <v>72</v>
      </c>
      <c r="E2504" t="s">
        <v>17</v>
      </c>
      <c r="F2504">
        <v>35</v>
      </c>
      <c r="G2504">
        <v>7754</v>
      </c>
      <c r="H2504">
        <v>271390</v>
      </c>
      <c r="I2504" t="s">
        <v>1783</v>
      </c>
      <c r="J2504" t="s">
        <v>403</v>
      </c>
      <c r="K2504">
        <v>35</v>
      </c>
      <c r="L2504">
        <v>0</v>
      </c>
      <c r="M2504" t="s">
        <v>115</v>
      </c>
      <c r="N2504" t="str">
        <f t="shared" si="234"/>
        <v>PO-102503</v>
      </c>
      <c r="O2504" t="str">
        <f t="shared" si="235"/>
        <v>Delivered</v>
      </c>
      <c r="P2504" t="str">
        <f t="shared" si="236"/>
        <v>WH-BLR</v>
      </c>
      <c r="Q2504" t="str">
        <f>VLOOKUP(C2504, Lookups!$A$2:$D$10, 2, FALSE())</f>
        <v>Peripheral Source</v>
      </c>
      <c r="R2504" t="str">
        <f>_xlfn.XLOOKUP(D2504, Lookups!$A$12:$A$51, Lookups!$C$12:$C$51, "Unknown")</f>
        <v>Peripherals</v>
      </c>
      <c r="S2504" t="str">
        <f>IF(ISBLANK(I2504), B2504+VLOOKUP(C2504, Lookups!$A$2:$D$10, 4, FALSE()), I2504)</f>
        <v>2025-09-17</v>
      </c>
      <c r="T2504">
        <f t="shared" si="237"/>
        <v>11</v>
      </c>
      <c r="U2504" t="str">
        <f t="shared" si="238"/>
        <v>Late</v>
      </c>
      <c r="V2504">
        <f t="shared" si="239"/>
        <v>0</v>
      </c>
    </row>
    <row r="2505" spans="1:22" x14ac:dyDescent="0.45">
      <c r="A2505" t="s">
        <v>3361</v>
      </c>
      <c r="B2505" t="s">
        <v>1024</v>
      </c>
      <c r="C2505" t="s">
        <v>34</v>
      </c>
      <c r="D2505" t="s">
        <v>80</v>
      </c>
      <c r="E2505" t="s">
        <v>18</v>
      </c>
      <c r="F2505">
        <v>240</v>
      </c>
      <c r="G2505">
        <v>19090</v>
      </c>
      <c r="H2505">
        <v>4581600</v>
      </c>
      <c r="I2505" t="s">
        <v>1102</v>
      </c>
      <c r="J2505" t="s">
        <v>745</v>
      </c>
      <c r="K2505">
        <v>240</v>
      </c>
      <c r="L2505">
        <v>0</v>
      </c>
      <c r="M2505" t="s">
        <v>178</v>
      </c>
      <c r="N2505" t="str">
        <f t="shared" si="234"/>
        <v>PO-102504</v>
      </c>
      <c r="O2505" t="str">
        <f t="shared" si="235"/>
        <v>Delivered</v>
      </c>
      <c r="P2505" t="str">
        <f t="shared" si="236"/>
        <v>WH-PUN</v>
      </c>
      <c r="Q2505" t="str">
        <f>VLOOKUP(C2505, Lookups!$A$2:$D$10, 2, FALSE())</f>
        <v>FastElectronics</v>
      </c>
      <c r="R2505" t="str">
        <f>_xlfn.XLOOKUP(D2505, Lookups!$A$12:$A$51, Lookups!$C$12:$C$51, "Unknown")</f>
        <v>Networking</v>
      </c>
      <c r="S2505" t="str">
        <f>IF(ISBLANK(I2505), B2505+VLOOKUP(C2505, Lookups!$A$2:$D$10, 4, FALSE()), I2505)</f>
        <v>2026-12-05</v>
      </c>
      <c r="T2505">
        <f t="shared" si="237"/>
        <v>19</v>
      </c>
      <c r="U2505" t="str">
        <f t="shared" si="238"/>
        <v>Late</v>
      </c>
      <c r="V2505">
        <f t="shared" si="239"/>
        <v>0</v>
      </c>
    </row>
    <row r="2506" spans="1:22" x14ac:dyDescent="0.45">
      <c r="A2506" t="s">
        <v>3362</v>
      </c>
      <c r="B2506" t="s">
        <v>425</v>
      </c>
      <c r="C2506" t="s">
        <v>34</v>
      </c>
      <c r="D2506" t="s">
        <v>73</v>
      </c>
      <c r="E2506" t="s">
        <v>15</v>
      </c>
      <c r="F2506">
        <v>16</v>
      </c>
      <c r="G2506">
        <v>58396</v>
      </c>
      <c r="H2506">
        <v>934336</v>
      </c>
      <c r="I2506" t="s">
        <v>1641</v>
      </c>
      <c r="J2506" t="s">
        <v>585</v>
      </c>
      <c r="K2506">
        <v>16</v>
      </c>
      <c r="L2506">
        <v>0</v>
      </c>
      <c r="M2506" t="s">
        <v>115</v>
      </c>
      <c r="N2506" t="str">
        <f t="shared" si="234"/>
        <v>PO-102505</v>
      </c>
      <c r="O2506" t="str">
        <f t="shared" si="235"/>
        <v>Delivered</v>
      </c>
      <c r="P2506" t="str">
        <f t="shared" si="236"/>
        <v>WH-BOM</v>
      </c>
      <c r="Q2506" t="str">
        <f>VLOOKUP(C2506, Lookups!$A$2:$D$10, 2, FALSE())</f>
        <v>FastElectronics</v>
      </c>
      <c r="R2506" t="str">
        <f>_xlfn.XLOOKUP(D2506, Lookups!$A$12:$A$51, Lookups!$C$12:$C$51, "Unknown")</f>
        <v>Electronics</v>
      </c>
      <c r="S2506" t="str">
        <f>IF(ISBLANK(I2506), B2506+VLOOKUP(C2506, Lookups!$A$2:$D$10, 4, FALSE()), I2506)</f>
        <v>2025-07-21</v>
      </c>
      <c r="T2506">
        <f t="shared" si="237"/>
        <v>19</v>
      </c>
      <c r="U2506" t="str">
        <f t="shared" si="238"/>
        <v>Late</v>
      </c>
      <c r="V2506">
        <f t="shared" si="239"/>
        <v>0</v>
      </c>
    </row>
    <row r="2507" spans="1:22" x14ac:dyDescent="0.45">
      <c r="A2507" t="s">
        <v>3363</v>
      </c>
      <c r="B2507" t="s">
        <v>238</v>
      </c>
      <c r="C2507" t="s">
        <v>35</v>
      </c>
      <c r="D2507" t="s">
        <v>65</v>
      </c>
      <c r="E2507" t="s">
        <v>17</v>
      </c>
      <c r="F2507">
        <v>134</v>
      </c>
      <c r="G2507">
        <v>4936</v>
      </c>
      <c r="H2507">
        <v>661424</v>
      </c>
      <c r="I2507" t="s">
        <v>239</v>
      </c>
      <c r="J2507" t="s">
        <v>240</v>
      </c>
      <c r="K2507">
        <v>134</v>
      </c>
      <c r="L2507">
        <v>0</v>
      </c>
      <c r="M2507" t="s">
        <v>115</v>
      </c>
      <c r="N2507" t="str">
        <f t="shared" si="234"/>
        <v>PO-102506</v>
      </c>
      <c r="O2507" t="str">
        <f t="shared" si="235"/>
        <v>Delivered</v>
      </c>
      <c r="P2507" t="str">
        <f t="shared" si="236"/>
        <v>WH-BLR</v>
      </c>
      <c r="Q2507" t="str">
        <f>VLOOKUP(C2507, Lookups!$A$2:$D$10, 2, FALSE())</f>
        <v>Peripheral Source</v>
      </c>
      <c r="R2507" t="str">
        <f>_xlfn.XLOOKUP(D2507, Lookups!$A$12:$A$51, Lookups!$C$12:$C$51, "Unknown")</f>
        <v>Peripherals</v>
      </c>
      <c r="S2507" t="str">
        <f>IF(ISBLANK(I2507), B2507+VLOOKUP(C2507, Lookups!$A$2:$D$10, 4, FALSE()), I2507)</f>
        <v>2025-06-14</v>
      </c>
      <c r="T2507">
        <f t="shared" si="237"/>
        <v>11</v>
      </c>
      <c r="U2507" t="str">
        <f t="shared" si="238"/>
        <v>Late</v>
      </c>
      <c r="V2507">
        <f t="shared" si="239"/>
        <v>0</v>
      </c>
    </row>
    <row r="2508" spans="1:22" x14ac:dyDescent="0.45">
      <c r="A2508" t="s">
        <v>3364</v>
      </c>
      <c r="B2508" t="s">
        <v>633</v>
      </c>
      <c r="C2508" t="s">
        <v>31</v>
      </c>
      <c r="D2508" t="s">
        <v>85</v>
      </c>
      <c r="E2508" t="s">
        <v>15</v>
      </c>
      <c r="F2508">
        <v>49</v>
      </c>
      <c r="G2508">
        <v>16501</v>
      </c>
      <c r="H2508">
        <v>808549</v>
      </c>
      <c r="I2508" t="s">
        <v>476</v>
      </c>
      <c r="J2508" t="s">
        <v>476</v>
      </c>
      <c r="K2508">
        <v>33</v>
      </c>
      <c r="L2508">
        <v>0</v>
      </c>
      <c r="M2508" t="s">
        <v>115</v>
      </c>
      <c r="N2508" t="str">
        <f t="shared" si="234"/>
        <v>PO-102507</v>
      </c>
      <c r="O2508" t="str">
        <f t="shared" si="235"/>
        <v>Delivered</v>
      </c>
      <c r="P2508" t="str">
        <f t="shared" si="236"/>
        <v>WH-BOM</v>
      </c>
      <c r="Q2508" t="str">
        <f>VLOOKUP(C2508, Lookups!$A$2:$D$10, 2, FALSE())</f>
        <v>Global Networks</v>
      </c>
      <c r="R2508" t="str">
        <f>_xlfn.XLOOKUP(D2508, Lookups!$A$12:$A$51, Lookups!$C$12:$C$51, "Unknown")</f>
        <v>Networking</v>
      </c>
      <c r="S2508" t="str">
        <f>IF(ISBLANK(I2508), B2508+VLOOKUP(C2508, Lookups!$A$2:$D$10, 4, FALSE()), I2508)</f>
        <v>2025-03-10</v>
      </c>
      <c r="T2508">
        <f t="shared" si="237"/>
        <v>21</v>
      </c>
      <c r="U2508" t="str">
        <f t="shared" si="238"/>
        <v>On-Time</v>
      </c>
      <c r="V2508">
        <f t="shared" si="239"/>
        <v>0</v>
      </c>
    </row>
    <row r="2509" spans="1:22" x14ac:dyDescent="0.45">
      <c r="A2509" t="s">
        <v>3365</v>
      </c>
      <c r="B2509" t="s">
        <v>286</v>
      </c>
      <c r="C2509" t="s">
        <v>34</v>
      </c>
      <c r="D2509" t="s">
        <v>81</v>
      </c>
      <c r="E2509" t="s">
        <v>17</v>
      </c>
      <c r="F2509">
        <v>158</v>
      </c>
      <c r="G2509">
        <v>55328</v>
      </c>
      <c r="H2509">
        <v>8741824</v>
      </c>
      <c r="I2509" t="s">
        <v>300</v>
      </c>
      <c r="J2509" t="s">
        <v>562</v>
      </c>
      <c r="K2509">
        <v>158</v>
      </c>
      <c r="L2509">
        <v>0</v>
      </c>
      <c r="M2509" t="s">
        <v>115</v>
      </c>
      <c r="N2509" t="str">
        <f t="shared" si="234"/>
        <v>PO-102508</v>
      </c>
      <c r="O2509" t="str">
        <f t="shared" si="235"/>
        <v>Delivered</v>
      </c>
      <c r="P2509" t="str">
        <f t="shared" si="236"/>
        <v>WH-BLR</v>
      </c>
      <c r="Q2509" t="str">
        <f>VLOOKUP(C2509, Lookups!$A$2:$D$10, 2, FALSE())</f>
        <v>FastElectronics</v>
      </c>
      <c r="R2509" t="str">
        <f>_xlfn.XLOOKUP(D2509, Lookups!$A$12:$A$51, Lookups!$C$12:$C$51, "Unknown")</f>
        <v>Electronics</v>
      </c>
      <c r="S2509" t="str">
        <f>IF(ISBLANK(I2509), B2509+VLOOKUP(C2509, Lookups!$A$2:$D$10, 4, FALSE()), I2509)</f>
        <v>2025-03-20</v>
      </c>
      <c r="T2509">
        <f t="shared" si="237"/>
        <v>19</v>
      </c>
      <c r="U2509" t="str">
        <f t="shared" si="238"/>
        <v>Late</v>
      </c>
      <c r="V2509">
        <f t="shared" si="239"/>
        <v>0</v>
      </c>
    </row>
    <row r="2510" spans="1:22" x14ac:dyDescent="0.45">
      <c r="A2510" t="s">
        <v>3366</v>
      </c>
      <c r="B2510" t="s">
        <v>1247</v>
      </c>
      <c r="C2510" t="s">
        <v>37</v>
      </c>
      <c r="D2510" t="s">
        <v>79</v>
      </c>
      <c r="E2510" t="s">
        <v>15</v>
      </c>
      <c r="F2510">
        <v>32</v>
      </c>
      <c r="G2510">
        <v>23054</v>
      </c>
      <c r="H2510">
        <v>737728</v>
      </c>
      <c r="I2510" t="s">
        <v>408</v>
      </c>
      <c r="J2510" t="s">
        <v>523</v>
      </c>
      <c r="K2510">
        <v>32</v>
      </c>
      <c r="L2510">
        <v>0</v>
      </c>
      <c r="M2510" t="s">
        <v>115</v>
      </c>
      <c r="N2510" t="str">
        <f t="shared" si="234"/>
        <v>PO-102509</v>
      </c>
      <c r="O2510" t="str">
        <f t="shared" si="235"/>
        <v>Delivered</v>
      </c>
      <c r="P2510" t="str">
        <f t="shared" si="236"/>
        <v>WH-BOM</v>
      </c>
      <c r="Q2510" t="str">
        <f>VLOOKUP(C2510, Lookups!$A$2:$D$10, 2, FALSE())</f>
        <v>Premium Desks Ltd</v>
      </c>
      <c r="R2510" t="str">
        <f>_xlfn.XLOOKUP(D2510, Lookups!$A$12:$A$51, Lookups!$C$12:$C$51, "Unknown")</f>
        <v>Office Furniture</v>
      </c>
      <c r="S2510" t="str">
        <f>IF(ISBLANK(I2510), B2510+VLOOKUP(C2510, Lookups!$A$2:$D$10, 4, FALSE()), I2510)</f>
        <v>2025-05-14</v>
      </c>
      <c r="T2510">
        <f t="shared" si="237"/>
        <v>13</v>
      </c>
      <c r="U2510" t="str">
        <f t="shared" si="238"/>
        <v>Late</v>
      </c>
      <c r="V2510">
        <f t="shared" si="239"/>
        <v>0</v>
      </c>
    </row>
    <row r="2511" spans="1:22" x14ac:dyDescent="0.45">
      <c r="A2511" t="s">
        <v>3367</v>
      </c>
      <c r="B2511" t="s">
        <v>498</v>
      </c>
      <c r="C2511" t="s">
        <v>31</v>
      </c>
      <c r="D2511" t="s">
        <v>66</v>
      </c>
      <c r="E2511" t="s">
        <v>17</v>
      </c>
      <c r="F2511">
        <v>14</v>
      </c>
      <c r="G2511">
        <v>29719</v>
      </c>
      <c r="H2511">
        <v>416066</v>
      </c>
      <c r="I2511" t="s">
        <v>960</v>
      </c>
      <c r="J2511" t="s">
        <v>352</v>
      </c>
      <c r="K2511">
        <v>14</v>
      </c>
      <c r="L2511">
        <v>0</v>
      </c>
      <c r="M2511" t="s">
        <v>115</v>
      </c>
      <c r="N2511" t="str">
        <f t="shared" si="234"/>
        <v>PO-102510</v>
      </c>
      <c r="O2511" t="str">
        <f t="shared" si="235"/>
        <v>Delivered</v>
      </c>
      <c r="P2511" t="str">
        <f t="shared" si="236"/>
        <v>WH-BLR</v>
      </c>
      <c r="Q2511" t="str">
        <f>VLOOKUP(C2511, Lookups!$A$2:$D$10, 2, FALSE())</f>
        <v>Global Networks</v>
      </c>
      <c r="R2511" t="str">
        <f>_xlfn.XLOOKUP(D2511, Lookups!$A$12:$A$51, Lookups!$C$12:$C$51, "Unknown")</f>
        <v>Networking</v>
      </c>
      <c r="S2511" t="str">
        <f>IF(ISBLANK(I2511), B2511+VLOOKUP(C2511, Lookups!$A$2:$D$10, 4, FALSE()), I2511)</f>
        <v>2025-04-23</v>
      </c>
      <c r="T2511">
        <f t="shared" si="237"/>
        <v>22</v>
      </c>
      <c r="U2511" t="str">
        <f t="shared" si="238"/>
        <v>Late</v>
      </c>
      <c r="V2511">
        <f t="shared" si="239"/>
        <v>0</v>
      </c>
    </row>
    <row r="2512" spans="1:22" x14ac:dyDescent="0.45">
      <c r="A2512" t="s">
        <v>3368</v>
      </c>
      <c r="B2512" t="s">
        <v>438</v>
      </c>
      <c r="C2512" t="s">
        <v>34</v>
      </c>
      <c r="D2512" t="s">
        <v>54</v>
      </c>
      <c r="E2512" t="s">
        <v>17</v>
      </c>
      <c r="F2512">
        <v>95</v>
      </c>
      <c r="G2512">
        <v>22314</v>
      </c>
      <c r="H2512">
        <v>2119830</v>
      </c>
      <c r="I2512" t="s">
        <v>2461</v>
      </c>
      <c r="J2512" t="s">
        <v>2461</v>
      </c>
      <c r="K2512">
        <v>95</v>
      </c>
      <c r="L2512">
        <v>0</v>
      </c>
      <c r="M2512" t="s">
        <v>115</v>
      </c>
      <c r="N2512" t="str">
        <f t="shared" si="234"/>
        <v>PO-102511</v>
      </c>
      <c r="O2512" t="str">
        <f t="shared" si="235"/>
        <v>Delivered</v>
      </c>
      <c r="P2512" t="str">
        <f t="shared" si="236"/>
        <v>WH-BLR</v>
      </c>
      <c r="Q2512" t="str">
        <f>VLOOKUP(C2512, Lookups!$A$2:$D$10, 2, FALSE())</f>
        <v>FastElectronics</v>
      </c>
      <c r="R2512" t="str">
        <f>_xlfn.XLOOKUP(D2512, Lookups!$A$12:$A$51, Lookups!$C$12:$C$51, "Unknown")</f>
        <v>Networking</v>
      </c>
      <c r="S2512" t="str">
        <f>IF(ISBLANK(I2512), B2512+VLOOKUP(C2512, Lookups!$A$2:$D$10, 4, FALSE()), I2512)</f>
        <v>2025-03-03</v>
      </c>
      <c r="T2512">
        <f t="shared" si="237"/>
        <v>18</v>
      </c>
      <c r="U2512" t="str">
        <f t="shared" si="238"/>
        <v>On-Time</v>
      </c>
      <c r="V2512">
        <f t="shared" si="239"/>
        <v>0</v>
      </c>
    </row>
    <row r="2513" spans="1:22" x14ac:dyDescent="0.45">
      <c r="A2513" t="s">
        <v>3369</v>
      </c>
      <c r="B2513" t="s">
        <v>160</v>
      </c>
      <c r="C2513" t="s">
        <v>35</v>
      </c>
      <c r="D2513" t="s">
        <v>60</v>
      </c>
      <c r="E2513" t="s">
        <v>18</v>
      </c>
      <c r="F2513">
        <v>15</v>
      </c>
      <c r="G2513">
        <v>3291</v>
      </c>
      <c r="H2513">
        <v>49365</v>
      </c>
      <c r="I2513" t="s">
        <v>409</v>
      </c>
      <c r="J2513" t="s">
        <v>409</v>
      </c>
      <c r="K2513">
        <v>15</v>
      </c>
      <c r="L2513">
        <v>0</v>
      </c>
      <c r="M2513" t="s">
        <v>115</v>
      </c>
      <c r="N2513" t="str">
        <f t="shared" si="234"/>
        <v>PO-102512</v>
      </c>
      <c r="O2513" t="str">
        <f t="shared" si="235"/>
        <v>Delivered</v>
      </c>
      <c r="P2513" t="str">
        <f t="shared" si="236"/>
        <v>WH-PUN</v>
      </c>
      <c r="Q2513" t="str">
        <f>VLOOKUP(C2513, Lookups!$A$2:$D$10, 2, FALSE())</f>
        <v>Peripheral Source</v>
      </c>
      <c r="R2513" t="str">
        <f>_xlfn.XLOOKUP(D2513, Lookups!$A$12:$A$51, Lookups!$C$12:$C$51, "Unknown")</f>
        <v>Peripherals</v>
      </c>
      <c r="S2513" t="str">
        <f>IF(ISBLANK(I2513), B2513+VLOOKUP(C2513, Lookups!$A$2:$D$10, 4, FALSE()), I2513)</f>
        <v>2025-06-01</v>
      </c>
      <c r="T2513">
        <f t="shared" si="237"/>
        <v>10</v>
      </c>
      <c r="U2513" t="str">
        <f t="shared" si="238"/>
        <v>On-Time</v>
      </c>
      <c r="V2513">
        <f t="shared" si="239"/>
        <v>0</v>
      </c>
    </row>
    <row r="2514" spans="1:22" x14ac:dyDescent="0.45">
      <c r="A2514" t="s">
        <v>3370</v>
      </c>
      <c r="B2514" t="s">
        <v>661</v>
      </c>
      <c r="C2514" t="s">
        <v>36</v>
      </c>
      <c r="D2514" t="s">
        <v>71</v>
      </c>
      <c r="E2514" t="s">
        <v>16</v>
      </c>
      <c r="F2514">
        <v>95</v>
      </c>
      <c r="G2514">
        <v>65379</v>
      </c>
      <c r="H2514">
        <v>6211005</v>
      </c>
      <c r="I2514" t="s">
        <v>280</v>
      </c>
      <c r="J2514" t="s">
        <v>180</v>
      </c>
      <c r="K2514">
        <v>95</v>
      </c>
      <c r="L2514">
        <v>0</v>
      </c>
      <c r="M2514" t="s">
        <v>115</v>
      </c>
      <c r="N2514" t="str">
        <f t="shared" si="234"/>
        <v>PO-102513</v>
      </c>
      <c r="O2514" t="str">
        <f t="shared" si="235"/>
        <v>Delivered</v>
      </c>
      <c r="P2514" t="str">
        <f t="shared" si="236"/>
        <v>WH-DEL</v>
      </c>
      <c r="Q2514" t="str">
        <f>VLOOKUP(C2514, Lookups!$A$2:$D$10, 2, FALSE())</f>
        <v>NextGen Hardware</v>
      </c>
      <c r="R2514" t="str">
        <f>_xlfn.XLOOKUP(D2514, Lookups!$A$12:$A$51, Lookups!$C$12:$C$51, "Unknown")</f>
        <v>Electronics</v>
      </c>
      <c r="S2514" t="str">
        <f>IF(ISBLANK(I2514), B2514+VLOOKUP(C2514, Lookups!$A$2:$D$10, 4, FALSE()), I2514)</f>
        <v>2026-10-08</v>
      </c>
      <c r="T2514">
        <f t="shared" si="237"/>
        <v>25</v>
      </c>
      <c r="U2514" t="str">
        <f t="shared" si="238"/>
        <v>Late</v>
      </c>
      <c r="V2514">
        <f t="shared" si="239"/>
        <v>0</v>
      </c>
    </row>
    <row r="2515" spans="1:22" x14ac:dyDescent="0.45">
      <c r="A2515" t="s">
        <v>3371</v>
      </c>
      <c r="B2515" t="s">
        <v>1112</v>
      </c>
      <c r="C2515" t="s">
        <v>32</v>
      </c>
      <c r="D2515" t="s">
        <v>84</v>
      </c>
      <c r="E2515" t="s">
        <v>15</v>
      </c>
      <c r="F2515">
        <v>245</v>
      </c>
      <c r="G2515">
        <v>7271</v>
      </c>
      <c r="H2515">
        <v>1781395</v>
      </c>
      <c r="I2515" t="s">
        <v>986</v>
      </c>
      <c r="J2515" t="s">
        <v>158</v>
      </c>
      <c r="K2515">
        <v>245</v>
      </c>
      <c r="L2515">
        <v>0</v>
      </c>
      <c r="M2515" t="s">
        <v>115</v>
      </c>
      <c r="N2515" t="str">
        <f t="shared" si="234"/>
        <v>PO-102514</v>
      </c>
      <c r="O2515" t="str">
        <f t="shared" si="235"/>
        <v>Delivered</v>
      </c>
      <c r="P2515" t="str">
        <f t="shared" si="236"/>
        <v>WH-BOM</v>
      </c>
      <c r="Q2515" t="str">
        <f>VLOOKUP(C2515, Lookups!$A$2:$D$10, 2, FALSE())</f>
        <v>OfficeDepot Pro</v>
      </c>
      <c r="R2515" t="str">
        <f>_xlfn.XLOOKUP(D2515, Lookups!$A$12:$A$51, Lookups!$C$12:$C$51, "Unknown")</f>
        <v>Peripherals</v>
      </c>
      <c r="S2515" t="str">
        <f>IF(ISBLANK(I2515), B2515+VLOOKUP(C2515, Lookups!$A$2:$D$10, 4, FALSE()), I2515)</f>
        <v>2026-11-04</v>
      </c>
      <c r="T2515">
        <f t="shared" si="237"/>
        <v>8</v>
      </c>
      <c r="U2515" t="str">
        <f t="shared" si="238"/>
        <v>Late</v>
      </c>
      <c r="V2515">
        <f t="shared" si="239"/>
        <v>0</v>
      </c>
    </row>
    <row r="2516" spans="1:22" x14ac:dyDescent="0.45">
      <c r="A2516" t="s">
        <v>3372</v>
      </c>
      <c r="B2516" t="s">
        <v>1077</v>
      </c>
      <c r="C2516" t="s">
        <v>37</v>
      </c>
      <c r="D2516" t="s">
        <v>83</v>
      </c>
      <c r="E2516" t="s">
        <v>16</v>
      </c>
      <c r="F2516">
        <v>232</v>
      </c>
      <c r="G2516">
        <v>19850</v>
      </c>
      <c r="H2516">
        <v>4605200</v>
      </c>
      <c r="I2516" t="s">
        <v>1407</v>
      </c>
      <c r="J2516" t="s">
        <v>1087</v>
      </c>
      <c r="K2516">
        <v>232</v>
      </c>
      <c r="L2516">
        <v>0</v>
      </c>
      <c r="M2516" t="s">
        <v>115</v>
      </c>
      <c r="N2516" t="str">
        <f t="shared" si="234"/>
        <v>PO-102515</v>
      </c>
      <c r="O2516" t="str">
        <f t="shared" si="235"/>
        <v>Delivered</v>
      </c>
      <c r="P2516" t="str">
        <f t="shared" si="236"/>
        <v>WH-DEL</v>
      </c>
      <c r="Q2516" t="str">
        <f>VLOOKUP(C2516, Lookups!$A$2:$D$10, 2, FALSE())</f>
        <v>Premium Desks Ltd</v>
      </c>
      <c r="R2516" t="str">
        <f>_xlfn.XLOOKUP(D2516, Lookups!$A$12:$A$51, Lookups!$C$12:$C$51, "Unknown")</f>
        <v>Office Furniture</v>
      </c>
      <c r="S2516" t="str">
        <f>IF(ISBLANK(I2516), B2516+VLOOKUP(C2516, Lookups!$A$2:$D$10, 4, FALSE()), I2516)</f>
        <v>2025-11-08</v>
      </c>
      <c r="T2516">
        <f t="shared" si="237"/>
        <v>19</v>
      </c>
      <c r="U2516" t="str">
        <f t="shared" si="238"/>
        <v>Late</v>
      </c>
      <c r="V2516">
        <f t="shared" si="239"/>
        <v>0</v>
      </c>
    </row>
    <row r="2517" spans="1:22" x14ac:dyDescent="0.45">
      <c r="A2517" t="s">
        <v>3373</v>
      </c>
      <c r="B2517" t="s">
        <v>1165</v>
      </c>
      <c r="C2517" t="s">
        <v>37</v>
      </c>
      <c r="D2517" t="s">
        <v>83</v>
      </c>
      <c r="E2517" t="s">
        <v>15</v>
      </c>
      <c r="F2517">
        <v>144</v>
      </c>
      <c r="G2517">
        <v>19850</v>
      </c>
      <c r="H2517">
        <v>2858400</v>
      </c>
      <c r="I2517" t="s">
        <v>1082</v>
      </c>
      <c r="J2517" t="s">
        <v>1082</v>
      </c>
      <c r="K2517">
        <v>144</v>
      </c>
      <c r="L2517">
        <v>0</v>
      </c>
      <c r="M2517" t="s">
        <v>115</v>
      </c>
      <c r="N2517" t="str">
        <f t="shared" si="234"/>
        <v>PO-102516</v>
      </c>
      <c r="O2517" t="str">
        <f t="shared" si="235"/>
        <v>Delivered</v>
      </c>
      <c r="P2517" t="str">
        <f t="shared" si="236"/>
        <v>WH-BOM</v>
      </c>
      <c r="Q2517" t="str">
        <f>VLOOKUP(C2517, Lookups!$A$2:$D$10, 2, FALSE())</f>
        <v>Premium Desks Ltd</v>
      </c>
      <c r="R2517" t="str">
        <f>_xlfn.XLOOKUP(D2517, Lookups!$A$12:$A$51, Lookups!$C$12:$C$51, "Unknown")</f>
        <v>Office Furniture</v>
      </c>
      <c r="S2517" t="str">
        <f>IF(ISBLANK(I2517), B2517+VLOOKUP(C2517, Lookups!$A$2:$D$10, 4, FALSE()), I2517)</f>
        <v>2025-04-22</v>
      </c>
      <c r="T2517">
        <f t="shared" si="237"/>
        <v>12</v>
      </c>
      <c r="U2517" t="str">
        <f t="shared" si="238"/>
        <v>On-Time</v>
      </c>
      <c r="V2517">
        <f t="shared" si="239"/>
        <v>0</v>
      </c>
    </row>
    <row r="2518" spans="1:22" x14ac:dyDescent="0.45">
      <c r="A2518" t="s">
        <v>3374</v>
      </c>
      <c r="B2518" t="s">
        <v>905</v>
      </c>
      <c r="C2518" t="s">
        <v>36</v>
      </c>
      <c r="D2518" t="s">
        <v>63</v>
      </c>
      <c r="E2518" t="s">
        <v>17</v>
      </c>
      <c r="F2518">
        <v>79</v>
      </c>
      <c r="G2518">
        <v>71062</v>
      </c>
      <c r="H2518">
        <v>5613898</v>
      </c>
      <c r="I2518" t="s">
        <v>755</v>
      </c>
      <c r="J2518" t="s">
        <v>777</v>
      </c>
      <c r="K2518">
        <v>79</v>
      </c>
      <c r="L2518">
        <v>0</v>
      </c>
      <c r="M2518" t="s">
        <v>115</v>
      </c>
      <c r="N2518" t="str">
        <f t="shared" si="234"/>
        <v>PO-102517</v>
      </c>
      <c r="O2518" t="str">
        <f t="shared" si="235"/>
        <v>Delivered</v>
      </c>
      <c r="P2518" t="str">
        <f t="shared" si="236"/>
        <v>WH-BLR</v>
      </c>
      <c r="Q2518" t="str">
        <f>VLOOKUP(C2518, Lookups!$A$2:$D$10, 2, FALSE())</f>
        <v>NextGen Hardware</v>
      </c>
      <c r="R2518" t="str">
        <f>_xlfn.XLOOKUP(D2518, Lookups!$A$12:$A$51, Lookups!$C$12:$C$51, "Unknown")</f>
        <v>Electronics</v>
      </c>
      <c r="S2518" t="str">
        <f>IF(ISBLANK(I2518), B2518+VLOOKUP(C2518, Lookups!$A$2:$D$10, 4, FALSE()), I2518)</f>
        <v>2025-11-24</v>
      </c>
      <c r="T2518">
        <f t="shared" si="237"/>
        <v>25</v>
      </c>
      <c r="U2518" t="str">
        <f t="shared" si="238"/>
        <v>Late</v>
      </c>
      <c r="V2518">
        <f t="shared" si="239"/>
        <v>0</v>
      </c>
    </row>
    <row r="2519" spans="1:22" x14ac:dyDescent="0.45">
      <c r="A2519" t="s">
        <v>3375</v>
      </c>
      <c r="B2519" t="s">
        <v>556</v>
      </c>
      <c r="C2519" t="s">
        <v>34</v>
      </c>
      <c r="D2519" t="s">
        <v>54</v>
      </c>
      <c r="E2519" t="s">
        <v>15</v>
      </c>
      <c r="F2519">
        <v>196</v>
      </c>
      <c r="G2519">
        <v>22314</v>
      </c>
      <c r="H2519">
        <v>4373544</v>
      </c>
      <c r="I2519" t="s">
        <v>118</v>
      </c>
      <c r="J2519" t="s">
        <v>1254</v>
      </c>
      <c r="K2519">
        <v>196</v>
      </c>
      <c r="L2519">
        <v>0</v>
      </c>
      <c r="M2519" t="s">
        <v>115</v>
      </c>
      <c r="N2519" t="str">
        <f t="shared" si="234"/>
        <v>PO-102518</v>
      </c>
      <c r="O2519" t="str">
        <f t="shared" si="235"/>
        <v>Delivered</v>
      </c>
      <c r="P2519" t="str">
        <f t="shared" si="236"/>
        <v>WH-BOM</v>
      </c>
      <c r="Q2519" t="str">
        <f>VLOOKUP(C2519, Lookups!$A$2:$D$10, 2, FALSE())</f>
        <v>FastElectronics</v>
      </c>
      <c r="R2519" t="str">
        <f>_xlfn.XLOOKUP(D2519, Lookups!$A$12:$A$51, Lookups!$C$12:$C$51, "Unknown")</f>
        <v>Networking</v>
      </c>
      <c r="S2519" t="str">
        <f>IF(ISBLANK(I2519), B2519+VLOOKUP(C2519, Lookups!$A$2:$D$10, 4, FALSE()), I2519)</f>
        <v>2026-10-03</v>
      </c>
      <c r="T2519">
        <f t="shared" si="237"/>
        <v>25</v>
      </c>
      <c r="U2519" t="str">
        <f t="shared" si="238"/>
        <v>Late</v>
      </c>
      <c r="V2519">
        <f t="shared" si="239"/>
        <v>0</v>
      </c>
    </row>
    <row r="2520" spans="1:22" x14ac:dyDescent="0.45">
      <c r="A2520" t="s">
        <v>3376</v>
      </c>
      <c r="B2520" t="s">
        <v>991</v>
      </c>
      <c r="C2520" t="s">
        <v>30</v>
      </c>
      <c r="D2520" t="s">
        <v>53</v>
      </c>
      <c r="E2520" t="s">
        <v>17</v>
      </c>
      <c r="F2520">
        <v>189</v>
      </c>
      <c r="G2520">
        <v>81048</v>
      </c>
      <c r="H2520">
        <v>15318072</v>
      </c>
      <c r="I2520" t="s">
        <v>1562</v>
      </c>
      <c r="J2520" t="s">
        <v>225</v>
      </c>
      <c r="K2520">
        <v>189</v>
      </c>
      <c r="L2520">
        <v>0</v>
      </c>
      <c r="M2520" t="s">
        <v>115</v>
      </c>
      <c r="N2520" t="str">
        <f t="shared" si="234"/>
        <v>PO-102519</v>
      </c>
      <c r="O2520" t="str">
        <f t="shared" si="235"/>
        <v>Delivered</v>
      </c>
      <c r="P2520" t="str">
        <f t="shared" si="236"/>
        <v>WH-BLR</v>
      </c>
      <c r="Q2520" t="str">
        <f>VLOOKUP(C2520, Lookups!$A$2:$D$10, 2, FALSE())</f>
        <v>TechSupply Corp</v>
      </c>
      <c r="R2520" t="str">
        <f>_xlfn.XLOOKUP(D2520, Lookups!$A$12:$A$51, Lookups!$C$12:$C$51, "Unknown")</f>
        <v>Electronics</v>
      </c>
      <c r="S2520" t="str">
        <f>IF(ISBLANK(I2520), B2520+VLOOKUP(C2520, Lookups!$A$2:$D$10, 4, FALSE()), I2520)</f>
        <v>2026-07-30</v>
      </c>
      <c r="T2520">
        <f t="shared" si="237"/>
        <v>15</v>
      </c>
      <c r="U2520" t="str">
        <f t="shared" si="238"/>
        <v>Late</v>
      </c>
      <c r="V2520">
        <f t="shared" si="239"/>
        <v>0</v>
      </c>
    </row>
    <row r="2521" spans="1:22" x14ac:dyDescent="0.45">
      <c r="A2521" t="s">
        <v>3377</v>
      </c>
      <c r="B2521" t="s">
        <v>464</v>
      </c>
      <c r="C2521" t="s">
        <v>34</v>
      </c>
      <c r="D2521" t="s">
        <v>58</v>
      </c>
      <c r="E2521" t="s">
        <v>17</v>
      </c>
      <c r="F2521">
        <v>12</v>
      </c>
      <c r="G2521">
        <v>100302</v>
      </c>
      <c r="H2521">
        <v>1203624</v>
      </c>
      <c r="I2521" t="s">
        <v>400</v>
      </c>
      <c r="J2521" t="s">
        <v>401</v>
      </c>
      <c r="K2521">
        <v>12</v>
      </c>
      <c r="L2521">
        <v>0</v>
      </c>
      <c r="M2521" t="s">
        <v>115</v>
      </c>
      <c r="N2521" t="str">
        <f t="shared" si="234"/>
        <v>PO-102520</v>
      </c>
      <c r="O2521" t="str">
        <f t="shared" si="235"/>
        <v>Delivered</v>
      </c>
      <c r="P2521" t="str">
        <f t="shared" si="236"/>
        <v>WH-BLR</v>
      </c>
      <c r="Q2521" t="str">
        <f>VLOOKUP(C2521, Lookups!$A$2:$D$10, 2, FALSE())</f>
        <v>FastElectronics</v>
      </c>
      <c r="R2521" t="str">
        <f>_xlfn.XLOOKUP(D2521, Lookups!$A$12:$A$51, Lookups!$C$12:$C$51, "Unknown")</f>
        <v>Electronics</v>
      </c>
      <c r="S2521" t="str">
        <f>IF(ISBLANK(I2521), B2521+VLOOKUP(C2521, Lookups!$A$2:$D$10, 4, FALSE()), I2521)</f>
        <v>2025-12-08</v>
      </c>
      <c r="T2521">
        <f t="shared" si="237"/>
        <v>19</v>
      </c>
      <c r="U2521" t="str">
        <f t="shared" si="238"/>
        <v>Late</v>
      </c>
      <c r="V2521">
        <f t="shared" si="239"/>
        <v>0</v>
      </c>
    </row>
    <row r="2522" spans="1:22" x14ac:dyDescent="0.45">
      <c r="A2522" t="s">
        <v>3378</v>
      </c>
      <c r="B2522" t="s">
        <v>142</v>
      </c>
      <c r="C2522" t="s">
        <v>33</v>
      </c>
      <c r="D2522" t="s">
        <v>89</v>
      </c>
      <c r="E2522" t="s">
        <v>18</v>
      </c>
      <c r="F2522">
        <v>63</v>
      </c>
      <c r="G2522">
        <v>11309</v>
      </c>
      <c r="H2522">
        <v>712467</v>
      </c>
      <c r="I2522" t="s">
        <v>555</v>
      </c>
      <c r="J2522" t="s">
        <v>521</v>
      </c>
      <c r="K2522">
        <v>63</v>
      </c>
      <c r="L2522">
        <v>0</v>
      </c>
      <c r="M2522" t="s">
        <v>115</v>
      </c>
      <c r="N2522" t="str">
        <f t="shared" si="234"/>
        <v>PO-102521</v>
      </c>
      <c r="O2522" t="str">
        <f t="shared" si="235"/>
        <v>Delivered</v>
      </c>
      <c r="P2522" t="str">
        <f t="shared" si="236"/>
        <v>WH-PUN</v>
      </c>
      <c r="Q2522" t="str">
        <f>VLOOKUP(C2522, Lookups!$A$2:$D$10, 2, FALSE())</f>
        <v>MegaFurnish</v>
      </c>
      <c r="R2522" t="str">
        <f>_xlfn.XLOOKUP(D2522, Lookups!$A$12:$A$51, Lookups!$C$12:$C$51, "Unknown")</f>
        <v>Office Furniture</v>
      </c>
      <c r="S2522" t="str">
        <f>IF(ISBLANK(I2522), B2522+VLOOKUP(C2522, Lookups!$A$2:$D$10, 4, FALSE()), I2522)</f>
        <v>2026-09-01</v>
      </c>
      <c r="T2522">
        <f t="shared" si="237"/>
        <v>45</v>
      </c>
      <c r="U2522" t="str">
        <f t="shared" si="238"/>
        <v>Late</v>
      </c>
      <c r="V2522">
        <f t="shared" si="239"/>
        <v>0</v>
      </c>
    </row>
    <row r="2523" spans="1:22" x14ac:dyDescent="0.45">
      <c r="A2523" t="s">
        <v>3379</v>
      </c>
      <c r="B2523" t="s">
        <v>423</v>
      </c>
      <c r="C2523" t="s">
        <v>37</v>
      </c>
      <c r="D2523" t="s">
        <v>78</v>
      </c>
      <c r="E2523" t="s">
        <v>15</v>
      </c>
      <c r="F2523">
        <v>67</v>
      </c>
      <c r="G2523">
        <v>9423</v>
      </c>
      <c r="H2523">
        <v>631341</v>
      </c>
      <c r="I2523" t="s">
        <v>1216</v>
      </c>
      <c r="J2523" t="s">
        <v>1216</v>
      </c>
      <c r="K2523">
        <v>67</v>
      </c>
      <c r="L2523">
        <v>0</v>
      </c>
      <c r="M2523" t="s">
        <v>115</v>
      </c>
      <c r="N2523" t="str">
        <f t="shared" si="234"/>
        <v>PO-102522</v>
      </c>
      <c r="O2523" t="str">
        <f t="shared" si="235"/>
        <v>Delivered</v>
      </c>
      <c r="P2523" t="str">
        <f t="shared" si="236"/>
        <v>WH-BOM</v>
      </c>
      <c r="Q2523" t="str">
        <f>VLOOKUP(C2523, Lookups!$A$2:$D$10, 2, FALSE())</f>
        <v>Premium Desks Ltd</v>
      </c>
      <c r="R2523" t="str">
        <f>_xlfn.XLOOKUP(D2523, Lookups!$A$12:$A$51, Lookups!$C$12:$C$51, "Unknown")</f>
        <v>Office Furniture</v>
      </c>
      <c r="S2523" t="str">
        <f>IF(ISBLANK(I2523), B2523+VLOOKUP(C2523, Lookups!$A$2:$D$10, 4, FALSE()), I2523)</f>
        <v>2026-02-24</v>
      </c>
      <c r="T2523">
        <f t="shared" si="237"/>
        <v>12</v>
      </c>
      <c r="U2523" t="str">
        <f t="shared" si="238"/>
        <v>On-Time</v>
      </c>
      <c r="V2523">
        <f t="shared" si="239"/>
        <v>0</v>
      </c>
    </row>
    <row r="2524" spans="1:22" x14ac:dyDescent="0.45">
      <c r="A2524" t="s">
        <v>3380</v>
      </c>
      <c r="B2524" t="s">
        <v>538</v>
      </c>
      <c r="C2524" t="s">
        <v>36</v>
      </c>
      <c r="D2524" t="s">
        <v>90</v>
      </c>
      <c r="E2524" t="s">
        <v>15</v>
      </c>
      <c r="F2524">
        <v>183</v>
      </c>
      <c r="G2524">
        <v>81434</v>
      </c>
      <c r="H2524">
        <v>14902422</v>
      </c>
      <c r="I2524" t="s">
        <v>1206</v>
      </c>
      <c r="J2524" t="s">
        <v>815</v>
      </c>
      <c r="K2524">
        <v>183</v>
      </c>
      <c r="L2524">
        <v>0</v>
      </c>
      <c r="M2524" t="s">
        <v>115</v>
      </c>
      <c r="N2524" t="str">
        <f t="shared" si="234"/>
        <v>PO-102523</v>
      </c>
      <c r="O2524" t="str">
        <f t="shared" si="235"/>
        <v>Delivered</v>
      </c>
      <c r="P2524" t="str">
        <f t="shared" si="236"/>
        <v>WH-BOM</v>
      </c>
      <c r="Q2524" t="str">
        <f>VLOOKUP(C2524, Lookups!$A$2:$D$10, 2, FALSE())</f>
        <v>NextGen Hardware</v>
      </c>
      <c r="R2524" t="str">
        <f>_xlfn.XLOOKUP(D2524, Lookups!$A$12:$A$51, Lookups!$C$12:$C$51, "Unknown")</f>
        <v>Electronics</v>
      </c>
      <c r="S2524" t="str">
        <f>IF(ISBLANK(I2524), B2524+VLOOKUP(C2524, Lookups!$A$2:$D$10, 4, FALSE()), I2524)</f>
        <v>2026-02-17</v>
      </c>
      <c r="T2524">
        <f t="shared" si="237"/>
        <v>20</v>
      </c>
      <c r="U2524" t="str">
        <f t="shared" si="238"/>
        <v>On-Time</v>
      </c>
      <c r="V2524">
        <f t="shared" si="239"/>
        <v>0</v>
      </c>
    </row>
    <row r="2525" spans="1:22" x14ac:dyDescent="0.45">
      <c r="A2525" t="s">
        <v>3381</v>
      </c>
      <c r="B2525" t="s">
        <v>394</v>
      </c>
      <c r="C2525" t="s">
        <v>35</v>
      </c>
      <c r="D2525" t="s">
        <v>72</v>
      </c>
      <c r="E2525" t="s">
        <v>17</v>
      </c>
      <c r="F2525">
        <v>247</v>
      </c>
      <c r="G2525">
        <v>7754</v>
      </c>
      <c r="H2525">
        <v>1915238</v>
      </c>
      <c r="I2525" t="s">
        <v>138</v>
      </c>
      <c r="J2525" t="s">
        <v>138</v>
      </c>
      <c r="K2525">
        <v>247</v>
      </c>
      <c r="L2525">
        <v>0</v>
      </c>
      <c r="M2525" t="s">
        <v>115</v>
      </c>
      <c r="N2525" t="str">
        <f t="shared" si="234"/>
        <v>PO-102524</v>
      </c>
      <c r="O2525" t="str">
        <f t="shared" si="235"/>
        <v>Delivered</v>
      </c>
      <c r="P2525" t="str">
        <f t="shared" si="236"/>
        <v>WH-BLR</v>
      </c>
      <c r="Q2525" t="str">
        <f>VLOOKUP(C2525, Lookups!$A$2:$D$10, 2, FALSE())</f>
        <v>Peripheral Source</v>
      </c>
      <c r="R2525" t="str">
        <f>_xlfn.XLOOKUP(D2525, Lookups!$A$12:$A$51, Lookups!$C$12:$C$51, "Unknown")</f>
        <v>Peripherals</v>
      </c>
      <c r="S2525" t="str">
        <f>IF(ISBLANK(I2525), B2525+VLOOKUP(C2525, Lookups!$A$2:$D$10, 4, FALSE()), I2525)</f>
        <v>2025-09-26</v>
      </c>
      <c r="T2525">
        <f t="shared" si="237"/>
        <v>10</v>
      </c>
      <c r="U2525" t="str">
        <f t="shared" si="238"/>
        <v>On-Time</v>
      </c>
      <c r="V2525">
        <f t="shared" si="239"/>
        <v>0</v>
      </c>
    </row>
    <row r="2526" spans="1:22" x14ac:dyDescent="0.45">
      <c r="A2526" t="s">
        <v>3382</v>
      </c>
      <c r="B2526" t="s">
        <v>731</v>
      </c>
      <c r="C2526" t="s">
        <v>34</v>
      </c>
      <c r="D2526" t="s">
        <v>74</v>
      </c>
      <c r="E2526" t="s">
        <v>16</v>
      </c>
      <c r="F2526">
        <v>117</v>
      </c>
      <c r="G2526">
        <v>94797</v>
      </c>
      <c r="H2526">
        <v>11091249</v>
      </c>
      <c r="I2526" t="s">
        <v>487</v>
      </c>
      <c r="J2526" t="s">
        <v>242</v>
      </c>
      <c r="K2526">
        <v>117</v>
      </c>
      <c r="L2526">
        <v>0</v>
      </c>
      <c r="M2526" t="s">
        <v>115</v>
      </c>
      <c r="N2526" t="str">
        <f t="shared" si="234"/>
        <v>PO-102525</v>
      </c>
      <c r="O2526" t="str">
        <f t="shared" si="235"/>
        <v>Delivered</v>
      </c>
      <c r="P2526" t="str">
        <f t="shared" si="236"/>
        <v>WH-DEL</v>
      </c>
      <c r="Q2526" t="str">
        <f>VLOOKUP(C2526, Lookups!$A$2:$D$10, 2, FALSE())</f>
        <v>FastElectronics</v>
      </c>
      <c r="R2526" t="str">
        <f>_xlfn.XLOOKUP(D2526, Lookups!$A$12:$A$51, Lookups!$C$12:$C$51, "Unknown")</f>
        <v>Electronics</v>
      </c>
      <c r="S2526" t="str">
        <f>IF(ISBLANK(I2526), B2526+VLOOKUP(C2526, Lookups!$A$2:$D$10, 4, FALSE()), I2526)</f>
        <v>2025-06-26</v>
      </c>
      <c r="T2526">
        <f t="shared" si="237"/>
        <v>27</v>
      </c>
      <c r="U2526" t="str">
        <f t="shared" si="238"/>
        <v>Late</v>
      </c>
      <c r="V2526">
        <f t="shared" si="239"/>
        <v>0</v>
      </c>
    </row>
    <row r="2527" spans="1:22" x14ac:dyDescent="0.45">
      <c r="A2527" t="s">
        <v>3383</v>
      </c>
      <c r="B2527" t="s">
        <v>873</v>
      </c>
      <c r="C2527" t="s">
        <v>36</v>
      </c>
      <c r="D2527" t="s">
        <v>63</v>
      </c>
      <c r="E2527" t="s">
        <v>16</v>
      </c>
      <c r="F2527">
        <v>211</v>
      </c>
      <c r="G2527">
        <v>71062</v>
      </c>
      <c r="H2527">
        <v>14994082</v>
      </c>
      <c r="I2527" t="s">
        <v>576</v>
      </c>
      <c r="J2527" t="s">
        <v>1354</v>
      </c>
      <c r="K2527">
        <v>211</v>
      </c>
      <c r="L2527">
        <v>0</v>
      </c>
      <c r="M2527" t="s">
        <v>115</v>
      </c>
      <c r="N2527" t="str">
        <f t="shared" si="234"/>
        <v>PO-102526</v>
      </c>
      <c r="O2527" t="str">
        <f t="shared" si="235"/>
        <v>Delivered</v>
      </c>
      <c r="P2527" t="str">
        <f t="shared" si="236"/>
        <v>WH-DEL</v>
      </c>
      <c r="Q2527" t="str">
        <f>VLOOKUP(C2527, Lookups!$A$2:$D$10, 2, FALSE())</f>
        <v>NextGen Hardware</v>
      </c>
      <c r="R2527" t="str">
        <f>_xlfn.XLOOKUP(D2527, Lookups!$A$12:$A$51, Lookups!$C$12:$C$51, "Unknown")</f>
        <v>Electronics</v>
      </c>
      <c r="S2527" t="str">
        <f>IF(ISBLANK(I2527), B2527+VLOOKUP(C2527, Lookups!$A$2:$D$10, 4, FALSE()), I2527)</f>
        <v>2026-03-05</v>
      </c>
      <c r="T2527">
        <f t="shared" si="237"/>
        <v>25</v>
      </c>
      <c r="U2527" t="str">
        <f t="shared" si="238"/>
        <v>Late</v>
      </c>
      <c r="V2527">
        <f t="shared" si="239"/>
        <v>0</v>
      </c>
    </row>
    <row r="2528" spans="1:22" x14ac:dyDescent="0.45">
      <c r="A2528" t="s">
        <v>3384</v>
      </c>
      <c r="B2528" t="s">
        <v>1041</v>
      </c>
      <c r="C2528" t="s">
        <v>33</v>
      </c>
      <c r="D2528" t="s">
        <v>89</v>
      </c>
      <c r="E2528" t="s">
        <v>17</v>
      </c>
      <c r="F2528">
        <v>135</v>
      </c>
      <c r="G2528">
        <v>11309</v>
      </c>
      <c r="H2528">
        <v>1526715</v>
      </c>
      <c r="I2528" t="s">
        <v>954</v>
      </c>
      <c r="J2528" t="s">
        <v>954</v>
      </c>
      <c r="K2528">
        <v>135</v>
      </c>
      <c r="L2528">
        <v>0</v>
      </c>
      <c r="M2528" t="s">
        <v>115</v>
      </c>
      <c r="N2528" t="str">
        <f t="shared" si="234"/>
        <v>PO-102527</v>
      </c>
      <c r="O2528" t="str">
        <f t="shared" si="235"/>
        <v>Delivered</v>
      </c>
      <c r="P2528" t="str">
        <f t="shared" si="236"/>
        <v>WH-BLR</v>
      </c>
      <c r="Q2528" t="str">
        <f>VLOOKUP(C2528, Lookups!$A$2:$D$10, 2, FALSE())</f>
        <v>MegaFurnish</v>
      </c>
      <c r="R2528" t="str">
        <f>_xlfn.XLOOKUP(D2528, Lookups!$A$12:$A$51, Lookups!$C$12:$C$51, "Unknown")</f>
        <v>Office Furniture</v>
      </c>
      <c r="S2528" t="str">
        <f>IF(ISBLANK(I2528), B2528+VLOOKUP(C2528, Lookups!$A$2:$D$10, 4, FALSE()), I2528)</f>
        <v>2026-11-16</v>
      </c>
      <c r="T2528">
        <f t="shared" si="237"/>
        <v>30</v>
      </c>
      <c r="U2528" t="str">
        <f t="shared" si="238"/>
        <v>On-Time</v>
      </c>
      <c r="V2528">
        <f t="shared" si="239"/>
        <v>0</v>
      </c>
    </row>
    <row r="2529" spans="1:22" x14ac:dyDescent="0.45">
      <c r="A2529" t="s">
        <v>3385</v>
      </c>
      <c r="B2529" t="s">
        <v>281</v>
      </c>
      <c r="C2529" t="s">
        <v>32</v>
      </c>
      <c r="D2529" t="s">
        <v>84</v>
      </c>
      <c r="E2529" t="s">
        <v>18</v>
      </c>
      <c r="F2529">
        <v>40</v>
      </c>
      <c r="G2529">
        <v>7271</v>
      </c>
      <c r="H2529">
        <v>290840</v>
      </c>
      <c r="I2529" t="s">
        <v>1403</v>
      </c>
      <c r="J2529" t="s">
        <v>1403</v>
      </c>
      <c r="K2529">
        <v>40</v>
      </c>
      <c r="L2529">
        <v>0</v>
      </c>
      <c r="M2529" t="s">
        <v>115</v>
      </c>
      <c r="N2529" t="str">
        <f t="shared" si="234"/>
        <v>PO-102528</v>
      </c>
      <c r="O2529" t="str">
        <f t="shared" si="235"/>
        <v>Delivered</v>
      </c>
      <c r="P2529" t="str">
        <f t="shared" si="236"/>
        <v>WH-PUN</v>
      </c>
      <c r="Q2529" t="str">
        <f>VLOOKUP(C2529, Lookups!$A$2:$D$10, 2, FALSE())</f>
        <v>OfficeDepot Pro</v>
      </c>
      <c r="R2529" t="str">
        <f>_xlfn.XLOOKUP(D2529, Lookups!$A$12:$A$51, Lookups!$C$12:$C$51, "Unknown")</f>
        <v>Peripherals</v>
      </c>
      <c r="S2529" t="str">
        <f>IF(ISBLANK(I2529), B2529+VLOOKUP(C2529, Lookups!$A$2:$D$10, 4, FALSE()), I2529)</f>
        <v>2026-11-02</v>
      </c>
      <c r="T2529">
        <f t="shared" si="237"/>
        <v>7</v>
      </c>
      <c r="U2529" t="str">
        <f t="shared" si="238"/>
        <v>On-Time</v>
      </c>
      <c r="V2529">
        <f t="shared" si="239"/>
        <v>0</v>
      </c>
    </row>
    <row r="2530" spans="1:22" x14ac:dyDescent="0.45">
      <c r="A2530" t="s">
        <v>3386</v>
      </c>
      <c r="B2530" t="s">
        <v>639</v>
      </c>
      <c r="C2530" t="s">
        <v>37</v>
      </c>
      <c r="D2530" t="s">
        <v>83</v>
      </c>
      <c r="E2530" t="s">
        <v>15</v>
      </c>
      <c r="F2530">
        <v>248</v>
      </c>
      <c r="G2530">
        <v>19850</v>
      </c>
      <c r="H2530">
        <v>4922800</v>
      </c>
      <c r="I2530" t="s">
        <v>753</v>
      </c>
      <c r="J2530" t="s">
        <v>829</v>
      </c>
      <c r="K2530">
        <v>248</v>
      </c>
      <c r="L2530">
        <v>0</v>
      </c>
      <c r="M2530" t="s">
        <v>115</v>
      </c>
      <c r="N2530" t="str">
        <f t="shared" si="234"/>
        <v>PO-102529</v>
      </c>
      <c r="O2530" t="str">
        <f t="shared" si="235"/>
        <v>Delivered</v>
      </c>
      <c r="P2530" t="str">
        <f t="shared" si="236"/>
        <v>WH-BOM</v>
      </c>
      <c r="Q2530" t="str">
        <f>VLOOKUP(C2530, Lookups!$A$2:$D$10, 2, FALSE())</f>
        <v>Premium Desks Ltd</v>
      </c>
      <c r="R2530" t="str">
        <f>_xlfn.XLOOKUP(D2530, Lookups!$A$12:$A$51, Lookups!$C$12:$C$51, "Unknown")</f>
        <v>Office Furniture</v>
      </c>
      <c r="S2530" t="str">
        <f>IF(ISBLANK(I2530), B2530+VLOOKUP(C2530, Lookups!$A$2:$D$10, 4, FALSE()), I2530)</f>
        <v>2025-12-23</v>
      </c>
      <c r="T2530">
        <f t="shared" si="237"/>
        <v>13</v>
      </c>
      <c r="U2530" t="str">
        <f t="shared" si="238"/>
        <v>Late</v>
      </c>
      <c r="V2530">
        <f t="shared" si="239"/>
        <v>0</v>
      </c>
    </row>
    <row r="2531" spans="1:22" x14ac:dyDescent="0.45">
      <c r="A2531" t="s">
        <v>3387</v>
      </c>
      <c r="B2531" t="s">
        <v>1168</v>
      </c>
      <c r="C2531" t="s">
        <v>34</v>
      </c>
      <c r="D2531" t="s">
        <v>68</v>
      </c>
      <c r="E2531" t="s">
        <v>17</v>
      </c>
      <c r="F2531">
        <v>124</v>
      </c>
      <c r="G2531">
        <v>41405</v>
      </c>
      <c r="H2531">
        <v>5134220</v>
      </c>
      <c r="I2531" t="s">
        <v>268</v>
      </c>
      <c r="J2531" t="s">
        <v>582</v>
      </c>
      <c r="K2531">
        <v>124</v>
      </c>
      <c r="L2531">
        <v>0</v>
      </c>
      <c r="M2531" t="s">
        <v>115</v>
      </c>
      <c r="N2531" t="str">
        <f t="shared" si="234"/>
        <v>PO-102530</v>
      </c>
      <c r="O2531" t="str">
        <f t="shared" si="235"/>
        <v>Delivered</v>
      </c>
      <c r="P2531" t="str">
        <f t="shared" si="236"/>
        <v>WH-BLR</v>
      </c>
      <c r="Q2531" t="str">
        <f>VLOOKUP(C2531, Lookups!$A$2:$D$10, 2, FALSE())</f>
        <v>FastElectronics</v>
      </c>
      <c r="R2531" t="str">
        <f>_xlfn.XLOOKUP(D2531, Lookups!$A$12:$A$51, Lookups!$C$12:$C$51, "Unknown")</f>
        <v>Networking</v>
      </c>
      <c r="S2531" t="str">
        <f>IF(ISBLANK(I2531), B2531+VLOOKUP(C2531, Lookups!$A$2:$D$10, 4, FALSE()), I2531)</f>
        <v>2025-04-13</v>
      </c>
      <c r="T2531">
        <f t="shared" si="237"/>
        <v>26</v>
      </c>
      <c r="U2531" t="str">
        <f t="shared" si="238"/>
        <v>Late</v>
      </c>
      <c r="V2531">
        <f t="shared" si="239"/>
        <v>0</v>
      </c>
    </row>
    <row r="2532" spans="1:22" x14ac:dyDescent="0.45">
      <c r="A2532" t="s">
        <v>3388</v>
      </c>
      <c r="B2532" t="s">
        <v>138</v>
      </c>
      <c r="C2532" t="s">
        <v>34</v>
      </c>
      <c r="D2532" t="s">
        <v>58</v>
      </c>
      <c r="E2532" t="s">
        <v>17</v>
      </c>
      <c r="F2532">
        <v>57</v>
      </c>
      <c r="G2532">
        <v>100302</v>
      </c>
      <c r="H2532">
        <v>5717214</v>
      </c>
      <c r="I2532" t="s">
        <v>319</v>
      </c>
      <c r="J2532" t="s">
        <v>320</v>
      </c>
      <c r="K2532">
        <v>57</v>
      </c>
      <c r="L2532">
        <v>0</v>
      </c>
      <c r="M2532" t="s">
        <v>115</v>
      </c>
      <c r="N2532" t="str">
        <f t="shared" si="234"/>
        <v>PO-102531</v>
      </c>
      <c r="O2532" t="str">
        <f t="shared" si="235"/>
        <v>Delivered</v>
      </c>
      <c r="P2532" t="str">
        <f t="shared" si="236"/>
        <v>WH-BLR</v>
      </c>
      <c r="Q2532" t="str">
        <f>VLOOKUP(C2532, Lookups!$A$2:$D$10, 2, FALSE())</f>
        <v>FastElectronics</v>
      </c>
      <c r="R2532" t="str">
        <f>_xlfn.XLOOKUP(D2532, Lookups!$A$12:$A$51, Lookups!$C$12:$C$51, "Unknown")</f>
        <v>Electronics</v>
      </c>
      <c r="S2532" t="str">
        <f>IF(ISBLANK(I2532), B2532+VLOOKUP(C2532, Lookups!$A$2:$D$10, 4, FALSE()), I2532)</f>
        <v>2025-10-14</v>
      </c>
      <c r="T2532">
        <f t="shared" si="237"/>
        <v>19</v>
      </c>
      <c r="U2532" t="str">
        <f t="shared" si="238"/>
        <v>Late</v>
      </c>
      <c r="V2532">
        <f t="shared" si="239"/>
        <v>0</v>
      </c>
    </row>
    <row r="2533" spans="1:22" x14ac:dyDescent="0.45">
      <c r="A2533" t="s">
        <v>3389</v>
      </c>
      <c r="B2533" t="s">
        <v>1314</v>
      </c>
      <c r="C2533" t="s">
        <v>30</v>
      </c>
      <c r="D2533" t="s">
        <v>61</v>
      </c>
      <c r="E2533" t="s">
        <v>18</v>
      </c>
      <c r="F2533">
        <v>199</v>
      </c>
      <c r="G2533">
        <v>111237</v>
      </c>
      <c r="H2533">
        <v>22136163</v>
      </c>
      <c r="I2533" t="s">
        <v>1177</v>
      </c>
      <c r="J2533" t="s">
        <v>124</v>
      </c>
      <c r="K2533">
        <v>199</v>
      </c>
      <c r="L2533">
        <v>0</v>
      </c>
      <c r="M2533" t="s">
        <v>115</v>
      </c>
      <c r="N2533" t="str">
        <f t="shared" si="234"/>
        <v>PO-102532</v>
      </c>
      <c r="O2533" t="str">
        <f t="shared" si="235"/>
        <v>Delivered</v>
      </c>
      <c r="P2533" t="str">
        <f t="shared" si="236"/>
        <v>WH-PUN</v>
      </c>
      <c r="Q2533" t="str">
        <f>VLOOKUP(C2533, Lookups!$A$2:$D$10, 2, FALSE())</f>
        <v>TechSupply Corp</v>
      </c>
      <c r="R2533" t="str">
        <f>_xlfn.XLOOKUP(D2533, Lookups!$A$12:$A$51, Lookups!$C$12:$C$51, "Unknown")</f>
        <v>Electronics</v>
      </c>
      <c r="S2533" t="str">
        <f>IF(ISBLANK(I2533), B2533+VLOOKUP(C2533, Lookups!$A$2:$D$10, 4, FALSE()), I2533)</f>
        <v>2026-06-11</v>
      </c>
      <c r="T2533">
        <f t="shared" si="237"/>
        <v>15</v>
      </c>
      <c r="U2533" t="str">
        <f t="shared" si="238"/>
        <v>Late</v>
      </c>
      <c r="V2533">
        <f t="shared" si="239"/>
        <v>0</v>
      </c>
    </row>
    <row r="2534" spans="1:22" x14ac:dyDescent="0.45">
      <c r="A2534" t="s">
        <v>3390</v>
      </c>
      <c r="B2534" t="s">
        <v>1295</v>
      </c>
      <c r="C2534" t="s">
        <v>30</v>
      </c>
      <c r="D2534" t="s">
        <v>59</v>
      </c>
      <c r="E2534" t="s">
        <v>16</v>
      </c>
      <c r="F2534">
        <v>248</v>
      </c>
      <c r="G2534">
        <v>48905</v>
      </c>
      <c r="H2534">
        <v>12128440</v>
      </c>
      <c r="I2534" t="s">
        <v>335</v>
      </c>
      <c r="J2534" t="s">
        <v>307</v>
      </c>
      <c r="K2534">
        <v>248</v>
      </c>
      <c r="L2534">
        <v>0</v>
      </c>
      <c r="M2534" t="s">
        <v>115</v>
      </c>
      <c r="N2534" t="str">
        <f t="shared" si="234"/>
        <v>PO-102533</v>
      </c>
      <c r="O2534" t="str">
        <f t="shared" si="235"/>
        <v>Delivered</v>
      </c>
      <c r="P2534" t="str">
        <f t="shared" si="236"/>
        <v>WH-DEL</v>
      </c>
      <c r="Q2534" t="str">
        <f>VLOOKUP(C2534, Lookups!$A$2:$D$10, 2, FALSE())</f>
        <v>TechSupply Corp</v>
      </c>
      <c r="R2534" t="str">
        <f>_xlfn.XLOOKUP(D2534, Lookups!$A$12:$A$51, Lookups!$C$12:$C$51, "Unknown")</f>
        <v>Electronics</v>
      </c>
      <c r="S2534" t="str">
        <f>IF(ISBLANK(I2534), B2534+VLOOKUP(C2534, Lookups!$A$2:$D$10, 4, FALSE()), I2534)</f>
        <v>2026-08-25</v>
      </c>
      <c r="T2534">
        <f t="shared" si="237"/>
        <v>15</v>
      </c>
      <c r="U2534" t="str">
        <f t="shared" si="238"/>
        <v>Late</v>
      </c>
      <c r="V2534">
        <f t="shared" si="239"/>
        <v>0</v>
      </c>
    </row>
    <row r="2535" spans="1:22" x14ac:dyDescent="0.45">
      <c r="A2535" t="s">
        <v>3391</v>
      </c>
      <c r="B2535" t="s">
        <v>1410</v>
      </c>
      <c r="C2535" t="s">
        <v>37</v>
      </c>
      <c r="D2535" t="s">
        <v>83</v>
      </c>
      <c r="E2535" t="s">
        <v>18</v>
      </c>
      <c r="F2535">
        <v>44</v>
      </c>
      <c r="G2535">
        <v>19850</v>
      </c>
      <c r="H2535">
        <v>873400</v>
      </c>
      <c r="I2535" t="s">
        <v>842</v>
      </c>
      <c r="J2535" t="s">
        <v>907</v>
      </c>
      <c r="K2535">
        <v>44</v>
      </c>
      <c r="L2535">
        <v>0</v>
      </c>
      <c r="M2535" t="s">
        <v>115</v>
      </c>
      <c r="N2535" t="str">
        <f t="shared" si="234"/>
        <v>PO-102534</v>
      </c>
      <c r="O2535" t="str">
        <f t="shared" si="235"/>
        <v>Delivered</v>
      </c>
      <c r="P2535" t="str">
        <f t="shared" si="236"/>
        <v>WH-PUN</v>
      </c>
      <c r="Q2535" t="str">
        <f>VLOOKUP(C2535, Lookups!$A$2:$D$10, 2, FALSE())</f>
        <v>Premium Desks Ltd</v>
      </c>
      <c r="R2535" t="str">
        <f>_xlfn.XLOOKUP(D2535, Lookups!$A$12:$A$51, Lookups!$C$12:$C$51, "Unknown")</f>
        <v>Office Furniture</v>
      </c>
      <c r="S2535" t="str">
        <f>IF(ISBLANK(I2535), B2535+VLOOKUP(C2535, Lookups!$A$2:$D$10, 4, FALSE()), I2535)</f>
        <v>2026-06-15</v>
      </c>
      <c r="T2535">
        <f t="shared" si="237"/>
        <v>17</v>
      </c>
      <c r="U2535" t="str">
        <f t="shared" si="238"/>
        <v>Late</v>
      </c>
      <c r="V2535">
        <f t="shared" si="239"/>
        <v>0</v>
      </c>
    </row>
    <row r="2536" spans="1:22" x14ac:dyDescent="0.45">
      <c r="A2536" t="s">
        <v>3392</v>
      </c>
      <c r="B2536" t="s">
        <v>443</v>
      </c>
      <c r="C2536" t="s">
        <v>32</v>
      </c>
      <c r="D2536" t="s">
        <v>67</v>
      </c>
      <c r="E2536" t="s">
        <v>18</v>
      </c>
      <c r="F2536">
        <v>248</v>
      </c>
      <c r="G2536">
        <v>1553</v>
      </c>
      <c r="H2536">
        <v>385144</v>
      </c>
      <c r="I2536" t="s">
        <v>540</v>
      </c>
      <c r="J2536" t="s">
        <v>540</v>
      </c>
      <c r="K2536">
        <v>248</v>
      </c>
      <c r="L2536">
        <v>0</v>
      </c>
      <c r="M2536" t="s">
        <v>115</v>
      </c>
      <c r="N2536" t="str">
        <f t="shared" si="234"/>
        <v>PO-102535</v>
      </c>
      <c r="O2536" t="str">
        <f t="shared" si="235"/>
        <v>Delivered</v>
      </c>
      <c r="P2536" t="str">
        <f t="shared" si="236"/>
        <v>WH-PUN</v>
      </c>
      <c r="Q2536" t="str">
        <f>VLOOKUP(C2536, Lookups!$A$2:$D$10, 2, FALSE())</f>
        <v>OfficeDepot Pro</v>
      </c>
      <c r="R2536" t="str">
        <f>_xlfn.XLOOKUP(D2536, Lookups!$A$12:$A$51, Lookups!$C$12:$C$51, "Unknown")</f>
        <v>Peripherals</v>
      </c>
      <c r="S2536" t="str">
        <f>IF(ISBLANK(I2536), B2536+VLOOKUP(C2536, Lookups!$A$2:$D$10, 4, FALSE()), I2536)</f>
        <v>2026-04-07</v>
      </c>
      <c r="T2536">
        <f t="shared" si="237"/>
        <v>7</v>
      </c>
      <c r="U2536" t="str">
        <f t="shared" si="238"/>
        <v>On-Time</v>
      </c>
      <c r="V2536">
        <f t="shared" si="239"/>
        <v>0</v>
      </c>
    </row>
    <row r="2537" spans="1:22" x14ac:dyDescent="0.45">
      <c r="A2537" t="s">
        <v>3393</v>
      </c>
      <c r="B2537" t="s">
        <v>856</v>
      </c>
      <c r="C2537" t="s">
        <v>37</v>
      </c>
      <c r="D2537" t="s">
        <v>78</v>
      </c>
      <c r="E2537" t="s">
        <v>15</v>
      </c>
      <c r="F2537">
        <v>190</v>
      </c>
      <c r="G2537">
        <v>9423</v>
      </c>
      <c r="H2537">
        <v>1790370</v>
      </c>
      <c r="I2537" t="s">
        <v>1048</v>
      </c>
      <c r="J2537" t="s">
        <v>798</v>
      </c>
      <c r="K2537">
        <v>190</v>
      </c>
      <c r="L2537">
        <v>0</v>
      </c>
      <c r="M2537" t="s">
        <v>115</v>
      </c>
      <c r="N2537" t="str">
        <f t="shared" si="234"/>
        <v>PO-102536</v>
      </c>
      <c r="O2537" t="str">
        <f t="shared" si="235"/>
        <v>Delivered</v>
      </c>
      <c r="P2537" t="str">
        <f t="shared" si="236"/>
        <v>WH-BOM</v>
      </c>
      <c r="Q2537" t="str">
        <f>VLOOKUP(C2537, Lookups!$A$2:$D$10, 2, FALSE())</f>
        <v>Premium Desks Ltd</v>
      </c>
      <c r="R2537" t="str">
        <f>_xlfn.XLOOKUP(D2537, Lookups!$A$12:$A$51, Lookups!$C$12:$C$51, "Unknown")</f>
        <v>Office Furniture</v>
      </c>
      <c r="S2537" t="str">
        <f>IF(ISBLANK(I2537), B2537+VLOOKUP(C2537, Lookups!$A$2:$D$10, 4, FALSE()), I2537)</f>
        <v>2026-05-14</v>
      </c>
      <c r="T2537">
        <f t="shared" si="237"/>
        <v>13</v>
      </c>
      <c r="U2537" t="str">
        <f t="shared" si="238"/>
        <v>Late</v>
      </c>
      <c r="V2537">
        <f t="shared" si="239"/>
        <v>0</v>
      </c>
    </row>
    <row r="2538" spans="1:22" x14ac:dyDescent="0.45">
      <c r="A2538" t="s">
        <v>3394</v>
      </c>
      <c r="B2538" t="s">
        <v>322</v>
      </c>
      <c r="C2538" t="s">
        <v>34</v>
      </c>
      <c r="D2538" t="s">
        <v>68</v>
      </c>
      <c r="E2538" t="s">
        <v>17</v>
      </c>
      <c r="F2538">
        <v>10</v>
      </c>
      <c r="G2538">
        <v>41405</v>
      </c>
      <c r="H2538">
        <v>414050</v>
      </c>
      <c r="I2538" t="s">
        <v>587</v>
      </c>
      <c r="J2538" t="s">
        <v>444</v>
      </c>
      <c r="K2538">
        <v>10</v>
      </c>
      <c r="L2538">
        <v>0</v>
      </c>
      <c r="M2538" t="s">
        <v>115</v>
      </c>
      <c r="N2538" t="str">
        <f t="shared" si="234"/>
        <v>PO-102537</v>
      </c>
      <c r="O2538" t="str">
        <f t="shared" si="235"/>
        <v>Delivered</v>
      </c>
      <c r="P2538" t="str">
        <f t="shared" si="236"/>
        <v>WH-BLR</v>
      </c>
      <c r="Q2538" t="str">
        <f>VLOOKUP(C2538, Lookups!$A$2:$D$10, 2, FALSE())</f>
        <v>FastElectronics</v>
      </c>
      <c r="R2538" t="str">
        <f>_xlfn.XLOOKUP(D2538, Lookups!$A$12:$A$51, Lookups!$C$12:$C$51, "Unknown")</f>
        <v>Networking</v>
      </c>
      <c r="S2538" t="str">
        <f>IF(ISBLANK(I2538), B2538+VLOOKUP(C2538, Lookups!$A$2:$D$10, 4, FALSE()), I2538)</f>
        <v>2026-04-11</v>
      </c>
      <c r="T2538">
        <f t="shared" si="237"/>
        <v>19</v>
      </c>
      <c r="U2538" t="str">
        <f t="shared" si="238"/>
        <v>Late</v>
      </c>
      <c r="V2538">
        <f t="shared" si="239"/>
        <v>0</v>
      </c>
    </row>
    <row r="2539" spans="1:22" x14ac:dyDescent="0.45">
      <c r="A2539" t="s">
        <v>3395</v>
      </c>
      <c r="B2539" t="s">
        <v>469</v>
      </c>
      <c r="C2539" t="s">
        <v>35</v>
      </c>
      <c r="D2539" t="s">
        <v>70</v>
      </c>
      <c r="E2539" t="s">
        <v>16</v>
      </c>
      <c r="F2539">
        <v>93</v>
      </c>
      <c r="G2539">
        <v>4287</v>
      </c>
      <c r="H2539">
        <v>398691</v>
      </c>
      <c r="I2539" t="s">
        <v>191</v>
      </c>
      <c r="J2539" t="s">
        <v>271</v>
      </c>
      <c r="K2539">
        <v>58</v>
      </c>
      <c r="L2539">
        <v>0</v>
      </c>
      <c r="M2539" t="s">
        <v>115</v>
      </c>
      <c r="N2539" t="str">
        <f t="shared" si="234"/>
        <v>PO-102538</v>
      </c>
      <c r="O2539" t="str">
        <f t="shared" si="235"/>
        <v>Delivered</v>
      </c>
      <c r="P2539" t="str">
        <f t="shared" si="236"/>
        <v>WH-DEL</v>
      </c>
      <c r="Q2539" t="str">
        <f>VLOOKUP(C2539, Lookups!$A$2:$D$10, 2, FALSE())</f>
        <v>Peripheral Source</v>
      </c>
      <c r="R2539" t="str">
        <f>_xlfn.XLOOKUP(D2539, Lookups!$A$12:$A$51, Lookups!$C$12:$C$51, "Unknown")</f>
        <v>Peripherals</v>
      </c>
      <c r="S2539" t="str">
        <f>IF(ISBLANK(I2539), B2539+VLOOKUP(C2539, Lookups!$A$2:$D$10, 4, FALSE()), I2539)</f>
        <v>2025-07-25</v>
      </c>
      <c r="T2539">
        <f t="shared" si="237"/>
        <v>11</v>
      </c>
      <c r="U2539" t="str">
        <f t="shared" si="238"/>
        <v>Late</v>
      </c>
      <c r="V2539">
        <f t="shared" si="239"/>
        <v>0</v>
      </c>
    </row>
    <row r="2540" spans="1:22" x14ac:dyDescent="0.45">
      <c r="A2540" t="s">
        <v>3396</v>
      </c>
      <c r="B2540" t="s">
        <v>840</v>
      </c>
      <c r="C2540" t="s">
        <v>30</v>
      </c>
      <c r="D2540" t="s">
        <v>61</v>
      </c>
      <c r="E2540" t="s">
        <v>15</v>
      </c>
      <c r="F2540">
        <v>63</v>
      </c>
      <c r="G2540">
        <v>111237</v>
      </c>
      <c r="H2540">
        <v>7007931</v>
      </c>
      <c r="I2540" t="s">
        <v>443</v>
      </c>
      <c r="J2540" t="s">
        <v>443</v>
      </c>
      <c r="K2540">
        <v>63</v>
      </c>
      <c r="L2540">
        <v>0</v>
      </c>
      <c r="M2540" t="s">
        <v>115</v>
      </c>
      <c r="N2540" t="str">
        <f t="shared" si="234"/>
        <v>PO-102539</v>
      </c>
      <c r="O2540" t="str">
        <f t="shared" si="235"/>
        <v>Delivered</v>
      </c>
      <c r="P2540" t="str">
        <f t="shared" si="236"/>
        <v>WH-BOM</v>
      </c>
      <c r="Q2540" t="str">
        <f>VLOOKUP(C2540, Lookups!$A$2:$D$10, 2, FALSE())</f>
        <v>TechSupply Corp</v>
      </c>
      <c r="R2540" t="str">
        <f>_xlfn.XLOOKUP(D2540, Lookups!$A$12:$A$51, Lookups!$C$12:$C$51, "Unknown")</f>
        <v>Electronics</v>
      </c>
      <c r="S2540" t="str">
        <f>IF(ISBLANK(I2540), B2540+VLOOKUP(C2540, Lookups!$A$2:$D$10, 4, FALSE()), I2540)</f>
        <v>2026-03-31</v>
      </c>
      <c r="T2540">
        <f t="shared" si="237"/>
        <v>14</v>
      </c>
      <c r="U2540" t="str">
        <f t="shared" si="238"/>
        <v>On-Time</v>
      </c>
      <c r="V2540">
        <f t="shared" si="239"/>
        <v>0</v>
      </c>
    </row>
    <row r="2541" spans="1:22" x14ac:dyDescent="0.45">
      <c r="A2541" t="s">
        <v>3397</v>
      </c>
      <c r="B2541" t="s">
        <v>431</v>
      </c>
      <c r="C2541" t="s">
        <v>30</v>
      </c>
      <c r="D2541" t="s">
        <v>52</v>
      </c>
      <c r="E2541" t="s">
        <v>17</v>
      </c>
      <c r="F2541">
        <v>79</v>
      </c>
      <c r="G2541">
        <v>59592</v>
      </c>
      <c r="H2541">
        <v>4707768</v>
      </c>
      <c r="I2541" t="s">
        <v>1158</v>
      </c>
      <c r="J2541" t="s">
        <v>1737</v>
      </c>
      <c r="K2541">
        <v>79</v>
      </c>
      <c r="L2541">
        <v>0</v>
      </c>
      <c r="M2541" t="s">
        <v>115</v>
      </c>
      <c r="N2541" t="str">
        <f t="shared" si="234"/>
        <v>PO-102540</v>
      </c>
      <c r="O2541" t="str">
        <f t="shared" si="235"/>
        <v>Delivered</v>
      </c>
      <c r="P2541" t="str">
        <f t="shared" si="236"/>
        <v>WH-BLR</v>
      </c>
      <c r="Q2541" t="str">
        <f>VLOOKUP(C2541, Lookups!$A$2:$D$10, 2, FALSE())</f>
        <v>TechSupply Corp</v>
      </c>
      <c r="R2541" t="str">
        <f>_xlfn.XLOOKUP(D2541, Lookups!$A$12:$A$51, Lookups!$C$12:$C$51, "Unknown")</f>
        <v>Electronics</v>
      </c>
      <c r="S2541" t="str">
        <f>IF(ISBLANK(I2541), B2541+VLOOKUP(C2541, Lookups!$A$2:$D$10, 4, FALSE()), I2541)</f>
        <v>2025-03-30</v>
      </c>
      <c r="T2541">
        <f t="shared" si="237"/>
        <v>15</v>
      </c>
      <c r="U2541" t="str">
        <f t="shared" si="238"/>
        <v>Late</v>
      </c>
      <c r="V2541">
        <f t="shared" si="239"/>
        <v>0</v>
      </c>
    </row>
    <row r="2542" spans="1:22" x14ac:dyDescent="0.45">
      <c r="A2542" t="s">
        <v>3398</v>
      </c>
      <c r="B2542" t="s">
        <v>207</v>
      </c>
      <c r="C2542" t="s">
        <v>30</v>
      </c>
      <c r="D2542" t="s">
        <v>52</v>
      </c>
      <c r="E2542" t="s">
        <v>17</v>
      </c>
      <c r="F2542">
        <v>112</v>
      </c>
      <c r="G2542">
        <v>59592</v>
      </c>
      <c r="H2542">
        <v>6674304</v>
      </c>
      <c r="I2542" t="s">
        <v>1430</v>
      </c>
      <c r="J2542" t="s">
        <v>1430</v>
      </c>
      <c r="K2542">
        <v>112</v>
      </c>
      <c r="L2542">
        <v>0</v>
      </c>
      <c r="M2542" t="s">
        <v>115</v>
      </c>
      <c r="N2542" t="str">
        <f t="shared" si="234"/>
        <v>PO-102541</v>
      </c>
      <c r="O2542" t="str">
        <f t="shared" si="235"/>
        <v>Delivered</v>
      </c>
      <c r="P2542" t="str">
        <f t="shared" si="236"/>
        <v>WH-BLR</v>
      </c>
      <c r="Q2542" t="str">
        <f>VLOOKUP(C2542, Lookups!$A$2:$D$10, 2, FALSE())</f>
        <v>TechSupply Corp</v>
      </c>
      <c r="R2542" t="str">
        <f>_xlfn.XLOOKUP(D2542, Lookups!$A$12:$A$51, Lookups!$C$12:$C$51, "Unknown")</f>
        <v>Electronics</v>
      </c>
      <c r="S2542" t="str">
        <f>IF(ISBLANK(I2542), B2542+VLOOKUP(C2542, Lookups!$A$2:$D$10, 4, FALSE()), I2542)</f>
        <v>2025-12-28</v>
      </c>
      <c r="T2542">
        <f t="shared" si="237"/>
        <v>14</v>
      </c>
      <c r="U2542" t="str">
        <f t="shared" si="238"/>
        <v>On-Time</v>
      </c>
      <c r="V2542">
        <f t="shared" si="239"/>
        <v>0</v>
      </c>
    </row>
    <row r="2543" spans="1:22" x14ac:dyDescent="0.45">
      <c r="A2543" t="s">
        <v>3399</v>
      </c>
      <c r="B2543" t="s">
        <v>304</v>
      </c>
      <c r="C2543" t="s">
        <v>36</v>
      </c>
      <c r="D2543" t="s">
        <v>63</v>
      </c>
      <c r="E2543" t="s">
        <v>15</v>
      </c>
      <c r="F2543">
        <v>122</v>
      </c>
      <c r="G2543">
        <v>71062</v>
      </c>
      <c r="H2543">
        <v>8669564</v>
      </c>
      <c r="I2543" t="s">
        <v>428</v>
      </c>
      <c r="J2543" t="s">
        <v>679</v>
      </c>
      <c r="K2543">
        <v>122</v>
      </c>
      <c r="L2543">
        <v>0</v>
      </c>
      <c r="M2543" t="s">
        <v>115</v>
      </c>
      <c r="N2543" t="str">
        <f t="shared" si="234"/>
        <v>PO-102542</v>
      </c>
      <c r="O2543" t="str">
        <f t="shared" si="235"/>
        <v>Delivered</v>
      </c>
      <c r="P2543" t="str">
        <f t="shared" si="236"/>
        <v>WH-BOM</v>
      </c>
      <c r="Q2543" t="str">
        <f>VLOOKUP(C2543, Lookups!$A$2:$D$10, 2, FALSE())</f>
        <v>NextGen Hardware</v>
      </c>
      <c r="R2543" t="str">
        <f>_xlfn.XLOOKUP(D2543, Lookups!$A$12:$A$51, Lookups!$C$12:$C$51, "Unknown")</f>
        <v>Electronics</v>
      </c>
      <c r="S2543" t="str">
        <f>IF(ISBLANK(I2543), B2543+VLOOKUP(C2543, Lookups!$A$2:$D$10, 4, FALSE()), I2543)</f>
        <v>2026-07-17</v>
      </c>
      <c r="T2543">
        <f t="shared" si="237"/>
        <v>27</v>
      </c>
      <c r="U2543" t="str">
        <f t="shared" si="238"/>
        <v>Late</v>
      </c>
      <c r="V2543">
        <f t="shared" si="239"/>
        <v>0</v>
      </c>
    </row>
    <row r="2544" spans="1:22" x14ac:dyDescent="0.45">
      <c r="A2544" t="s">
        <v>3400</v>
      </c>
      <c r="B2544" t="s">
        <v>370</v>
      </c>
      <c r="C2544" t="s">
        <v>34</v>
      </c>
      <c r="D2544" t="s">
        <v>54</v>
      </c>
      <c r="E2544" t="s">
        <v>16</v>
      </c>
      <c r="F2544">
        <v>178</v>
      </c>
      <c r="G2544">
        <v>22314</v>
      </c>
      <c r="H2544">
        <v>3971892</v>
      </c>
      <c r="I2544" t="s">
        <v>446</v>
      </c>
      <c r="J2544" t="s">
        <v>1574</v>
      </c>
      <c r="K2544">
        <v>178</v>
      </c>
      <c r="L2544">
        <v>0</v>
      </c>
      <c r="M2544" t="s">
        <v>115</v>
      </c>
      <c r="N2544" t="str">
        <f t="shared" si="234"/>
        <v>PO-102543</v>
      </c>
      <c r="O2544" t="str">
        <f t="shared" si="235"/>
        <v>Delivered</v>
      </c>
      <c r="P2544" t="str">
        <f t="shared" si="236"/>
        <v>WH-DEL</v>
      </c>
      <c r="Q2544" t="str">
        <f>VLOOKUP(C2544, Lookups!$A$2:$D$10, 2, FALSE())</f>
        <v>FastElectronics</v>
      </c>
      <c r="R2544" t="str">
        <f>_xlfn.XLOOKUP(D2544, Lookups!$A$12:$A$51, Lookups!$C$12:$C$51, "Unknown")</f>
        <v>Networking</v>
      </c>
      <c r="S2544" t="str">
        <f>IF(ISBLANK(I2544), B2544+VLOOKUP(C2544, Lookups!$A$2:$D$10, 4, FALSE()), I2544)</f>
        <v>2025-11-29</v>
      </c>
      <c r="T2544">
        <f t="shared" si="237"/>
        <v>19</v>
      </c>
      <c r="U2544" t="str">
        <f t="shared" si="238"/>
        <v>Late</v>
      </c>
      <c r="V2544">
        <f t="shared" si="239"/>
        <v>0</v>
      </c>
    </row>
    <row r="2545" spans="1:22" x14ac:dyDescent="0.45">
      <c r="A2545" t="s">
        <v>3401</v>
      </c>
      <c r="B2545" t="s">
        <v>784</v>
      </c>
      <c r="C2545" t="s">
        <v>30</v>
      </c>
      <c r="D2545" t="s">
        <v>61</v>
      </c>
      <c r="E2545" t="s">
        <v>18</v>
      </c>
      <c r="F2545">
        <v>130</v>
      </c>
      <c r="G2545">
        <v>111237</v>
      </c>
      <c r="H2545">
        <v>14460810</v>
      </c>
      <c r="I2545" t="s">
        <v>138</v>
      </c>
      <c r="J2545" t="s">
        <v>1252</v>
      </c>
      <c r="K2545">
        <v>130</v>
      </c>
      <c r="L2545">
        <v>0</v>
      </c>
      <c r="M2545" t="s">
        <v>115</v>
      </c>
      <c r="N2545" t="str">
        <f t="shared" si="234"/>
        <v>PO-102544</v>
      </c>
      <c r="O2545" t="str">
        <f t="shared" si="235"/>
        <v>Delivered</v>
      </c>
      <c r="P2545" t="str">
        <f t="shared" si="236"/>
        <v>WH-PUN</v>
      </c>
      <c r="Q2545" t="str">
        <f>VLOOKUP(C2545, Lookups!$A$2:$D$10, 2, FALSE())</f>
        <v>TechSupply Corp</v>
      </c>
      <c r="R2545" t="str">
        <f>_xlfn.XLOOKUP(D2545, Lookups!$A$12:$A$51, Lookups!$C$12:$C$51, "Unknown")</f>
        <v>Electronics</v>
      </c>
      <c r="S2545" t="str">
        <f>IF(ISBLANK(I2545), B2545+VLOOKUP(C2545, Lookups!$A$2:$D$10, 4, FALSE()), I2545)</f>
        <v>2025-09-26</v>
      </c>
      <c r="T2545">
        <f t="shared" si="237"/>
        <v>19</v>
      </c>
      <c r="U2545" t="str">
        <f t="shared" si="238"/>
        <v>Late</v>
      </c>
      <c r="V2545">
        <f t="shared" si="239"/>
        <v>0</v>
      </c>
    </row>
    <row r="2546" spans="1:22" x14ac:dyDescent="0.45">
      <c r="A2546" t="s">
        <v>3402</v>
      </c>
      <c r="B2546" t="s">
        <v>1019</v>
      </c>
      <c r="C2546" t="s">
        <v>34</v>
      </c>
      <c r="D2546" t="s">
        <v>80</v>
      </c>
      <c r="E2546" t="s">
        <v>18</v>
      </c>
      <c r="F2546">
        <v>244</v>
      </c>
      <c r="G2546">
        <v>19090</v>
      </c>
      <c r="H2546">
        <v>4657960</v>
      </c>
      <c r="I2546" t="s">
        <v>1593</v>
      </c>
      <c r="J2546" t="s">
        <v>993</v>
      </c>
      <c r="K2546">
        <v>244</v>
      </c>
      <c r="L2546">
        <v>0</v>
      </c>
      <c r="M2546" t="s">
        <v>115</v>
      </c>
      <c r="N2546" t="str">
        <f t="shared" si="234"/>
        <v>PO-102545</v>
      </c>
      <c r="O2546" t="str">
        <f t="shared" si="235"/>
        <v>Delivered</v>
      </c>
      <c r="P2546" t="str">
        <f t="shared" si="236"/>
        <v>WH-PUN</v>
      </c>
      <c r="Q2546" t="str">
        <f>VLOOKUP(C2546, Lookups!$A$2:$D$10, 2, FALSE())</f>
        <v>FastElectronics</v>
      </c>
      <c r="R2546" t="str">
        <f>_xlfn.XLOOKUP(D2546, Lookups!$A$12:$A$51, Lookups!$C$12:$C$51, "Unknown")</f>
        <v>Networking</v>
      </c>
      <c r="S2546" t="str">
        <f>IF(ISBLANK(I2546), B2546+VLOOKUP(C2546, Lookups!$A$2:$D$10, 4, FALSE()), I2546)</f>
        <v>2025-05-27</v>
      </c>
      <c r="T2546">
        <f t="shared" si="237"/>
        <v>19</v>
      </c>
      <c r="U2546" t="str">
        <f t="shared" si="238"/>
        <v>Late</v>
      </c>
      <c r="V2546">
        <f t="shared" si="239"/>
        <v>0</v>
      </c>
    </row>
    <row r="2547" spans="1:22" x14ac:dyDescent="0.45">
      <c r="A2547" t="s">
        <v>3403</v>
      </c>
      <c r="B2547" t="s">
        <v>930</v>
      </c>
      <c r="C2547" t="s">
        <v>32</v>
      </c>
      <c r="D2547" t="s">
        <v>84</v>
      </c>
      <c r="E2547" t="s">
        <v>15</v>
      </c>
      <c r="F2547">
        <v>158</v>
      </c>
      <c r="G2547">
        <v>7271</v>
      </c>
      <c r="H2547">
        <v>1148818</v>
      </c>
      <c r="I2547" t="s">
        <v>447</v>
      </c>
      <c r="J2547" t="s">
        <v>448</v>
      </c>
      <c r="K2547">
        <v>158</v>
      </c>
      <c r="L2547">
        <v>0</v>
      </c>
      <c r="M2547" t="s">
        <v>115</v>
      </c>
      <c r="N2547" t="str">
        <f t="shared" si="234"/>
        <v>PO-102546</v>
      </c>
      <c r="O2547" t="str">
        <f t="shared" si="235"/>
        <v>Delivered</v>
      </c>
      <c r="P2547" t="str">
        <f t="shared" si="236"/>
        <v>WH-BOM</v>
      </c>
      <c r="Q2547" t="str">
        <f>VLOOKUP(C2547, Lookups!$A$2:$D$10, 2, FALSE())</f>
        <v>OfficeDepot Pro</v>
      </c>
      <c r="R2547" t="str">
        <f>_xlfn.XLOOKUP(D2547, Lookups!$A$12:$A$51, Lookups!$C$12:$C$51, "Unknown")</f>
        <v>Peripherals</v>
      </c>
      <c r="S2547" t="str">
        <f>IF(ISBLANK(I2547), B2547+VLOOKUP(C2547, Lookups!$A$2:$D$10, 4, FALSE()), I2547)</f>
        <v>2025-12-17</v>
      </c>
      <c r="T2547">
        <f t="shared" si="237"/>
        <v>8</v>
      </c>
      <c r="U2547" t="str">
        <f t="shared" si="238"/>
        <v>Late</v>
      </c>
      <c r="V2547">
        <f t="shared" si="239"/>
        <v>0</v>
      </c>
    </row>
    <row r="2548" spans="1:22" x14ac:dyDescent="0.45">
      <c r="A2548" t="s">
        <v>3404</v>
      </c>
      <c r="B2548" t="s">
        <v>149</v>
      </c>
      <c r="C2548" t="s">
        <v>34</v>
      </c>
      <c r="D2548" t="s">
        <v>81</v>
      </c>
      <c r="E2548" t="s">
        <v>17</v>
      </c>
      <c r="F2548">
        <v>159</v>
      </c>
      <c r="G2548">
        <v>55328</v>
      </c>
      <c r="H2548">
        <v>8797152</v>
      </c>
      <c r="I2548" t="s">
        <v>963</v>
      </c>
      <c r="J2548" t="s">
        <v>1221</v>
      </c>
      <c r="K2548">
        <v>159</v>
      </c>
      <c r="L2548">
        <v>0</v>
      </c>
      <c r="M2548" t="s">
        <v>115</v>
      </c>
      <c r="N2548" t="str">
        <f t="shared" si="234"/>
        <v>PO-102547</v>
      </c>
      <c r="O2548" t="str">
        <f t="shared" si="235"/>
        <v>Delivered</v>
      </c>
      <c r="P2548" t="str">
        <f t="shared" si="236"/>
        <v>WH-BLR</v>
      </c>
      <c r="Q2548" t="str">
        <f>VLOOKUP(C2548, Lookups!$A$2:$D$10, 2, FALSE())</f>
        <v>FastElectronics</v>
      </c>
      <c r="R2548" t="str">
        <f>_xlfn.XLOOKUP(D2548, Lookups!$A$12:$A$51, Lookups!$C$12:$C$51, "Unknown")</f>
        <v>Electronics</v>
      </c>
      <c r="S2548" t="str">
        <f>IF(ISBLANK(I2548), B2548+VLOOKUP(C2548, Lookups!$A$2:$D$10, 4, FALSE()), I2548)</f>
        <v>2026-04-21</v>
      </c>
      <c r="T2548">
        <f t="shared" si="237"/>
        <v>19</v>
      </c>
      <c r="U2548" t="str">
        <f t="shared" si="238"/>
        <v>Late</v>
      </c>
      <c r="V2548">
        <f t="shared" si="239"/>
        <v>0</v>
      </c>
    </row>
    <row r="2549" spans="1:22" x14ac:dyDescent="0.45">
      <c r="A2549" t="s">
        <v>3405</v>
      </c>
      <c r="B2549" t="s">
        <v>431</v>
      </c>
      <c r="C2549" t="s">
        <v>31</v>
      </c>
      <c r="D2549" t="s">
        <v>64</v>
      </c>
      <c r="E2549" t="s">
        <v>18</v>
      </c>
      <c r="F2549">
        <v>135</v>
      </c>
      <c r="G2549">
        <v>36295</v>
      </c>
      <c r="H2549">
        <v>4899825</v>
      </c>
      <c r="I2549" t="s">
        <v>397</v>
      </c>
      <c r="J2549" t="s">
        <v>1265</v>
      </c>
      <c r="K2549">
        <v>135</v>
      </c>
      <c r="L2549">
        <v>0</v>
      </c>
      <c r="M2549" t="s">
        <v>115</v>
      </c>
      <c r="N2549" t="str">
        <f t="shared" si="234"/>
        <v>PO-102548</v>
      </c>
      <c r="O2549" t="str">
        <f t="shared" si="235"/>
        <v>Delivered</v>
      </c>
      <c r="P2549" t="str">
        <f t="shared" si="236"/>
        <v>WH-PUN</v>
      </c>
      <c r="Q2549" t="str">
        <f>VLOOKUP(C2549, Lookups!$A$2:$D$10, 2, FALSE())</f>
        <v>Global Networks</v>
      </c>
      <c r="R2549" t="str">
        <f>_xlfn.XLOOKUP(D2549, Lookups!$A$12:$A$51, Lookups!$C$12:$C$51, "Unknown")</f>
        <v>Networking</v>
      </c>
      <c r="S2549" t="str">
        <f>IF(ISBLANK(I2549), B2549+VLOOKUP(C2549, Lookups!$A$2:$D$10, 4, FALSE()), I2549)</f>
        <v>2025-04-06</v>
      </c>
      <c r="T2549">
        <f t="shared" si="237"/>
        <v>22</v>
      </c>
      <c r="U2549" t="str">
        <f t="shared" si="238"/>
        <v>Late</v>
      </c>
      <c r="V2549">
        <f t="shared" si="239"/>
        <v>0</v>
      </c>
    </row>
    <row r="2550" spans="1:22" x14ac:dyDescent="0.45">
      <c r="A2550" t="s">
        <v>3406</v>
      </c>
      <c r="B2550" t="s">
        <v>1206</v>
      </c>
      <c r="C2550" t="s">
        <v>37</v>
      </c>
      <c r="D2550" t="s">
        <v>78</v>
      </c>
      <c r="E2550" t="s">
        <v>17</v>
      </c>
      <c r="F2550">
        <v>191</v>
      </c>
      <c r="G2550">
        <v>9423</v>
      </c>
      <c r="H2550">
        <v>1799793</v>
      </c>
      <c r="I2550" t="s">
        <v>222</v>
      </c>
      <c r="J2550" t="s">
        <v>222</v>
      </c>
      <c r="K2550">
        <v>191</v>
      </c>
      <c r="L2550">
        <v>0</v>
      </c>
      <c r="M2550" t="s">
        <v>115</v>
      </c>
      <c r="N2550" t="str">
        <f t="shared" si="234"/>
        <v>PO-102549</v>
      </c>
      <c r="O2550" t="str">
        <f t="shared" si="235"/>
        <v>Delivered</v>
      </c>
      <c r="P2550" t="str">
        <f t="shared" si="236"/>
        <v>WH-BLR</v>
      </c>
      <c r="Q2550" t="str">
        <f>VLOOKUP(C2550, Lookups!$A$2:$D$10, 2, FALSE())</f>
        <v>Premium Desks Ltd</v>
      </c>
      <c r="R2550" t="str">
        <f>_xlfn.XLOOKUP(D2550, Lookups!$A$12:$A$51, Lookups!$C$12:$C$51, "Unknown")</f>
        <v>Office Furniture</v>
      </c>
      <c r="S2550" t="str">
        <f>IF(ISBLANK(I2550), B2550+VLOOKUP(C2550, Lookups!$A$2:$D$10, 4, FALSE()), I2550)</f>
        <v>2026-03-01</v>
      </c>
      <c r="T2550">
        <f t="shared" si="237"/>
        <v>12</v>
      </c>
      <c r="U2550" t="str">
        <f t="shared" si="238"/>
        <v>On-Time</v>
      </c>
      <c r="V2550">
        <f t="shared" si="239"/>
        <v>0</v>
      </c>
    </row>
    <row r="2551" spans="1:22" x14ac:dyDescent="0.45">
      <c r="A2551" t="s">
        <v>3407</v>
      </c>
      <c r="B2551" t="s">
        <v>165</v>
      </c>
      <c r="C2551" t="s">
        <v>37</v>
      </c>
      <c r="D2551" t="s">
        <v>79</v>
      </c>
      <c r="E2551" t="s">
        <v>18</v>
      </c>
      <c r="F2551">
        <v>175</v>
      </c>
      <c r="G2551">
        <v>23054</v>
      </c>
      <c r="H2551">
        <v>4034450</v>
      </c>
      <c r="I2551" t="s">
        <v>1547</v>
      </c>
      <c r="J2551" t="s">
        <v>1547</v>
      </c>
      <c r="K2551">
        <v>96</v>
      </c>
      <c r="L2551">
        <v>0</v>
      </c>
      <c r="M2551" t="s">
        <v>115</v>
      </c>
      <c r="N2551" t="str">
        <f t="shared" si="234"/>
        <v>PO-102550</v>
      </c>
      <c r="O2551" t="str">
        <f t="shared" si="235"/>
        <v>Delivered</v>
      </c>
      <c r="P2551" t="str">
        <f t="shared" si="236"/>
        <v>WH-PUN</v>
      </c>
      <c r="Q2551" t="str">
        <f>VLOOKUP(C2551, Lookups!$A$2:$D$10, 2, FALSE())</f>
        <v>Premium Desks Ltd</v>
      </c>
      <c r="R2551" t="str">
        <f>_xlfn.XLOOKUP(D2551, Lookups!$A$12:$A$51, Lookups!$C$12:$C$51, "Unknown")</f>
        <v>Office Furniture</v>
      </c>
      <c r="S2551" t="str">
        <f>IF(ISBLANK(I2551), B2551+VLOOKUP(C2551, Lookups!$A$2:$D$10, 4, FALSE()), I2551)</f>
        <v>2026-03-03</v>
      </c>
      <c r="T2551">
        <f t="shared" si="237"/>
        <v>12</v>
      </c>
      <c r="U2551" t="str">
        <f t="shared" si="238"/>
        <v>On-Time</v>
      </c>
      <c r="V2551">
        <f t="shared" si="239"/>
        <v>0</v>
      </c>
    </row>
    <row r="2552" spans="1:22" x14ac:dyDescent="0.45">
      <c r="A2552" t="s">
        <v>3408</v>
      </c>
      <c r="B2552" t="s">
        <v>2204</v>
      </c>
      <c r="C2552" t="s">
        <v>34</v>
      </c>
      <c r="D2552" t="s">
        <v>58</v>
      </c>
      <c r="E2552" t="s">
        <v>18</v>
      </c>
      <c r="F2552">
        <v>125</v>
      </c>
      <c r="G2552">
        <v>100302</v>
      </c>
      <c r="H2552">
        <v>12537750</v>
      </c>
      <c r="I2552" t="s">
        <v>649</v>
      </c>
      <c r="J2552" t="s">
        <v>252</v>
      </c>
      <c r="K2552">
        <v>125</v>
      </c>
      <c r="L2552">
        <v>7</v>
      </c>
      <c r="M2552" t="s">
        <v>115</v>
      </c>
      <c r="N2552" t="str">
        <f t="shared" si="234"/>
        <v>PO-102551</v>
      </c>
      <c r="O2552" t="str">
        <f t="shared" si="235"/>
        <v>Delivered</v>
      </c>
      <c r="P2552" t="str">
        <f t="shared" si="236"/>
        <v>WH-PUN</v>
      </c>
      <c r="Q2552" t="str">
        <f>VLOOKUP(C2552, Lookups!$A$2:$D$10, 2, FALSE())</f>
        <v>FastElectronics</v>
      </c>
      <c r="R2552" t="str">
        <f>_xlfn.XLOOKUP(D2552, Lookups!$A$12:$A$51, Lookups!$C$12:$C$51, "Unknown")</f>
        <v>Electronics</v>
      </c>
      <c r="S2552" t="str">
        <f>IF(ISBLANK(I2552), B2552+VLOOKUP(C2552, Lookups!$A$2:$D$10, 4, FALSE()), I2552)</f>
        <v>2025-08-18</v>
      </c>
      <c r="T2552">
        <f t="shared" si="237"/>
        <v>19</v>
      </c>
      <c r="U2552" t="str">
        <f t="shared" si="238"/>
        <v>Late</v>
      </c>
      <c r="V2552">
        <f t="shared" si="239"/>
        <v>5.6000000000000001E-2</v>
      </c>
    </row>
    <row r="2553" spans="1:22" x14ac:dyDescent="0.45">
      <c r="A2553" t="s">
        <v>3409</v>
      </c>
      <c r="B2553" t="s">
        <v>420</v>
      </c>
      <c r="C2553" t="s">
        <v>30</v>
      </c>
      <c r="D2553" t="s">
        <v>86</v>
      </c>
      <c r="E2553" t="s">
        <v>16</v>
      </c>
      <c r="F2553">
        <v>58</v>
      </c>
      <c r="G2553">
        <v>74871</v>
      </c>
      <c r="H2553">
        <v>4342518</v>
      </c>
      <c r="I2553" t="s">
        <v>1740</v>
      </c>
      <c r="J2553" t="s">
        <v>143</v>
      </c>
      <c r="K2553">
        <v>58</v>
      </c>
      <c r="L2553">
        <v>0</v>
      </c>
      <c r="M2553" t="s">
        <v>115</v>
      </c>
      <c r="N2553" t="str">
        <f t="shared" si="234"/>
        <v>PO-102552</v>
      </c>
      <c r="O2553" t="str">
        <f t="shared" si="235"/>
        <v>Delivered</v>
      </c>
      <c r="P2553" t="str">
        <f t="shared" si="236"/>
        <v>WH-DEL</v>
      </c>
      <c r="Q2553" t="str">
        <f>VLOOKUP(C2553, Lookups!$A$2:$D$10, 2, FALSE())</f>
        <v>TechSupply Corp</v>
      </c>
      <c r="R2553" t="str">
        <f>_xlfn.XLOOKUP(D2553, Lookups!$A$12:$A$51, Lookups!$C$12:$C$51, "Unknown")</f>
        <v>Electronics</v>
      </c>
      <c r="S2553" t="str">
        <f>IF(ISBLANK(I2553), B2553+VLOOKUP(C2553, Lookups!$A$2:$D$10, 4, FALSE()), I2553)</f>
        <v>2026-08-05</v>
      </c>
      <c r="T2553">
        <f t="shared" si="237"/>
        <v>12</v>
      </c>
      <c r="U2553" t="str">
        <f t="shared" si="238"/>
        <v>On-Time</v>
      </c>
      <c r="V2553">
        <f t="shared" si="239"/>
        <v>0</v>
      </c>
    </row>
    <row r="2554" spans="1:22" x14ac:dyDescent="0.45">
      <c r="A2554" t="s">
        <v>3410</v>
      </c>
      <c r="B2554" t="s">
        <v>911</v>
      </c>
      <c r="C2554" t="s">
        <v>32</v>
      </c>
      <c r="D2554" t="s">
        <v>84</v>
      </c>
      <c r="E2554" t="s">
        <v>15</v>
      </c>
      <c r="F2554">
        <v>36</v>
      </c>
      <c r="G2554">
        <v>7271</v>
      </c>
      <c r="H2554">
        <v>261756</v>
      </c>
      <c r="I2554" t="s">
        <v>571</v>
      </c>
      <c r="J2554" t="s">
        <v>1377</v>
      </c>
      <c r="K2554">
        <v>36</v>
      </c>
      <c r="L2554">
        <v>2</v>
      </c>
      <c r="M2554" t="s">
        <v>115</v>
      </c>
      <c r="N2554" t="str">
        <f t="shared" si="234"/>
        <v>PO-102553</v>
      </c>
      <c r="O2554" t="str">
        <f t="shared" si="235"/>
        <v>Delivered</v>
      </c>
      <c r="P2554" t="str">
        <f t="shared" si="236"/>
        <v>WH-BOM</v>
      </c>
      <c r="Q2554" t="str">
        <f>VLOOKUP(C2554, Lookups!$A$2:$D$10, 2, FALSE())</f>
        <v>OfficeDepot Pro</v>
      </c>
      <c r="R2554" t="str">
        <f>_xlfn.XLOOKUP(D2554, Lookups!$A$12:$A$51, Lookups!$C$12:$C$51, "Unknown")</f>
        <v>Peripherals</v>
      </c>
      <c r="S2554" t="str">
        <f>IF(ISBLANK(I2554), B2554+VLOOKUP(C2554, Lookups!$A$2:$D$10, 4, FALSE()), I2554)</f>
        <v>2025-04-16</v>
      </c>
      <c r="T2554">
        <f t="shared" si="237"/>
        <v>8</v>
      </c>
      <c r="U2554" t="str">
        <f t="shared" si="238"/>
        <v>Late</v>
      </c>
      <c r="V2554">
        <f t="shared" si="239"/>
        <v>5.5555555555555552E-2</v>
      </c>
    </row>
    <row r="2555" spans="1:22" x14ac:dyDescent="0.45">
      <c r="A2555" t="s">
        <v>3411</v>
      </c>
      <c r="B2555" t="s">
        <v>685</v>
      </c>
      <c r="C2555" t="s">
        <v>35</v>
      </c>
      <c r="D2555" t="s">
        <v>60</v>
      </c>
      <c r="E2555" t="s">
        <v>15</v>
      </c>
      <c r="F2555">
        <v>232</v>
      </c>
      <c r="G2555">
        <v>3291</v>
      </c>
      <c r="H2555">
        <v>763512</v>
      </c>
      <c r="I2555" t="s">
        <v>1084</v>
      </c>
      <c r="J2555" t="s">
        <v>443</v>
      </c>
      <c r="K2555">
        <v>232</v>
      </c>
      <c r="L2555">
        <v>0</v>
      </c>
      <c r="M2555" t="s">
        <v>115</v>
      </c>
      <c r="N2555" t="str">
        <f t="shared" si="234"/>
        <v>PO-102554</v>
      </c>
      <c r="O2555" t="str">
        <f t="shared" si="235"/>
        <v>Delivered</v>
      </c>
      <c r="P2555" t="str">
        <f t="shared" si="236"/>
        <v>WH-BOM</v>
      </c>
      <c r="Q2555" t="str">
        <f>VLOOKUP(C2555, Lookups!$A$2:$D$10, 2, FALSE())</f>
        <v>Peripheral Source</v>
      </c>
      <c r="R2555" t="str">
        <f>_xlfn.XLOOKUP(D2555, Lookups!$A$12:$A$51, Lookups!$C$12:$C$51, "Unknown")</f>
        <v>Peripherals</v>
      </c>
      <c r="S2555" t="str">
        <f>IF(ISBLANK(I2555), B2555+VLOOKUP(C2555, Lookups!$A$2:$D$10, 4, FALSE()), I2555)</f>
        <v>2026-03-20</v>
      </c>
      <c r="T2555">
        <f t="shared" si="237"/>
        <v>21</v>
      </c>
      <c r="U2555" t="str">
        <f t="shared" si="238"/>
        <v>Late</v>
      </c>
      <c r="V2555">
        <f t="shared" si="239"/>
        <v>0</v>
      </c>
    </row>
    <row r="2556" spans="1:22" x14ac:dyDescent="0.45">
      <c r="A2556" t="s">
        <v>3412</v>
      </c>
      <c r="B2556" t="s">
        <v>383</v>
      </c>
      <c r="C2556" t="s">
        <v>35</v>
      </c>
      <c r="D2556" t="s">
        <v>91</v>
      </c>
      <c r="E2556" t="s">
        <v>17</v>
      </c>
      <c r="F2556">
        <v>59</v>
      </c>
      <c r="G2556">
        <v>6707</v>
      </c>
      <c r="H2556">
        <v>395713</v>
      </c>
      <c r="K2556">
        <v>0</v>
      </c>
      <c r="L2556">
        <v>0</v>
      </c>
      <c r="M2556" t="s">
        <v>297</v>
      </c>
      <c r="N2556" t="str">
        <f t="shared" si="234"/>
        <v>PO-102555</v>
      </c>
      <c r="O2556" t="str">
        <f t="shared" si="235"/>
        <v>Open</v>
      </c>
      <c r="P2556" t="str">
        <f t="shared" si="236"/>
        <v>WH-BLR</v>
      </c>
      <c r="Q2556" t="str">
        <f>VLOOKUP(C2556, Lookups!$A$2:$D$10, 2, FALSE())</f>
        <v>Peripheral Source</v>
      </c>
      <c r="R2556" t="str">
        <f>_xlfn.XLOOKUP(D2556, Lookups!$A$12:$A$51, Lookups!$C$12:$C$51, "Unknown")</f>
        <v>Peripherals</v>
      </c>
      <c r="S2556">
        <f>IF(ISBLANK(I2556), B2556+VLOOKUP(C2556, Lookups!$A$2:$D$10, 4, FALSE()), I2556)</f>
        <v>46377</v>
      </c>
      <c r="T2556" t="str">
        <f t="shared" si="237"/>
        <v/>
      </c>
      <c r="U2556" t="str">
        <f t="shared" si="238"/>
        <v>Open</v>
      </c>
      <c r="V2556">
        <f t="shared" si="239"/>
        <v>0</v>
      </c>
    </row>
    <row r="2557" spans="1:22" x14ac:dyDescent="0.45">
      <c r="A2557" t="s">
        <v>3413</v>
      </c>
      <c r="B2557" t="s">
        <v>954</v>
      </c>
      <c r="C2557" t="s">
        <v>32</v>
      </c>
      <c r="D2557" t="s">
        <v>67</v>
      </c>
      <c r="E2557" t="s">
        <v>18</v>
      </c>
      <c r="F2557">
        <v>149</v>
      </c>
      <c r="G2557">
        <v>1553</v>
      </c>
      <c r="H2557">
        <v>231397</v>
      </c>
      <c r="I2557" t="s">
        <v>694</v>
      </c>
      <c r="J2557" t="s">
        <v>296</v>
      </c>
      <c r="K2557">
        <v>149</v>
      </c>
      <c r="L2557">
        <v>0</v>
      </c>
      <c r="M2557" t="s">
        <v>115</v>
      </c>
      <c r="N2557" t="str">
        <f t="shared" si="234"/>
        <v>PO-102556</v>
      </c>
      <c r="O2557" t="str">
        <f t="shared" si="235"/>
        <v>Delivered</v>
      </c>
      <c r="P2557" t="str">
        <f t="shared" si="236"/>
        <v>WH-PUN</v>
      </c>
      <c r="Q2557" t="str">
        <f>VLOOKUP(C2557, Lookups!$A$2:$D$10, 2, FALSE())</f>
        <v>OfficeDepot Pro</v>
      </c>
      <c r="R2557" t="str">
        <f>_xlfn.XLOOKUP(D2557, Lookups!$A$12:$A$51, Lookups!$C$12:$C$51, "Unknown")</f>
        <v>Peripherals</v>
      </c>
      <c r="S2557" t="str">
        <f>IF(ISBLANK(I2557), B2557+VLOOKUP(C2557, Lookups!$A$2:$D$10, 4, FALSE()), I2557)</f>
        <v>2026-11-23</v>
      </c>
      <c r="T2557">
        <f t="shared" si="237"/>
        <v>8</v>
      </c>
      <c r="U2557" t="str">
        <f t="shared" si="238"/>
        <v>Late</v>
      </c>
      <c r="V2557">
        <f t="shared" si="239"/>
        <v>0</v>
      </c>
    </row>
    <row r="2558" spans="1:22" x14ac:dyDescent="0.45">
      <c r="A2558" t="s">
        <v>3414</v>
      </c>
      <c r="B2558" t="s">
        <v>1158</v>
      </c>
      <c r="C2558" t="s">
        <v>35</v>
      </c>
      <c r="D2558" t="s">
        <v>72</v>
      </c>
      <c r="E2558" t="s">
        <v>15</v>
      </c>
      <c r="F2558">
        <v>15</v>
      </c>
      <c r="G2558">
        <v>7754</v>
      </c>
      <c r="H2558">
        <v>116310</v>
      </c>
      <c r="I2558" t="s">
        <v>911</v>
      </c>
      <c r="J2558" t="s">
        <v>1165</v>
      </c>
      <c r="K2558">
        <v>13</v>
      </c>
      <c r="L2558">
        <v>0</v>
      </c>
      <c r="M2558" t="s">
        <v>115</v>
      </c>
      <c r="N2558" t="str">
        <f t="shared" si="234"/>
        <v>PO-102557</v>
      </c>
      <c r="O2558" t="str">
        <f t="shared" si="235"/>
        <v>Delivered</v>
      </c>
      <c r="P2558" t="str">
        <f t="shared" si="236"/>
        <v>WH-BOM</v>
      </c>
      <c r="Q2558" t="str">
        <f>VLOOKUP(C2558, Lookups!$A$2:$D$10, 2, FALSE())</f>
        <v>Peripheral Source</v>
      </c>
      <c r="R2558" t="str">
        <f>_xlfn.XLOOKUP(D2558, Lookups!$A$12:$A$51, Lookups!$C$12:$C$51, "Unknown")</f>
        <v>Peripherals</v>
      </c>
      <c r="S2558" t="str">
        <f>IF(ISBLANK(I2558), B2558+VLOOKUP(C2558, Lookups!$A$2:$D$10, 4, FALSE()), I2558)</f>
        <v>2025-04-09</v>
      </c>
      <c r="T2558">
        <f t="shared" si="237"/>
        <v>11</v>
      </c>
      <c r="U2558" t="str">
        <f t="shared" si="238"/>
        <v>Late</v>
      </c>
      <c r="V2558">
        <f t="shared" si="239"/>
        <v>0</v>
      </c>
    </row>
    <row r="2559" spans="1:22" x14ac:dyDescent="0.45">
      <c r="A2559" t="s">
        <v>3415</v>
      </c>
      <c r="B2559" t="s">
        <v>274</v>
      </c>
      <c r="C2559" t="s">
        <v>34</v>
      </c>
      <c r="D2559" t="s">
        <v>76</v>
      </c>
      <c r="E2559" t="s">
        <v>17</v>
      </c>
      <c r="F2559">
        <v>25</v>
      </c>
      <c r="G2559">
        <v>26270</v>
      </c>
      <c r="H2559">
        <v>656750</v>
      </c>
      <c r="I2559" t="s">
        <v>1783</v>
      </c>
      <c r="J2559" t="s">
        <v>1783</v>
      </c>
      <c r="K2559">
        <v>25</v>
      </c>
      <c r="L2559">
        <v>0</v>
      </c>
      <c r="M2559" t="s">
        <v>115</v>
      </c>
      <c r="N2559" t="str">
        <f t="shared" si="234"/>
        <v>PO-102558</v>
      </c>
      <c r="O2559" t="str">
        <f t="shared" si="235"/>
        <v>Delivered</v>
      </c>
      <c r="P2559" t="str">
        <f t="shared" si="236"/>
        <v>WH-BLR</v>
      </c>
      <c r="Q2559" t="str">
        <f>VLOOKUP(C2559, Lookups!$A$2:$D$10, 2, FALSE())</f>
        <v>FastElectronics</v>
      </c>
      <c r="R2559" t="str">
        <f>_xlfn.XLOOKUP(D2559, Lookups!$A$12:$A$51, Lookups!$C$12:$C$51, "Unknown")</f>
        <v>Networking</v>
      </c>
      <c r="S2559" t="str">
        <f>IF(ISBLANK(I2559), B2559+VLOOKUP(C2559, Lookups!$A$2:$D$10, 4, FALSE()), I2559)</f>
        <v>2025-09-17</v>
      </c>
      <c r="T2559">
        <f t="shared" si="237"/>
        <v>18</v>
      </c>
      <c r="U2559" t="str">
        <f t="shared" si="238"/>
        <v>On-Time</v>
      </c>
      <c r="V2559">
        <f t="shared" si="239"/>
        <v>0</v>
      </c>
    </row>
    <row r="2560" spans="1:22" x14ac:dyDescent="0.45">
      <c r="A2560" t="s">
        <v>3416</v>
      </c>
      <c r="B2560" t="s">
        <v>182</v>
      </c>
      <c r="C2560" t="s">
        <v>36</v>
      </c>
      <c r="D2560" t="s">
        <v>63</v>
      </c>
      <c r="E2560" t="s">
        <v>16</v>
      </c>
      <c r="F2560">
        <v>89</v>
      </c>
      <c r="G2560">
        <v>71062</v>
      </c>
      <c r="H2560">
        <v>6324518</v>
      </c>
      <c r="I2560" t="s">
        <v>296</v>
      </c>
      <c r="J2560" t="s">
        <v>744</v>
      </c>
      <c r="K2560">
        <v>89</v>
      </c>
      <c r="L2560">
        <v>0</v>
      </c>
      <c r="M2560" t="s">
        <v>115</v>
      </c>
      <c r="N2560" t="str">
        <f t="shared" si="234"/>
        <v>PO-102559</v>
      </c>
      <c r="O2560" t="str">
        <f t="shared" si="235"/>
        <v>Delivered</v>
      </c>
      <c r="P2560" t="str">
        <f t="shared" si="236"/>
        <v>WH-DEL</v>
      </c>
      <c r="Q2560" t="str">
        <f>VLOOKUP(C2560, Lookups!$A$2:$D$10, 2, FALSE())</f>
        <v>NextGen Hardware</v>
      </c>
      <c r="R2560" t="str">
        <f>_xlfn.XLOOKUP(D2560, Lookups!$A$12:$A$51, Lookups!$C$12:$C$51, "Unknown")</f>
        <v>Electronics</v>
      </c>
      <c r="S2560" t="str">
        <f>IF(ISBLANK(I2560), B2560+VLOOKUP(C2560, Lookups!$A$2:$D$10, 4, FALSE()), I2560)</f>
        <v>2026-11-24</v>
      </c>
      <c r="T2560">
        <f t="shared" si="237"/>
        <v>25</v>
      </c>
      <c r="U2560" t="str">
        <f t="shared" si="238"/>
        <v>Late</v>
      </c>
      <c r="V2560">
        <f t="shared" si="239"/>
        <v>0</v>
      </c>
    </row>
    <row r="2561" spans="1:22" x14ac:dyDescent="0.45">
      <c r="A2561" t="s">
        <v>3417</v>
      </c>
      <c r="B2561" t="s">
        <v>524</v>
      </c>
      <c r="C2561" t="s">
        <v>34</v>
      </c>
      <c r="D2561" t="s">
        <v>73</v>
      </c>
      <c r="E2561" t="s">
        <v>15</v>
      </c>
      <c r="F2561">
        <v>173</v>
      </c>
      <c r="G2561">
        <v>58396</v>
      </c>
      <c r="H2561">
        <v>10102508</v>
      </c>
      <c r="I2561" t="s">
        <v>486</v>
      </c>
      <c r="J2561" t="s">
        <v>486</v>
      </c>
      <c r="K2561">
        <v>173</v>
      </c>
      <c r="L2561">
        <v>0</v>
      </c>
      <c r="M2561" t="s">
        <v>115</v>
      </c>
      <c r="N2561" t="str">
        <f t="shared" si="234"/>
        <v>PO-102560</v>
      </c>
      <c r="O2561" t="str">
        <f t="shared" si="235"/>
        <v>Delivered</v>
      </c>
      <c r="P2561" t="str">
        <f t="shared" si="236"/>
        <v>WH-BOM</v>
      </c>
      <c r="Q2561" t="str">
        <f>VLOOKUP(C2561, Lookups!$A$2:$D$10, 2, FALSE())</f>
        <v>FastElectronics</v>
      </c>
      <c r="R2561" t="str">
        <f>_xlfn.XLOOKUP(D2561, Lookups!$A$12:$A$51, Lookups!$C$12:$C$51, "Unknown")</f>
        <v>Electronics</v>
      </c>
      <c r="S2561" t="str">
        <f>IF(ISBLANK(I2561), B2561+VLOOKUP(C2561, Lookups!$A$2:$D$10, 4, FALSE()), I2561)</f>
        <v>2025-06-16</v>
      </c>
      <c r="T2561">
        <f t="shared" si="237"/>
        <v>18</v>
      </c>
      <c r="U2561" t="str">
        <f t="shared" si="238"/>
        <v>On-Time</v>
      </c>
      <c r="V2561">
        <f t="shared" si="239"/>
        <v>0</v>
      </c>
    </row>
    <row r="2562" spans="1:22" x14ac:dyDescent="0.45">
      <c r="A2562" t="s">
        <v>3418</v>
      </c>
      <c r="B2562" t="s">
        <v>181</v>
      </c>
      <c r="C2562" t="s">
        <v>34</v>
      </c>
      <c r="D2562" t="s">
        <v>58</v>
      </c>
      <c r="E2562" t="s">
        <v>16</v>
      </c>
      <c r="F2562">
        <v>96</v>
      </c>
      <c r="G2562">
        <v>100302</v>
      </c>
      <c r="H2562">
        <v>9628992</v>
      </c>
      <c r="I2562" t="s">
        <v>734</v>
      </c>
      <c r="J2562" t="s">
        <v>672</v>
      </c>
      <c r="K2562">
        <v>96</v>
      </c>
      <c r="L2562">
        <v>5</v>
      </c>
      <c r="M2562" t="s">
        <v>115</v>
      </c>
      <c r="N2562" t="str">
        <f t="shared" ref="N2562:N2625" si="240">TRIM(A2562)</f>
        <v>PO-102561</v>
      </c>
      <c r="O2562" t="str">
        <f t="shared" ref="O2562:O2625" si="241">PROPER(TRIM(M2562))</f>
        <v>Delivered</v>
      </c>
      <c r="P2562" t="str">
        <f t="shared" ref="P2562:P2625" si="242">TRIM(E2562)</f>
        <v>WH-DEL</v>
      </c>
      <c r="Q2562" t="str">
        <f>VLOOKUP(C2562, Lookups!$A$2:$D$10, 2, FALSE())</f>
        <v>FastElectronics</v>
      </c>
      <c r="R2562" t="str">
        <f>_xlfn.XLOOKUP(D2562, Lookups!$A$12:$A$51, Lookups!$C$12:$C$51, "Unknown")</f>
        <v>Electronics</v>
      </c>
      <c r="S2562" t="str">
        <f>IF(ISBLANK(I2562), B2562+VLOOKUP(C2562, Lookups!$A$2:$D$10, 4, FALSE()), I2562)</f>
        <v>2026-11-06</v>
      </c>
      <c r="T2562">
        <f t="shared" ref="T2562:T2625" si="243">IF(ISBLANK(J2562), "", J2562-B2562)</f>
        <v>26</v>
      </c>
      <c r="U2562" t="str">
        <f t="shared" ref="U2562:U2625" si="244">IF(O2562="Open", "Open", IF(J2562&gt;S2562, "Late", "On-Time"))</f>
        <v>Late</v>
      </c>
      <c r="V2562">
        <f t="shared" ref="V2562:V2625" si="245">IF(K2562&gt;0, L2562/K2562, 0)</f>
        <v>5.2083333333333336E-2</v>
      </c>
    </row>
    <row r="2563" spans="1:22" x14ac:dyDescent="0.45">
      <c r="A2563" t="s">
        <v>3419</v>
      </c>
      <c r="B2563" t="s">
        <v>437</v>
      </c>
      <c r="C2563" t="s">
        <v>31</v>
      </c>
      <c r="D2563" t="s">
        <v>56</v>
      </c>
      <c r="E2563" t="s">
        <v>17</v>
      </c>
      <c r="F2563">
        <v>231</v>
      </c>
      <c r="G2563">
        <v>39270</v>
      </c>
      <c r="H2563">
        <v>9071370</v>
      </c>
      <c r="I2563" t="s">
        <v>565</v>
      </c>
      <c r="J2563" t="s">
        <v>188</v>
      </c>
      <c r="K2563">
        <v>231</v>
      </c>
      <c r="L2563">
        <v>9</v>
      </c>
      <c r="M2563" t="s">
        <v>115</v>
      </c>
      <c r="N2563" t="str">
        <f t="shared" si="240"/>
        <v>PO-102562</v>
      </c>
      <c r="O2563" t="str">
        <f t="shared" si="241"/>
        <v>Delivered</v>
      </c>
      <c r="P2563" t="str">
        <f t="shared" si="242"/>
        <v>WH-BLR</v>
      </c>
      <c r="Q2563" t="str">
        <f>VLOOKUP(C2563, Lookups!$A$2:$D$10, 2, FALSE())</f>
        <v>Global Networks</v>
      </c>
      <c r="R2563" t="str">
        <f>_xlfn.XLOOKUP(D2563, Lookups!$A$12:$A$51, Lookups!$C$12:$C$51, "Unknown")</f>
        <v>Networking</v>
      </c>
      <c r="S2563" t="str">
        <f>IF(ISBLANK(I2563), B2563+VLOOKUP(C2563, Lookups!$A$2:$D$10, 4, FALSE()), I2563)</f>
        <v>2025-02-24</v>
      </c>
      <c r="T2563">
        <f t="shared" si="243"/>
        <v>22</v>
      </c>
      <c r="U2563" t="str">
        <f t="shared" si="244"/>
        <v>Late</v>
      </c>
      <c r="V2563">
        <f t="shared" si="245"/>
        <v>3.896103896103896E-2</v>
      </c>
    </row>
    <row r="2564" spans="1:22" x14ac:dyDescent="0.45">
      <c r="A2564" t="s">
        <v>3420</v>
      </c>
      <c r="B2564" t="s">
        <v>1337</v>
      </c>
      <c r="C2564" t="s">
        <v>31</v>
      </c>
      <c r="D2564" t="s">
        <v>85</v>
      </c>
      <c r="E2564" t="s">
        <v>15</v>
      </c>
      <c r="F2564">
        <v>19</v>
      </c>
      <c r="G2564">
        <v>16501</v>
      </c>
      <c r="H2564">
        <v>313519</v>
      </c>
      <c r="I2564" t="s">
        <v>981</v>
      </c>
      <c r="J2564" t="s">
        <v>1111</v>
      </c>
      <c r="K2564">
        <v>19</v>
      </c>
      <c r="L2564">
        <v>0</v>
      </c>
      <c r="M2564" t="s">
        <v>115</v>
      </c>
      <c r="N2564" t="str">
        <f t="shared" si="240"/>
        <v>PO-102563</v>
      </c>
      <c r="O2564" t="str">
        <f t="shared" si="241"/>
        <v>Delivered</v>
      </c>
      <c r="P2564" t="str">
        <f t="shared" si="242"/>
        <v>WH-BOM</v>
      </c>
      <c r="Q2564" t="str">
        <f>VLOOKUP(C2564, Lookups!$A$2:$D$10, 2, FALSE())</f>
        <v>Global Networks</v>
      </c>
      <c r="R2564" t="str">
        <f>_xlfn.XLOOKUP(D2564, Lookups!$A$12:$A$51, Lookups!$C$12:$C$51, "Unknown")</f>
        <v>Networking</v>
      </c>
      <c r="S2564" t="str">
        <f>IF(ISBLANK(I2564), B2564+VLOOKUP(C2564, Lookups!$A$2:$D$10, 4, FALSE()), I2564)</f>
        <v>2026-10-13</v>
      </c>
      <c r="T2564">
        <f t="shared" si="243"/>
        <v>22</v>
      </c>
      <c r="U2564" t="str">
        <f t="shared" si="244"/>
        <v>Late</v>
      </c>
      <c r="V2564">
        <f t="shared" si="245"/>
        <v>0</v>
      </c>
    </row>
    <row r="2565" spans="1:22" x14ac:dyDescent="0.45">
      <c r="A2565" t="s">
        <v>3421</v>
      </c>
      <c r="B2565" t="s">
        <v>1395</v>
      </c>
      <c r="C2565" t="s">
        <v>31</v>
      </c>
      <c r="D2565" t="s">
        <v>85</v>
      </c>
      <c r="E2565" t="s">
        <v>18</v>
      </c>
      <c r="F2565">
        <v>117</v>
      </c>
      <c r="G2565">
        <v>16501</v>
      </c>
      <c r="H2565">
        <v>1930617</v>
      </c>
      <c r="I2565" t="s">
        <v>577</v>
      </c>
      <c r="J2565" t="s">
        <v>577</v>
      </c>
      <c r="K2565">
        <v>117</v>
      </c>
      <c r="L2565">
        <v>0</v>
      </c>
      <c r="M2565" t="s">
        <v>115</v>
      </c>
      <c r="N2565" t="str">
        <f t="shared" si="240"/>
        <v>PO-102564</v>
      </c>
      <c r="O2565" t="str">
        <f t="shared" si="241"/>
        <v>Delivered</v>
      </c>
      <c r="P2565" t="str">
        <f t="shared" si="242"/>
        <v>WH-PUN</v>
      </c>
      <c r="Q2565" t="str">
        <f>VLOOKUP(C2565, Lookups!$A$2:$D$10, 2, FALSE())</f>
        <v>Global Networks</v>
      </c>
      <c r="R2565" t="str">
        <f>_xlfn.XLOOKUP(D2565, Lookups!$A$12:$A$51, Lookups!$C$12:$C$51, "Unknown")</f>
        <v>Networking</v>
      </c>
      <c r="S2565" t="str">
        <f>IF(ISBLANK(I2565), B2565+VLOOKUP(C2565, Lookups!$A$2:$D$10, 4, FALSE()), I2565)</f>
        <v>2026-03-30</v>
      </c>
      <c r="T2565">
        <f t="shared" si="243"/>
        <v>21</v>
      </c>
      <c r="U2565" t="str">
        <f t="shared" si="244"/>
        <v>On-Time</v>
      </c>
      <c r="V2565">
        <f t="shared" si="245"/>
        <v>0</v>
      </c>
    </row>
    <row r="2566" spans="1:22" x14ac:dyDescent="0.45">
      <c r="A2566" t="s">
        <v>3422</v>
      </c>
      <c r="B2566" t="s">
        <v>679</v>
      </c>
      <c r="C2566" t="s">
        <v>35</v>
      </c>
      <c r="D2566" t="s">
        <v>57</v>
      </c>
      <c r="E2566" t="s">
        <v>18</v>
      </c>
      <c r="F2566">
        <v>152</v>
      </c>
      <c r="G2566">
        <v>2212</v>
      </c>
      <c r="H2566">
        <v>336224</v>
      </c>
      <c r="I2566" t="s">
        <v>1562</v>
      </c>
      <c r="J2566" t="s">
        <v>1562</v>
      </c>
      <c r="K2566">
        <v>152</v>
      </c>
      <c r="L2566">
        <v>8</v>
      </c>
      <c r="M2566" t="s">
        <v>115</v>
      </c>
      <c r="N2566" t="str">
        <f t="shared" si="240"/>
        <v>PO-102565</v>
      </c>
      <c r="O2566" t="str">
        <f t="shared" si="241"/>
        <v>Delivered</v>
      </c>
      <c r="P2566" t="str">
        <f t="shared" si="242"/>
        <v>WH-PUN</v>
      </c>
      <c r="Q2566" t="str">
        <f>VLOOKUP(C2566, Lookups!$A$2:$D$10, 2, FALSE())</f>
        <v>Peripheral Source</v>
      </c>
      <c r="R2566" t="str">
        <f>_xlfn.XLOOKUP(D2566, Lookups!$A$12:$A$51, Lookups!$C$12:$C$51, "Unknown")</f>
        <v>Peripherals</v>
      </c>
      <c r="S2566" t="str">
        <f>IF(ISBLANK(I2566), B2566+VLOOKUP(C2566, Lookups!$A$2:$D$10, 4, FALSE()), I2566)</f>
        <v>2026-07-30</v>
      </c>
      <c r="T2566">
        <f t="shared" si="243"/>
        <v>10</v>
      </c>
      <c r="U2566" t="str">
        <f t="shared" si="244"/>
        <v>On-Time</v>
      </c>
      <c r="V2566">
        <f t="shared" si="245"/>
        <v>5.2631578947368418E-2</v>
      </c>
    </row>
    <row r="2567" spans="1:22" x14ac:dyDescent="0.45">
      <c r="A2567" t="s">
        <v>3423</v>
      </c>
      <c r="B2567" t="s">
        <v>2277</v>
      </c>
      <c r="C2567" t="s">
        <v>31</v>
      </c>
      <c r="D2567" t="s">
        <v>64</v>
      </c>
      <c r="E2567" t="s">
        <v>15</v>
      </c>
      <c r="F2567">
        <v>144</v>
      </c>
      <c r="G2567">
        <v>36295</v>
      </c>
      <c r="H2567">
        <v>5226480</v>
      </c>
      <c r="I2567" t="s">
        <v>542</v>
      </c>
      <c r="J2567" t="s">
        <v>529</v>
      </c>
      <c r="K2567">
        <v>107</v>
      </c>
      <c r="L2567">
        <v>0</v>
      </c>
      <c r="M2567" t="s">
        <v>115</v>
      </c>
      <c r="N2567" t="str">
        <f t="shared" si="240"/>
        <v>PO-102566</v>
      </c>
      <c r="O2567" t="str">
        <f t="shared" si="241"/>
        <v>Delivered</v>
      </c>
      <c r="P2567" t="str">
        <f t="shared" si="242"/>
        <v>WH-BOM</v>
      </c>
      <c r="Q2567" t="str">
        <f>VLOOKUP(C2567, Lookups!$A$2:$D$10, 2, FALSE())</f>
        <v>Global Networks</v>
      </c>
      <c r="R2567" t="str">
        <f>_xlfn.XLOOKUP(D2567, Lookups!$A$12:$A$51, Lookups!$C$12:$C$51, "Unknown")</f>
        <v>Networking</v>
      </c>
      <c r="S2567" t="str">
        <f>IF(ISBLANK(I2567), B2567+VLOOKUP(C2567, Lookups!$A$2:$D$10, 4, FALSE()), I2567)</f>
        <v>2026-05-19</v>
      </c>
      <c r="T2567">
        <f t="shared" si="243"/>
        <v>22</v>
      </c>
      <c r="U2567" t="str">
        <f t="shared" si="244"/>
        <v>Late</v>
      </c>
      <c r="V2567">
        <f t="shared" si="245"/>
        <v>0</v>
      </c>
    </row>
    <row r="2568" spans="1:22" x14ac:dyDescent="0.45">
      <c r="A2568" t="s">
        <v>3424</v>
      </c>
      <c r="B2568" t="s">
        <v>803</v>
      </c>
      <c r="C2568" t="s">
        <v>30</v>
      </c>
      <c r="D2568" t="s">
        <v>53</v>
      </c>
      <c r="E2568" t="s">
        <v>16</v>
      </c>
      <c r="F2568">
        <v>168</v>
      </c>
      <c r="G2568">
        <v>81048</v>
      </c>
      <c r="H2568">
        <v>13616064</v>
      </c>
      <c r="I2568" t="s">
        <v>1119</v>
      </c>
      <c r="J2568" t="s">
        <v>134</v>
      </c>
      <c r="K2568">
        <v>90</v>
      </c>
      <c r="L2568">
        <v>0</v>
      </c>
      <c r="M2568" t="s">
        <v>115</v>
      </c>
      <c r="N2568" t="str">
        <f t="shared" si="240"/>
        <v>PO-102567</v>
      </c>
      <c r="O2568" t="str">
        <f t="shared" si="241"/>
        <v>Delivered</v>
      </c>
      <c r="P2568" t="str">
        <f t="shared" si="242"/>
        <v>WH-DEL</v>
      </c>
      <c r="Q2568" t="str">
        <f>VLOOKUP(C2568, Lookups!$A$2:$D$10, 2, FALSE())</f>
        <v>TechSupply Corp</v>
      </c>
      <c r="R2568" t="str">
        <f>_xlfn.XLOOKUP(D2568, Lookups!$A$12:$A$51, Lookups!$C$12:$C$51, "Unknown")</f>
        <v>Electronics</v>
      </c>
      <c r="S2568" t="str">
        <f>IF(ISBLANK(I2568), B2568+VLOOKUP(C2568, Lookups!$A$2:$D$10, 4, FALSE()), I2568)</f>
        <v>2026-08-30</v>
      </c>
      <c r="T2568">
        <f t="shared" si="243"/>
        <v>18</v>
      </c>
      <c r="U2568" t="str">
        <f t="shared" si="244"/>
        <v>Late</v>
      </c>
      <c r="V2568">
        <f t="shared" si="245"/>
        <v>0</v>
      </c>
    </row>
    <row r="2569" spans="1:22" x14ac:dyDescent="0.45">
      <c r="A2569" t="s">
        <v>3425</v>
      </c>
      <c r="B2569" t="s">
        <v>1368</v>
      </c>
      <c r="C2569" t="s">
        <v>31</v>
      </c>
      <c r="D2569" t="s">
        <v>77</v>
      </c>
      <c r="E2569" t="s">
        <v>16</v>
      </c>
      <c r="F2569">
        <v>111</v>
      </c>
      <c r="G2569">
        <v>23667</v>
      </c>
      <c r="H2569">
        <v>2627037</v>
      </c>
      <c r="I2569" t="s">
        <v>1170</v>
      </c>
      <c r="J2569" t="s">
        <v>877</v>
      </c>
      <c r="K2569">
        <v>66</v>
      </c>
      <c r="L2569">
        <v>0</v>
      </c>
      <c r="M2569" t="s">
        <v>115</v>
      </c>
      <c r="N2569" t="str">
        <f t="shared" si="240"/>
        <v>PO-102568</v>
      </c>
      <c r="O2569" t="str">
        <f t="shared" si="241"/>
        <v>Delivered</v>
      </c>
      <c r="P2569" t="str">
        <f t="shared" si="242"/>
        <v>WH-DEL</v>
      </c>
      <c r="Q2569" t="str">
        <f>VLOOKUP(C2569, Lookups!$A$2:$D$10, 2, FALSE())</f>
        <v>Global Networks</v>
      </c>
      <c r="R2569" t="str">
        <f>_xlfn.XLOOKUP(D2569, Lookups!$A$12:$A$51, Lookups!$C$12:$C$51, "Unknown")</f>
        <v>Networking</v>
      </c>
      <c r="S2569" t="str">
        <f>IF(ISBLANK(I2569), B2569+VLOOKUP(C2569, Lookups!$A$2:$D$10, 4, FALSE()), I2569)</f>
        <v>2026-12-03</v>
      </c>
      <c r="T2569">
        <f t="shared" si="243"/>
        <v>22</v>
      </c>
      <c r="U2569" t="str">
        <f t="shared" si="244"/>
        <v>Late</v>
      </c>
      <c r="V2569">
        <f t="shared" si="245"/>
        <v>0</v>
      </c>
    </row>
    <row r="2570" spans="1:22" x14ac:dyDescent="0.45">
      <c r="A2570" t="s">
        <v>3426</v>
      </c>
      <c r="B2570" t="s">
        <v>889</v>
      </c>
      <c r="C2570" t="s">
        <v>37</v>
      </c>
      <c r="D2570" t="s">
        <v>83</v>
      </c>
      <c r="E2570" t="s">
        <v>17</v>
      </c>
      <c r="F2570">
        <v>141</v>
      </c>
      <c r="G2570">
        <v>19850</v>
      </c>
      <c r="H2570">
        <v>2798850</v>
      </c>
      <c r="I2570" t="s">
        <v>905</v>
      </c>
      <c r="J2570" t="s">
        <v>898</v>
      </c>
      <c r="K2570">
        <v>141</v>
      </c>
      <c r="L2570">
        <v>0</v>
      </c>
      <c r="M2570" t="s">
        <v>115</v>
      </c>
      <c r="N2570" t="str">
        <f t="shared" si="240"/>
        <v>PO-102569</v>
      </c>
      <c r="O2570" t="str">
        <f t="shared" si="241"/>
        <v>Delivered</v>
      </c>
      <c r="P2570" t="str">
        <f t="shared" si="242"/>
        <v>WH-BLR</v>
      </c>
      <c r="Q2570" t="str">
        <f>VLOOKUP(C2570, Lookups!$A$2:$D$10, 2, FALSE())</f>
        <v>Premium Desks Ltd</v>
      </c>
      <c r="R2570" t="str">
        <f>_xlfn.XLOOKUP(D2570, Lookups!$A$12:$A$51, Lookups!$C$12:$C$51, "Unknown")</f>
        <v>Office Furniture</v>
      </c>
      <c r="S2570" t="str">
        <f>IF(ISBLANK(I2570), B2570+VLOOKUP(C2570, Lookups!$A$2:$D$10, 4, FALSE()), I2570)</f>
        <v>2025-10-31</v>
      </c>
      <c r="T2570">
        <f t="shared" si="243"/>
        <v>13</v>
      </c>
      <c r="U2570" t="str">
        <f t="shared" si="244"/>
        <v>Late</v>
      </c>
      <c r="V2570">
        <f t="shared" si="245"/>
        <v>0</v>
      </c>
    </row>
    <row r="2571" spans="1:22" x14ac:dyDescent="0.45">
      <c r="A2571" t="s">
        <v>3427</v>
      </c>
      <c r="B2571" t="s">
        <v>631</v>
      </c>
      <c r="C2571" t="s">
        <v>35</v>
      </c>
      <c r="D2571" t="s">
        <v>91</v>
      </c>
      <c r="E2571" t="s">
        <v>16</v>
      </c>
      <c r="F2571">
        <v>26</v>
      </c>
      <c r="G2571">
        <v>6707</v>
      </c>
      <c r="H2571">
        <v>174382</v>
      </c>
      <c r="I2571" t="s">
        <v>527</v>
      </c>
      <c r="J2571" t="s">
        <v>623</v>
      </c>
      <c r="K2571">
        <v>26</v>
      </c>
      <c r="L2571">
        <v>0</v>
      </c>
      <c r="M2571" t="s">
        <v>115</v>
      </c>
      <c r="N2571" t="str">
        <f t="shared" si="240"/>
        <v>PO-102570</v>
      </c>
      <c r="O2571" t="str">
        <f t="shared" si="241"/>
        <v>Delivered</v>
      </c>
      <c r="P2571" t="str">
        <f t="shared" si="242"/>
        <v>WH-DEL</v>
      </c>
      <c r="Q2571" t="str">
        <f>VLOOKUP(C2571, Lookups!$A$2:$D$10, 2, FALSE())</f>
        <v>Peripheral Source</v>
      </c>
      <c r="R2571" t="str">
        <f>_xlfn.XLOOKUP(D2571, Lookups!$A$12:$A$51, Lookups!$C$12:$C$51, "Unknown")</f>
        <v>Peripherals</v>
      </c>
      <c r="S2571" t="str">
        <f>IF(ISBLANK(I2571), B2571+VLOOKUP(C2571, Lookups!$A$2:$D$10, 4, FALSE()), I2571)</f>
        <v>2026-07-07</v>
      </c>
      <c r="T2571">
        <f t="shared" si="243"/>
        <v>11</v>
      </c>
      <c r="U2571" t="str">
        <f t="shared" si="244"/>
        <v>Late</v>
      </c>
      <c r="V2571">
        <f t="shared" si="245"/>
        <v>0</v>
      </c>
    </row>
    <row r="2572" spans="1:22" x14ac:dyDescent="0.45">
      <c r="A2572" t="s">
        <v>3428</v>
      </c>
      <c r="B2572" t="s">
        <v>1597</v>
      </c>
      <c r="C2572" t="s">
        <v>36</v>
      </c>
      <c r="D2572" t="s">
        <v>63</v>
      </c>
      <c r="E2572" t="s">
        <v>16</v>
      </c>
      <c r="F2572">
        <v>162</v>
      </c>
      <c r="G2572">
        <v>71062</v>
      </c>
      <c r="H2572">
        <v>11512044</v>
      </c>
      <c r="I2572" t="s">
        <v>579</v>
      </c>
      <c r="J2572" t="s">
        <v>579</v>
      </c>
      <c r="K2572">
        <v>162</v>
      </c>
      <c r="L2572">
        <v>0</v>
      </c>
      <c r="M2572" t="s">
        <v>115</v>
      </c>
      <c r="N2572" t="str">
        <f t="shared" si="240"/>
        <v>PO-102571</v>
      </c>
      <c r="O2572" t="str">
        <f t="shared" si="241"/>
        <v>Delivered</v>
      </c>
      <c r="P2572" t="str">
        <f t="shared" si="242"/>
        <v>WH-DEL</v>
      </c>
      <c r="Q2572" t="str">
        <f>VLOOKUP(C2572, Lookups!$A$2:$D$10, 2, FALSE())</f>
        <v>NextGen Hardware</v>
      </c>
      <c r="R2572" t="str">
        <f>_xlfn.XLOOKUP(D2572, Lookups!$A$12:$A$51, Lookups!$C$12:$C$51, "Unknown")</f>
        <v>Electronics</v>
      </c>
      <c r="S2572" t="str">
        <f>IF(ISBLANK(I2572), B2572+VLOOKUP(C2572, Lookups!$A$2:$D$10, 4, FALSE()), I2572)</f>
        <v>2025-12-29</v>
      </c>
      <c r="T2572">
        <f t="shared" si="243"/>
        <v>24</v>
      </c>
      <c r="U2572" t="str">
        <f t="shared" si="244"/>
        <v>On-Time</v>
      </c>
      <c r="V2572">
        <f t="shared" si="245"/>
        <v>0</v>
      </c>
    </row>
    <row r="2573" spans="1:22" x14ac:dyDescent="0.45">
      <c r="A2573" t="s">
        <v>3429</v>
      </c>
      <c r="B2573" t="s">
        <v>1126</v>
      </c>
      <c r="C2573" t="s">
        <v>36</v>
      </c>
      <c r="D2573" t="s">
        <v>63</v>
      </c>
      <c r="E2573" t="s">
        <v>17</v>
      </c>
      <c r="F2573">
        <v>75</v>
      </c>
      <c r="G2573">
        <v>71062</v>
      </c>
      <c r="H2573">
        <v>5329650</v>
      </c>
      <c r="I2573" t="s">
        <v>789</v>
      </c>
      <c r="J2573" t="s">
        <v>2791</v>
      </c>
      <c r="K2573">
        <v>75</v>
      </c>
      <c r="L2573">
        <v>0</v>
      </c>
      <c r="M2573" t="s">
        <v>115</v>
      </c>
      <c r="N2573" t="str">
        <f t="shared" si="240"/>
        <v>PO-102572</v>
      </c>
      <c r="O2573" t="str">
        <f t="shared" si="241"/>
        <v>Delivered</v>
      </c>
      <c r="P2573" t="str">
        <f t="shared" si="242"/>
        <v>WH-BLR</v>
      </c>
      <c r="Q2573" t="str">
        <f>VLOOKUP(C2573, Lookups!$A$2:$D$10, 2, FALSE())</f>
        <v>NextGen Hardware</v>
      </c>
      <c r="R2573" t="str">
        <f>_xlfn.XLOOKUP(D2573, Lookups!$A$12:$A$51, Lookups!$C$12:$C$51, "Unknown")</f>
        <v>Electronics</v>
      </c>
      <c r="S2573" t="str">
        <f>IF(ISBLANK(I2573), B2573+VLOOKUP(C2573, Lookups!$A$2:$D$10, 4, FALSE()), I2573)</f>
        <v>2026-12-12</v>
      </c>
      <c r="T2573">
        <f t="shared" si="243"/>
        <v>30</v>
      </c>
      <c r="U2573" t="str">
        <f t="shared" si="244"/>
        <v>Late</v>
      </c>
      <c r="V2573">
        <f t="shared" si="245"/>
        <v>0</v>
      </c>
    </row>
    <row r="2574" spans="1:22" x14ac:dyDescent="0.45">
      <c r="A2574" t="s">
        <v>3430</v>
      </c>
      <c r="B2574" t="s">
        <v>784</v>
      </c>
      <c r="C2574" t="s">
        <v>36</v>
      </c>
      <c r="D2574" t="s">
        <v>87</v>
      </c>
      <c r="E2574" t="s">
        <v>17</v>
      </c>
      <c r="F2574">
        <v>135</v>
      </c>
      <c r="G2574">
        <v>82930</v>
      </c>
      <c r="H2574">
        <v>11195550</v>
      </c>
      <c r="I2574" t="s">
        <v>785</v>
      </c>
      <c r="J2574" t="s">
        <v>153</v>
      </c>
      <c r="K2574">
        <v>135</v>
      </c>
      <c r="L2574">
        <v>0</v>
      </c>
      <c r="M2574" t="s">
        <v>115</v>
      </c>
      <c r="N2574" t="str">
        <f t="shared" si="240"/>
        <v>PO-102573</v>
      </c>
      <c r="O2574" t="str">
        <f t="shared" si="241"/>
        <v>Delivered</v>
      </c>
      <c r="P2574" t="str">
        <f t="shared" si="242"/>
        <v>WH-BLR</v>
      </c>
      <c r="Q2574" t="str">
        <f>VLOOKUP(C2574, Lookups!$A$2:$D$10, 2, FALSE())</f>
        <v>NextGen Hardware</v>
      </c>
      <c r="R2574" t="str">
        <f>_xlfn.XLOOKUP(D2574, Lookups!$A$12:$A$51, Lookups!$C$12:$C$51, "Unknown")</f>
        <v>Electronics</v>
      </c>
      <c r="S2574" t="str">
        <f>IF(ISBLANK(I2574), B2574+VLOOKUP(C2574, Lookups!$A$2:$D$10, 4, FALSE()), I2574)</f>
        <v>2025-10-06</v>
      </c>
      <c r="T2574">
        <f t="shared" si="243"/>
        <v>25</v>
      </c>
      <c r="U2574" t="str">
        <f t="shared" si="244"/>
        <v>Late</v>
      </c>
      <c r="V2574">
        <f t="shared" si="245"/>
        <v>0</v>
      </c>
    </row>
    <row r="2575" spans="1:22" x14ac:dyDescent="0.45">
      <c r="A2575" t="s">
        <v>3431</v>
      </c>
      <c r="B2575" t="s">
        <v>1410</v>
      </c>
      <c r="C2575" t="s">
        <v>30</v>
      </c>
      <c r="D2575" t="s">
        <v>86</v>
      </c>
      <c r="E2575" t="s">
        <v>18</v>
      </c>
      <c r="F2575">
        <v>211</v>
      </c>
      <c r="G2575">
        <v>74871</v>
      </c>
      <c r="H2575">
        <v>15797781</v>
      </c>
      <c r="I2575" t="s">
        <v>2281</v>
      </c>
      <c r="J2575" t="s">
        <v>2018</v>
      </c>
      <c r="K2575">
        <v>211</v>
      </c>
      <c r="L2575">
        <v>16</v>
      </c>
      <c r="M2575" t="s">
        <v>115</v>
      </c>
      <c r="N2575" t="str">
        <f t="shared" si="240"/>
        <v>PO-102574</v>
      </c>
      <c r="O2575" t="str">
        <f t="shared" si="241"/>
        <v>Delivered</v>
      </c>
      <c r="P2575" t="str">
        <f t="shared" si="242"/>
        <v>WH-PUN</v>
      </c>
      <c r="Q2575" t="str">
        <f>VLOOKUP(C2575, Lookups!$A$2:$D$10, 2, FALSE())</f>
        <v>TechSupply Corp</v>
      </c>
      <c r="R2575" t="str">
        <f>_xlfn.XLOOKUP(D2575, Lookups!$A$12:$A$51, Lookups!$C$12:$C$51, "Unknown")</f>
        <v>Electronics</v>
      </c>
      <c r="S2575" t="str">
        <f>IF(ISBLANK(I2575), B2575+VLOOKUP(C2575, Lookups!$A$2:$D$10, 4, FALSE()), I2575)</f>
        <v>2026-06-17</v>
      </c>
      <c r="T2575">
        <f t="shared" si="243"/>
        <v>15</v>
      </c>
      <c r="U2575" t="str">
        <f t="shared" si="244"/>
        <v>Late</v>
      </c>
      <c r="V2575">
        <f t="shared" si="245"/>
        <v>7.582938388625593E-2</v>
      </c>
    </row>
    <row r="2576" spans="1:22" x14ac:dyDescent="0.45">
      <c r="A2576" t="s">
        <v>3432</v>
      </c>
      <c r="B2576" t="s">
        <v>646</v>
      </c>
      <c r="C2576" t="s">
        <v>30</v>
      </c>
      <c r="D2576" t="s">
        <v>88</v>
      </c>
      <c r="E2576" t="s">
        <v>16</v>
      </c>
      <c r="F2576">
        <v>198</v>
      </c>
      <c r="G2576">
        <v>75512</v>
      </c>
      <c r="H2576">
        <v>14951376</v>
      </c>
      <c r="I2576" t="s">
        <v>1370</v>
      </c>
      <c r="J2576" t="s">
        <v>157</v>
      </c>
      <c r="K2576">
        <v>198</v>
      </c>
      <c r="L2576">
        <v>0</v>
      </c>
      <c r="M2576" t="s">
        <v>115</v>
      </c>
      <c r="N2576" t="str">
        <f t="shared" si="240"/>
        <v>PO-102575</v>
      </c>
      <c r="O2576" t="str">
        <f t="shared" si="241"/>
        <v>Delivered</v>
      </c>
      <c r="P2576" t="str">
        <f t="shared" si="242"/>
        <v>WH-DEL</v>
      </c>
      <c r="Q2576" t="str">
        <f>VLOOKUP(C2576, Lookups!$A$2:$D$10, 2, FALSE())</f>
        <v>TechSupply Corp</v>
      </c>
      <c r="R2576" t="str">
        <f>_xlfn.XLOOKUP(D2576, Lookups!$A$12:$A$51, Lookups!$C$12:$C$51, "Unknown")</f>
        <v>Electronics</v>
      </c>
      <c r="S2576" t="str">
        <f>IF(ISBLANK(I2576), B2576+VLOOKUP(C2576, Lookups!$A$2:$D$10, 4, FALSE()), I2576)</f>
        <v>2026-10-21</v>
      </c>
      <c r="T2576">
        <f t="shared" si="243"/>
        <v>15</v>
      </c>
      <c r="U2576" t="str">
        <f t="shared" si="244"/>
        <v>Late</v>
      </c>
      <c r="V2576">
        <f t="shared" si="245"/>
        <v>0</v>
      </c>
    </row>
    <row r="2577" spans="1:22" x14ac:dyDescent="0.45">
      <c r="A2577" t="s">
        <v>3433</v>
      </c>
      <c r="B2577" t="s">
        <v>657</v>
      </c>
      <c r="C2577" t="s">
        <v>31</v>
      </c>
      <c r="D2577" t="s">
        <v>85</v>
      </c>
      <c r="E2577" t="s">
        <v>16</v>
      </c>
      <c r="F2577">
        <v>132</v>
      </c>
      <c r="G2577">
        <v>16501</v>
      </c>
      <c r="H2577">
        <v>2178132</v>
      </c>
      <c r="I2577" t="s">
        <v>1519</v>
      </c>
      <c r="J2577" t="s">
        <v>1428</v>
      </c>
      <c r="K2577">
        <v>132</v>
      </c>
      <c r="L2577">
        <v>0</v>
      </c>
      <c r="M2577" t="s">
        <v>115</v>
      </c>
      <c r="N2577" t="str">
        <f t="shared" si="240"/>
        <v>PO-102576</v>
      </c>
      <c r="O2577" t="str">
        <f t="shared" si="241"/>
        <v>Delivered</v>
      </c>
      <c r="P2577" t="str">
        <f t="shared" si="242"/>
        <v>WH-DEL</v>
      </c>
      <c r="Q2577" t="str">
        <f>VLOOKUP(C2577, Lookups!$A$2:$D$10, 2, FALSE())</f>
        <v>Global Networks</v>
      </c>
      <c r="R2577" t="str">
        <f>_xlfn.XLOOKUP(D2577, Lookups!$A$12:$A$51, Lookups!$C$12:$C$51, "Unknown")</f>
        <v>Networking</v>
      </c>
      <c r="S2577" t="str">
        <f>IF(ISBLANK(I2577), B2577+VLOOKUP(C2577, Lookups!$A$2:$D$10, 4, FALSE()), I2577)</f>
        <v>2026-09-27</v>
      </c>
      <c r="T2577">
        <f t="shared" si="243"/>
        <v>22</v>
      </c>
      <c r="U2577" t="str">
        <f t="shared" si="244"/>
        <v>Late</v>
      </c>
      <c r="V2577">
        <f t="shared" si="245"/>
        <v>0</v>
      </c>
    </row>
    <row r="2578" spans="1:22" x14ac:dyDescent="0.45">
      <c r="A2578" t="s">
        <v>3434</v>
      </c>
      <c r="B2578" t="s">
        <v>281</v>
      </c>
      <c r="C2578" t="s">
        <v>30</v>
      </c>
      <c r="D2578" t="s">
        <v>53</v>
      </c>
      <c r="E2578" t="s">
        <v>17</v>
      </c>
      <c r="F2578">
        <v>222</v>
      </c>
      <c r="G2578">
        <v>81048</v>
      </c>
      <c r="H2578">
        <v>17992656</v>
      </c>
      <c r="I2578" t="s">
        <v>922</v>
      </c>
      <c r="J2578" t="s">
        <v>922</v>
      </c>
      <c r="K2578">
        <v>222</v>
      </c>
      <c r="L2578">
        <v>0</v>
      </c>
      <c r="M2578" t="s">
        <v>115</v>
      </c>
      <c r="N2578" t="str">
        <f t="shared" si="240"/>
        <v>PO-102577</v>
      </c>
      <c r="O2578" t="str">
        <f t="shared" si="241"/>
        <v>Delivered</v>
      </c>
      <c r="P2578" t="str">
        <f t="shared" si="242"/>
        <v>WH-BLR</v>
      </c>
      <c r="Q2578" t="str">
        <f>VLOOKUP(C2578, Lookups!$A$2:$D$10, 2, FALSE())</f>
        <v>TechSupply Corp</v>
      </c>
      <c r="R2578" t="str">
        <f>_xlfn.XLOOKUP(D2578, Lookups!$A$12:$A$51, Lookups!$C$12:$C$51, "Unknown")</f>
        <v>Electronics</v>
      </c>
      <c r="S2578" t="str">
        <f>IF(ISBLANK(I2578), B2578+VLOOKUP(C2578, Lookups!$A$2:$D$10, 4, FALSE()), I2578)</f>
        <v>2026-11-09</v>
      </c>
      <c r="T2578">
        <f t="shared" si="243"/>
        <v>14</v>
      </c>
      <c r="U2578" t="str">
        <f t="shared" si="244"/>
        <v>On-Time</v>
      </c>
      <c r="V2578">
        <f t="shared" si="245"/>
        <v>0</v>
      </c>
    </row>
    <row r="2579" spans="1:22" x14ac:dyDescent="0.45">
      <c r="A2579" t="s">
        <v>3435</v>
      </c>
      <c r="B2579" t="s">
        <v>1209</v>
      </c>
      <c r="C2579" t="s">
        <v>37</v>
      </c>
      <c r="D2579" t="s">
        <v>83</v>
      </c>
      <c r="E2579" t="s">
        <v>18</v>
      </c>
      <c r="F2579">
        <v>18</v>
      </c>
      <c r="G2579">
        <v>19850</v>
      </c>
      <c r="H2579">
        <v>357300</v>
      </c>
      <c r="I2579" t="s">
        <v>1202</v>
      </c>
      <c r="J2579" t="s">
        <v>1202</v>
      </c>
      <c r="K2579">
        <v>18</v>
      </c>
      <c r="L2579">
        <v>0</v>
      </c>
      <c r="M2579" t="s">
        <v>115</v>
      </c>
      <c r="N2579" t="str">
        <f t="shared" si="240"/>
        <v>PO-102578</v>
      </c>
      <c r="O2579" t="str">
        <f t="shared" si="241"/>
        <v>Delivered</v>
      </c>
      <c r="P2579" t="str">
        <f t="shared" si="242"/>
        <v>WH-PUN</v>
      </c>
      <c r="Q2579" t="str">
        <f>VLOOKUP(C2579, Lookups!$A$2:$D$10, 2, FALSE())</f>
        <v>Premium Desks Ltd</v>
      </c>
      <c r="R2579" t="str">
        <f>_xlfn.XLOOKUP(D2579, Lookups!$A$12:$A$51, Lookups!$C$12:$C$51, "Unknown")</f>
        <v>Office Furniture</v>
      </c>
      <c r="S2579" t="str">
        <f>IF(ISBLANK(I2579), B2579+VLOOKUP(C2579, Lookups!$A$2:$D$10, 4, FALSE()), I2579)</f>
        <v>2025-01-26</v>
      </c>
      <c r="T2579">
        <f t="shared" si="243"/>
        <v>12</v>
      </c>
      <c r="U2579" t="str">
        <f t="shared" si="244"/>
        <v>On-Time</v>
      </c>
      <c r="V2579">
        <f t="shared" si="245"/>
        <v>0</v>
      </c>
    </row>
    <row r="2580" spans="1:22" x14ac:dyDescent="0.45">
      <c r="A2580" t="s">
        <v>3436</v>
      </c>
      <c r="B2580" t="s">
        <v>524</v>
      </c>
      <c r="C2580" t="s">
        <v>34</v>
      </c>
      <c r="D2580" t="s">
        <v>58</v>
      </c>
      <c r="E2580" t="s">
        <v>15</v>
      </c>
      <c r="F2580">
        <v>213</v>
      </c>
      <c r="G2580">
        <v>100302</v>
      </c>
      <c r="H2580">
        <v>21364326</v>
      </c>
      <c r="I2580" t="s">
        <v>486</v>
      </c>
      <c r="J2580" t="s">
        <v>239</v>
      </c>
      <c r="K2580">
        <v>213</v>
      </c>
      <c r="L2580">
        <v>0</v>
      </c>
      <c r="M2580" t="s">
        <v>115</v>
      </c>
      <c r="N2580" t="str">
        <f t="shared" si="240"/>
        <v>PO-102579</v>
      </c>
      <c r="O2580" t="str">
        <f t="shared" si="241"/>
        <v>Delivered</v>
      </c>
      <c r="P2580" t="str">
        <f t="shared" si="242"/>
        <v>WH-BOM</v>
      </c>
      <c r="Q2580" t="str">
        <f>VLOOKUP(C2580, Lookups!$A$2:$D$10, 2, FALSE())</f>
        <v>FastElectronics</v>
      </c>
      <c r="R2580" t="str">
        <f>_xlfn.XLOOKUP(D2580, Lookups!$A$12:$A$51, Lookups!$C$12:$C$51, "Unknown")</f>
        <v>Electronics</v>
      </c>
      <c r="S2580" t="str">
        <f>IF(ISBLANK(I2580), B2580+VLOOKUP(C2580, Lookups!$A$2:$D$10, 4, FALSE()), I2580)</f>
        <v>2025-06-16</v>
      </c>
      <c r="T2580">
        <f t="shared" si="243"/>
        <v>16</v>
      </c>
      <c r="U2580" t="str">
        <f t="shared" si="244"/>
        <v>On-Time</v>
      </c>
      <c r="V2580">
        <f t="shared" si="245"/>
        <v>0</v>
      </c>
    </row>
    <row r="2581" spans="1:22" x14ac:dyDescent="0.45">
      <c r="A2581" t="s">
        <v>3437</v>
      </c>
      <c r="B2581" t="s">
        <v>120</v>
      </c>
      <c r="C2581" t="s">
        <v>35</v>
      </c>
      <c r="D2581" t="s">
        <v>70</v>
      </c>
      <c r="E2581" t="s">
        <v>16</v>
      </c>
      <c r="F2581">
        <v>63</v>
      </c>
      <c r="G2581">
        <v>4287</v>
      </c>
      <c r="H2581">
        <v>270081</v>
      </c>
      <c r="I2581" t="s">
        <v>726</v>
      </c>
      <c r="J2581" t="s">
        <v>1209</v>
      </c>
      <c r="K2581">
        <v>63</v>
      </c>
      <c r="L2581">
        <v>0</v>
      </c>
      <c r="M2581" t="s">
        <v>115</v>
      </c>
      <c r="N2581" t="str">
        <f t="shared" si="240"/>
        <v>PO-102580</v>
      </c>
      <c r="O2581" t="str">
        <f t="shared" si="241"/>
        <v>Delivered</v>
      </c>
      <c r="P2581" t="str">
        <f t="shared" si="242"/>
        <v>WH-DEL</v>
      </c>
      <c r="Q2581" t="str">
        <f>VLOOKUP(C2581, Lookups!$A$2:$D$10, 2, FALSE())</f>
        <v>Peripheral Source</v>
      </c>
      <c r="R2581" t="str">
        <f>_xlfn.XLOOKUP(D2581, Lookups!$A$12:$A$51, Lookups!$C$12:$C$51, "Unknown")</f>
        <v>Peripherals</v>
      </c>
      <c r="S2581" t="str">
        <f>IF(ISBLANK(I2581), B2581+VLOOKUP(C2581, Lookups!$A$2:$D$10, 4, FALSE()), I2581)</f>
        <v>2025-01-13</v>
      </c>
      <c r="T2581">
        <f t="shared" si="243"/>
        <v>11</v>
      </c>
      <c r="U2581" t="str">
        <f t="shared" si="244"/>
        <v>Late</v>
      </c>
      <c r="V2581">
        <f t="shared" si="245"/>
        <v>0</v>
      </c>
    </row>
    <row r="2582" spans="1:22" x14ac:dyDescent="0.45">
      <c r="A2582" t="s">
        <v>3438</v>
      </c>
      <c r="B2582" t="s">
        <v>729</v>
      </c>
      <c r="C2582" t="s">
        <v>30</v>
      </c>
      <c r="D2582" t="s">
        <v>53</v>
      </c>
      <c r="E2582" t="s">
        <v>15</v>
      </c>
      <c r="F2582">
        <v>22</v>
      </c>
      <c r="G2582">
        <v>81048</v>
      </c>
      <c r="H2582">
        <v>1783056</v>
      </c>
      <c r="I2582" t="s">
        <v>332</v>
      </c>
      <c r="J2582" t="s">
        <v>642</v>
      </c>
      <c r="K2582">
        <v>20</v>
      </c>
      <c r="L2582">
        <v>0</v>
      </c>
      <c r="M2582" t="s">
        <v>115</v>
      </c>
      <c r="N2582" t="str">
        <f t="shared" si="240"/>
        <v>PO-102581</v>
      </c>
      <c r="O2582" t="str">
        <f t="shared" si="241"/>
        <v>Delivered</v>
      </c>
      <c r="P2582" t="str">
        <f t="shared" si="242"/>
        <v>WH-BOM</v>
      </c>
      <c r="Q2582" t="str">
        <f>VLOOKUP(C2582, Lookups!$A$2:$D$10, 2, FALSE())</f>
        <v>TechSupply Corp</v>
      </c>
      <c r="R2582" t="str">
        <f>_xlfn.XLOOKUP(D2582, Lookups!$A$12:$A$51, Lookups!$C$12:$C$51, "Unknown")</f>
        <v>Electronics</v>
      </c>
      <c r="S2582" t="str">
        <f>IF(ISBLANK(I2582), B2582+VLOOKUP(C2582, Lookups!$A$2:$D$10, 4, FALSE()), I2582)</f>
        <v>2025-10-12</v>
      </c>
      <c r="T2582">
        <f t="shared" si="243"/>
        <v>22</v>
      </c>
      <c r="U2582" t="str">
        <f t="shared" si="244"/>
        <v>Late</v>
      </c>
      <c r="V2582">
        <f t="shared" si="245"/>
        <v>0</v>
      </c>
    </row>
    <row r="2583" spans="1:22" x14ac:dyDescent="0.45">
      <c r="A2583" t="s">
        <v>3439</v>
      </c>
      <c r="B2583" t="s">
        <v>1068</v>
      </c>
      <c r="C2583" t="s">
        <v>35</v>
      </c>
      <c r="D2583" t="s">
        <v>72</v>
      </c>
      <c r="E2583" t="s">
        <v>16</v>
      </c>
      <c r="F2583">
        <v>11</v>
      </c>
      <c r="G2583">
        <v>7754</v>
      </c>
      <c r="H2583">
        <v>85294</v>
      </c>
      <c r="I2583" t="s">
        <v>604</v>
      </c>
      <c r="J2583" t="s">
        <v>272</v>
      </c>
      <c r="K2583">
        <v>11</v>
      </c>
      <c r="L2583">
        <v>0</v>
      </c>
      <c r="M2583" t="s">
        <v>115</v>
      </c>
      <c r="N2583" t="str">
        <f t="shared" si="240"/>
        <v>PO-102582</v>
      </c>
      <c r="O2583" t="str">
        <f t="shared" si="241"/>
        <v>Delivered</v>
      </c>
      <c r="P2583" t="str">
        <f t="shared" si="242"/>
        <v>WH-DEL</v>
      </c>
      <c r="Q2583" t="str">
        <f>VLOOKUP(C2583, Lookups!$A$2:$D$10, 2, FALSE())</f>
        <v>Peripheral Source</v>
      </c>
      <c r="R2583" t="str">
        <f>_xlfn.XLOOKUP(D2583, Lookups!$A$12:$A$51, Lookups!$C$12:$C$51, "Unknown")</f>
        <v>Peripherals</v>
      </c>
      <c r="S2583" t="str">
        <f>IF(ISBLANK(I2583), B2583+VLOOKUP(C2583, Lookups!$A$2:$D$10, 4, FALSE()), I2583)</f>
        <v>2025-08-12</v>
      </c>
      <c r="T2583">
        <f t="shared" si="243"/>
        <v>11</v>
      </c>
      <c r="U2583" t="str">
        <f t="shared" si="244"/>
        <v>Late</v>
      </c>
      <c r="V2583">
        <f t="shared" si="245"/>
        <v>0</v>
      </c>
    </row>
    <row r="2584" spans="1:22" x14ac:dyDescent="0.45">
      <c r="A2584" t="s">
        <v>3440</v>
      </c>
      <c r="B2584" t="s">
        <v>1622</v>
      </c>
      <c r="C2584" t="s">
        <v>36</v>
      </c>
      <c r="D2584" t="s">
        <v>55</v>
      </c>
      <c r="E2584" t="s">
        <v>16</v>
      </c>
      <c r="F2584">
        <v>29</v>
      </c>
      <c r="G2584">
        <v>58434</v>
      </c>
      <c r="H2584">
        <v>1694586</v>
      </c>
      <c r="I2584" t="s">
        <v>1285</v>
      </c>
      <c r="J2584" t="s">
        <v>502</v>
      </c>
      <c r="K2584">
        <v>29</v>
      </c>
      <c r="L2584">
        <v>0</v>
      </c>
      <c r="M2584" t="s">
        <v>115</v>
      </c>
      <c r="N2584" t="str">
        <f t="shared" si="240"/>
        <v>PO-102583</v>
      </c>
      <c r="O2584" t="str">
        <f t="shared" si="241"/>
        <v>Delivered</v>
      </c>
      <c r="P2584" t="str">
        <f t="shared" si="242"/>
        <v>WH-DEL</v>
      </c>
      <c r="Q2584" t="str">
        <f>VLOOKUP(C2584, Lookups!$A$2:$D$10, 2, FALSE())</f>
        <v>NextGen Hardware</v>
      </c>
      <c r="R2584" t="str">
        <f>_xlfn.XLOOKUP(D2584, Lookups!$A$12:$A$51, Lookups!$C$12:$C$51, "Unknown")</f>
        <v>Electronics</v>
      </c>
      <c r="S2584" t="str">
        <f>IF(ISBLANK(I2584), B2584+VLOOKUP(C2584, Lookups!$A$2:$D$10, 4, FALSE()), I2584)</f>
        <v>2026-02-21</v>
      </c>
      <c r="T2584">
        <f t="shared" si="243"/>
        <v>25</v>
      </c>
      <c r="U2584" t="str">
        <f t="shared" si="244"/>
        <v>Late</v>
      </c>
      <c r="V2584">
        <f t="shared" si="245"/>
        <v>0</v>
      </c>
    </row>
    <row r="2585" spans="1:22" x14ac:dyDescent="0.45">
      <c r="A2585" t="s">
        <v>3441</v>
      </c>
      <c r="B2585" t="s">
        <v>310</v>
      </c>
      <c r="C2585" t="s">
        <v>31</v>
      </c>
      <c r="D2585" t="s">
        <v>66</v>
      </c>
      <c r="E2585" t="s">
        <v>15</v>
      </c>
      <c r="F2585">
        <v>107</v>
      </c>
      <c r="G2585">
        <v>29719</v>
      </c>
      <c r="H2585">
        <v>3179933</v>
      </c>
      <c r="I2585" t="s">
        <v>875</v>
      </c>
      <c r="J2585" t="s">
        <v>294</v>
      </c>
      <c r="K2585">
        <v>107</v>
      </c>
      <c r="L2585">
        <v>0</v>
      </c>
      <c r="M2585" t="s">
        <v>115</v>
      </c>
      <c r="N2585" t="str">
        <f t="shared" si="240"/>
        <v>PO-102584</v>
      </c>
      <c r="O2585" t="str">
        <f t="shared" si="241"/>
        <v>Delivered</v>
      </c>
      <c r="P2585" t="str">
        <f t="shared" si="242"/>
        <v>WH-BOM</v>
      </c>
      <c r="Q2585" t="str">
        <f>VLOOKUP(C2585, Lookups!$A$2:$D$10, 2, FALSE())</f>
        <v>Global Networks</v>
      </c>
      <c r="R2585" t="str">
        <f>_xlfn.XLOOKUP(D2585, Lookups!$A$12:$A$51, Lookups!$C$12:$C$51, "Unknown")</f>
        <v>Networking</v>
      </c>
      <c r="S2585" t="str">
        <f>IF(ISBLANK(I2585), B2585+VLOOKUP(C2585, Lookups!$A$2:$D$10, 4, FALSE()), I2585)</f>
        <v>2025-09-11</v>
      </c>
      <c r="T2585">
        <f t="shared" si="243"/>
        <v>23</v>
      </c>
      <c r="U2585" t="str">
        <f t="shared" si="244"/>
        <v>Late</v>
      </c>
      <c r="V2585">
        <f t="shared" si="245"/>
        <v>0</v>
      </c>
    </row>
    <row r="2586" spans="1:22" x14ac:dyDescent="0.45">
      <c r="A2586" t="s">
        <v>3442</v>
      </c>
      <c r="B2586" t="s">
        <v>458</v>
      </c>
      <c r="C2586" t="s">
        <v>34</v>
      </c>
      <c r="D2586" t="s">
        <v>58</v>
      </c>
      <c r="E2586" t="s">
        <v>15</v>
      </c>
      <c r="F2586">
        <v>26</v>
      </c>
      <c r="G2586">
        <v>100302</v>
      </c>
      <c r="H2586">
        <v>2607852</v>
      </c>
      <c r="I2586" t="s">
        <v>894</v>
      </c>
      <c r="J2586" t="s">
        <v>1068</v>
      </c>
      <c r="K2586">
        <v>26</v>
      </c>
      <c r="L2586">
        <v>0</v>
      </c>
      <c r="M2586" t="s">
        <v>927</v>
      </c>
      <c r="N2586" t="str">
        <f t="shared" si="240"/>
        <v>PO-102585</v>
      </c>
      <c r="O2586" t="str">
        <f t="shared" si="241"/>
        <v>Delivered</v>
      </c>
      <c r="P2586" t="str">
        <f t="shared" si="242"/>
        <v>WH-BOM</v>
      </c>
      <c r="Q2586" t="str">
        <f>VLOOKUP(C2586, Lookups!$A$2:$D$10, 2, FALSE())</f>
        <v>FastElectronics</v>
      </c>
      <c r="R2586" t="str">
        <f>_xlfn.XLOOKUP(D2586, Lookups!$A$12:$A$51, Lookups!$C$12:$C$51, "Unknown")</f>
        <v>Electronics</v>
      </c>
      <c r="S2586" t="str">
        <f>IF(ISBLANK(I2586), B2586+VLOOKUP(C2586, Lookups!$A$2:$D$10, 4, FALSE()), I2586)</f>
        <v>2025-08-01</v>
      </c>
      <c r="T2586">
        <f t="shared" si="243"/>
        <v>19</v>
      </c>
      <c r="U2586" t="str">
        <f t="shared" si="244"/>
        <v>Late</v>
      </c>
      <c r="V2586">
        <f t="shared" si="245"/>
        <v>0</v>
      </c>
    </row>
    <row r="2587" spans="1:22" x14ac:dyDescent="0.45">
      <c r="A2587" t="s">
        <v>3443</v>
      </c>
      <c r="B2587" t="s">
        <v>155</v>
      </c>
      <c r="C2587" t="s">
        <v>35</v>
      </c>
      <c r="D2587" t="s">
        <v>72</v>
      </c>
      <c r="E2587" t="s">
        <v>18</v>
      </c>
      <c r="F2587">
        <v>245</v>
      </c>
      <c r="G2587">
        <v>7754</v>
      </c>
      <c r="H2587">
        <v>1899730</v>
      </c>
      <c r="I2587" t="s">
        <v>890</v>
      </c>
      <c r="J2587" t="s">
        <v>890</v>
      </c>
      <c r="K2587">
        <v>245</v>
      </c>
      <c r="L2587">
        <v>0</v>
      </c>
      <c r="M2587" t="s">
        <v>115</v>
      </c>
      <c r="N2587" t="str">
        <f t="shared" si="240"/>
        <v>PO-102586</v>
      </c>
      <c r="O2587" t="str">
        <f t="shared" si="241"/>
        <v>Delivered</v>
      </c>
      <c r="P2587" t="str">
        <f t="shared" si="242"/>
        <v>WH-PUN</v>
      </c>
      <c r="Q2587" t="str">
        <f>VLOOKUP(C2587, Lookups!$A$2:$D$10, 2, FALSE())</f>
        <v>Peripheral Source</v>
      </c>
      <c r="R2587" t="str">
        <f>_xlfn.XLOOKUP(D2587, Lookups!$A$12:$A$51, Lookups!$C$12:$C$51, "Unknown")</f>
        <v>Peripherals</v>
      </c>
      <c r="S2587" t="str">
        <f>IF(ISBLANK(I2587), B2587+VLOOKUP(C2587, Lookups!$A$2:$D$10, 4, FALSE()), I2587)</f>
        <v>2025-11-09</v>
      </c>
      <c r="T2587">
        <f t="shared" si="243"/>
        <v>10</v>
      </c>
      <c r="U2587" t="str">
        <f t="shared" si="244"/>
        <v>On-Time</v>
      </c>
      <c r="V2587">
        <f t="shared" si="245"/>
        <v>0</v>
      </c>
    </row>
    <row r="2588" spans="1:22" x14ac:dyDescent="0.45">
      <c r="A2588" t="s">
        <v>3444</v>
      </c>
      <c r="B2588" t="s">
        <v>671</v>
      </c>
      <c r="C2588" t="s">
        <v>30</v>
      </c>
      <c r="D2588" t="s">
        <v>88</v>
      </c>
      <c r="E2588" t="s">
        <v>17</v>
      </c>
      <c r="F2588">
        <v>17</v>
      </c>
      <c r="G2588">
        <v>75512</v>
      </c>
      <c r="H2588">
        <v>1283704</v>
      </c>
      <c r="I2588" t="s">
        <v>811</v>
      </c>
      <c r="J2588" t="s">
        <v>811</v>
      </c>
      <c r="K2588">
        <v>13</v>
      </c>
      <c r="L2588">
        <v>0</v>
      </c>
      <c r="M2588" t="s">
        <v>115</v>
      </c>
      <c r="N2588" t="str">
        <f t="shared" si="240"/>
        <v>PO-102587</v>
      </c>
      <c r="O2588" t="str">
        <f t="shared" si="241"/>
        <v>Delivered</v>
      </c>
      <c r="P2588" t="str">
        <f t="shared" si="242"/>
        <v>WH-BLR</v>
      </c>
      <c r="Q2588" t="str">
        <f>VLOOKUP(C2588, Lookups!$A$2:$D$10, 2, FALSE())</f>
        <v>TechSupply Corp</v>
      </c>
      <c r="R2588" t="str">
        <f>_xlfn.XLOOKUP(D2588, Lookups!$A$12:$A$51, Lookups!$C$12:$C$51, "Unknown")</f>
        <v>Electronics</v>
      </c>
      <c r="S2588" t="str">
        <f>IF(ISBLANK(I2588), B2588+VLOOKUP(C2588, Lookups!$A$2:$D$10, 4, FALSE()), I2588)</f>
        <v>2026-11-27</v>
      </c>
      <c r="T2588">
        <f t="shared" si="243"/>
        <v>14</v>
      </c>
      <c r="U2588" t="str">
        <f t="shared" si="244"/>
        <v>On-Time</v>
      </c>
      <c r="V2588">
        <f t="shared" si="245"/>
        <v>0</v>
      </c>
    </row>
    <row r="2589" spans="1:22" x14ac:dyDescent="0.45">
      <c r="A2589" t="s">
        <v>3445</v>
      </c>
      <c r="B2589" t="s">
        <v>1671</v>
      </c>
      <c r="C2589" t="s">
        <v>31</v>
      </c>
      <c r="D2589" t="s">
        <v>66</v>
      </c>
      <c r="E2589" t="s">
        <v>17</v>
      </c>
      <c r="F2589">
        <v>50</v>
      </c>
      <c r="G2589">
        <v>29719</v>
      </c>
      <c r="H2589">
        <v>1485950</v>
      </c>
      <c r="I2589" t="s">
        <v>558</v>
      </c>
      <c r="J2589" t="s">
        <v>558</v>
      </c>
      <c r="K2589">
        <v>50</v>
      </c>
      <c r="L2589">
        <v>0</v>
      </c>
      <c r="M2589" t="s">
        <v>115</v>
      </c>
      <c r="N2589" t="str">
        <f t="shared" si="240"/>
        <v>PO-102588</v>
      </c>
      <c r="O2589" t="str">
        <f t="shared" si="241"/>
        <v>Delivered</v>
      </c>
      <c r="P2589" t="str">
        <f t="shared" si="242"/>
        <v>WH-BLR</v>
      </c>
      <c r="Q2589" t="str">
        <f>VLOOKUP(C2589, Lookups!$A$2:$D$10, 2, FALSE())</f>
        <v>Global Networks</v>
      </c>
      <c r="R2589" t="str">
        <f>_xlfn.XLOOKUP(D2589, Lookups!$A$12:$A$51, Lookups!$C$12:$C$51, "Unknown")</f>
        <v>Networking</v>
      </c>
      <c r="S2589" t="str">
        <f>IF(ISBLANK(I2589), B2589+VLOOKUP(C2589, Lookups!$A$2:$D$10, 4, FALSE()), I2589)</f>
        <v>2026-04-18</v>
      </c>
      <c r="T2589">
        <f t="shared" si="243"/>
        <v>21</v>
      </c>
      <c r="U2589" t="str">
        <f t="shared" si="244"/>
        <v>On-Time</v>
      </c>
      <c r="V2589">
        <f t="shared" si="245"/>
        <v>0</v>
      </c>
    </row>
    <row r="2590" spans="1:22" x14ac:dyDescent="0.45">
      <c r="A2590" t="s">
        <v>3446</v>
      </c>
      <c r="B2590" t="s">
        <v>688</v>
      </c>
      <c r="C2590" t="s">
        <v>37</v>
      </c>
      <c r="D2590" t="s">
        <v>79</v>
      </c>
      <c r="E2590" t="s">
        <v>16</v>
      </c>
      <c r="F2590">
        <v>102</v>
      </c>
      <c r="G2590">
        <v>23054</v>
      </c>
      <c r="H2590">
        <v>2351508</v>
      </c>
      <c r="I2590" t="s">
        <v>863</v>
      </c>
      <c r="J2590" t="s">
        <v>1095</v>
      </c>
      <c r="K2590">
        <v>102</v>
      </c>
      <c r="L2590">
        <v>0</v>
      </c>
      <c r="M2590" t="s">
        <v>115</v>
      </c>
      <c r="N2590" t="str">
        <f t="shared" si="240"/>
        <v>PO-102589</v>
      </c>
      <c r="O2590" t="str">
        <f t="shared" si="241"/>
        <v>Delivered</v>
      </c>
      <c r="P2590" t="str">
        <f t="shared" si="242"/>
        <v>WH-DEL</v>
      </c>
      <c r="Q2590" t="str">
        <f>VLOOKUP(C2590, Lookups!$A$2:$D$10, 2, FALSE())</f>
        <v>Premium Desks Ltd</v>
      </c>
      <c r="R2590" t="str">
        <f>_xlfn.XLOOKUP(D2590, Lookups!$A$12:$A$51, Lookups!$C$12:$C$51, "Unknown")</f>
        <v>Office Furniture</v>
      </c>
      <c r="S2590" t="str">
        <f>IF(ISBLANK(I2590), B2590+VLOOKUP(C2590, Lookups!$A$2:$D$10, 4, FALSE()), I2590)</f>
        <v>2026-05-11</v>
      </c>
      <c r="T2590">
        <f t="shared" si="243"/>
        <v>8</v>
      </c>
      <c r="U2590" t="str">
        <f t="shared" si="244"/>
        <v>On-Time</v>
      </c>
      <c r="V2590">
        <f t="shared" si="245"/>
        <v>0</v>
      </c>
    </row>
    <row r="2591" spans="1:22" x14ac:dyDescent="0.45">
      <c r="A2591" t="s">
        <v>3447</v>
      </c>
      <c r="B2591" t="s">
        <v>1440</v>
      </c>
      <c r="C2591" t="s">
        <v>36</v>
      </c>
      <c r="D2591" t="s">
        <v>63</v>
      </c>
      <c r="E2591" t="s">
        <v>18</v>
      </c>
      <c r="F2591">
        <v>132</v>
      </c>
      <c r="G2591">
        <v>71062</v>
      </c>
      <c r="H2591">
        <v>9380184</v>
      </c>
      <c r="I2591" t="s">
        <v>214</v>
      </c>
      <c r="J2591" t="s">
        <v>214</v>
      </c>
      <c r="K2591">
        <v>132</v>
      </c>
      <c r="L2591">
        <v>0</v>
      </c>
      <c r="M2591" t="s">
        <v>115</v>
      </c>
      <c r="N2591" t="str">
        <f t="shared" si="240"/>
        <v>PO-102590</v>
      </c>
      <c r="O2591" t="str">
        <f t="shared" si="241"/>
        <v>Delivered</v>
      </c>
      <c r="P2591" t="str">
        <f t="shared" si="242"/>
        <v>WH-PUN</v>
      </c>
      <c r="Q2591" t="str">
        <f>VLOOKUP(C2591, Lookups!$A$2:$D$10, 2, FALSE())</f>
        <v>NextGen Hardware</v>
      </c>
      <c r="R2591" t="str">
        <f>_xlfn.XLOOKUP(D2591, Lookups!$A$12:$A$51, Lookups!$C$12:$C$51, "Unknown")</f>
        <v>Electronics</v>
      </c>
      <c r="S2591" t="str">
        <f>IF(ISBLANK(I2591), B2591+VLOOKUP(C2591, Lookups!$A$2:$D$10, 4, FALSE()), I2591)</f>
        <v>2025-06-27</v>
      </c>
      <c r="T2591">
        <f t="shared" si="243"/>
        <v>24</v>
      </c>
      <c r="U2591" t="str">
        <f t="shared" si="244"/>
        <v>On-Time</v>
      </c>
      <c r="V2591">
        <f t="shared" si="245"/>
        <v>0</v>
      </c>
    </row>
    <row r="2592" spans="1:22" x14ac:dyDescent="0.45">
      <c r="A2592" t="s">
        <v>3448</v>
      </c>
      <c r="B2592" t="s">
        <v>685</v>
      </c>
      <c r="C2592" t="s">
        <v>30</v>
      </c>
      <c r="D2592" t="s">
        <v>53</v>
      </c>
      <c r="E2592" t="s">
        <v>16</v>
      </c>
      <c r="F2592">
        <v>85</v>
      </c>
      <c r="G2592">
        <v>81048</v>
      </c>
      <c r="H2592">
        <v>6889080</v>
      </c>
      <c r="I2592" t="s">
        <v>322</v>
      </c>
      <c r="J2592" t="s">
        <v>322</v>
      </c>
      <c r="K2592">
        <v>85</v>
      </c>
      <c r="L2592">
        <v>0</v>
      </c>
      <c r="M2592" t="s">
        <v>115</v>
      </c>
      <c r="N2592" t="str">
        <f t="shared" si="240"/>
        <v>PO-102591</v>
      </c>
      <c r="O2592" t="str">
        <f t="shared" si="241"/>
        <v>Delivered</v>
      </c>
      <c r="P2592" t="str">
        <f t="shared" si="242"/>
        <v>WH-DEL</v>
      </c>
      <c r="Q2592" t="str">
        <f>VLOOKUP(C2592, Lookups!$A$2:$D$10, 2, FALSE())</f>
        <v>TechSupply Corp</v>
      </c>
      <c r="R2592" t="str">
        <f>_xlfn.XLOOKUP(D2592, Lookups!$A$12:$A$51, Lookups!$C$12:$C$51, "Unknown")</f>
        <v>Electronics</v>
      </c>
      <c r="S2592" t="str">
        <f>IF(ISBLANK(I2592), B2592+VLOOKUP(C2592, Lookups!$A$2:$D$10, 4, FALSE()), I2592)</f>
        <v>2026-03-24</v>
      </c>
      <c r="T2592">
        <f t="shared" si="243"/>
        <v>14</v>
      </c>
      <c r="U2592" t="str">
        <f t="shared" si="244"/>
        <v>On-Time</v>
      </c>
      <c r="V2592">
        <f t="shared" si="245"/>
        <v>0</v>
      </c>
    </row>
    <row r="2593" spans="1:22" x14ac:dyDescent="0.45">
      <c r="A2593" t="s">
        <v>3449</v>
      </c>
      <c r="B2593" t="s">
        <v>443</v>
      </c>
      <c r="C2593" t="s">
        <v>35</v>
      </c>
      <c r="D2593" t="s">
        <v>70</v>
      </c>
      <c r="E2593" t="s">
        <v>15</v>
      </c>
      <c r="F2593">
        <v>180</v>
      </c>
      <c r="G2593">
        <v>4287</v>
      </c>
      <c r="H2593">
        <v>771660</v>
      </c>
      <c r="I2593" t="s">
        <v>686</v>
      </c>
      <c r="J2593" t="s">
        <v>686</v>
      </c>
      <c r="K2593">
        <v>180</v>
      </c>
      <c r="L2593">
        <v>0</v>
      </c>
      <c r="M2593" t="s">
        <v>115</v>
      </c>
      <c r="N2593" t="str">
        <f t="shared" si="240"/>
        <v>PO-102592</v>
      </c>
      <c r="O2593" t="str">
        <f t="shared" si="241"/>
        <v>Delivered</v>
      </c>
      <c r="P2593" t="str">
        <f t="shared" si="242"/>
        <v>WH-BOM</v>
      </c>
      <c r="Q2593" t="str">
        <f>VLOOKUP(C2593, Lookups!$A$2:$D$10, 2, FALSE())</f>
        <v>Peripheral Source</v>
      </c>
      <c r="R2593" t="str">
        <f>_xlfn.XLOOKUP(D2593, Lookups!$A$12:$A$51, Lookups!$C$12:$C$51, "Unknown")</f>
        <v>Peripherals</v>
      </c>
      <c r="S2593" t="str">
        <f>IF(ISBLANK(I2593), B2593+VLOOKUP(C2593, Lookups!$A$2:$D$10, 4, FALSE()), I2593)</f>
        <v>2026-04-10</v>
      </c>
      <c r="T2593">
        <f t="shared" si="243"/>
        <v>10</v>
      </c>
      <c r="U2593" t="str">
        <f t="shared" si="244"/>
        <v>On-Time</v>
      </c>
      <c r="V2593">
        <f t="shared" si="245"/>
        <v>0</v>
      </c>
    </row>
    <row r="2594" spans="1:22" x14ac:dyDescent="0.45">
      <c r="A2594" t="s">
        <v>3450</v>
      </c>
      <c r="B2594" t="s">
        <v>937</v>
      </c>
      <c r="C2594" t="s">
        <v>31</v>
      </c>
      <c r="D2594" t="s">
        <v>64</v>
      </c>
      <c r="E2594" t="s">
        <v>16</v>
      </c>
      <c r="F2594">
        <v>42</v>
      </c>
      <c r="G2594">
        <v>36295</v>
      </c>
      <c r="H2594">
        <v>1524390</v>
      </c>
      <c r="I2594" t="s">
        <v>773</v>
      </c>
      <c r="J2594" t="s">
        <v>537</v>
      </c>
      <c r="K2594">
        <v>42</v>
      </c>
      <c r="L2594">
        <v>0</v>
      </c>
      <c r="M2594" t="s">
        <v>115</v>
      </c>
      <c r="N2594" t="str">
        <f t="shared" si="240"/>
        <v>PO-102593</v>
      </c>
      <c r="O2594" t="str">
        <f t="shared" si="241"/>
        <v>Delivered</v>
      </c>
      <c r="P2594" t="str">
        <f t="shared" si="242"/>
        <v>WH-DEL</v>
      </c>
      <c r="Q2594" t="str">
        <f>VLOOKUP(C2594, Lookups!$A$2:$D$10, 2, FALSE())</f>
        <v>Global Networks</v>
      </c>
      <c r="R2594" t="str">
        <f>_xlfn.XLOOKUP(D2594, Lookups!$A$12:$A$51, Lookups!$C$12:$C$51, "Unknown")</f>
        <v>Networking</v>
      </c>
      <c r="S2594" t="str">
        <f>IF(ISBLANK(I2594), B2594+VLOOKUP(C2594, Lookups!$A$2:$D$10, 4, FALSE()), I2594)</f>
        <v>2026-01-02</v>
      </c>
      <c r="T2594">
        <f t="shared" si="243"/>
        <v>22</v>
      </c>
      <c r="U2594" t="str">
        <f t="shared" si="244"/>
        <v>Late</v>
      </c>
      <c r="V2594">
        <f t="shared" si="245"/>
        <v>0</v>
      </c>
    </row>
    <row r="2595" spans="1:22" x14ac:dyDescent="0.45">
      <c r="A2595" t="s">
        <v>3451</v>
      </c>
      <c r="B2595" t="s">
        <v>753</v>
      </c>
      <c r="C2595" t="s">
        <v>36</v>
      </c>
      <c r="D2595" t="s">
        <v>62</v>
      </c>
      <c r="E2595" t="s">
        <v>18</v>
      </c>
      <c r="F2595">
        <v>41</v>
      </c>
      <c r="G2595">
        <v>48478</v>
      </c>
      <c r="H2595">
        <v>1987598</v>
      </c>
      <c r="I2595" t="s">
        <v>851</v>
      </c>
      <c r="J2595" t="s">
        <v>508</v>
      </c>
      <c r="K2595">
        <v>41</v>
      </c>
      <c r="L2595">
        <v>0</v>
      </c>
      <c r="M2595" t="s">
        <v>115</v>
      </c>
      <c r="N2595" t="str">
        <f t="shared" si="240"/>
        <v>PO-102594</v>
      </c>
      <c r="O2595" t="str">
        <f t="shared" si="241"/>
        <v>Delivered</v>
      </c>
      <c r="P2595" t="str">
        <f t="shared" si="242"/>
        <v>WH-PUN</v>
      </c>
      <c r="Q2595" t="str">
        <f>VLOOKUP(C2595, Lookups!$A$2:$D$10, 2, FALSE())</f>
        <v>NextGen Hardware</v>
      </c>
      <c r="R2595" t="str">
        <f>_xlfn.XLOOKUP(D2595, Lookups!$A$12:$A$51, Lookups!$C$12:$C$51, "Unknown")</f>
        <v>Electronics</v>
      </c>
      <c r="S2595" t="str">
        <f>IF(ISBLANK(I2595), B2595+VLOOKUP(C2595, Lookups!$A$2:$D$10, 4, FALSE()), I2595)</f>
        <v>2026-01-16</v>
      </c>
      <c r="T2595">
        <f t="shared" si="243"/>
        <v>25</v>
      </c>
      <c r="U2595" t="str">
        <f t="shared" si="244"/>
        <v>Late</v>
      </c>
      <c r="V2595">
        <f t="shared" si="245"/>
        <v>0</v>
      </c>
    </row>
    <row r="2596" spans="1:22" x14ac:dyDescent="0.45">
      <c r="A2596" t="s">
        <v>3452</v>
      </c>
      <c r="B2596" t="s">
        <v>288</v>
      </c>
      <c r="C2596" t="s">
        <v>36</v>
      </c>
      <c r="D2596" t="s">
        <v>90</v>
      </c>
      <c r="E2596" t="s">
        <v>15</v>
      </c>
      <c r="F2596">
        <v>112</v>
      </c>
      <c r="G2596">
        <v>81434</v>
      </c>
      <c r="H2596">
        <v>9120608</v>
      </c>
      <c r="I2596" t="s">
        <v>130</v>
      </c>
      <c r="J2596" t="s">
        <v>130</v>
      </c>
      <c r="K2596">
        <v>62</v>
      </c>
      <c r="L2596">
        <v>0</v>
      </c>
      <c r="M2596" t="s">
        <v>115</v>
      </c>
      <c r="N2596" t="str">
        <f t="shared" si="240"/>
        <v>PO-102595</v>
      </c>
      <c r="O2596" t="str">
        <f t="shared" si="241"/>
        <v>Delivered</v>
      </c>
      <c r="P2596" t="str">
        <f t="shared" si="242"/>
        <v>WH-BOM</v>
      </c>
      <c r="Q2596" t="str">
        <f>VLOOKUP(C2596, Lookups!$A$2:$D$10, 2, FALSE())</f>
        <v>NextGen Hardware</v>
      </c>
      <c r="R2596" t="str">
        <f>_xlfn.XLOOKUP(D2596, Lookups!$A$12:$A$51, Lookups!$C$12:$C$51, "Unknown")</f>
        <v>Electronics</v>
      </c>
      <c r="S2596" t="str">
        <f>IF(ISBLANK(I2596), B2596+VLOOKUP(C2596, Lookups!$A$2:$D$10, 4, FALSE()), I2596)</f>
        <v>2026-07-15</v>
      </c>
      <c r="T2596">
        <f t="shared" si="243"/>
        <v>24</v>
      </c>
      <c r="U2596" t="str">
        <f t="shared" si="244"/>
        <v>On-Time</v>
      </c>
      <c r="V2596">
        <f t="shared" si="245"/>
        <v>0</v>
      </c>
    </row>
    <row r="2597" spans="1:22" x14ac:dyDescent="0.45">
      <c r="A2597" t="s">
        <v>3453</v>
      </c>
      <c r="B2597" t="s">
        <v>480</v>
      </c>
      <c r="C2597" t="s">
        <v>35</v>
      </c>
      <c r="D2597" t="s">
        <v>57</v>
      </c>
      <c r="E2597" t="s">
        <v>15</v>
      </c>
      <c r="F2597">
        <v>76</v>
      </c>
      <c r="G2597">
        <v>2212</v>
      </c>
      <c r="H2597">
        <v>168112</v>
      </c>
      <c r="I2597" t="s">
        <v>481</v>
      </c>
      <c r="J2597" t="s">
        <v>278</v>
      </c>
      <c r="K2597">
        <v>76</v>
      </c>
      <c r="L2597">
        <v>0</v>
      </c>
      <c r="M2597" t="s">
        <v>115</v>
      </c>
      <c r="N2597" t="str">
        <f t="shared" si="240"/>
        <v>PO-102596</v>
      </c>
      <c r="O2597" t="str">
        <f t="shared" si="241"/>
        <v>Delivered</v>
      </c>
      <c r="P2597" t="str">
        <f t="shared" si="242"/>
        <v>WH-BOM</v>
      </c>
      <c r="Q2597" t="str">
        <f>VLOOKUP(C2597, Lookups!$A$2:$D$10, 2, FALSE())</f>
        <v>Peripheral Source</v>
      </c>
      <c r="R2597" t="str">
        <f>_xlfn.XLOOKUP(D2597, Lookups!$A$12:$A$51, Lookups!$C$12:$C$51, "Unknown")</f>
        <v>Peripherals</v>
      </c>
      <c r="S2597" t="str">
        <f>IF(ISBLANK(I2597), B2597+VLOOKUP(C2597, Lookups!$A$2:$D$10, 4, FALSE()), I2597)</f>
        <v>2025-05-07</v>
      </c>
      <c r="T2597">
        <f t="shared" si="243"/>
        <v>16</v>
      </c>
      <c r="U2597" t="str">
        <f t="shared" si="244"/>
        <v>Late</v>
      </c>
      <c r="V2597">
        <f t="shared" si="245"/>
        <v>0</v>
      </c>
    </row>
    <row r="2598" spans="1:22" x14ac:dyDescent="0.45">
      <c r="A2598" t="s">
        <v>3454</v>
      </c>
      <c r="B2598" t="s">
        <v>1314</v>
      </c>
      <c r="C2598" t="s">
        <v>36</v>
      </c>
      <c r="D2598" t="s">
        <v>71</v>
      </c>
      <c r="E2598" t="s">
        <v>17</v>
      </c>
      <c r="F2598">
        <v>237</v>
      </c>
      <c r="G2598">
        <v>65379</v>
      </c>
      <c r="H2598">
        <v>15494823</v>
      </c>
      <c r="I2598" t="s">
        <v>288</v>
      </c>
      <c r="J2598" t="s">
        <v>882</v>
      </c>
      <c r="K2598">
        <v>237</v>
      </c>
      <c r="L2598">
        <v>14</v>
      </c>
      <c r="M2598" t="s">
        <v>115</v>
      </c>
      <c r="N2598" t="str">
        <f t="shared" si="240"/>
        <v>PO-102597</v>
      </c>
      <c r="O2598" t="str">
        <f t="shared" si="241"/>
        <v>Delivered</v>
      </c>
      <c r="P2598" t="str">
        <f t="shared" si="242"/>
        <v>WH-BLR</v>
      </c>
      <c r="Q2598" t="str">
        <f>VLOOKUP(C2598, Lookups!$A$2:$D$10, 2, FALSE())</f>
        <v>NextGen Hardware</v>
      </c>
      <c r="R2598" t="str">
        <f>_xlfn.XLOOKUP(D2598, Lookups!$A$12:$A$51, Lookups!$C$12:$C$51, "Unknown")</f>
        <v>Electronics</v>
      </c>
      <c r="S2598" t="str">
        <f>IF(ISBLANK(I2598), B2598+VLOOKUP(C2598, Lookups!$A$2:$D$10, 4, FALSE()), I2598)</f>
        <v>2026-06-21</v>
      </c>
      <c r="T2598">
        <f t="shared" si="243"/>
        <v>25</v>
      </c>
      <c r="U2598" t="str">
        <f t="shared" si="244"/>
        <v>Late</v>
      </c>
      <c r="V2598">
        <f t="shared" si="245"/>
        <v>5.9071729957805907E-2</v>
      </c>
    </row>
    <row r="2599" spans="1:22" x14ac:dyDescent="0.45">
      <c r="A2599" t="s">
        <v>3455</v>
      </c>
      <c r="B2599" t="s">
        <v>443</v>
      </c>
      <c r="C2599" t="s">
        <v>31</v>
      </c>
      <c r="D2599" t="s">
        <v>56</v>
      </c>
      <c r="E2599" t="s">
        <v>18</v>
      </c>
      <c r="F2599">
        <v>239</v>
      </c>
      <c r="G2599">
        <v>39270</v>
      </c>
      <c r="H2599">
        <v>9385530</v>
      </c>
      <c r="I2599" t="s">
        <v>963</v>
      </c>
      <c r="J2599" t="s">
        <v>1221</v>
      </c>
      <c r="K2599">
        <v>233</v>
      </c>
      <c r="L2599">
        <v>0</v>
      </c>
      <c r="M2599" t="s">
        <v>115</v>
      </c>
      <c r="N2599" t="str">
        <f t="shared" si="240"/>
        <v>PO-102598</v>
      </c>
      <c r="O2599" t="str">
        <f t="shared" si="241"/>
        <v>Delivered</v>
      </c>
      <c r="P2599" t="str">
        <f t="shared" si="242"/>
        <v>WH-PUN</v>
      </c>
      <c r="Q2599" t="str">
        <f>VLOOKUP(C2599, Lookups!$A$2:$D$10, 2, FALSE())</f>
        <v>Global Networks</v>
      </c>
      <c r="R2599" t="str">
        <f>_xlfn.XLOOKUP(D2599, Lookups!$A$12:$A$51, Lookups!$C$12:$C$51, "Unknown")</f>
        <v>Networking</v>
      </c>
      <c r="S2599" t="str">
        <f>IF(ISBLANK(I2599), B2599+VLOOKUP(C2599, Lookups!$A$2:$D$10, 4, FALSE()), I2599)</f>
        <v>2026-04-21</v>
      </c>
      <c r="T2599">
        <f t="shared" si="243"/>
        <v>22</v>
      </c>
      <c r="U2599" t="str">
        <f t="shared" si="244"/>
        <v>Late</v>
      </c>
      <c r="V2599">
        <f t="shared" si="245"/>
        <v>0</v>
      </c>
    </row>
    <row r="2600" spans="1:22" x14ac:dyDescent="0.45">
      <c r="A2600" t="s">
        <v>3456</v>
      </c>
      <c r="B2600" t="s">
        <v>1140</v>
      </c>
      <c r="C2600" t="s">
        <v>37</v>
      </c>
      <c r="D2600" t="s">
        <v>78</v>
      </c>
      <c r="E2600" t="s">
        <v>18</v>
      </c>
      <c r="F2600">
        <v>162</v>
      </c>
      <c r="G2600">
        <v>9423</v>
      </c>
      <c r="H2600">
        <v>1526526</v>
      </c>
      <c r="I2600" t="s">
        <v>789</v>
      </c>
      <c r="J2600" t="s">
        <v>801</v>
      </c>
      <c r="K2600">
        <v>162</v>
      </c>
      <c r="L2600">
        <v>0</v>
      </c>
      <c r="M2600" t="s">
        <v>115</v>
      </c>
      <c r="N2600" t="str">
        <f t="shared" si="240"/>
        <v>PO-102599</v>
      </c>
      <c r="O2600" t="str">
        <f t="shared" si="241"/>
        <v>Delivered</v>
      </c>
      <c r="P2600" t="str">
        <f t="shared" si="242"/>
        <v>WH-PUN</v>
      </c>
      <c r="Q2600" t="str">
        <f>VLOOKUP(C2600, Lookups!$A$2:$D$10, 2, FALSE())</f>
        <v>Premium Desks Ltd</v>
      </c>
      <c r="R2600" t="str">
        <f>_xlfn.XLOOKUP(D2600, Lookups!$A$12:$A$51, Lookups!$C$12:$C$51, "Unknown")</f>
        <v>Office Furniture</v>
      </c>
      <c r="S2600" t="str">
        <f>IF(ISBLANK(I2600), B2600+VLOOKUP(C2600, Lookups!$A$2:$D$10, 4, FALSE()), I2600)</f>
        <v>2026-12-12</v>
      </c>
      <c r="T2600">
        <f t="shared" si="243"/>
        <v>13</v>
      </c>
      <c r="U2600" t="str">
        <f t="shared" si="244"/>
        <v>Late</v>
      </c>
      <c r="V2600">
        <f t="shared" si="245"/>
        <v>0</v>
      </c>
    </row>
    <row r="2601" spans="1:22" x14ac:dyDescent="0.45">
      <c r="A2601" t="s">
        <v>3457</v>
      </c>
      <c r="B2601" t="s">
        <v>667</v>
      </c>
      <c r="C2601" t="s">
        <v>31</v>
      </c>
      <c r="D2601" t="s">
        <v>64</v>
      </c>
      <c r="E2601" t="s">
        <v>17</v>
      </c>
      <c r="F2601">
        <v>11</v>
      </c>
      <c r="G2601">
        <v>36295</v>
      </c>
      <c r="H2601">
        <v>399245</v>
      </c>
      <c r="I2601" t="s">
        <v>763</v>
      </c>
      <c r="J2601" t="s">
        <v>763</v>
      </c>
      <c r="K2601">
        <v>11</v>
      </c>
      <c r="L2601">
        <v>0</v>
      </c>
      <c r="M2601" t="s">
        <v>115</v>
      </c>
      <c r="N2601" t="str">
        <f t="shared" si="240"/>
        <v>PO-102600</v>
      </c>
      <c r="O2601" t="str">
        <f t="shared" si="241"/>
        <v>Delivered</v>
      </c>
      <c r="P2601" t="str">
        <f t="shared" si="242"/>
        <v>WH-BLR</v>
      </c>
      <c r="Q2601" t="str">
        <f>VLOOKUP(C2601, Lookups!$A$2:$D$10, 2, FALSE())</f>
        <v>Global Networks</v>
      </c>
      <c r="R2601" t="str">
        <f>_xlfn.XLOOKUP(D2601, Lookups!$A$12:$A$51, Lookups!$C$12:$C$51, "Unknown")</f>
        <v>Networking</v>
      </c>
      <c r="S2601" t="str">
        <f>IF(ISBLANK(I2601), B2601+VLOOKUP(C2601, Lookups!$A$2:$D$10, 4, FALSE()), I2601)</f>
        <v>2025-01-27</v>
      </c>
      <c r="T2601">
        <f t="shared" si="243"/>
        <v>21</v>
      </c>
      <c r="U2601" t="str">
        <f t="shared" si="244"/>
        <v>On-Time</v>
      </c>
      <c r="V2601">
        <f t="shared" si="245"/>
        <v>0</v>
      </c>
    </row>
    <row r="2602" spans="1:22" x14ac:dyDescent="0.45">
      <c r="A2602" t="s">
        <v>3458</v>
      </c>
      <c r="B2602" t="s">
        <v>498</v>
      </c>
      <c r="C2602" t="s">
        <v>34</v>
      </c>
      <c r="D2602" t="s">
        <v>81</v>
      </c>
      <c r="E2602" t="s">
        <v>15</v>
      </c>
      <c r="F2602">
        <v>109</v>
      </c>
      <c r="G2602">
        <v>55328</v>
      </c>
      <c r="H2602">
        <v>6030752</v>
      </c>
      <c r="I2602" t="s">
        <v>269</v>
      </c>
      <c r="J2602" t="s">
        <v>1247</v>
      </c>
      <c r="K2602">
        <v>109</v>
      </c>
      <c r="L2602">
        <v>0</v>
      </c>
      <c r="M2602" t="s">
        <v>115</v>
      </c>
      <c r="N2602" t="str">
        <f t="shared" si="240"/>
        <v>PO-102601</v>
      </c>
      <c r="O2602" t="str">
        <f t="shared" si="241"/>
        <v>Delivered</v>
      </c>
      <c r="P2602" t="str">
        <f t="shared" si="242"/>
        <v>WH-BOM</v>
      </c>
      <c r="Q2602" t="str">
        <f>VLOOKUP(C2602, Lookups!$A$2:$D$10, 2, FALSE())</f>
        <v>FastElectronics</v>
      </c>
      <c r="R2602" t="str">
        <f>_xlfn.XLOOKUP(D2602, Lookups!$A$12:$A$51, Lookups!$C$12:$C$51, "Unknown")</f>
        <v>Electronics</v>
      </c>
      <c r="S2602" t="str">
        <f>IF(ISBLANK(I2602), B2602+VLOOKUP(C2602, Lookups!$A$2:$D$10, 4, FALSE()), I2602)</f>
        <v>2025-04-20</v>
      </c>
      <c r="T2602">
        <f t="shared" si="243"/>
        <v>30</v>
      </c>
      <c r="U2602" t="str">
        <f t="shared" si="244"/>
        <v>Late</v>
      </c>
      <c r="V2602">
        <f t="shared" si="245"/>
        <v>0</v>
      </c>
    </row>
    <row r="2603" spans="1:22" x14ac:dyDescent="0.45">
      <c r="A2603" t="s">
        <v>3459</v>
      </c>
      <c r="B2603" t="s">
        <v>737</v>
      </c>
      <c r="C2603" t="s">
        <v>35</v>
      </c>
      <c r="D2603" t="s">
        <v>60</v>
      </c>
      <c r="E2603" t="s">
        <v>18</v>
      </c>
      <c r="F2603">
        <v>64</v>
      </c>
      <c r="G2603">
        <v>3291</v>
      </c>
      <c r="H2603">
        <v>210624</v>
      </c>
      <c r="I2603" t="s">
        <v>1140</v>
      </c>
      <c r="J2603" t="s">
        <v>1140</v>
      </c>
      <c r="K2603">
        <v>64</v>
      </c>
      <c r="L2603">
        <v>0</v>
      </c>
      <c r="M2603" t="s">
        <v>115</v>
      </c>
      <c r="N2603" t="str">
        <f t="shared" si="240"/>
        <v>PO-102602</v>
      </c>
      <c r="O2603" t="str">
        <f t="shared" si="241"/>
        <v>Delivered</v>
      </c>
      <c r="P2603" t="str">
        <f t="shared" si="242"/>
        <v>WH-PUN</v>
      </c>
      <c r="Q2603" t="str">
        <f>VLOOKUP(C2603, Lookups!$A$2:$D$10, 2, FALSE())</f>
        <v>Peripheral Source</v>
      </c>
      <c r="R2603" t="str">
        <f>_xlfn.XLOOKUP(D2603, Lookups!$A$12:$A$51, Lookups!$C$12:$C$51, "Unknown")</f>
        <v>Peripherals</v>
      </c>
      <c r="S2603" t="str">
        <f>IF(ISBLANK(I2603), B2603+VLOOKUP(C2603, Lookups!$A$2:$D$10, 4, FALSE()), I2603)</f>
        <v>2026-11-30</v>
      </c>
      <c r="T2603">
        <f t="shared" si="243"/>
        <v>10</v>
      </c>
      <c r="U2603" t="str">
        <f t="shared" si="244"/>
        <v>On-Time</v>
      </c>
      <c r="V2603">
        <f t="shared" si="245"/>
        <v>0</v>
      </c>
    </row>
    <row r="2604" spans="1:22" x14ac:dyDescent="0.45">
      <c r="A2604" t="s">
        <v>3460</v>
      </c>
      <c r="B2604" t="s">
        <v>1112</v>
      </c>
      <c r="C2604" t="s">
        <v>35</v>
      </c>
      <c r="D2604" t="s">
        <v>57</v>
      </c>
      <c r="E2604" t="s">
        <v>18</v>
      </c>
      <c r="F2604">
        <v>51</v>
      </c>
      <c r="G2604">
        <v>2212</v>
      </c>
      <c r="H2604">
        <v>112812</v>
      </c>
      <c r="I2604" t="s">
        <v>615</v>
      </c>
      <c r="J2604" t="s">
        <v>1368</v>
      </c>
      <c r="K2604">
        <v>51</v>
      </c>
      <c r="L2604">
        <v>0</v>
      </c>
      <c r="M2604" t="s">
        <v>115</v>
      </c>
      <c r="N2604" t="str">
        <f t="shared" si="240"/>
        <v>PO-102603</v>
      </c>
      <c r="O2604" t="str">
        <f t="shared" si="241"/>
        <v>Delivered</v>
      </c>
      <c r="P2604" t="str">
        <f t="shared" si="242"/>
        <v>WH-PUN</v>
      </c>
      <c r="Q2604" t="str">
        <f>VLOOKUP(C2604, Lookups!$A$2:$D$10, 2, FALSE())</f>
        <v>Peripheral Source</v>
      </c>
      <c r="R2604" t="str">
        <f>_xlfn.XLOOKUP(D2604, Lookups!$A$12:$A$51, Lookups!$C$12:$C$51, "Unknown")</f>
        <v>Peripherals</v>
      </c>
      <c r="S2604" t="str">
        <f>IF(ISBLANK(I2604), B2604+VLOOKUP(C2604, Lookups!$A$2:$D$10, 4, FALSE()), I2604)</f>
        <v>2026-11-07</v>
      </c>
      <c r="T2604">
        <f t="shared" si="243"/>
        <v>15</v>
      </c>
      <c r="U2604" t="str">
        <f t="shared" si="244"/>
        <v>Late</v>
      </c>
      <c r="V2604">
        <f t="shared" si="245"/>
        <v>0</v>
      </c>
    </row>
    <row r="2605" spans="1:22" x14ac:dyDescent="0.45">
      <c r="A2605" t="s">
        <v>3461</v>
      </c>
      <c r="B2605" t="s">
        <v>1080</v>
      </c>
      <c r="C2605" t="s">
        <v>34</v>
      </c>
      <c r="D2605" t="s">
        <v>74</v>
      </c>
      <c r="E2605" t="s">
        <v>18</v>
      </c>
      <c r="F2605">
        <v>76</v>
      </c>
      <c r="G2605">
        <v>94797</v>
      </c>
      <c r="H2605">
        <v>7204572</v>
      </c>
      <c r="I2605" t="s">
        <v>423</v>
      </c>
      <c r="J2605" t="s">
        <v>385</v>
      </c>
      <c r="K2605">
        <v>76</v>
      </c>
      <c r="L2605">
        <v>0</v>
      </c>
      <c r="M2605" t="s">
        <v>115</v>
      </c>
      <c r="N2605" t="str">
        <f t="shared" si="240"/>
        <v>PO-102604</v>
      </c>
      <c r="O2605" t="str">
        <f t="shared" si="241"/>
        <v>Delivered</v>
      </c>
      <c r="P2605" t="str">
        <f t="shared" si="242"/>
        <v>WH-PUN</v>
      </c>
      <c r="Q2605" t="str">
        <f>VLOOKUP(C2605, Lookups!$A$2:$D$10, 2, FALSE())</f>
        <v>FastElectronics</v>
      </c>
      <c r="R2605" t="str">
        <f>_xlfn.XLOOKUP(D2605, Lookups!$A$12:$A$51, Lookups!$C$12:$C$51, "Unknown")</f>
        <v>Electronics</v>
      </c>
      <c r="S2605" t="str">
        <f>IF(ISBLANK(I2605), B2605+VLOOKUP(C2605, Lookups!$A$2:$D$10, 4, FALSE()), I2605)</f>
        <v>2026-02-12</v>
      </c>
      <c r="T2605">
        <f t="shared" si="243"/>
        <v>21</v>
      </c>
      <c r="U2605" t="str">
        <f t="shared" si="244"/>
        <v>Late</v>
      </c>
      <c r="V2605">
        <f t="shared" si="245"/>
        <v>0</v>
      </c>
    </row>
    <row r="2606" spans="1:22" x14ac:dyDescent="0.45">
      <c r="A2606" t="s">
        <v>3462</v>
      </c>
      <c r="B2606" t="s">
        <v>1112</v>
      </c>
      <c r="C2606" t="s">
        <v>35</v>
      </c>
      <c r="D2606" t="s">
        <v>72</v>
      </c>
      <c r="E2606" t="s">
        <v>17</v>
      </c>
      <c r="F2606">
        <v>229</v>
      </c>
      <c r="G2606">
        <v>7754</v>
      </c>
      <c r="H2606">
        <v>1775666</v>
      </c>
      <c r="I2606" t="s">
        <v>615</v>
      </c>
      <c r="J2606" t="s">
        <v>743</v>
      </c>
      <c r="K2606">
        <v>229</v>
      </c>
      <c r="L2606">
        <v>0</v>
      </c>
      <c r="M2606" t="s">
        <v>115</v>
      </c>
      <c r="N2606" t="str">
        <f t="shared" si="240"/>
        <v>PO-102605</v>
      </c>
      <c r="O2606" t="str">
        <f t="shared" si="241"/>
        <v>Delivered</v>
      </c>
      <c r="P2606" t="str">
        <f t="shared" si="242"/>
        <v>WH-BLR</v>
      </c>
      <c r="Q2606" t="str">
        <f>VLOOKUP(C2606, Lookups!$A$2:$D$10, 2, FALSE())</f>
        <v>Peripheral Source</v>
      </c>
      <c r="R2606" t="str">
        <f>_xlfn.XLOOKUP(D2606, Lookups!$A$12:$A$51, Lookups!$C$12:$C$51, "Unknown")</f>
        <v>Peripherals</v>
      </c>
      <c r="S2606" t="str">
        <f>IF(ISBLANK(I2606), B2606+VLOOKUP(C2606, Lookups!$A$2:$D$10, 4, FALSE()), I2606)</f>
        <v>2026-11-07</v>
      </c>
      <c r="T2606">
        <f t="shared" si="243"/>
        <v>18</v>
      </c>
      <c r="U2606" t="str">
        <f t="shared" si="244"/>
        <v>Late</v>
      </c>
      <c r="V2606">
        <f t="shared" si="245"/>
        <v>0</v>
      </c>
    </row>
    <row r="2607" spans="1:22" x14ac:dyDescent="0.45">
      <c r="A2607" t="s">
        <v>3463</v>
      </c>
      <c r="B2607" t="s">
        <v>388</v>
      </c>
      <c r="C2607" t="s">
        <v>36</v>
      </c>
      <c r="D2607" t="s">
        <v>87</v>
      </c>
      <c r="E2607" t="s">
        <v>16</v>
      </c>
      <c r="F2607">
        <v>228</v>
      </c>
      <c r="G2607">
        <v>82930</v>
      </c>
      <c r="H2607">
        <v>18908040</v>
      </c>
      <c r="I2607" t="s">
        <v>558</v>
      </c>
      <c r="J2607" t="s">
        <v>558</v>
      </c>
      <c r="K2607">
        <v>228</v>
      </c>
      <c r="L2607">
        <v>0</v>
      </c>
      <c r="M2607" t="s">
        <v>115</v>
      </c>
      <c r="N2607" t="str">
        <f t="shared" si="240"/>
        <v>PO-102606</v>
      </c>
      <c r="O2607" t="str">
        <f t="shared" si="241"/>
        <v>Delivered</v>
      </c>
      <c r="P2607" t="str">
        <f t="shared" si="242"/>
        <v>WH-DEL</v>
      </c>
      <c r="Q2607" t="str">
        <f>VLOOKUP(C2607, Lookups!$A$2:$D$10, 2, FALSE())</f>
        <v>NextGen Hardware</v>
      </c>
      <c r="R2607" t="str">
        <f>_xlfn.XLOOKUP(D2607, Lookups!$A$12:$A$51, Lookups!$C$12:$C$51, "Unknown")</f>
        <v>Electronics</v>
      </c>
      <c r="S2607" t="str">
        <f>IF(ISBLANK(I2607), B2607+VLOOKUP(C2607, Lookups!$A$2:$D$10, 4, FALSE()), I2607)</f>
        <v>2026-04-18</v>
      </c>
      <c r="T2607">
        <f t="shared" si="243"/>
        <v>24</v>
      </c>
      <c r="U2607" t="str">
        <f t="shared" si="244"/>
        <v>On-Time</v>
      </c>
      <c r="V2607">
        <f t="shared" si="245"/>
        <v>0</v>
      </c>
    </row>
    <row r="2608" spans="1:22" x14ac:dyDescent="0.45">
      <c r="A2608" t="s">
        <v>3464</v>
      </c>
      <c r="B2608" t="s">
        <v>147</v>
      </c>
      <c r="C2608" t="s">
        <v>36</v>
      </c>
      <c r="D2608" t="s">
        <v>63</v>
      </c>
      <c r="E2608" t="s">
        <v>17</v>
      </c>
      <c r="F2608">
        <v>179</v>
      </c>
      <c r="G2608">
        <v>71062</v>
      </c>
      <c r="H2608">
        <v>12720098</v>
      </c>
      <c r="I2608" t="s">
        <v>988</v>
      </c>
      <c r="J2608" t="s">
        <v>988</v>
      </c>
      <c r="K2608">
        <v>179</v>
      </c>
      <c r="L2608">
        <v>0</v>
      </c>
      <c r="M2608" t="s">
        <v>115</v>
      </c>
      <c r="N2608" t="str">
        <f t="shared" si="240"/>
        <v>PO-102607</v>
      </c>
      <c r="O2608" t="str">
        <f t="shared" si="241"/>
        <v>Delivered</v>
      </c>
      <c r="P2608" t="str">
        <f t="shared" si="242"/>
        <v>WH-BLR</v>
      </c>
      <c r="Q2608" t="str">
        <f>VLOOKUP(C2608, Lookups!$A$2:$D$10, 2, FALSE())</f>
        <v>NextGen Hardware</v>
      </c>
      <c r="R2608" t="str">
        <f>_xlfn.XLOOKUP(D2608, Lookups!$A$12:$A$51, Lookups!$C$12:$C$51, "Unknown")</f>
        <v>Electronics</v>
      </c>
      <c r="S2608" t="str">
        <f>IF(ISBLANK(I2608), B2608+VLOOKUP(C2608, Lookups!$A$2:$D$10, 4, FALSE()), I2608)</f>
        <v>2025-10-29</v>
      </c>
      <c r="T2608">
        <f t="shared" si="243"/>
        <v>24</v>
      </c>
      <c r="U2608" t="str">
        <f t="shared" si="244"/>
        <v>On-Time</v>
      </c>
      <c r="V2608">
        <f t="shared" si="245"/>
        <v>0</v>
      </c>
    </row>
    <row r="2609" spans="1:22" x14ac:dyDescent="0.45">
      <c r="A2609" t="s">
        <v>3465</v>
      </c>
      <c r="B2609" t="s">
        <v>573</v>
      </c>
      <c r="C2609" t="s">
        <v>35</v>
      </c>
      <c r="D2609" t="s">
        <v>72</v>
      </c>
      <c r="E2609" t="s">
        <v>17</v>
      </c>
      <c r="F2609">
        <v>178</v>
      </c>
      <c r="G2609">
        <v>7754</v>
      </c>
      <c r="H2609">
        <v>1380212</v>
      </c>
      <c r="I2609" t="s">
        <v>900</v>
      </c>
      <c r="J2609" t="s">
        <v>863</v>
      </c>
      <c r="K2609">
        <v>178</v>
      </c>
      <c r="L2609">
        <v>0</v>
      </c>
      <c r="M2609" t="s">
        <v>115</v>
      </c>
      <c r="N2609" t="str">
        <f t="shared" si="240"/>
        <v>PO-102608</v>
      </c>
      <c r="O2609" t="str">
        <f t="shared" si="241"/>
        <v>Delivered</v>
      </c>
      <c r="P2609" t="str">
        <f t="shared" si="242"/>
        <v>WH-BLR</v>
      </c>
      <c r="Q2609" t="str">
        <f>VLOOKUP(C2609, Lookups!$A$2:$D$10, 2, FALSE())</f>
        <v>Peripheral Source</v>
      </c>
      <c r="R2609" t="str">
        <f>_xlfn.XLOOKUP(D2609, Lookups!$A$12:$A$51, Lookups!$C$12:$C$51, "Unknown")</f>
        <v>Peripherals</v>
      </c>
      <c r="S2609" t="str">
        <f>IF(ISBLANK(I2609), B2609+VLOOKUP(C2609, Lookups!$A$2:$D$10, 4, FALSE()), I2609)</f>
        <v>2026-05-10</v>
      </c>
      <c r="T2609">
        <f t="shared" si="243"/>
        <v>11</v>
      </c>
      <c r="U2609" t="str">
        <f t="shared" si="244"/>
        <v>Late</v>
      </c>
      <c r="V2609">
        <f t="shared" si="245"/>
        <v>0</v>
      </c>
    </row>
    <row r="2610" spans="1:22" x14ac:dyDescent="0.45">
      <c r="A2610" t="s">
        <v>3466</v>
      </c>
      <c r="B2610" t="s">
        <v>484</v>
      </c>
      <c r="C2610" t="s">
        <v>30</v>
      </c>
      <c r="D2610" t="s">
        <v>61</v>
      </c>
      <c r="E2610" t="s">
        <v>16</v>
      </c>
      <c r="F2610">
        <v>68</v>
      </c>
      <c r="G2610">
        <v>111237</v>
      </c>
      <c r="H2610">
        <v>7564116</v>
      </c>
      <c r="I2610" t="s">
        <v>289</v>
      </c>
      <c r="J2610" t="s">
        <v>289</v>
      </c>
      <c r="K2610">
        <v>68</v>
      </c>
      <c r="L2610">
        <v>0</v>
      </c>
      <c r="M2610" t="s">
        <v>115</v>
      </c>
      <c r="N2610" t="str">
        <f t="shared" si="240"/>
        <v>PO-102609</v>
      </c>
      <c r="O2610" t="str">
        <f t="shared" si="241"/>
        <v>Delivered</v>
      </c>
      <c r="P2610" t="str">
        <f t="shared" si="242"/>
        <v>WH-DEL</v>
      </c>
      <c r="Q2610" t="str">
        <f>VLOOKUP(C2610, Lookups!$A$2:$D$10, 2, FALSE())</f>
        <v>TechSupply Corp</v>
      </c>
      <c r="R2610" t="str">
        <f>_xlfn.XLOOKUP(D2610, Lookups!$A$12:$A$51, Lookups!$C$12:$C$51, "Unknown")</f>
        <v>Electronics</v>
      </c>
      <c r="S2610" t="str">
        <f>IF(ISBLANK(I2610), B2610+VLOOKUP(C2610, Lookups!$A$2:$D$10, 4, FALSE()), I2610)</f>
        <v>2026-07-09</v>
      </c>
      <c r="T2610">
        <f t="shared" si="243"/>
        <v>14</v>
      </c>
      <c r="U2610" t="str">
        <f t="shared" si="244"/>
        <v>On-Time</v>
      </c>
      <c r="V2610">
        <f t="shared" si="245"/>
        <v>0</v>
      </c>
    </row>
    <row r="2611" spans="1:22" x14ac:dyDescent="0.45">
      <c r="A2611" t="s">
        <v>3467</v>
      </c>
      <c r="B2611" t="s">
        <v>154</v>
      </c>
      <c r="C2611" t="s">
        <v>35</v>
      </c>
      <c r="D2611" t="s">
        <v>60</v>
      </c>
      <c r="E2611" t="s">
        <v>15</v>
      </c>
      <c r="F2611">
        <v>213</v>
      </c>
      <c r="G2611">
        <v>3291</v>
      </c>
      <c r="H2611">
        <v>700983</v>
      </c>
      <c r="I2611" t="s">
        <v>231</v>
      </c>
      <c r="J2611" t="s">
        <v>1596</v>
      </c>
      <c r="K2611">
        <v>213</v>
      </c>
      <c r="L2611">
        <v>17</v>
      </c>
      <c r="M2611" t="s">
        <v>115</v>
      </c>
      <c r="N2611" t="str">
        <f t="shared" si="240"/>
        <v>PO-102610</v>
      </c>
      <c r="O2611" t="str">
        <f t="shared" si="241"/>
        <v>Delivered</v>
      </c>
      <c r="P2611" t="str">
        <f t="shared" si="242"/>
        <v>WH-BOM</v>
      </c>
      <c r="Q2611" t="str">
        <f>VLOOKUP(C2611, Lookups!$A$2:$D$10, 2, FALSE())</f>
        <v>Peripheral Source</v>
      </c>
      <c r="R2611" t="str">
        <f>_xlfn.XLOOKUP(D2611, Lookups!$A$12:$A$51, Lookups!$C$12:$C$51, "Unknown")</f>
        <v>Peripherals</v>
      </c>
      <c r="S2611" t="str">
        <f>IF(ISBLANK(I2611), B2611+VLOOKUP(C2611, Lookups!$A$2:$D$10, 4, FALSE()), I2611)</f>
        <v>2025-11-07</v>
      </c>
      <c r="T2611">
        <f t="shared" si="243"/>
        <v>20</v>
      </c>
      <c r="U2611" t="str">
        <f t="shared" si="244"/>
        <v>Late</v>
      </c>
      <c r="V2611">
        <f t="shared" si="245"/>
        <v>7.9812206572769953E-2</v>
      </c>
    </row>
    <row r="2612" spans="1:22" x14ac:dyDescent="0.45">
      <c r="A2612" t="s">
        <v>3468</v>
      </c>
      <c r="B2612" t="s">
        <v>349</v>
      </c>
      <c r="C2612" t="s">
        <v>34</v>
      </c>
      <c r="D2612" t="s">
        <v>74</v>
      </c>
      <c r="E2612" t="s">
        <v>15</v>
      </c>
      <c r="F2612">
        <v>170</v>
      </c>
      <c r="G2612">
        <v>94797</v>
      </c>
      <c r="H2612">
        <v>16115490</v>
      </c>
      <c r="I2612" t="s">
        <v>1337</v>
      </c>
      <c r="J2612" t="s">
        <v>1337</v>
      </c>
      <c r="K2612">
        <v>170</v>
      </c>
      <c r="L2612">
        <v>0</v>
      </c>
      <c r="M2612" t="s">
        <v>115</v>
      </c>
      <c r="N2612" t="str">
        <f t="shared" si="240"/>
        <v>PO-102611</v>
      </c>
      <c r="O2612" t="str">
        <f t="shared" si="241"/>
        <v>Delivered</v>
      </c>
      <c r="P2612" t="str">
        <f t="shared" si="242"/>
        <v>WH-BOM</v>
      </c>
      <c r="Q2612" t="str">
        <f>VLOOKUP(C2612, Lookups!$A$2:$D$10, 2, FALSE())</f>
        <v>FastElectronics</v>
      </c>
      <c r="R2612" t="str">
        <f>_xlfn.XLOOKUP(D2612, Lookups!$A$12:$A$51, Lookups!$C$12:$C$51, "Unknown")</f>
        <v>Electronics</v>
      </c>
      <c r="S2612" t="str">
        <f>IF(ISBLANK(I2612), B2612+VLOOKUP(C2612, Lookups!$A$2:$D$10, 4, FALSE()), I2612)</f>
        <v>2026-09-22</v>
      </c>
      <c r="T2612">
        <f t="shared" si="243"/>
        <v>18</v>
      </c>
      <c r="U2612" t="str">
        <f t="shared" si="244"/>
        <v>On-Time</v>
      </c>
      <c r="V2612">
        <f t="shared" si="245"/>
        <v>0</v>
      </c>
    </row>
    <row r="2613" spans="1:22" x14ac:dyDescent="0.45">
      <c r="A2613" t="s">
        <v>3469</v>
      </c>
      <c r="B2613" t="s">
        <v>1395</v>
      </c>
      <c r="C2613" t="s">
        <v>31</v>
      </c>
      <c r="D2613" t="s">
        <v>77</v>
      </c>
      <c r="E2613" t="s">
        <v>17</v>
      </c>
      <c r="F2613">
        <v>47</v>
      </c>
      <c r="G2613">
        <v>23667</v>
      </c>
      <c r="H2613">
        <v>1112349</v>
      </c>
      <c r="I2613" t="s">
        <v>577</v>
      </c>
      <c r="J2613" t="s">
        <v>150</v>
      </c>
      <c r="K2613">
        <v>47</v>
      </c>
      <c r="L2613">
        <v>0</v>
      </c>
      <c r="M2613" t="s">
        <v>115</v>
      </c>
      <c r="N2613" t="str">
        <f t="shared" si="240"/>
        <v>PO-102612</v>
      </c>
      <c r="O2613" t="str">
        <f t="shared" si="241"/>
        <v>Delivered</v>
      </c>
      <c r="P2613" t="str">
        <f t="shared" si="242"/>
        <v>WH-BLR</v>
      </c>
      <c r="Q2613" t="str">
        <f>VLOOKUP(C2613, Lookups!$A$2:$D$10, 2, FALSE())</f>
        <v>Global Networks</v>
      </c>
      <c r="R2613" t="str">
        <f>_xlfn.XLOOKUP(D2613, Lookups!$A$12:$A$51, Lookups!$C$12:$C$51, "Unknown")</f>
        <v>Networking</v>
      </c>
      <c r="S2613" t="str">
        <f>IF(ISBLANK(I2613), B2613+VLOOKUP(C2613, Lookups!$A$2:$D$10, 4, FALSE()), I2613)</f>
        <v>2026-03-30</v>
      </c>
      <c r="T2613">
        <f t="shared" si="243"/>
        <v>35</v>
      </c>
      <c r="U2613" t="str">
        <f t="shared" si="244"/>
        <v>Late</v>
      </c>
      <c r="V2613">
        <f t="shared" si="245"/>
        <v>0</v>
      </c>
    </row>
    <row r="2614" spans="1:22" x14ac:dyDescent="0.45">
      <c r="A2614" t="s">
        <v>3470</v>
      </c>
      <c r="B2614" t="s">
        <v>446</v>
      </c>
      <c r="C2614" t="s">
        <v>31</v>
      </c>
      <c r="D2614" t="s">
        <v>64</v>
      </c>
      <c r="E2614" t="s">
        <v>16</v>
      </c>
      <c r="F2614">
        <v>35</v>
      </c>
      <c r="G2614">
        <v>36295</v>
      </c>
      <c r="H2614">
        <v>1270325</v>
      </c>
      <c r="I2614" t="s">
        <v>1776</v>
      </c>
      <c r="J2614" t="s">
        <v>859</v>
      </c>
      <c r="K2614">
        <v>35</v>
      </c>
      <c r="L2614">
        <v>0</v>
      </c>
      <c r="M2614" t="s">
        <v>115</v>
      </c>
      <c r="N2614" t="str">
        <f t="shared" si="240"/>
        <v>PO-102613</v>
      </c>
      <c r="O2614" t="str">
        <f t="shared" si="241"/>
        <v>Delivered</v>
      </c>
      <c r="P2614" t="str">
        <f t="shared" si="242"/>
        <v>WH-DEL</v>
      </c>
      <c r="Q2614" t="str">
        <f>VLOOKUP(C2614, Lookups!$A$2:$D$10, 2, FALSE())</f>
        <v>Global Networks</v>
      </c>
      <c r="R2614" t="str">
        <f>_xlfn.XLOOKUP(D2614, Lookups!$A$12:$A$51, Lookups!$C$12:$C$51, "Unknown")</f>
        <v>Networking</v>
      </c>
      <c r="S2614" t="str">
        <f>IF(ISBLANK(I2614), B2614+VLOOKUP(C2614, Lookups!$A$2:$D$10, 4, FALSE()), I2614)</f>
        <v>2025-12-20</v>
      </c>
      <c r="T2614">
        <f t="shared" si="243"/>
        <v>22</v>
      </c>
      <c r="U2614" t="str">
        <f t="shared" si="244"/>
        <v>Late</v>
      </c>
      <c r="V2614">
        <f t="shared" si="245"/>
        <v>0</v>
      </c>
    </row>
    <row r="2615" spans="1:22" x14ac:dyDescent="0.45">
      <c r="A2615" t="s">
        <v>3471</v>
      </c>
      <c r="B2615" t="s">
        <v>840</v>
      </c>
      <c r="C2615" t="s">
        <v>34</v>
      </c>
      <c r="D2615" t="s">
        <v>54</v>
      </c>
      <c r="E2615" t="s">
        <v>17</v>
      </c>
      <c r="F2615">
        <v>175</v>
      </c>
      <c r="G2615">
        <v>22314</v>
      </c>
      <c r="H2615">
        <v>3904950</v>
      </c>
      <c r="I2615" t="s">
        <v>323</v>
      </c>
      <c r="J2615" t="s">
        <v>323</v>
      </c>
      <c r="K2615">
        <v>114</v>
      </c>
      <c r="L2615">
        <v>0</v>
      </c>
      <c r="M2615" t="s">
        <v>115</v>
      </c>
      <c r="N2615" t="str">
        <f t="shared" si="240"/>
        <v>PO-102614</v>
      </c>
      <c r="O2615" t="str">
        <f t="shared" si="241"/>
        <v>Delivered</v>
      </c>
      <c r="P2615" t="str">
        <f t="shared" si="242"/>
        <v>WH-BLR</v>
      </c>
      <c r="Q2615" t="str">
        <f>VLOOKUP(C2615, Lookups!$A$2:$D$10, 2, FALSE())</f>
        <v>FastElectronics</v>
      </c>
      <c r="R2615" t="str">
        <f>_xlfn.XLOOKUP(D2615, Lookups!$A$12:$A$51, Lookups!$C$12:$C$51, "Unknown")</f>
        <v>Networking</v>
      </c>
      <c r="S2615" t="str">
        <f>IF(ISBLANK(I2615), B2615+VLOOKUP(C2615, Lookups!$A$2:$D$10, 4, FALSE()), I2615)</f>
        <v>2026-04-04</v>
      </c>
      <c r="T2615">
        <f t="shared" si="243"/>
        <v>18</v>
      </c>
      <c r="U2615" t="str">
        <f t="shared" si="244"/>
        <v>On-Time</v>
      </c>
      <c r="V2615">
        <f t="shared" si="245"/>
        <v>0</v>
      </c>
    </row>
    <row r="2616" spans="1:22" x14ac:dyDescent="0.45">
      <c r="A2616" t="s">
        <v>3472</v>
      </c>
      <c r="B2616" t="s">
        <v>182</v>
      </c>
      <c r="C2616" t="s">
        <v>34</v>
      </c>
      <c r="D2616" t="s">
        <v>58</v>
      </c>
      <c r="E2616" t="s">
        <v>16</v>
      </c>
      <c r="F2616">
        <v>174</v>
      </c>
      <c r="G2616">
        <v>100302</v>
      </c>
      <c r="H2616">
        <v>17452548</v>
      </c>
      <c r="I2616" t="s">
        <v>1126</v>
      </c>
      <c r="J2616" t="s">
        <v>674</v>
      </c>
      <c r="K2616">
        <v>174</v>
      </c>
      <c r="L2616">
        <v>0</v>
      </c>
      <c r="M2616" t="s">
        <v>115</v>
      </c>
      <c r="N2616" t="str">
        <f t="shared" si="240"/>
        <v>PO-102615</v>
      </c>
      <c r="O2616" t="str">
        <f t="shared" si="241"/>
        <v>Delivered</v>
      </c>
      <c r="P2616" t="str">
        <f t="shared" si="242"/>
        <v>WH-DEL</v>
      </c>
      <c r="Q2616" t="str">
        <f>VLOOKUP(C2616, Lookups!$A$2:$D$10, 2, FALSE())</f>
        <v>FastElectronics</v>
      </c>
      <c r="R2616" t="str">
        <f>_xlfn.XLOOKUP(D2616, Lookups!$A$12:$A$51, Lookups!$C$12:$C$51, "Unknown")</f>
        <v>Electronics</v>
      </c>
      <c r="S2616" t="str">
        <f>IF(ISBLANK(I2616), B2616+VLOOKUP(C2616, Lookups!$A$2:$D$10, 4, FALSE()), I2616)</f>
        <v>2026-11-18</v>
      </c>
      <c r="T2616">
        <f t="shared" si="243"/>
        <v>19</v>
      </c>
      <c r="U2616" t="str">
        <f t="shared" si="244"/>
        <v>Late</v>
      </c>
      <c r="V2616">
        <f t="shared" si="245"/>
        <v>0</v>
      </c>
    </row>
    <row r="2617" spans="1:22" x14ac:dyDescent="0.45">
      <c r="A2617" t="s">
        <v>3473</v>
      </c>
      <c r="B2617" t="s">
        <v>1254</v>
      </c>
      <c r="C2617" t="s">
        <v>34</v>
      </c>
      <c r="D2617" t="s">
        <v>58</v>
      </c>
      <c r="E2617" t="s">
        <v>15</v>
      </c>
      <c r="F2617">
        <v>137</v>
      </c>
      <c r="G2617">
        <v>100302</v>
      </c>
      <c r="H2617">
        <v>13741374</v>
      </c>
      <c r="I2617" t="s">
        <v>1112</v>
      </c>
      <c r="J2617" t="s">
        <v>1112</v>
      </c>
      <c r="K2617">
        <v>137</v>
      </c>
      <c r="L2617">
        <v>0</v>
      </c>
      <c r="M2617" t="s">
        <v>115</v>
      </c>
      <c r="N2617" t="str">
        <f t="shared" si="240"/>
        <v>PO-102616</v>
      </c>
      <c r="O2617" t="str">
        <f t="shared" si="241"/>
        <v>Delivered</v>
      </c>
      <c r="P2617" t="str">
        <f t="shared" si="242"/>
        <v>WH-BOM</v>
      </c>
      <c r="Q2617" t="str">
        <f>VLOOKUP(C2617, Lookups!$A$2:$D$10, 2, FALSE())</f>
        <v>FastElectronics</v>
      </c>
      <c r="R2617" t="str">
        <f>_xlfn.XLOOKUP(D2617, Lookups!$A$12:$A$51, Lookups!$C$12:$C$51, "Unknown")</f>
        <v>Electronics</v>
      </c>
      <c r="S2617" t="str">
        <f>IF(ISBLANK(I2617), B2617+VLOOKUP(C2617, Lookups!$A$2:$D$10, 4, FALSE()), I2617)</f>
        <v>2026-10-28</v>
      </c>
      <c r="T2617">
        <f t="shared" si="243"/>
        <v>18</v>
      </c>
      <c r="U2617" t="str">
        <f t="shared" si="244"/>
        <v>On-Time</v>
      </c>
      <c r="V2617">
        <f t="shared" si="245"/>
        <v>0</v>
      </c>
    </row>
    <row r="2618" spans="1:22" x14ac:dyDescent="0.45">
      <c r="A2618" t="s">
        <v>3474</v>
      </c>
      <c r="B2618" t="s">
        <v>1122</v>
      </c>
      <c r="C2618" t="s">
        <v>35</v>
      </c>
      <c r="D2618" t="s">
        <v>72</v>
      </c>
      <c r="E2618" t="s">
        <v>18</v>
      </c>
      <c r="F2618">
        <v>201</v>
      </c>
      <c r="G2618">
        <v>7754</v>
      </c>
      <c r="H2618">
        <v>1558554</v>
      </c>
      <c r="I2618" t="s">
        <v>1343</v>
      </c>
      <c r="J2618" t="s">
        <v>1343</v>
      </c>
      <c r="K2618">
        <v>201</v>
      </c>
      <c r="L2618">
        <v>0</v>
      </c>
      <c r="M2618" t="s">
        <v>115</v>
      </c>
      <c r="N2618" t="str">
        <f t="shared" si="240"/>
        <v>PO-102617</v>
      </c>
      <c r="O2618" t="str">
        <f t="shared" si="241"/>
        <v>Delivered</v>
      </c>
      <c r="P2618" t="str">
        <f t="shared" si="242"/>
        <v>WH-PUN</v>
      </c>
      <c r="Q2618" t="str">
        <f>VLOOKUP(C2618, Lookups!$A$2:$D$10, 2, FALSE())</f>
        <v>Peripheral Source</v>
      </c>
      <c r="R2618" t="str">
        <f>_xlfn.XLOOKUP(D2618, Lookups!$A$12:$A$51, Lookups!$C$12:$C$51, "Unknown")</f>
        <v>Peripherals</v>
      </c>
      <c r="S2618" t="str">
        <f>IF(ISBLANK(I2618), B2618+VLOOKUP(C2618, Lookups!$A$2:$D$10, 4, FALSE()), I2618)</f>
        <v>2026-08-24</v>
      </c>
      <c r="T2618">
        <f t="shared" si="243"/>
        <v>10</v>
      </c>
      <c r="U2618" t="str">
        <f t="shared" si="244"/>
        <v>On-Time</v>
      </c>
      <c r="V2618">
        <f t="shared" si="245"/>
        <v>0</v>
      </c>
    </row>
    <row r="2619" spans="1:22" x14ac:dyDescent="0.45">
      <c r="A2619" t="s">
        <v>3475</v>
      </c>
      <c r="B2619" t="s">
        <v>310</v>
      </c>
      <c r="C2619" t="s">
        <v>30</v>
      </c>
      <c r="D2619" t="s">
        <v>52</v>
      </c>
      <c r="E2619" t="s">
        <v>17</v>
      </c>
      <c r="F2619">
        <v>37</v>
      </c>
      <c r="G2619">
        <v>59592</v>
      </c>
      <c r="H2619">
        <v>2204904</v>
      </c>
      <c r="I2619" t="s">
        <v>293</v>
      </c>
      <c r="J2619" t="s">
        <v>933</v>
      </c>
      <c r="K2619">
        <v>37</v>
      </c>
      <c r="L2619">
        <v>0</v>
      </c>
      <c r="M2619" t="s">
        <v>115</v>
      </c>
      <c r="N2619" t="str">
        <f t="shared" si="240"/>
        <v>PO-102618</v>
      </c>
      <c r="O2619" t="str">
        <f t="shared" si="241"/>
        <v>Delivered</v>
      </c>
      <c r="P2619" t="str">
        <f t="shared" si="242"/>
        <v>WH-BLR</v>
      </c>
      <c r="Q2619" t="str">
        <f>VLOOKUP(C2619, Lookups!$A$2:$D$10, 2, FALSE())</f>
        <v>TechSupply Corp</v>
      </c>
      <c r="R2619" t="str">
        <f>_xlfn.XLOOKUP(D2619, Lookups!$A$12:$A$51, Lookups!$C$12:$C$51, "Unknown")</f>
        <v>Electronics</v>
      </c>
      <c r="S2619" t="str">
        <f>IF(ISBLANK(I2619), B2619+VLOOKUP(C2619, Lookups!$A$2:$D$10, 4, FALSE()), I2619)</f>
        <v>2025-09-04</v>
      </c>
      <c r="T2619">
        <f t="shared" si="243"/>
        <v>15</v>
      </c>
      <c r="U2619" t="str">
        <f t="shared" si="244"/>
        <v>Late</v>
      </c>
      <c r="V2619">
        <f t="shared" si="245"/>
        <v>0</v>
      </c>
    </row>
    <row r="2620" spans="1:22" x14ac:dyDescent="0.45">
      <c r="A2620" t="s">
        <v>3476</v>
      </c>
      <c r="B2620" t="s">
        <v>1041</v>
      </c>
      <c r="C2620" t="s">
        <v>35</v>
      </c>
      <c r="D2620" t="s">
        <v>70</v>
      </c>
      <c r="E2620" t="s">
        <v>18</v>
      </c>
      <c r="F2620">
        <v>88</v>
      </c>
      <c r="G2620">
        <v>4287</v>
      </c>
      <c r="H2620">
        <v>377256</v>
      </c>
      <c r="I2620" t="s">
        <v>282</v>
      </c>
      <c r="J2620" t="s">
        <v>282</v>
      </c>
      <c r="K2620">
        <v>88</v>
      </c>
      <c r="L2620">
        <v>0</v>
      </c>
      <c r="M2620" t="s">
        <v>178</v>
      </c>
      <c r="N2620" t="str">
        <f t="shared" si="240"/>
        <v>PO-102619</v>
      </c>
      <c r="O2620" t="str">
        <f t="shared" si="241"/>
        <v>Delivered</v>
      </c>
      <c r="P2620" t="str">
        <f t="shared" si="242"/>
        <v>WH-PUN</v>
      </c>
      <c r="Q2620" t="str">
        <f>VLOOKUP(C2620, Lookups!$A$2:$D$10, 2, FALSE())</f>
        <v>Peripheral Source</v>
      </c>
      <c r="R2620" t="str">
        <f>_xlfn.XLOOKUP(D2620, Lookups!$A$12:$A$51, Lookups!$C$12:$C$51, "Unknown")</f>
        <v>Peripherals</v>
      </c>
      <c r="S2620" t="str">
        <f>IF(ISBLANK(I2620), B2620+VLOOKUP(C2620, Lookups!$A$2:$D$10, 4, FALSE()), I2620)</f>
        <v>2026-10-27</v>
      </c>
      <c r="T2620">
        <f t="shared" si="243"/>
        <v>10</v>
      </c>
      <c r="U2620" t="str">
        <f t="shared" si="244"/>
        <v>On-Time</v>
      </c>
      <c r="V2620">
        <f t="shared" si="245"/>
        <v>0</v>
      </c>
    </row>
    <row r="2621" spans="1:22" x14ac:dyDescent="0.45">
      <c r="A2621" t="s">
        <v>3477</v>
      </c>
      <c r="B2621" t="s">
        <v>851</v>
      </c>
      <c r="C2621" t="s">
        <v>36</v>
      </c>
      <c r="D2621" t="s">
        <v>90</v>
      </c>
      <c r="E2621" t="s">
        <v>18</v>
      </c>
      <c r="F2621">
        <v>73</v>
      </c>
      <c r="G2621">
        <v>81434</v>
      </c>
      <c r="H2621">
        <v>5944682</v>
      </c>
      <c r="I2621" t="s">
        <v>873</v>
      </c>
      <c r="J2621" t="s">
        <v>617</v>
      </c>
      <c r="K2621">
        <v>63</v>
      </c>
      <c r="L2621">
        <v>0</v>
      </c>
      <c r="M2621" t="s">
        <v>115</v>
      </c>
      <c r="N2621" t="str">
        <f t="shared" si="240"/>
        <v>PO-102620</v>
      </c>
      <c r="O2621" t="str">
        <f t="shared" si="241"/>
        <v>Delivered</v>
      </c>
      <c r="P2621" t="str">
        <f t="shared" si="242"/>
        <v>WH-PUN</v>
      </c>
      <c r="Q2621" t="str">
        <f>VLOOKUP(C2621, Lookups!$A$2:$D$10, 2, FALSE())</f>
        <v>NextGen Hardware</v>
      </c>
      <c r="R2621" t="str">
        <f>_xlfn.XLOOKUP(D2621, Lookups!$A$12:$A$51, Lookups!$C$12:$C$51, "Unknown")</f>
        <v>Electronics</v>
      </c>
      <c r="S2621" t="str">
        <f>IF(ISBLANK(I2621), B2621+VLOOKUP(C2621, Lookups!$A$2:$D$10, 4, FALSE()), I2621)</f>
        <v>2026-02-09</v>
      </c>
      <c r="T2621">
        <f t="shared" si="243"/>
        <v>25</v>
      </c>
      <c r="U2621" t="str">
        <f t="shared" si="244"/>
        <v>Late</v>
      </c>
      <c r="V2621">
        <f t="shared" si="245"/>
        <v>0</v>
      </c>
    </row>
    <row r="2622" spans="1:22" x14ac:dyDescent="0.45">
      <c r="A2622" t="s">
        <v>3478</v>
      </c>
      <c r="B2622" t="s">
        <v>917</v>
      </c>
      <c r="C2622" t="s">
        <v>30</v>
      </c>
      <c r="D2622" t="s">
        <v>61</v>
      </c>
      <c r="E2622" t="s">
        <v>17</v>
      </c>
      <c r="F2622">
        <v>224</v>
      </c>
      <c r="G2622">
        <v>111237</v>
      </c>
      <c r="H2622">
        <v>24917088</v>
      </c>
      <c r="I2622" t="s">
        <v>1079</v>
      </c>
      <c r="J2622" t="s">
        <v>422</v>
      </c>
      <c r="K2622">
        <v>224</v>
      </c>
      <c r="L2622">
        <v>0</v>
      </c>
      <c r="M2622" t="s">
        <v>115</v>
      </c>
      <c r="N2622" t="str">
        <f t="shared" si="240"/>
        <v>PO-102621</v>
      </c>
      <c r="O2622" t="str">
        <f t="shared" si="241"/>
        <v>Delivered</v>
      </c>
      <c r="P2622" t="str">
        <f t="shared" si="242"/>
        <v>WH-BLR</v>
      </c>
      <c r="Q2622" t="str">
        <f>VLOOKUP(C2622, Lookups!$A$2:$D$10, 2, FALSE())</f>
        <v>TechSupply Corp</v>
      </c>
      <c r="R2622" t="str">
        <f>_xlfn.XLOOKUP(D2622, Lookups!$A$12:$A$51, Lookups!$C$12:$C$51, "Unknown")</f>
        <v>Electronics</v>
      </c>
      <c r="S2622" t="str">
        <f>IF(ISBLANK(I2622), B2622+VLOOKUP(C2622, Lookups!$A$2:$D$10, 4, FALSE()), I2622)</f>
        <v>2026-01-18</v>
      </c>
      <c r="T2622">
        <f t="shared" si="243"/>
        <v>15</v>
      </c>
      <c r="U2622" t="str">
        <f t="shared" si="244"/>
        <v>Late</v>
      </c>
      <c r="V2622">
        <f t="shared" si="245"/>
        <v>0</v>
      </c>
    </row>
    <row r="2623" spans="1:22" x14ac:dyDescent="0.45">
      <c r="A2623" t="s">
        <v>3479</v>
      </c>
      <c r="B2623" t="s">
        <v>403</v>
      </c>
      <c r="C2623" t="s">
        <v>30</v>
      </c>
      <c r="D2623" t="s">
        <v>52</v>
      </c>
      <c r="E2623" t="s">
        <v>16</v>
      </c>
      <c r="F2623">
        <v>131</v>
      </c>
      <c r="G2623">
        <v>59592</v>
      </c>
      <c r="H2623">
        <v>7806552</v>
      </c>
      <c r="I2623" t="s">
        <v>609</v>
      </c>
      <c r="J2623" t="s">
        <v>320</v>
      </c>
      <c r="K2623">
        <v>131</v>
      </c>
      <c r="L2623">
        <v>0</v>
      </c>
      <c r="M2623" t="s">
        <v>115</v>
      </c>
      <c r="N2623" t="str">
        <f t="shared" si="240"/>
        <v>PO-102622</v>
      </c>
      <c r="O2623" t="str">
        <f t="shared" si="241"/>
        <v>Delivered</v>
      </c>
      <c r="P2623" t="str">
        <f t="shared" si="242"/>
        <v>WH-DEL</v>
      </c>
      <c r="Q2623" t="str">
        <f>VLOOKUP(C2623, Lookups!$A$2:$D$10, 2, FALSE())</f>
        <v>TechSupply Corp</v>
      </c>
      <c r="R2623" t="str">
        <f>_xlfn.XLOOKUP(D2623, Lookups!$A$12:$A$51, Lookups!$C$12:$C$51, "Unknown")</f>
        <v>Electronics</v>
      </c>
      <c r="S2623" t="str">
        <f>IF(ISBLANK(I2623), B2623+VLOOKUP(C2623, Lookups!$A$2:$D$10, 4, FALSE()), I2623)</f>
        <v>2025-10-02</v>
      </c>
      <c r="T2623">
        <f t="shared" si="243"/>
        <v>27</v>
      </c>
      <c r="U2623" t="str">
        <f t="shared" si="244"/>
        <v>Late</v>
      </c>
      <c r="V2623">
        <f t="shared" si="245"/>
        <v>0</v>
      </c>
    </row>
    <row r="2624" spans="1:22" x14ac:dyDescent="0.45">
      <c r="A2624" t="s">
        <v>3480</v>
      </c>
      <c r="B2624" t="s">
        <v>423</v>
      </c>
      <c r="C2624" t="s">
        <v>36</v>
      </c>
      <c r="D2624" t="s">
        <v>87</v>
      </c>
      <c r="E2624" t="s">
        <v>18</v>
      </c>
      <c r="F2624">
        <v>78</v>
      </c>
      <c r="G2624">
        <v>82930</v>
      </c>
      <c r="H2624">
        <v>6468540</v>
      </c>
      <c r="I2624" t="s">
        <v>316</v>
      </c>
      <c r="J2624" t="s">
        <v>1395</v>
      </c>
      <c r="K2624">
        <v>78</v>
      </c>
      <c r="L2624">
        <v>11</v>
      </c>
      <c r="M2624" t="s">
        <v>115</v>
      </c>
      <c r="N2624" t="str">
        <f t="shared" si="240"/>
        <v>PO-102623</v>
      </c>
      <c r="O2624" t="str">
        <f t="shared" si="241"/>
        <v>Delivered</v>
      </c>
      <c r="P2624" t="str">
        <f t="shared" si="242"/>
        <v>WH-PUN</v>
      </c>
      <c r="Q2624" t="str">
        <f>VLOOKUP(C2624, Lookups!$A$2:$D$10, 2, FALSE())</f>
        <v>NextGen Hardware</v>
      </c>
      <c r="R2624" t="str">
        <f>_xlfn.XLOOKUP(D2624, Lookups!$A$12:$A$51, Lookups!$C$12:$C$51, "Unknown")</f>
        <v>Electronics</v>
      </c>
      <c r="S2624" t="str">
        <f>IF(ISBLANK(I2624), B2624+VLOOKUP(C2624, Lookups!$A$2:$D$10, 4, FALSE()), I2624)</f>
        <v>2026-03-08</v>
      </c>
      <c r="T2624">
        <f t="shared" si="243"/>
        <v>25</v>
      </c>
      <c r="U2624" t="str">
        <f t="shared" si="244"/>
        <v>Late</v>
      </c>
      <c r="V2624">
        <f t="shared" si="245"/>
        <v>0.14102564102564102</v>
      </c>
    </row>
    <row r="2625" spans="1:22" x14ac:dyDescent="0.45">
      <c r="A2625" t="s">
        <v>3481</v>
      </c>
      <c r="B2625" t="s">
        <v>579</v>
      </c>
      <c r="C2625" t="s">
        <v>34</v>
      </c>
      <c r="D2625" t="s">
        <v>54</v>
      </c>
      <c r="E2625" t="s">
        <v>17</v>
      </c>
      <c r="F2625">
        <v>133</v>
      </c>
      <c r="G2625">
        <v>22314</v>
      </c>
      <c r="H2625">
        <v>2967762</v>
      </c>
      <c r="I2625" t="s">
        <v>851</v>
      </c>
      <c r="J2625" t="s">
        <v>851</v>
      </c>
      <c r="K2625">
        <v>133</v>
      </c>
      <c r="L2625">
        <v>0</v>
      </c>
      <c r="M2625" t="s">
        <v>115</v>
      </c>
      <c r="N2625" t="str">
        <f t="shared" si="240"/>
        <v>PO-102624</v>
      </c>
      <c r="O2625" t="str">
        <f t="shared" si="241"/>
        <v>Delivered</v>
      </c>
      <c r="P2625" t="str">
        <f t="shared" si="242"/>
        <v>WH-BLR</v>
      </c>
      <c r="Q2625" t="str">
        <f>VLOOKUP(C2625, Lookups!$A$2:$D$10, 2, FALSE())</f>
        <v>FastElectronics</v>
      </c>
      <c r="R2625" t="str">
        <f>_xlfn.XLOOKUP(D2625, Lookups!$A$12:$A$51, Lookups!$C$12:$C$51, "Unknown")</f>
        <v>Networking</v>
      </c>
      <c r="S2625" t="str">
        <f>IF(ISBLANK(I2625), B2625+VLOOKUP(C2625, Lookups!$A$2:$D$10, 4, FALSE()), I2625)</f>
        <v>2026-01-16</v>
      </c>
      <c r="T2625">
        <f t="shared" si="243"/>
        <v>18</v>
      </c>
      <c r="U2625" t="str">
        <f t="shared" si="244"/>
        <v>On-Time</v>
      </c>
      <c r="V2625">
        <f t="shared" si="245"/>
        <v>0</v>
      </c>
    </row>
    <row r="2626" spans="1:22" x14ac:dyDescent="0.45">
      <c r="A2626" t="s">
        <v>3482</v>
      </c>
      <c r="B2626" t="s">
        <v>149</v>
      </c>
      <c r="C2626" t="s">
        <v>30</v>
      </c>
      <c r="D2626" t="s">
        <v>61</v>
      </c>
      <c r="E2626" t="s">
        <v>18</v>
      </c>
      <c r="F2626">
        <v>111</v>
      </c>
      <c r="G2626">
        <v>111237</v>
      </c>
      <c r="H2626">
        <v>12347307</v>
      </c>
      <c r="I2626" t="s">
        <v>855</v>
      </c>
      <c r="J2626" t="s">
        <v>558</v>
      </c>
      <c r="K2626">
        <v>111</v>
      </c>
      <c r="L2626">
        <v>0</v>
      </c>
      <c r="M2626" t="s">
        <v>115</v>
      </c>
      <c r="N2626" t="str">
        <f t="shared" ref="N2626:N2689" si="246">TRIM(A2626)</f>
        <v>PO-102625</v>
      </c>
      <c r="O2626" t="str">
        <f t="shared" ref="O2626:O2689" si="247">PROPER(TRIM(M2626))</f>
        <v>Delivered</v>
      </c>
      <c r="P2626" t="str">
        <f t="shared" ref="P2626:P2689" si="248">TRIM(E2626)</f>
        <v>WH-PUN</v>
      </c>
      <c r="Q2626" t="str">
        <f>VLOOKUP(C2626, Lookups!$A$2:$D$10, 2, FALSE())</f>
        <v>TechSupply Corp</v>
      </c>
      <c r="R2626" t="str">
        <f>_xlfn.XLOOKUP(D2626, Lookups!$A$12:$A$51, Lookups!$C$12:$C$51, "Unknown")</f>
        <v>Electronics</v>
      </c>
      <c r="S2626" t="str">
        <f>IF(ISBLANK(I2626), B2626+VLOOKUP(C2626, Lookups!$A$2:$D$10, 4, FALSE()), I2626)</f>
        <v>2026-04-17</v>
      </c>
      <c r="T2626">
        <f t="shared" ref="T2626:T2689" si="249">IF(ISBLANK(J2626), "", J2626-B2626)</f>
        <v>15</v>
      </c>
      <c r="U2626" t="str">
        <f t="shared" ref="U2626:U2689" si="250">IF(O2626="Open", "Open", IF(J2626&gt;S2626, "Late", "On-Time"))</f>
        <v>Late</v>
      </c>
      <c r="V2626">
        <f t="shared" ref="V2626:V2689" si="251">IF(K2626&gt;0, L2626/K2626, 0)</f>
        <v>0</v>
      </c>
    </row>
    <row r="2627" spans="1:22" x14ac:dyDescent="0.45">
      <c r="A2627" t="s">
        <v>3483</v>
      </c>
      <c r="B2627" t="s">
        <v>308</v>
      </c>
      <c r="C2627" t="s">
        <v>36</v>
      </c>
      <c r="D2627" t="s">
        <v>90</v>
      </c>
      <c r="E2627" t="s">
        <v>913</v>
      </c>
      <c r="F2627">
        <v>83</v>
      </c>
      <c r="G2627">
        <v>81434</v>
      </c>
      <c r="H2627">
        <v>6759022</v>
      </c>
      <c r="I2627" t="s">
        <v>646</v>
      </c>
      <c r="J2627" t="s">
        <v>181</v>
      </c>
      <c r="K2627">
        <v>79</v>
      </c>
      <c r="L2627">
        <v>0</v>
      </c>
      <c r="M2627" t="s">
        <v>115</v>
      </c>
      <c r="N2627" t="str">
        <f t="shared" si="246"/>
        <v>PO-102626</v>
      </c>
      <c r="O2627" t="str">
        <f t="shared" si="247"/>
        <v>Delivered</v>
      </c>
      <c r="P2627" t="str">
        <f t="shared" si="248"/>
        <v>WH-DEL</v>
      </c>
      <c r="Q2627" t="str">
        <f>VLOOKUP(C2627, Lookups!$A$2:$D$10, 2, FALSE())</f>
        <v>NextGen Hardware</v>
      </c>
      <c r="R2627" t="str">
        <f>_xlfn.XLOOKUP(D2627, Lookups!$A$12:$A$51, Lookups!$C$12:$C$51, "Unknown")</f>
        <v>Electronics</v>
      </c>
      <c r="S2627" t="str">
        <f>IF(ISBLANK(I2627), B2627+VLOOKUP(C2627, Lookups!$A$2:$D$10, 4, FALSE()), I2627)</f>
        <v>2026-10-07</v>
      </c>
      <c r="T2627">
        <f t="shared" si="249"/>
        <v>36</v>
      </c>
      <c r="U2627" t="str">
        <f t="shared" si="250"/>
        <v>Late</v>
      </c>
      <c r="V2627">
        <f t="shared" si="251"/>
        <v>0</v>
      </c>
    </row>
    <row r="2628" spans="1:22" x14ac:dyDescent="0.45">
      <c r="A2628" t="s">
        <v>3484</v>
      </c>
      <c r="B2628" t="s">
        <v>600</v>
      </c>
      <c r="C2628" t="s">
        <v>34</v>
      </c>
      <c r="D2628" t="s">
        <v>54</v>
      </c>
      <c r="E2628" t="s">
        <v>18</v>
      </c>
      <c r="F2628">
        <v>55</v>
      </c>
      <c r="G2628">
        <v>22314</v>
      </c>
      <c r="H2628">
        <v>1227270</v>
      </c>
      <c r="I2628" t="s">
        <v>246</v>
      </c>
      <c r="J2628" t="s">
        <v>246</v>
      </c>
      <c r="K2628">
        <v>55</v>
      </c>
      <c r="L2628">
        <v>0</v>
      </c>
      <c r="M2628" t="s">
        <v>115</v>
      </c>
      <c r="N2628" t="str">
        <f t="shared" si="246"/>
        <v>PO-102627</v>
      </c>
      <c r="O2628" t="str">
        <f t="shared" si="247"/>
        <v>Delivered</v>
      </c>
      <c r="P2628" t="str">
        <f t="shared" si="248"/>
        <v>WH-PUN</v>
      </c>
      <c r="Q2628" t="str">
        <f>VLOOKUP(C2628, Lookups!$A$2:$D$10, 2, FALSE())</f>
        <v>FastElectronics</v>
      </c>
      <c r="R2628" t="str">
        <f>_xlfn.XLOOKUP(D2628, Lookups!$A$12:$A$51, Lookups!$C$12:$C$51, "Unknown")</f>
        <v>Networking</v>
      </c>
      <c r="S2628" t="str">
        <f>IF(ISBLANK(I2628), B2628+VLOOKUP(C2628, Lookups!$A$2:$D$10, 4, FALSE()), I2628)</f>
        <v>2025-10-21</v>
      </c>
      <c r="T2628">
        <f t="shared" si="249"/>
        <v>18</v>
      </c>
      <c r="U2628" t="str">
        <f t="shared" si="250"/>
        <v>On-Time</v>
      </c>
      <c r="V2628">
        <f t="shared" si="251"/>
        <v>0</v>
      </c>
    </row>
    <row r="2629" spans="1:22" x14ac:dyDescent="0.45">
      <c r="A2629" t="s">
        <v>3485</v>
      </c>
      <c r="B2629" t="s">
        <v>1822</v>
      </c>
      <c r="C2629" t="s">
        <v>36</v>
      </c>
      <c r="D2629" t="s">
        <v>55</v>
      </c>
      <c r="E2629" t="s">
        <v>18</v>
      </c>
      <c r="F2629">
        <v>138</v>
      </c>
      <c r="G2629">
        <v>58434</v>
      </c>
      <c r="H2629">
        <v>8063892</v>
      </c>
      <c r="I2629" t="s">
        <v>811</v>
      </c>
      <c r="J2629" t="s">
        <v>811</v>
      </c>
      <c r="K2629">
        <v>138</v>
      </c>
      <c r="L2629">
        <v>0</v>
      </c>
      <c r="M2629" t="s">
        <v>115</v>
      </c>
      <c r="N2629" t="str">
        <f t="shared" si="246"/>
        <v>PO-102628</v>
      </c>
      <c r="O2629" t="str">
        <f t="shared" si="247"/>
        <v>Delivered</v>
      </c>
      <c r="P2629" t="str">
        <f t="shared" si="248"/>
        <v>WH-PUN</v>
      </c>
      <c r="Q2629" t="str">
        <f>VLOOKUP(C2629, Lookups!$A$2:$D$10, 2, FALSE())</f>
        <v>NextGen Hardware</v>
      </c>
      <c r="R2629" t="str">
        <f>_xlfn.XLOOKUP(D2629, Lookups!$A$12:$A$51, Lookups!$C$12:$C$51, "Unknown")</f>
        <v>Electronics</v>
      </c>
      <c r="S2629" t="str">
        <f>IF(ISBLANK(I2629), B2629+VLOOKUP(C2629, Lookups!$A$2:$D$10, 4, FALSE()), I2629)</f>
        <v>2026-11-27</v>
      </c>
      <c r="T2629">
        <f t="shared" si="249"/>
        <v>24</v>
      </c>
      <c r="U2629" t="str">
        <f t="shared" si="250"/>
        <v>On-Time</v>
      </c>
      <c r="V2629">
        <f t="shared" si="251"/>
        <v>0</v>
      </c>
    </row>
    <row r="2630" spans="1:22" x14ac:dyDescent="0.45">
      <c r="A2630" t="s">
        <v>3486</v>
      </c>
      <c r="B2630" t="s">
        <v>743</v>
      </c>
      <c r="C2630" t="s">
        <v>30</v>
      </c>
      <c r="D2630" t="s">
        <v>59</v>
      </c>
      <c r="E2630" t="s">
        <v>18</v>
      </c>
      <c r="F2630">
        <v>249</v>
      </c>
      <c r="G2630">
        <v>48905</v>
      </c>
      <c r="H2630">
        <v>12177345</v>
      </c>
      <c r="I2630" t="s">
        <v>780</v>
      </c>
      <c r="J2630" t="s">
        <v>780</v>
      </c>
      <c r="K2630">
        <v>249</v>
      </c>
      <c r="L2630">
        <v>0</v>
      </c>
      <c r="M2630" t="s">
        <v>115</v>
      </c>
      <c r="N2630" t="str">
        <f t="shared" si="246"/>
        <v>PO-102629</v>
      </c>
      <c r="O2630" t="str">
        <f t="shared" si="247"/>
        <v>Delivered</v>
      </c>
      <c r="P2630" t="str">
        <f t="shared" si="248"/>
        <v>WH-PUN</v>
      </c>
      <c r="Q2630" t="str">
        <f>VLOOKUP(C2630, Lookups!$A$2:$D$10, 2, FALSE())</f>
        <v>TechSupply Corp</v>
      </c>
      <c r="R2630" t="str">
        <f>_xlfn.XLOOKUP(D2630, Lookups!$A$12:$A$51, Lookups!$C$12:$C$51, "Unknown")</f>
        <v>Electronics</v>
      </c>
      <c r="S2630" t="str">
        <f>IF(ISBLANK(I2630), B2630+VLOOKUP(C2630, Lookups!$A$2:$D$10, 4, FALSE()), I2630)</f>
        <v>2026-11-29</v>
      </c>
      <c r="T2630">
        <f t="shared" si="249"/>
        <v>14</v>
      </c>
      <c r="U2630" t="str">
        <f t="shared" si="250"/>
        <v>On-Time</v>
      </c>
      <c r="V2630">
        <f t="shared" si="251"/>
        <v>0</v>
      </c>
    </row>
    <row r="2631" spans="1:22" x14ac:dyDescent="0.45">
      <c r="A2631" t="s">
        <v>3487</v>
      </c>
      <c r="B2631" t="s">
        <v>239</v>
      </c>
      <c r="C2631" t="s">
        <v>35</v>
      </c>
      <c r="D2631" t="s">
        <v>65</v>
      </c>
      <c r="E2631" t="s">
        <v>16</v>
      </c>
      <c r="F2631">
        <v>30</v>
      </c>
      <c r="G2631">
        <v>4936</v>
      </c>
      <c r="H2631">
        <v>148080</v>
      </c>
      <c r="I2631" t="s">
        <v>474</v>
      </c>
      <c r="J2631" t="s">
        <v>635</v>
      </c>
      <c r="K2631">
        <v>30</v>
      </c>
      <c r="L2631">
        <v>0</v>
      </c>
      <c r="M2631" t="s">
        <v>115</v>
      </c>
      <c r="N2631" t="str">
        <f t="shared" si="246"/>
        <v>PO-102630</v>
      </c>
      <c r="O2631" t="str">
        <f t="shared" si="247"/>
        <v>Delivered</v>
      </c>
      <c r="P2631" t="str">
        <f t="shared" si="248"/>
        <v>WH-DEL</v>
      </c>
      <c r="Q2631" t="str">
        <f>VLOOKUP(C2631, Lookups!$A$2:$D$10, 2, FALSE())</f>
        <v>Peripheral Source</v>
      </c>
      <c r="R2631" t="str">
        <f>_xlfn.XLOOKUP(D2631, Lookups!$A$12:$A$51, Lookups!$C$12:$C$51, "Unknown")</f>
        <v>Peripherals</v>
      </c>
      <c r="S2631" t="str">
        <f>IF(ISBLANK(I2631), B2631+VLOOKUP(C2631, Lookups!$A$2:$D$10, 4, FALSE()), I2631)</f>
        <v>2025-06-24</v>
      </c>
      <c r="T2631">
        <f t="shared" si="249"/>
        <v>9</v>
      </c>
      <c r="U2631" t="str">
        <f t="shared" si="250"/>
        <v>On-Time</v>
      </c>
      <c r="V2631">
        <f t="shared" si="251"/>
        <v>0</v>
      </c>
    </row>
    <row r="2632" spans="1:22" x14ac:dyDescent="0.45">
      <c r="A2632" t="s">
        <v>3488</v>
      </c>
      <c r="B2632" t="s">
        <v>120</v>
      </c>
      <c r="C2632" t="s">
        <v>35</v>
      </c>
      <c r="D2632" t="s">
        <v>65</v>
      </c>
      <c r="E2632" t="s">
        <v>17</v>
      </c>
      <c r="F2632">
        <v>203</v>
      </c>
      <c r="G2632">
        <v>4936</v>
      </c>
      <c r="H2632">
        <v>1002008</v>
      </c>
      <c r="I2632" t="s">
        <v>726</v>
      </c>
      <c r="J2632" t="s">
        <v>726</v>
      </c>
      <c r="K2632">
        <v>203</v>
      </c>
      <c r="L2632">
        <v>0</v>
      </c>
      <c r="M2632" t="s">
        <v>115</v>
      </c>
      <c r="N2632" t="str">
        <f t="shared" si="246"/>
        <v>PO-102631</v>
      </c>
      <c r="O2632" t="str">
        <f t="shared" si="247"/>
        <v>Delivered</v>
      </c>
      <c r="P2632" t="str">
        <f t="shared" si="248"/>
        <v>WH-BLR</v>
      </c>
      <c r="Q2632" t="str">
        <f>VLOOKUP(C2632, Lookups!$A$2:$D$10, 2, FALSE())</f>
        <v>Peripheral Source</v>
      </c>
      <c r="R2632" t="str">
        <f>_xlfn.XLOOKUP(D2632, Lookups!$A$12:$A$51, Lookups!$C$12:$C$51, "Unknown")</f>
        <v>Peripherals</v>
      </c>
      <c r="S2632" t="str">
        <f>IF(ISBLANK(I2632), B2632+VLOOKUP(C2632, Lookups!$A$2:$D$10, 4, FALSE()), I2632)</f>
        <v>2025-01-13</v>
      </c>
      <c r="T2632">
        <f t="shared" si="249"/>
        <v>10</v>
      </c>
      <c r="U2632" t="str">
        <f t="shared" si="250"/>
        <v>On-Time</v>
      </c>
      <c r="V2632">
        <f t="shared" si="251"/>
        <v>0</v>
      </c>
    </row>
    <row r="2633" spans="1:22" x14ac:dyDescent="0.45">
      <c r="A2633" t="s">
        <v>3489</v>
      </c>
      <c r="B2633" t="s">
        <v>1190</v>
      </c>
      <c r="C2633" t="s">
        <v>34</v>
      </c>
      <c r="D2633" t="s">
        <v>68</v>
      </c>
      <c r="E2633" t="s">
        <v>15</v>
      </c>
      <c r="F2633">
        <v>58</v>
      </c>
      <c r="G2633">
        <v>41405</v>
      </c>
      <c r="H2633">
        <v>2401490</v>
      </c>
      <c r="I2633" t="s">
        <v>2179</v>
      </c>
      <c r="J2633" t="s">
        <v>2179</v>
      </c>
      <c r="K2633">
        <v>58</v>
      </c>
      <c r="L2633">
        <v>0</v>
      </c>
      <c r="M2633" t="s">
        <v>115</v>
      </c>
      <c r="N2633" t="str">
        <f t="shared" si="246"/>
        <v>PO-102632</v>
      </c>
      <c r="O2633" t="str">
        <f t="shared" si="247"/>
        <v>Delivered</v>
      </c>
      <c r="P2633" t="str">
        <f t="shared" si="248"/>
        <v>WH-BOM</v>
      </c>
      <c r="Q2633" t="str">
        <f>VLOOKUP(C2633, Lookups!$A$2:$D$10, 2, FALSE())</f>
        <v>FastElectronics</v>
      </c>
      <c r="R2633" t="str">
        <f>_xlfn.XLOOKUP(D2633, Lookups!$A$12:$A$51, Lookups!$C$12:$C$51, "Unknown")</f>
        <v>Networking</v>
      </c>
      <c r="S2633" t="str">
        <f>IF(ISBLANK(I2633), B2633+VLOOKUP(C2633, Lookups!$A$2:$D$10, 4, FALSE()), I2633)</f>
        <v>2025-05-17</v>
      </c>
      <c r="T2633">
        <f t="shared" si="249"/>
        <v>18</v>
      </c>
      <c r="U2633" t="str">
        <f t="shared" si="250"/>
        <v>On-Time</v>
      </c>
      <c r="V2633">
        <f t="shared" si="251"/>
        <v>0</v>
      </c>
    </row>
    <row r="2634" spans="1:22" x14ac:dyDescent="0.45">
      <c r="A2634" t="s">
        <v>3490</v>
      </c>
      <c r="B2634" t="s">
        <v>228</v>
      </c>
      <c r="C2634" t="s">
        <v>30</v>
      </c>
      <c r="D2634" t="s">
        <v>61</v>
      </c>
      <c r="E2634" t="s">
        <v>16</v>
      </c>
      <c r="F2634">
        <v>90</v>
      </c>
      <c r="G2634">
        <v>111237</v>
      </c>
      <c r="H2634">
        <v>10011330</v>
      </c>
      <c r="I2634" t="s">
        <v>426</v>
      </c>
      <c r="J2634" t="s">
        <v>426</v>
      </c>
      <c r="K2634">
        <v>90</v>
      </c>
      <c r="L2634">
        <v>0</v>
      </c>
      <c r="M2634" t="s">
        <v>115</v>
      </c>
      <c r="N2634" t="str">
        <f t="shared" si="246"/>
        <v>PO-102633</v>
      </c>
      <c r="O2634" t="str">
        <f t="shared" si="247"/>
        <v>Delivered</v>
      </c>
      <c r="P2634" t="str">
        <f t="shared" si="248"/>
        <v>WH-DEL</v>
      </c>
      <c r="Q2634" t="str">
        <f>VLOOKUP(C2634, Lookups!$A$2:$D$10, 2, FALSE())</f>
        <v>TechSupply Corp</v>
      </c>
      <c r="R2634" t="str">
        <f>_xlfn.XLOOKUP(D2634, Lookups!$A$12:$A$51, Lookups!$C$12:$C$51, "Unknown")</f>
        <v>Electronics</v>
      </c>
      <c r="S2634" t="str">
        <f>IF(ISBLANK(I2634), B2634+VLOOKUP(C2634, Lookups!$A$2:$D$10, 4, FALSE()), I2634)</f>
        <v>2025-07-27</v>
      </c>
      <c r="T2634">
        <f t="shared" si="249"/>
        <v>14</v>
      </c>
      <c r="U2634" t="str">
        <f t="shared" si="250"/>
        <v>On-Time</v>
      </c>
      <c r="V2634">
        <f t="shared" si="251"/>
        <v>0</v>
      </c>
    </row>
    <row r="2635" spans="1:22" x14ac:dyDescent="0.45">
      <c r="A2635" t="s">
        <v>3491</v>
      </c>
      <c r="B2635" t="s">
        <v>1133</v>
      </c>
      <c r="C2635" t="s">
        <v>34</v>
      </c>
      <c r="D2635" t="s">
        <v>58</v>
      </c>
      <c r="E2635" t="s">
        <v>17</v>
      </c>
      <c r="F2635">
        <v>194</v>
      </c>
      <c r="G2635">
        <v>100302</v>
      </c>
      <c r="H2635">
        <v>19458588</v>
      </c>
      <c r="I2635" t="s">
        <v>585</v>
      </c>
      <c r="J2635" t="s">
        <v>1068</v>
      </c>
      <c r="K2635">
        <v>194</v>
      </c>
      <c r="L2635">
        <v>20</v>
      </c>
      <c r="M2635" t="s">
        <v>115</v>
      </c>
      <c r="N2635" t="str">
        <f t="shared" si="246"/>
        <v>PO-102634</v>
      </c>
      <c r="O2635" t="str">
        <f t="shared" si="247"/>
        <v>Delivered</v>
      </c>
      <c r="P2635" t="str">
        <f t="shared" si="248"/>
        <v>WH-BLR</v>
      </c>
      <c r="Q2635" t="str">
        <f>VLOOKUP(C2635, Lookups!$A$2:$D$10, 2, FALSE())</f>
        <v>FastElectronics</v>
      </c>
      <c r="R2635" t="str">
        <f>_xlfn.XLOOKUP(D2635, Lookups!$A$12:$A$51, Lookups!$C$12:$C$51, "Unknown")</f>
        <v>Electronics</v>
      </c>
      <c r="S2635" t="str">
        <f>IF(ISBLANK(I2635), B2635+VLOOKUP(C2635, Lookups!$A$2:$D$10, 4, FALSE()), I2635)</f>
        <v>2025-07-22</v>
      </c>
      <c r="T2635">
        <f t="shared" si="249"/>
        <v>29</v>
      </c>
      <c r="U2635" t="str">
        <f t="shared" si="250"/>
        <v>Late</v>
      </c>
      <c r="V2635">
        <f t="shared" si="251"/>
        <v>0.10309278350515463</v>
      </c>
    </row>
    <row r="2636" spans="1:22" x14ac:dyDescent="0.45">
      <c r="A2636" t="s">
        <v>3492</v>
      </c>
      <c r="B2636" t="s">
        <v>1673</v>
      </c>
      <c r="C2636" t="s">
        <v>30</v>
      </c>
      <c r="D2636" t="s">
        <v>82</v>
      </c>
      <c r="E2636" t="s">
        <v>17</v>
      </c>
      <c r="F2636">
        <v>38</v>
      </c>
      <c r="G2636">
        <v>83427</v>
      </c>
      <c r="H2636">
        <v>3170226</v>
      </c>
      <c r="I2636" t="s">
        <v>394</v>
      </c>
      <c r="J2636" t="s">
        <v>1783</v>
      </c>
      <c r="K2636">
        <v>38</v>
      </c>
      <c r="L2636">
        <v>0</v>
      </c>
      <c r="M2636" t="s">
        <v>115</v>
      </c>
      <c r="N2636" t="str">
        <f t="shared" si="246"/>
        <v>PO-102635</v>
      </c>
      <c r="O2636" t="str">
        <f t="shared" si="247"/>
        <v>Delivered</v>
      </c>
      <c r="P2636" t="str">
        <f t="shared" si="248"/>
        <v>WH-BLR</v>
      </c>
      <c r="Q2636" t="str">
        <f>VLOOKUP(C2636, Lookups!$A$2:$D$10, 2, FALSE())</f>
        <v>TechSupply Corp</v>
      </c>
      <c r="R2636" t="str">
        <f>_xlfn.XLOOKUP(D2636, Lookups!$A$12:$A$51, Lookups!$C$12:$C$51, "Unknown")</f>
        <v>Electronics</v>
      </c>
      <c r="S2636" t="str">
        <f>IF(ISBLANK(I2636), B2636+VLOOKUP(C2636, Lookups!$A$2:$D$10, 4, FALSE()), I2636)</f>
        <v>2025-09-16</v>
      </c>
      <c r="T2636">
        <f t="shared" si="249"/>
        <v>15</v>
      </c>
      <c r="U2636" t="str">
        <f t="shared" si="250"/>
        <v>Late</v>
      </c>
      <c r="V2636">
        <f t="shared" si="251"/>
        <v>0</v>
      </c>
    </row>
    <row r="2637" spans="1:22" x14ac:dyDescent="0.45">
      <c r="A2637" t="s">
        <v>3493</v>
      </c>
      <c r="B2637" t="s">
        <v>447</v>
      </c>
      <c r="C2637" t="s">
        <v>36</v>
      </c>
      <c r="D2637" t="s">
        <v>55</v>
      </c>
      <c r="E2637" t="s">
        <v>17</v>
      </c>
      <c r="F2637">
        <v>155</v>
      </c>
      <c r="G2637">
        <v>58434</v>
      </c>
      <c r="H2637">
        <v>9057270</v>
      </c>
      <c r="I2637" t="s">
        <v>836</v>
      </c>
      <c r="J2637" t="s">
        <v>1080</v>
      </c>
      <c r="K2637">
        <v>155</v>
      </c>
      <c r="L2637">
        <v>0</v>
      </c>
      <c r="M2637" t="s">
        <v>115</v>
      </c>
      <c r="N2637" t="str">
        <f t="shared" si="246"/>
        <v>PO-102636</v>
      </c>
      <c r="O2637" t="str">
        <f t="shared" si="247"/>
        <v>Delivered</v>
      </c>
      <c r="P2637" t="str">
        <f t="shared" si="248"/>
        <v>WH-BLR</v>
      </c>
      <c r="Q2637" t="str">
        <f>VLOOKUP(C2637, Lookups!$A$2:$D$10, 2, FALSE())</f>
        <v>NextGen Hardware</v>
      </c>
      <c r="R2637" t="str">
        <f>_xlfn.XLOOKUP(D2637, Lookups!$A$12:$A$51, Lookups!$C$12:$C$51, "Unknown")</f>
        <v>Electronics</v>
      </c>
      <c r="S2637" t="str">
        <f>IF(ISBLANK(I2637), B2637+VLOOKUP(C2637, Lookups!$A$2:$D$10, 4, FALSE()), I2637)</f>
        <v>2026-01-10</v>
      </c>
      <c r="T2637">
        <f t="shared" si="249"/>
        <v>39</v>
      </c>
      <c r="U2637" t="str">
        <f t="shared" si="250"/>
        <v>Late</v>
      </c>
      <c r="V2637">
        <f t="shared" si="251"/>
        <v>0</v>
      </c>
    </row>
    <row r="2638" spans="1:22" x14ac:dyDescent="0.45">
      <c r="A2638" t="s">
        <v>3494</v>
      </c>
      <c r="B2638" t="s">
        <v>181</v>
      </c>
      <c r="C2638" t="s">
        <v>30</v>
      </c>
      <c r="D2638" t="s">
        <v>52</v>
      </c>
      <c r="E2638" t="s">
        <v>17</v>
      </c>
      <c r="F2638">
        <v>101</v>
      </c>
      <c r="G2638">
        <v>59592</v>
      </c>
      <c r="H2638">
        <v>6018792</v>
      </c>
      <c r="I2638" t="s">
        <v>1403</v>
      </c>
      <c r="J2638" t="s">
        <v>1822</v>
      </c>
      <c r="K2638">
        <v>101</v>
      </c>
      <c r="L2638">
        <v>0</v>
      </c>
      <c r="M2638" t="s">
        <v>115</v>
      </c>
      <c r="N2638" t="str">
        <f t="shared" si="246"/>
        <v>PO-102637</v>
      </c>
      <c r="O2638" t="str">
        <f t="shared" si="247"/>
        <v>Delivered</v>
      </c>
      <c r="P2638" t="str">
        <f t="shared" si="248"/>
        <v>WH-BLR</v>
      </c>
      <c r="Q2638" t="str">
        <f>VLOOKUP(C2638, Lookups!$A$2:$D$10, 2, FALSE())</f>
        <v>TechSupply Corp</v>
      </c>
      <c r="R2638" t="str">
        <f>_xlfn.XLOOKUP(D2638, Lookups!$A$12:$A$51, Lookups!$C$12:$C$51, "Unknown")</f>
        <v>Electronics</v>
      </c>
      <c r="S2638" t="str">
        <f>IF(ISBLANK(I2638), B2638+VLOOKUP(C2638, Lookups!$A$2:$D$10, 4, FALSE()), I2638)</f>
        <v>2026-11-02</v>
      </c>
      <c r="T2638">
        <f t="shared" si="249"/>
        <v>15</v>
      </c>
      <c r="U2638" t="str">
        <f t="shared" si="250"/>
        <v>Late</v>
      </c>
      <c r="V2638">
        <f t="shared" si="251"/>
        <v>0</v>
      </c>
    </row>
    <row r="2639" spans="1:22" x14ac:dyDescent="0.45">
      <c r="A2639" t="s">
        <v>3495</v>
      </c>
      <c r="B2639" t="s">
        <v>661</v>
      </c>
      <c r="C2639" t="s">
        <v>31</v>
      </c>
      <c r="D2639" t="s">
        <v>66</v>
      </c>
      <c r="E2639" t="s">
        <v>18</v>
      </c>
      <c r="F2639">
        <v>85</v>
      </c>
      <c r="G2639">
        <v>29719</v>
      </c>
      <c r="H2639">
        <v>2526115</v>
      </c>
      <c r="I2639" t="s">
        <v>662</v>
      </c>
      <c r="J2639" t="s">
        <v>662</v>
      </c>
      <c r="K2639">
        <v>85</v>
      </c>
      <c r="L2639">
        <v>0</v>
      </c>
      <c r="M2639" t="s">
        <v>115</v>
      </c>
      <c r="N2639" t="str">
        <f t="shared" si="246"/>
        <v>PO-102638</v>
      </c>
      <c r="O2639" t="str">
        <f t="shared" si="247"/>
        <v>Delivered</v>
      </c>
      <c r="P2639" t="str">
        <f t="shared" si="248"/>
        <v>WH-PUN</v>
      </c>
      <c r="Q2639" t="str">
        <f>VLOOKUP(C2639, Lookups!$A$2:$D$10, 2, FALSE())</f>
        <v>Global Networks</v>
      </c>
      <c r="R2639" t="str">
        <f>_xlfn.XLOOKUP(D2639, Lookups!$A$12:$A$51, Lookups!$C$12:$C$51, "Unknown")</f>
        <v>Networking</v>
      </c>
      <c r="S2639" t="str">
        <f>IF(ISBLANK(I2639), B2639+VLOOKUP(C2639, Lookups!$A$2:$D$10, 4, FALSE()), I2639)</f>
        <v>2026-10-05</v>
      </c>
      <c r="T2639">
        <f t="shared" si="249"/>
        <v>21</v>
      </c>
      <c r="U2639" t="str">
        <f t="shared" si="250"/>
        <v>On-Time</v>
      </c>
      <c r="V2639">
        <f t="shared" si="251"/>
        <v>0</v>
      </c>
    </row>
    <row r="2640" spans="1:22" x14ac:dyDescent="0.45">
      <c r="A2640" t="s">
        <v>3496</v>
      </c>
      <c r="B2640" t="s">
        <v>753</v>
      </c>
      <c r="C2640" t="s">
        <v>34</v>
      </c>
      <c r="D2640" t="s">
        <v>81</v>
      </c>
      <c r="E2640" t="s">
        <v>16</v>
      </c>
      <c r="F2640">
        <v>66</v>
      </c>
      <c r="G2640">
        <v>55328</v>
      </c>
      <c r="H2640">
        <v>3651648</v>
      </c>
      <c r="I2640" t="s">
        <v>836</v>
      </c>
      <c r="J2640" t="s">
        <v>836</v>
      </c>
      <c r="K2640">
        <v>66</v>
      </c>
      <c r="L2640">
        <v>0</v>
      </c>
      <c r="M2640" t="s">
        <v>115</v>
      </c>
      <c r="N2640" t="str">
        <f t="shared" si="246"/>
        <v>PO-102639</v>
      </c>
      <c r="O2640" t="str">
        <f t="shared" si="247"/>
        <v>Delivered</v>
      </c>
      <c r="P2640" t="str">
        <f t="shared" si="248"/>
        <v>WH-DEL</v>
      </c>
      <c r="Q2640" t="str">
        <f>VLOOKUP(C2640, Lookups!$A$2:$D$10, 2, FALSE())</f>
        <v>FastElectronics</v>
      </c>
      <c r="R2640" t="str">
        <f>_xlfn.XLOOKUP(D2640, Lookups!$A$12:$A$51, Lookups!$C$12:$C$51, "Unknown")</f>
        <v>Electronics</v>
      </c>
      <c r="S2640" t="str">
        <f>IF(ISBLANK(I2640), B2640+VLOOKUP(C2640, Lookups!$A$2:$D$10, 4, FALSE()), I2640)</f>
        <v>2026-01-10</v>
      </c>
      <c r="T2640">
        <f t="shared" si="249"/>
        <v>18</v>
      </c>
      <c r="U2640" t="str">
        <f t="shared" si="250"/>
        <v>On-Time</v>
      </c>
      <c r="V2640">
        <f t="shared" si="251"/>
        <v>0</v>
      </c>
    </row>
    <row r="2641" spans="1:22" x14ac:dyDescent="0.45">
      <c r="A2641" t="s">
        <v>3497</v>
      </c>
      <c r="B2641" t="s">
        <v>1090</v>
      </c>
      <c r="C2641" t="s">
        <v>35</v>
      </c>
      <c r="D2641" t="s">
        <v>60</v>
      </c>
      <c r="E2641" t="s">
        <v>16</v>
      </c>
      <c r="F2641">
        <v>31</v>
      </c>
      <c r="G2641">
        <v>3291</v>
      </c>
      <c r="H2641">
        <v>102021</v>
      </c>
      <c r="I2641" t="s">
        <v>432</v>
      </c>
      <c r="J2641" t="s">
        <v>432</v>
      </c>
      <c r="K2641">
        <v>31</v>
      </c>
      <c r="L2641">
        <v>0</v>
      </c>
      <c r="M2641" t="s">
        <v>115</v>
      </c>
      <c r="N2641" t="str">
        <f t="shared" si="246"/>
        <v>PO-102640</v>
      </c>
      <c r="O2641" t="str">
        <f t="shared" si="247"/>
        <v>Delivered</v>
      </c>
      <c r="P2641" t="str">
        <f t="shared" si="248"/>
        <v>WH-DEL</v>
      </c>
      <c r="Q2641" t="str">
        <f>VLOOKUP(C2641, Lookups!$A$2:$D$10, 2, FALSE())</f>
        <v>Peripheral Source</v>
      </c>
      <c r="R2641" t="str">
        <f>_xlfn.XLOOKUP(D2641, Lookups!$A$12:$A$51, Lookups!$C$12:$C$51, "Unknown")</f>
        <v>Peripherals</v>
      </c>
      <c r="S2641" t="str">
        <f>IF(ISBLANK(I2641), B2641+VLOOKUP(C2641, Lookups!$A$2:$D$10, 4, FALSE()), I2641)</f>
        <v>2025-03-25</v>
      </c>
      <c r="T2641">
        <f t="shared" si="249"/>
        <v>10</v>
      </c>
      <c r="U2641" t="str">
        <f t="shared" si="250"/>
        <v>On-Time</v>
      </c>
      <c r="V2641">
        <f t="shared" si="251"/>
        <v>0</v>
      </c>
    </row>
    <row r="2642" spans="1:22" x14ac:dyDescent="0.45">
      <c r="A2642" t="s">
        <v>3498</v>
      </c>
      <c r="B2642" t="s">
        <v>813</v>
      </c>
      <c r="C2642" t="s">
        <v>32</v>
      </c>
      <c r="D2642" t="s">
        <v>67</v>
      </c>
      <c r="E2642" t="s">
        <v>16</v>
      </c>
      <c r="F2642">
        <v>22</v>
      </c>
      <c r="G2642">
        <v>1553</v>
      </c>
      <c r="H2642">
        <v>34166</v>
      </c>
      <c r="I2642" t="s">
        <v>516</v>
      </c>
      <c r="J2642" t="s">
        <v>498</v>
      </c>
      <c r="K2642">
        <v>22</v>
      </c>
      <c r="L2642">
        <v>0</v>
      </c>
      <c r="M2642" t="s">
        <v>115</v>
      </c>
      <c r="N2642" t="str">
        <f t="shared" si="246"/>
        <v>PO-102641</v>
      </c>
      <c r="O2642" t="str">
        <f t="shared" si="247"/>
        <v>Delivered</v>
      </c>
      <c r="P2642" t="str">
        <f t="shared" si="248"/>
        <v>WH-DEL</v>
      </c>
      <c r="Q2642" t="str">
        <f>VLOOKUP(C2642, Lookups!$A$2:$D$10, 2, FALSE())</f>
        <v>OfficeDepot Pro</v>
      </c>
      <c r="R2642" t="str">
        <f>_xlfn.XLOOKUP(D2642, Lookups!$A$12:$A$51, Lookups!$C$12:$C$51, "Unknown")</f>
        <v>Peripherals</v>
      </c>
      <c r="S2642" t="str">
        <f>IF(ISBLANK(I2642), B2642+VLOOKUP(C2642, Lookups!$A$2:$D$10, 4, FALSE()), I2642)</f>
        <v>2025-03-24</v>
      </c>
      <c r="T2642">
        <f t="shared" si="249"/>
        <v>16</v>
      </c>
      <c r="U2642" t="str">
        <f t="shared" si="250"/>
        <v>Late</v>
      </c>
      <c r="V2642">
        <f t="shared" si="251"/>
        <v>0</v>
      </c>
    </row>
    <row r="2643" spans="1:22" x14ac:dyDescent="0.45">
      <c r="A2643" t="s">
        <v>3499</v>
      </c>
      <c r="B2643" t="s">
        <v>296</v>
      </c>
      <c r="C2643" t="s">
        <v>34</v>
      </c>
      <c r="D2643" t="s">
        <v>54</v>
      </c>
      <c r="E2643" t="s">
        <v>16</v>
      </c>
      <c r="F2643">
        <v>232</v>
      </c>
      <c r="G2643">
        <v>22314</v>
      </c>
      <c r="H2643">
        <v>5176848</v>
      </c>
      <c r="I2643" t="s">
        <v>789</v>
      </c>
      <c r="J2643" t="s">
        <v>801</v>
      </c>
      <c r="K2643">
        <v>232</v>
      </c>
      <c r="L2643">
        <v>0</v>
      </c>
      <c r="M2643" t="s">
        <v>115</v>
      </c>
      <c r="N2643" t="str">
        <f t="shared" si="246"/>
        <v>PO-102642</v>
      </c>
      <c r="O2643" t="str">
        <f t="shared" si="247"/>
        <v>Delivered</v>
      </c>
      <c r="P2643" t="str">
        <f t="shared" si="248"/>
        <v>WH-DEL</v>
      </c>
      <c r="Q2643" t="str">
        <f>VLOOKUP(C2643, Lookups!$A$2:$D$10, 2, FALSE())</f>
        <v>FastElectronics</v>
      </c>
      <c r="R2643" t="str">
        <f>_xlfn.XLOOKUP(D2643, Lookups!$A$12:$A$51, Lookups!$C$12:$C$51, "Unknown")</f>
        <v>Networking</v>
      </c>
      <c r="S2643" t="str">
        <f>IF(ISBLANK(I2643), B2643+VLOOKUP(C2643, Lookups!$A$2:$D$10, 4, FALSE()), I2643)</f>
        <v>2026-12-12</v>
      </c>
      <c r="T2643">
        <f t="shared" si="249"/>
        <v>19</v>
      </c>
      <c r="U2643" t="str">
        <f t="shared" si="250"/>
        <v>Late</v>
      </c>
      <c r="V2643">
        <f t="shared" si="251"/>
        <v>0</v>
      </c>
    </row>
    <row r="2644" spans="1:22" x14ac:dyDescent="0.45">
      <c r="A2644" t="s">
        <v>3500</v>
      </c>
      <c r="B2644" t="s">
        <v>1377</v>
      </c>
      <c r="C2644" t="s">
        <v>36</v>
      </c>
      <c r="D2644" t="s">
        <v>62</v>
      </c>
      <c r="E2644" t="s">
        <v>16</v>
      </c>
      <c r="F2644">
        <v>45</v>
      </c>
      <c r="G2644">
        <v>48478</v>
      </c>
      <c r="H2644">
        <v>2181510</v>
      </c>
      <c r="I2644" t="s">
        <v>506</v>
      </c>
      <c r="J2644" t="s">
        <v>506</v>
      </c>
      <c r="K2644">
        <v>45</v>
      </c>
      <c r="L2644">
        <v>0</v>
      </c>
      <c r="M2644" t="s">
        <v>115</v>
      </c>
      <c r="N2644" t="str">
        <f t="shared" si="246"/>
        <v>PO-102643</v>
      </c>
      <c r="O2644" t="str">
        <f t="shared" si="247"/>
        <v>Delivered</v>
      </c>
      <c r="P2644" t="str">
        <f t="shared" si="248"/>
        <v>WH-DEL</v>
      </c>
      <c r="Q2644" t="str">
        <f>VLOOKUP(C2644, Lookups!$A$2:$D$10, 2, FALSE())</f>
        <v>NextGen Hardware</v>
      </c>
      <c r="R2644" t="str">
        <f>_xlfn.XLOOKUP(D2644, Lookups!$A$12:$A$51, Lookups!$C$12:$C$51, "Unknown")</f>
        <v>Electronics</v>
      </c>
      <c r="S2644" t="str">
        <f>IF(ISBLANK(I2644), B2644+VLOOKUP(C2644, Lookups!$A$2:$D$10, 4, FALSE()), I2644)</f>
        <v>2025-05-11</v>
      </c>
      <c r="T2644">
        <f t="shared" si="249"/>
        <v>24</v>
      </c>
      <c r="U2644" t="str">
        <f t="shared" si="250"/>
        <v>On-Time</v>
      </c>
      <c r="V2644">
        <f t="shared" si="251"/>
        <v>0</v>
      </c>
    </row>
    <row r="2645" spans="1:22" x14ac:dyDescent="0.45">
      <c r="A2645" t="s">
        <v>3501</v>
      </c>
      <c r="B2645" t="s">
        <v>612</v>
      </c>
      <c r="C2645" t="s">
        <v>36</v>
      </c>
      <c r="D2645" t="s">
        <v>87</v>
      </c>
      <c r="E2645" t="s">
        <v>18</v>
      </c>
      <c r="F2645">
        <v>211</v>
      </c>
      <c r="G2645">
        <v>82930</v>
      </c>
      <c r="H2645">
        <v>17498230</v>
      </c>
      <c r="I2645" t="s">
        <v>186</v>
      </c>
      <c r="J2645" t="s">
        <v>285</v>
      </c>
      <c r="K2645">
        <v>211</v>
      </c>
      <c r="L2645">
        <v>0</v>
      </c>
      <c r="M2645" t="s">
        <v>115</v>
      </c>
      <c r="N2645" t="str">
        <f t="shared" si="246"/>
        <v>PO-102644</v>
      </c>
      <c r="O2645" t="str">
        <f t="shared" si="247"/>
        <v>Delivered</v>
      </c>
      <c r="P2645" t="str">
        <f t="shared" si="248"/>
        <v>WH-PUN</v>
      </c>
      <c r="Q2645" t="str">
        <f>VLOOKUP(C2645, Lookups!$A$2:$D$10, 2, FALSE())</f>
        <v>NextGen Hardware</v>
      </c>
      <c r="R2645" t="str">
        <f>_xlfn.XLOOKUP(D2645, Lookups!$A$12:$A$51, Lookups!$C$12:$C$51, "Unknown")</f>
        <v>Electronics</v>
      </c>
      <c r="S2645" t="str">
        <f>IF(ISBLANK(I2645), B2645+VLOOKUP(C2645, Lookups!$A$2:$D$10, 4, FALSE()), I2645)</f>
        <v>2025-02-28</v>
      </c>
      <c r="T2645">
        <f t="shared" si="249"/>
        <v>25</v>
      </c>
      <c r="U2645" t="str">
        <f t="shared" si="250"/>
        <v>Late</v>
      </c>
      <c r="V2645">
        <f t="shared" si="251"/>
        <v>0</v>
      </c>
    </row>
    <row r="2646" spans="1:22" x14ac:dyDescent="0.45">
      <c r="A2646" t="s">
        <v>3502</v>
      </c>
      <c r="B2646" t="s">
        <v>574</v>
      </c>
      <c r="C2646" t="s">
        <v>36</v>
      </c>
      <c r="D2646" t="s">
        <v>55</v>
      </c>
      <c r="E2646" t="s">
        <v>17</v>
      </c>
      <c r="F2646">
        <v>63</v>
      </c>
      <c r="G2646">
        <v>58434</v>
      </c>
      <c r="H2646">
        <v>3681342</v>
      </c>
      <c r="I2646" t="s">
        <v>724</v>
      </c>
      <c r="J2646" t="s">
        <v>724</v>
      </c>
      <c r="K2646">
        <v>63</v>
      </c>
      <c r="L2646">
        <v>9</v>
      </c>
      <c r="M2646" t="s">
        <v>115</v>
      </c>
      <c r="N2646" t="str">
        <f t="shared" si="246"/>
        <v>PO-102645</v>
      </c>
      <c r="O2646" t="str">
        <f t="shared" si="247"/>
        <v>Delivered</v>
      </c>
      <c r="P2646" t="str">
        <f t="shared" si="248"/>
        <v>WH-BLR</v>
      </c>
      <c r="Q2646" t="str">
        <f>VLOOKUP(C2646, Lookups!$A$2:$D$10, 2, FALSE())</f>
        <v>NextGen Hardware</v>
      </c>
      <c r="R2646" t="str">
        <f>_xlfn.XLOOKUP(D2646, Lookups!$A$12:$A$51, Lookups!$C$12:$C$51, "Unknown")</f>
        <v>Electronics</v>
      </c>
      <c r="S2646" t="str">
        <f>IF(ISBLANK(I2646), B2646+VLOOKUP(C2646, Lookups!$A$2:$D$10, 4, FALSE()), I2646)</f>
        <v>2026-05-25</v>
      </c>
      <c r="T2646">
        <f t="shared" si="249"/>
        <v>24</v>
      </c>
      <c r="U2646" t="str">
        <f t="shared" si="250"/>
        <v>On-Time</v>
      </c>
      <c r="V2646">
        <f t="shared" si="251"/>
        <v>0.14285714285714285</v>
      </c>
    </row>
    <row r="2647" spans="1:22" x14ac:dyDescent="0.45">
      <c r="A2647" t="s">
        <v>3503</v>
      </c>
      <c r="B2647" t="s">
        <v>1430</v>
      </c>
      <c r="C2647" t="s">
        <v>36</v>
      </c>
      <c r="D2647" t="s">
        <v>87</v>
      </c>
      <c r="E2647" t="s">
        <v>18</v>
      </c>
      <c r="F2647">
        <v>142</v>
      </c>
      <c r="G2647">
        <v>82930</v>
      </c>
      <c r="H2647">
        <v>11776060</v>
      </c>
      <c r="I2647" t="s">
        <v>358</v>
      </c>
      <c r="J2647" t="s">
        <v>1079</v>
      </c>
      <c r="K2647">
        <v>142</v>
      </c>
      <c r="L2647">
        <v>0</v>
      </c>
      <c r="M2647" t="s">
        <v>115</v>
      </c>
      <c r="N2647" t="str">
        <f t="shared" si="246"/>
        <v>PO-102646</v>
      </c>
      <c r="O2647" t="str">
        <f t="shared" si="247"/>
        <v>Delivered</v>
      </c>
      <c r="P2647" t="str">
        <f t="shared" si="248"/>
        <v>WH-PUN</v>
      </c>
      <c r="Q2647" t="str">
        <f>VLOOKUP(C2647, Lookups!$A$2:$D$10, 2, FALSE())</f>
        <v>NextGen Hardware</v>
      </c>
      <c r="R2647" t="str">
        <f>_xlfn.XLOOKUP(D2647, Lookups!$A$12:$A$51, Lookups!$C$12:$C$51, "Unknown")</f>
        <v>Electronics</v>
      </c>
      <c r="S2647" t="str">
        <f>IF(ISBLANK(I2647), B2647+VLOOKUP(C2647, Lookups!$A$2:$D$10, 4, FALSE()), I2647)</f>
        <v>2026-01-21</v>
      </c>
      <c r="T2647">
        <f t="shared" si="249"/>
        <v>21</v>
      </c>
      <c r="U2647" t="str">
        <f t="shared" si="250"/>
        <v>On-Time</v>
      </c>
      <c r="V2647">
        <f t="shared" si="251"/>
        <v>0</v>
      </c>
    </row>
    <row r="2648" spans="1:22" x14ac:dyDescent="0.45">
      <c r="A2648" t="s">
        <v>3504</v>
      </c>
      <c r="B2648" t="s">
        <v>805</v>
      </c>
      <c r="C2648" t="s">
        <v>37</v>
      </c>
      <c r="D2648" t="s">
        <v>79</v>
      </c>
      <c r="E2648" t="s">
        <v>16</v>
      </c>
      <c r="F2648">
        <v>45</v>
      </c>
      <c r="G2648">
        <v>23054</v>
      </c>
      <c r="H2648">
        <v>1037430</v>
      </c>
      <c r="I2648" t="s">
        <v>481</v>
      </c>
      <c r="J2648" t="s">
        <v>481</v>
      </c>
      <c r="K2648">
        <v>45</v>
      </c>
      <c r="L2648">
        <v>0</v>
      </c>
      <c r="M2648" t="s">
        <v>115</v>
      </c>
      <c r="N2648" t="str">
        <f t="shared" si="246"/>
        <v>PO-102647</v>
      </c>
      <c r="O2648" t="str">
        <f t="shared" si="247"/>
        <v>Delivered</v>
      </c>
      <c r="P2648" t="str">
        <f t="shared" si="248"/>
        <v>WH-DEL</v>
      </c>
      <c r="Q2648" t="str">
        <f>VLOOKUP(C2648, Lookups!$A$2:$D$10, 2, FALSE())</f>
        <v>Premium Desks Ltd</v>
      </c>
      <c r="R2648" t="str">
        <f>_xlfn.XLOOKUP(D2648, Lookups!$A$12:$A$51, Lookups!$C$12:$C$51, "Unknown")</f>
        <v>Office Furniture</v>
      </c>
      <c r="S2648" t="str">
        <f>IF(ISBLANK(I2648), B2648+VLOOKUP(C2648, Lookups!$A$2:$D$10, 4, FALSE()), I2648)</f>
        <v>2025-05-07</v>
      </c>
      <c r="T2648">
        <f t="shared" si="249"/>
        <v>12</v>
      </c>
      <c r="U2648" t="str">
        <f t="shared" si="250"/>
        <v>On-Time</v>
      </c>
      <c r="V2648">
        <f t="shared" si="251"/>
        <v>0</v>
      </c>
    </row>
    <row r="2649" spans="1:22" x14ac:dyDescent="0.45">
      <c r="A2649" t="s">
        <v>3505</v>
      </c>
      <c r="B2649" t="s">
        <v>134</v>
      </c>
      <c r="C2649" t="s">
        <v>35</v>
      </c>
      <c r="D2649" t="s">
        <v>65</v>
      </c>
      <c r="E2649" t="s">
        <v>18</v>
      </c>
      <c r="F2649">
        <v>27</v>
      </c>
      <c r="G2649">
        <v>4936</v>
      </c>
      <c r="H2649">
        <v>133272</v>
      </c>
      <c r="I2649" t="s">
        <v>308</v>
      </c>
      <c r="J2649" t="s">
        <v>308</v>
      </c>
      <c r="K2649">
        <v>20</v>
      </c>
      <c r="L2649">
        <v>0</v>
      </c>
      <c r="M2649" t="s">
        <v>115</v>
      </c>
      <c r="N2649" t="str">
        <f t="shared" si="246"/>
        <v>PO-102648</v>
      </c>
      <c r="O2649" t="str">
        <f t="shared" si="247"/>
        <v>Delivered</v>
      </c>
      <c r="P2649" t="str">
        <f t="shared" si="248"/>
        <v>WH-PUN</v>
      </c>
      <c r="Q2649" t="str">
        <f>VLOOKUP(C2649, Lookups!$A$2:$D$10, 2, FALSE())</f>
        <v>Peripheral Source</v>
      </c>
      <c r="R2649" t="str">
        <f>_xlfn.XLOOKUP(D2649, Lookups!$A$12:$A$51, Lookups!$C$12:$C$51, "Unknown")</f>
        <v>Peripherals</v>
      </c>
      <c r="S2649" t="str">
        <f>IF(ISBLANK(I2649), B2649+VLOOKUP(C2649, Lookups!$A$2:$D$10, 4, FALSE()), I2649)</f>
        <v>2026-09-13</v>
      </c>
      <c r="T2649">
        <f t="shared" si="249"/>
        <v>10</v>
      </c>
      <c r="U2649" t="str">
        <f t="shared" si="250"/>
        <v>On-Time</v>
      </c>
      <c r="V2649">
        <f t="shared" si="251"/>
        <v>0</v>
      </c>
    </row>
    <row r="2650" spans="1:22" x14ac:dyDescent="0.45">
      <c r="A2650" t="s">
        <v>3506</v>
      </c>
      <c r="B2650" t="s">
        <v>462</v>
      </c>
      <c r="C2650" t="s">
        <v>37</v>
      </c>
      <c r="D2650" t="s">
        <v>69</v>
      </c>
      <c r="E2650" t="s">
        <v>16</v>
      </c>
      <c r="F2650">
        <v>148</v>
      </c>
      <c r="G2650">
        <v>13231</v>
      </c>
      <c r="H2650">
        <v>1958188</v>
      </c>
      <c r="I2650" t="s">
        <v>1596</v>
      </c>
      <c r="J2650" t="s">
        <v>399</v>
      </c>
      <c r="K2650">
        <v>148</v>
      </c>
      <c r="L2650">
        <v>0</v>
      </c>
      <c r="M2650" t="s">
        <v>115</v>
      </c>
      <c r="N2650" t="str">
        <f t="shared" si="246"/>
        <v>PO-102649</v>
      </c>
      <c r="O2650" t="str">
        <f t="shared" si="247"/>
        <v>Delivered</v>
      </c>
      <c r="P2650" t="str">
        <f t="shared" si="248"/>
        <v>WH-DEL</v>
      </c>
      <c r="Q2650" t="str">
        <f>VLOOKUP(C2650, Lookups!$A$2:$D$10, 2, FALSE())</f>
        <v>Premium Desks Ltd</v>
      </c>
      <c r="R2650" t="str">
        <f>_xlfn.XLOOKUP(D2650, Lookups!$A$12:$A$51, Lookups!$C$12:$C$51, "Unknown")</f>
        <v>Office Furniture</v>
      </c>
      <c r="S2650" t="str">
        <f>IF(ISBLANK(I2650), B2650+VLOOKUP(C2650, Lookups!$A$2:$D$10, 4, FALSE()), I2650)</f>
        <v>2025-11-17</v>
      </c>
      <c r="T2650">
        <f t="shared" si="249"/>
        <v>21</v>
      </c>
      <c r="U2650" t="str">
        <f t="shared" si="250"/>
        <v>Late</v>
      </c>
      <c r="V2650">
        <f t="shared" si="251"/>
        <v>0</v>
      </c>
    </row>
    <row r="2651" spans="1:22" x14ac:dyDescent="0.45">
      <c r="A2651" t="s">
        <v>3507</v>
      </c>
      <c r="B2651" t="s">
        <v>388</v>
      </c>
      <c r="C2651" t="s">
        <v>31</v>
      </c>
      <c r="D2651" t="s">
        <v>66</v>
      </c>
      <c r="E2651" t="s">
        <v>15</v>
      </c>
      <c r="F2651">
        <v>34</v>
      </c>
      <c r="G2651">
        <v>29719</v>
      </c>
      <c r="H2651">
        <v>1010446</v>
      </c>
      <c r="I2651" t="s">
        <v>367</v>
      </c>
      <c r="J2651" t="s">
        <v>444</v>
      </c>
      <c r="K2651">
        <v>34</v>
      </c>
      <c r="L2651">
        <v>0</v>
      </c>
      <c r="M2651" t="s">
        <v>115</v>
      </c>
      <c r="N2651" t="str">
        <f t="shared" si="246"/>
        <v>PO-102650</v>
      </c>
      <c r="O2651" t="str">
        <f t="shared" si="247"/>
        <v>Delivered</v>
      </c>
      <c r="P2651" t="str">
        <f t="shared" si="248"/>
        <v>WH-BOM</v>
      </c>
      <c r="Q2651" t="str">
        <f>VLOOKUP(C2651, Lookups!$A$2:$D$10, 2, FALSE())</f>
        <v>Global Networks</v>
      </c>
      <c r="R2651" t="str">
        <f>_xlfn.XLOOKUP(D2651, Lookups!$A$12:$A$51, Lookups!$C$12:$C$51, "Unknown")</f>
        <v>Networking</v>
      </c>
      <c r="S2651" t="str">
        <f>IF(ISBLANK(I2651), B2651+VLOOKUP(C2651, Lookups!$A$2:$D$10, 4, FALSE()), I2651)</f>
        <v>2026-04-15</v>
      </c>
      <c r="T2651">
        <f t="shared" si="249"/>
        <v>18</v>
      </c>
      <c r="U2651" t="str">
        <f t="shared" si="250"/>
        <v>On-Time</v>
      </c>
      <c r="V2651">
        <f t="shared" si="251"/>
        <v>0</v>
      </c>
    </row>
    <row r="2652" spans="1:22" x14ac:dyDescent="0.45">
      <c r="A2652" t="s">
        <v>3508</v>
      </c>
      <c r="B2652" t="s">
        <v>454</v>
      </c>
      <c r="C2652" t="s">
        <v>37</v>
      </c>
      <c r="D2652" t="s">
        <v>69</v>
      </c>
      <c r="E2652" t="s">
        <v>18</v>
      </c>
      <c r="F2652">
        <v>53</v>
      </c>
      <c r="G2652">
        <v>13231</v>
      </c>
      <c r="H2652">
        <v>701243</v>
      </c>
      <c r="I2652" t="s">
        <v>1343</v>
      </c>
      <c r="J2652" t="s">
        <v>335</v>
      </c>
      <c r="K2652">
        <v>53</v>
      </c>
      <c r="L2652">
        <v>7</v>
      </c>
      <c r="M2652" t="s">
        <v>927</v>
      </c>
      <c r="N2652" t="str">
        <f t="shared" si="246"/>
        <v>PO-102651</v>
      </c>
      <c r="O2652" t="str">
        <f t="shared" si="247"/>
        <v>Delivered</v>
      </c>
      <c r="P2652" t="str">
        <f t="shared" si="248"/>
        <v>WH-PUN</v>
      </c>
      <c r="Q2652" t="str">
        <f>VLOOKUP(C2652, Lookups!$A$2:$D$10, 2, FALSE())</f>
        <v>Premium Desks Ltd</v>
      </c>
      <c r="R2652" t="str">
        <f>_xlfn.XLOOKUP(D2652, Lookups!$A$12:$A$51, Lookups!$C$12:$C$51, "Unknown")</f>
        <v>Office Furniture</v>
      </c>
      <c r="S2652" t="str">
        <f>IF(ISBLANK(I2652), B2652+VLOOKUP(C2652, Lookups!$A$2:$D$10, 4, FALSE()), I2652)</f>
        <v>2026-08-24</v>
      </c>
      <c r="T2652">
        <f t="shared" si="249"/>
        <v>13</v>
      </c>
      <c r="U2652" t="str">
        <f t="shared" si="250"/>
        <v>Late</v>
      </c>
      <c r="V2652">
        <f t="shared" si="251"/>
        <v>0.13207547169811321</v>
      </c>
    </row>
    <row r="2653" spans="1:22" x14ac:dyDescent="0.45">
      <c r="A2653" t="s">
        <v>3509</v>
      </c>
      <c r="B2653" t="s">
        <v>798</v>
      </c>
      <c r="C2653" t="s">
        <v>30</v>
      </c>
      <c r="D2653" t="s">
        <v>52</v>
      </c>
      <c r="E2653" t="s">
        <v>15</v>
      </c>
      <c r="F2653">
        <v>92</v>
      </c>
      <c r="G2653">
        <v>59592</v>
      </c>
      <c r="H2653">
        <v>5482464</v>
      </c>
      <c r="I2653" t="s">
        <v>416</v>
      </c>
      <c r="J2653" t="s">
        <v>1661</v>
      </c>
      <c r="K2653">
        <v>92</v>
      </c>
      <c r="L2653">
        <v>0</v>
      </c>
      <c r="M2653" t="s">
        <v>115</v>
      </c>
      <c r="N2653" t="str">
        <f t="shared" si="246"/>
        <v>PO-102652</v>
      </c>
      <c r="O2653" t="str">
        <f t="shared" si="247"/>
        <v>Delivered</v>
      </c>
      <c r="P2653" t="str">
        <f t="shared" si="248"/>
        <v>WH-BOM</v>
      </c>
      <c r="Q2653" t="str">
        <f>VLOOKUP(C2653, Lookups!$A$2:$D$10, 2, FALSE())</f>
        <v>TechSupply Corp</v>
      </c>
      <c r="R2653" t="str">
        <f>_xlfn.XLOOKUP(D2653, Lookups!$A$12:$A$51, Lookups!$C$12:$C$51, "Unknown")</f>
        <v>Electronics</v>
      </c>
      <c r="S2653" t="str">
        <f>IF(ISBLANK(I2653), B2653+VLOOKUP(C2653, Lookups!$A$2:$D$10, 4, FALSE()), I2653)</f>
        <v>2026-05-29</v>
      </c>
      <c r="T2653">
        <f t="shared" si="249"/>
        <v>15</v>
      </c>
      <c r="U2653" t="str">
        <f t="shared" si="250"/>
        <v>Late</v>
      </c>
      <c r="V2653">
        <f t="shared" si="251"/>
        <v>0</v>
      </c>
    </row>
    <row r="2654" spans="1:22" x14ac:dyDescent="0.45">
      <c r="A2654" t="s">
        <v>3510</v>
      </c>
      <c r="B2654" t="s">
        <v>112</v>
      </c>
      <c r="C2654" t="s">
        <v>35</v>
      </c>
      <c r="D2654" t="s">
        <v>60</v>
      </c>
      <c r="E2654" t="s">
        <v>16</v>
      </c>
      <c r="F2654">
        <v>244</v>
      </c>
      <c r="G2654">
        <v>3291</v>
      </c>
      <c r="H2654">
        <v>803004</v>
      </c>
      <c r="I2654" t="s">
        <v>510</v>
      </c>
      <c r="J2654" t="s">
        <v>510</v>
      </c>
      <c r="K2654">
        <v>244</v>
      </c>
      <c r="L2654">
        <v>0</v>
      </c>
      <c r="M2654" t="s">
        <v>115</v>
      </c>
      <c r="N2654" t="str">
        <f t="shared" si="246"/>
        <v>PO-102653</v>
      </c>
      <c r="O2654" t="str">
        <f t="shared" si="247"/>
        <v>Delivered</v>
      </c>
      <c r="P2654" t="str">
        <f t="shared" si="248"/>
        <v>WH-DEL</v>
      </c>
      <c r="Q2654" t="str">
        <f>VLOOKUP(C2654, Lookups!$A$2:$D$10, 2, FALSE())</f>
        <v>Peripheral Source</v>
      </c>
      <c r="R2654" t="str">
        <f>_xlfn.XLOOKUP(D2654, Lookups!$A$12:$A$51, Lookups!$C$12:$C$51, "Unknown")</f>
        <v>Peripherals</v>
      </c>
      <c r="S2654" t="str">
        <f>IF(ISBLANK(I2654), B2654+VLOOKUP(C2654, Lookups!$A$2:$D$10, 4, FALSE()), I2654)</f>
        <v>2026-06-26</v>
      </c>
      <c r="T2654">
        <f t="shared" si="249"/>
        <v>10</v>
      </c>
      <c r="U2654" t="str">
        <f t="shared" si="250"/>
        <v>On-Time</v>
      </c>
      <c r="V2654">
        <f t="shared" si="251"/>
        <v>0</v>
      </c>
    </row>
    <row r="2655" spans="1:22" x14ac:dyDescent="0.45">
      <c r="A2655" t="s">
        <v>3511</v>
      </c>
      <c r="B2655" t="s">
        <v>607</v>
      </c>
      <c r="C2655" t="s">
        <v>36</v>
      </c>
      <c r="D2655" t="s">
        <v>87</v>
      </c>
      <c r="E2655" t="s">
        <v>16</v>
      </c>
      <c r="F2655">
        <v>154</v>
      </c>
      <c r="G2655">
        <v>82930</v>
      </c>
      <c r="H2655">
        <v>12771220</v>
      </c>
      <c r="I2655" t="s">
        <v>284</v>
      </c>
      <c r="J2655" t="s">
        <v>284</v>
      </c>
      <c r="K2655">
        <v>154</v>
      </c>
      <c r="L2655">
        <v>0</v>
      </c>
      <c r="M2655" t="s">
        <v>115</v>
      </c>
      <c r="N2655" t="str">
        <f t="shared" si="246"/>
        <v>PO-102654</v>
      </c>
      <c r="O2655" t="str">
        <f t="shared" si="247"/>
        <v>Delivered</v>
      </c>
      <c r="P2655" t="str">
        <f t="shared" si="248"/>
        <v>WH-DEL</v>
      </c>
      <c r="Q2655" t="str">
        <f>VLOOKUP(C2655, Lookups!$A$2:$D$10, 2, FALSE())</f>
        <v>NextGen Hardware</v>
      </c>
      <c r="R2655" t="str">
        <f>_xlfn.XLOOKUP(D2655, Lookups!$A$12:$A$51, Lookups!$C$12:$C$51, "Unknown")</f>
        <v>Electronics</v>
      </c>
      <c r="S2655" t="str">
        <f>IF(ISBLANK(I2655), B2655+VLOOKUP(C2655, Lookups!$A$2:$D$10, 4, FALSE()), I2655)</f>
        <v>2025-02-22</v>
      </c>
      <c r="T2655">
        <f t="shared" si="249"/>
        <v>24</v>
      </c>
      <c r="U2655" t="str">
        <f t="shared" si="250"/>
        <v>On-Time</v>
      </c>
      <c r="V2655">
        <f t="shared" si="251"/>
        <v>0</v>
      </c>
    </row>
    <row r="2656" spans="1:22" x14ac:dyDescent="0.45">
      <c r="A2656" t="s">
        <v>3512</v>
      </c>
      <c r="B2656" t="s">
        <v>168</v>
      </c>
      <c r="C2656" t="s">
        <v>30</v>
      </c>
      <c r="D2656" t="s">
        <v>86</v>
      </c>
      <c r="E2656" t="s">
        <v>17</v>
      </c>
      <c r="F2656">
        <v>135</v>
      </c>
      <c r="G2656">
        <v>74871</v>
      </c>
      <c r="H2656">
        <v>10107585</v>
      </c>
      <c r="I2656" t="s">
        <v>1440</v>
      </c>
      <c r="J2656" t="s">
        <v>1440</v>
      </c>
      <c r="K2656">
        <v>135</v>
      </c>
      <c r="L2656">
        <v>0</v>
      </c>
      <c r="M2656" t="s">
        <v>115</v>
      </c>
      <c r="N2656" t="str">
        <f t="shared" si="246"/>
        <v>PO-102655</v>
      </c>
      <c r="O2656" t="str">
        <f t="shared" si="247"/>
        <v>Delivered</v>
      </c>
      <c r="P2656" t="str">
        <f t="shared" si="248"/>
        <v>WH-BLR</v>
      </c>
      <c r="Q2656" t="str">
        <f>VLOOKUP(C2656, Lookups!$A$2:$D$10, 2, FALSE())</f>
        <v>TechSupply Corp</v>
      </c>
      <c r="R2656" t="str">
        <f>_xlfn.XLOOKUP(D2656, Lookups!$A$12:$A$51, Lookups!$C$12:$C$51, "Unknown")</f>
        <v>Electronics</v>
      </c>
      <c r="S2656" t="str">
        <f>IF(ISBLANK(I2656), B2656+VLOOKUP(C2656, Lookups!$A$2:$D$10, 4, FALSE()), I2656)</f>
        <v>2025-06-03</v>
      </c>
      <c r="T2656">
        <f t="shared" si="249"/>
        <v>14</v>
      </c>
      <c r="U2656" t="str">
        <f t="shared" si="250"/>
        <v>On-Time</v>
      </c>
      <c r="V2656">
        <f t="shared" si="251"/>
        <v>0</v>
      </c>
    </row>
    <row r="2657" spans="1:22" x14ac:dyDescent="0.45">
      <c r="A2657" t="s">
        <v>3513</v>
      </c>
      <c r="B2657" t="s">
        <v>579</v>
      </c>
      <c r="C2657" t="s">
        <v>31</v>
      </c>
      <c r="D2657" t="s">
        <v>66</v>
      </c>
      <c r="E2657" t="s">
        <v>18</v>
      </c>
      <c r="F2657">
        <v>27</v>
      </c>
      <c r="G2657">
        <v>29719</v>
      </c>
      <c r="H2657">
        <v>802413</v>
      </c>
      <c r="I2657" t="s">
        <v>422</v>
      </c>
      <c r="J2657" t="s">
        <v>591</v>
      </c>
      <c r="K2657">
        <v>27</v>
      </c>
      <c r="L2657">
        <v>0</v>
      </c>
      <c r="M2657" t="s">
        <v>301</v>
      </c>
      <c r="N2657" t="str">
        <f t="shared" si="246"/>
        <v>PO-102656</v>
      </c>
      <c r="O2657" t="str">
        <f t="shared" si="247"/>
        <v>Delivered</v>
      </c>
      <c r="P2657" t="str">
        <f t="shared" si="248"/>
        <v>WH-PUN</v>
      </c>
      <c r="Q2657" t="str">
        <f>VLOOKUP(C2657, Lookups!$A$2:$D$10, 2, FALSE())</f>
        <v>Global Networks</v>
      </c>
      <c r="R2657" t="str">
        <f>_xlfn.XLOOKUP(D2657, Lookups!$A$12:$A$51, Lookups!$C$12:$C$51, "Unknown")</f>
        <v>Networking</v>
      </c>
      <c r="S2657" t="str">
        <f>IF(ISBLANK(I2657), B2657+VLOOKUP(C2657, Lookups!$A$2:$D$10, 4, FALSE()), I2657)</f>
        <v>2026-01-19</v>
      </c>
      <c r="T2657">
        <f t="shared" si="249"/>
        <v>22</v>
      </c>
      <c r="U2657" t="str">
        <f t="shared" si="250"/>
        <v>Late</v>
      </c>
      <c r="V2657">
        <f t="shared" si="251"/>
        <v>0</v>
      </c>
    </row>
    <row r="2658" spans="1:22" x14ac:dyDescent="0.45">
      <c r="A2658" t="s">
        <v>3514</v>
      </c>
      <c r="B2658" t="s">
        <v>393</v>
      </c>
      <c r="C2658" t="s">
        <v>35</v>
      </c>
      <c r="D2658" t="s">
        <v>65</v>
      </c>
      <c r="E2658" t="s">
        <v>15</v>
      </c>
      <c r="F2658">
        <v>124</v>
      </c>
      <c r="G2658">
        <v>4936</v>
      </c>
      <c r="H2658">
        <v>612064</v>
      </c>
      <c r="I2658" t="s">
        <v>137</v>
      </c>
      <c r="J2658" t="s">
        <v>568</v>
      </c>
      <c r="K2658">
        <v>124</v>
      </c>
      <c r="L2658">
        <v>0</v>
      </c>
      <c r="M2658" t="s">
        <v>115</v>
      </c>
      <c r="N2658" t="str">
        <f t="shared" si="246"/>
        <v>PO-102657</v>
      </c>
      <c r="O2658" t="str">
        <f t="shared" si="247"/>
        <v>Delivered</v>
      </c>
      <c r="P2658" t="str">
        <f t="shared" si="248"/>
        <v>WH-BOM</v>
      </c>
      <c r="Q2658" t="str">
        <f>VLOOKUP(C2658, Lookups!$A$2:$D$10, 2, FALSE())</f>
        <v>Peripheral Source</v>
      </c>
      <c r="R2658" t="str">
        <f>_xlfn.XLOOKUP(D2658, Lookups!$A$12:$A$51, Lookups!$C$12:$C$51, "Unknown")</f>
        <v>Peripherals</v>
      </c>
      <c r="S2658" t="str">
        <f>IF(ISBLANK(I2658), B2658+VLOOKUP(C2658, Lookups!$A$2:$D$10, 4, FALSE()), I2658)</f>
        <v>2025-09-08</v>
      </c>
      <c r="T2658">
        <f t="shared" si="249"/>
        <v>11</v>
      </c>
      <c r="U2658" t="str">
        <f t="shared" si="250"/>
        <v>Late</v>
      </c>
      <c r="V2658">
        <f t="shared" si="251"/>
        <v>0</v>
      </c>
    </row>
    <row r="2659" spans="1:22" x14ac:dyDescent="0.45">
      <c r="A2659" t="s">
        <v>3515</v>
      </c>
      <c r="B2659" t="s">
        <v>1501</v>
      </c>
      <c r="C2659" t="s">
        <v>36</v>
      </c>
      <c r="D2659" t="s">
        <v>55</v>
      </c>
      <c r="E2659" t="s">
        <v>18</v>
      </c>
      <c r="F2659">
        <v>64</v>
      </c>
      <c r="G2659">
        <v>58434</v>
      </c>
      <c r="H2659">
        <v>3739776</v>
      </c>
      <c r="I2659" t="s">
        <v>391</v>
      </c>
      <c r="J2659" t="s">
        <v>391</v>
      </c>
      <c r="K2659">
        <v>36</v>
      </c>
      <c r="L2659">
        <v>0</v>
      </c>
      <c r="M2659" t="s">
        <v>115</v>
      </c>
      <c r="N2659" t="str">
        <f t="shared" si="246"/>
        <v>PO-102658</v>
      </c>
      <c r="O2659" t="str">
        <f t="shared" si="247"/>
        <v>Delivered</v>
      </c>
      <c r="P2659" t="str">
        <f t="shared" si="248"/>
        <v>WH-PUN</v>
      </c>
      <c r="Q2659" t="str">
        <f>VLOOKUP(C2659, Lookups!$A$2:$D$10, 2, FALSE())</f>
        <v>NextGen Hardware</v>
      </c>
      <c r="R2659" t="str">
        <f>_xlfn.XLOOKUP(D2659, Lookups!$A$12:$A$51, Lookups!$C$12:$C$51, "Unknown")</f>
        <v>Electronics</v>
      </c>
      <c r="S2659" t="str">
        <f>IF(ISBLANK(I2659), B2659+VLOOKUP(C2659, Lookups!$A$2:$D$10, 4, FALSE()), I2659)</f>
        <v>2026-06-14</v>
      </c>
      <c r="T2659">
        <f t="shared" si="249"/>
        <v>24</v>
      </c>
      <c r="U2659" t="str">
        <f t="shared" si="250"/>
        <v>On-Time</v>
      </c>
      <c r="V2659">
        <f t="shared" si="251"/>
        <v>0</v>
      </c>
    </row>
    <row r="2660" spans="1:22" x14ac:dyDescent="0.45">
      <c r="A2660" t="s">
        <v>3516</v>
      </c>
      <c r="B2660" t="s">
        <v>1697</v>
      </c>
      <c r="C2660" t="s">
        <v>35</v>
      </c>
      <c r="D2660" t="s">
        <v>57</v>
      </c>
      <c r="E2660" t="s">
        <v>245</v>
      </c>
      <c r="F2660">
        <v>161</v>
      </c>
      <c r="G2660">
        <v>2212</v>
      </c>
      <c r="H2660">
        <v>356132</v>
      </c>
      <c r="I2660" t="s">
        <v>1683</v>
      </c>
      <c r="K2660">
        <v>0</v>
      </c>
      <c r="L2660">
        <v>0</v>
      </c>
      <c r="M2660" t="s">
        <v>297</v>
      </c>
      <c r="N2660" t="str">
        <f t="shared" si="246"/>
        <v>PO-102659</v>
      </c>
      <c r="O2660" t="str">
        <f t="shared" si="247"/>
        <v>Open</v>
      </c>
      <c r="P2660" t="str">
        <f t="shared" si="248"/>
        <v>WH-BOM</v>
      </c>
      <c r="Q2660" t="str">
        <f>VLOOKUP(C2660, Lookups!$A$2:$D$10, 2, FALSE())</f>
        <v>Peripheral Source</v>
      </c>
      <c r="R2660" t="str">
        <f>_xlfn.XLOOKUP(D2660, Lookups!$A$12:$A$51, Lookups!$C$12:$C$51, "Unknown")</f>
        <v>Peripherals</v>
      </c>
      <c r="S2660" t="str">
        <f>IF(ISBLANK(I2660), B2660+VLOOKUP(C2660, Lookups!$A$2:$D$10, 4, FALSE()), I2660)</f>
        <v>2026-12-25</v>
      </c>
      <c r="T2660" t="str">
        <f t="shared" si="249"/>
        <v/>
      </c>
      <c r="U2660" t="str">
        <f t="shared" si="250"/>
        <v>Open</v>
      </c>
      <c r="V2660">
        <f t="shared" si="251"/>
        <v>0</v>
      </c>
    </row>
    <row r="2661" spans="1:22" x14ac:dyDescent="0.45">
      <c r="A2661" t="s">
        <v>3517</v>
      </c>
      <c r="B2661" t="s">
        <v>137</v>
      </c>
      <c r="C2661" t="s">
        <v>37</v>
      </c>
      <c r="D2661" t="s">
        <v>83</v>
      </c>
      <c r="E2661" t="s">
        <v>16</v>
      </c>
      <c r="F2661">
        <v>195</v>
      </c>
      <c r="G2661">
        <v>19850</v>
      </c>
      <c r="H2661">
        <v>3870750</v>
      </c>
      <c r="I2661" t="s">
        <v>1475</v>
      </c>
      <c r="J2661" t="s">
        <v>1129</v>
      </c>
      <c r="K2661">
        <v>195</v>
      </c>
      <c r="L2661">
        <v>16</v>
      </c>
      <c r="M2661" t="s">
        <v>115</v>
      </c>
      <c r="N2661" t="str">
        <f t="shared" si="246"/>
        <v>PO-102660</v>
      </c>
      <c r="O2661" t="str">
        <f t="shared" si="247"/>
        <v>Delivered</v>
      </c>
      <c r="P2661" t="str">
        <f t="shared" si="248"/>
        <v>WH-DEL</v>
      </c>
      <c r="Q2661" t="str">
        <f>VLOOKUP(C2661, Lookups!$A$2:$D$10, 2, FALSE())</f>
        <v>Premium Desks Ltd</v>
      </c>
      <c r="R2661" t="str">
        <f>_xlfn.XLOOKUP(D2661, Lookups!$A$12:$A$51, Lookups!$C$12:$C$51, "Unknown")</f>
        <v>Office Furniture</v>
      </c>
      <c r="S2661" t="str">
        <f>IF(ISBLANK(I2661), B2661+VLOOKUP(C2661, Lookups!$A$2:$D$10, 4, FALSE()), I2661)</f>
        <v>2025-09-20</v>
      </c>
      <c r="T2661">
        <f t="shared" si="249"/>
        <v>17</v>
      </c>
      <c r="U2661" t="str">
        <f t="shared" si="250"/>
        <v>Late</v>
      </c>
      <c r="V2661">
        <f t="shared" si="251"/>
        <v>8.2051282051282051E-2</v>
      </c>
    </row>
    <row r="2662" spans="1:22" x14ac:dyDescent="0.45">
      <c r="A2662" t="s">
        <v>3518</v>
      </c>
      <c r="B2662" t="s">
        <v>529</v>
      </c>
      <c r="C2662" t="s">
        <v>35</v>
      </c>
      <c r="D2662" t="s">
        <v>91</v>
      </c>
      <c r="E2662" t="s">
        <v>15</v>
      </c>
      <c r="F2662">
        <v>129</v>
      </c>
      <c r="G2662">
        <v>6707</v>
      </c>
      <c r="H2662">
        <v>865203</v>
      </c>
      <c r="I2662" t="s">
        <v>1661</v>
      </c>
      <c r="J2662" t="s">
        <v>1173</v>
      </c>
      <c r="K2662">
        <v>129</v>
      </c>
      <c r="L2662">
        <v>0</v>
      </c>
      <c r="M2662" t="s">
        <v>115</v>
      </c>
      <c r="N2662" t="str">
        <f t="shared" si="246"/>
        <v>PO-102661</v>
      </c>
      <c r="O2662" t="str">
        <f t="shared" si="247"/>
        <v>Delivered</v>
      </c>
      <c r="P2662" t="str">
        <f t="shared" si="248"/>
        <v>WH-BOM</v>
      </c>
      <c r="Q2662" t="str">
        <f>VLOOKUP(C2662, Lookups!$A$2:$D$10, 2, FALSE())</f>
        <v>Peripheral Source</v>
      </c>
      <c r="R2662" t="str">
        <f>_xlfn.XLOOKUP(D2662, Lookups!$A$12:$A$51, Lookups!$C$12:$C$51, "Unknown")</f>
        <v>Peripherals</v>
      </c>
      <c r="S2662" t="str">
        <f>IF(ISBLANK(I2662), B2662+VLOOKUP(C2662, Lookups!$A$2:$D$10, 4, FALSE()), I2662)</f>
        <v>2026-05-30</v>
      </c>
      <c r="T2662">
        <f t="shared" si="249"/>
        <v>15</v>
      </c>
      <c r="U2662" t="str">
        <f t="shared" si="250"/>
        <v>Late</v>
      </c>
      <c r="V2662">
        <f t="shared" si="251"/>
        <v>0</v>
      </c>
    </row>
    <row r="2663" spans="1:22" x14ac:dyDescent="0.45">
      <c r="A2663" t="s">
        <v>3519</v>
      </c>
      <c r="B2663" t="s">
        <v>1300</v>
      </c>
      <c r="C2663" t="s">
        <v>30</v>
      </c>
      <c r="D2663" t="s">
        <v>53</v>
      </c>
      <c r="E2663" t="s">
        <v>18</v>
      </c>
      <c r="F2663">
        <v>34</v>
      </c>
      <c r="G2663">
        <v>81048</v>
      </c>
      <c r="H2663">
        <v>2755632</v>
      </c>
      <c r="I2663" t="s">
        <v>252</v>
      </c>
      <c r="J2663" t="s">
        <v>252</v>
      </c>
      <c r="K2663">
        <v>34</v>
      </c>
      <c r="L2663">
        <v>0</v>
      </c>
      <c r="M2663" t="s">
        <v>115</v>
      </c>
      <c r="N2663" t="str">
        <f t="shared" si="246"/>
        <v>PO-102662</v>
      </c>
      <c r="O2663" t="str">
        <f t="shared" si="247"/>
        <v>Delivered</v>
      </c>
      <c r="P2663" t="str">
        <f t="shared" si="248"/>
        <v>WH-PUN</v>
      </c>
      <c r="Q2663" t="str">
        <f>VLOOKUP(C2663, Lookups!$A$2:$D$10, 2, FALSE())</f>
        <v>TechSupply Corp</v>
      </c>
      <c r="R2663" t="str">
        <f>_xlfn.XLOOKUP(D2663, Lookups!$A$12:$A$51, Lookups!$C$12:$C$51, "Unknown")</f>
        <v>Electronics</v>
      </c>
      <c r="S2663" t="str">
        <f>IF(ISBLANK(I2663), B2663+VLOOKUP(C2663, Lookups!$A$2:$D$10, 4, FALSE()), I2663)</f>
        <v>2025-08-19</v>
      </c>
      <c r="T2663">
        <f t="shared" si="249"/>
        <v>14</v>
      </c>
      <c r="U2663" t="str">
        <f t="shared" si="250"/>
        <v>On-Time</v>
      </c>
      <c r="V2663">
        <f t="shared" si="251"/>
        <v>0</v>
      </c>
    </row>
    <row r="2664" spans="1:22" x14ac:dyDescent="0.45">
      <c r="A2664" t="s">
        <v>3520</v>
      </c>
      <c r="B2664" t="s">
        <v>246</v>
      </c>
      <c r="C2664" t="s">
        <v>35</v>
      </c>
      <c r="D2664" t="s">
        <v>75</v>
      </c>
      <c r="E2664" t="s">
        <v>16</v>
      </c>
      <c r="F2664">
        <v>21</v>
      </c>
      <c r="G2664">
        <v>4440</v>
      </c>
      <c r="H2664">
        <v>93240</v>
      </c>
      <c r="I2664" t="s">
        <v>905</v>
      </c>
      <c r="J2664" t="s">
        <v>905</v>
      </c>
      <c r="K2664">
        <v>21</v>
      </c>
      <c r="L2664">
        <v>0</v>
      </c>
      <c r="M2664" t="s">
        <v>115</v>
      </c>
      <c r="N2664" t="str">
        <f t="shared" si="246"/>
        <v>PO-102663</v>
      </c>
      <c r="O2664" t="str">
        <f t="shared" si="247"/>
        <v>Delivered</v>
      </c>
      <c r="P2664" t="str">
        <f t="shared" si="248"/>
        <v>WH-DEL</v>
      </c>
      <c r="Q2664" t="str">
        <f>VLOOKUP(C2664, Lookups!$A$2:$D$10, 2, FALSE())</f>
        <v>Peripheral Source</v>
      </c>
      <c r="R2664" t="str">
        <f>_xlfn.XLOOKUP(D2664, Lookups!$A$12:$A$51, Lookups!$C$12:$C$51, "Unknown")</f>
        <v>Peripherals</v>
      </c>
      <c r="S2664" t="str">
        <f>IF(ISBLANK(I2664), B2664+VLOOKUP(C2664, Lookups!$A$2:$D$10, 4, FALSE()), I2664)</f>
        <v>2025-10-31</v>
      </c>
      <c r="T2664">
        <f t="shared" si="249"/>
        <v>10</v>
      </c>
      <c r="U2664" t="str">
        <f t="shared" si="250"/>
        <v>On-Time</v>
      </c>
      <c r="V2664">
        <f t="shared" si="251"/>
        <v>0</v>
      </c>
    </row>
    <row r="2665" spans="1:22" x14ac:dyDescent="0.45">
      <c r="A2665" t="s">
        <v>3521</v>
      </c>
      <c r="B2665" t="s">
        <v>338</v>
      </c>
      <c r="C2665" t="s">
        <v>36</v>
      </c>
      <c r="D2665" t="s">
        <v>71</v>
      </c>
      <c r="E2665" t="s">
        <v>16</v>
      </c>
      <c r="F2665">
        <v>86</v>
      </c>
      <c r="G2665">
        <v>65379</v>
      </c>
      <c r="H2665">
        <v>5622594</v>
      </c>
      <c r="I2665" t="s">
        <v>688</v>
      </c>
      <c r="J2665" t="s">
        <v>573</v>
      </c>
      <c r="K2665">
        <v>86</v>
      </c>
      <c r="L2665">
        <v>0</v>
      </c>
      <c r="M2665" t="s">
        <v>115</v>
      </c>
      <c r="N2665" t="str">
        <f t="shared" si="246"/>
        <v>PO-102664</v>
      </c>
      <c r="O2665" t="str">
        <f t="shared" si="247"/>
        <v>Delivered</v>
      </c>
      <c r="P2665" t="str">
        <f t="shared" si="248"/>
        <v>WH-DEL</v>
      </c>
      <c r="Q2665" t="str">
        <f>VLOOKUP(C2665, Lookups!$A$2:$D$10, 2, FALSE())</f>
        <v>NextGen Hardware</v>
      </c>
      <c r="R2665" t="str">
        <f>_xlfn.XLOOKUP(D2665, Lookups!$A$12:$A$51, Lookups!$C$12:$C$51, "Unknown")</f>
        <v>Electronics</v>
      </c>
      <c r="S2665" t="str">
        <f>IF(ISBLANK(I2665), B2665+VLOOKUP(C2665, Lookups!$A$2:$D$10, 4, FALSE()), I2665)</f>
        <v>2026-04-29</v>
      </c>
      <c r="T2665">
        <f t="shared" si="249"/>
        <v>25</v>
      </c>
      <c r="U2665" t="str">
        <f t="shared" si="250"/>
        <v>Late</v>
      </c>
      <c r="V2665">
        <f t="shared" si="251"/>
        <v>0</v>
      </c>
    </row>
    <row r="2666" spans="1:22" x14ac:dyDescent="0.45">
      <c r="A2666" t="s">
        <v>3522</v>
      </c>
      <c r="B2666" t="s">
        <v>917</v>
      </c>
      <c r="C2666" t="s">
        <v>35</v>
      </c>
      <c r="D2666" t="s">
        <v>72</v>
      </c>
      <c r="E2666" t="s">
        <v>15</v>
      </c>
      <c r="F2666">
        <v>206</v>
      </c>
      <c r="G2666">
        <v>7754</v>
      </c>
      <c r="H2666">
        <v>1597324</v>
      </c>
      <c r="I2666" t="s">
        <v>707</v>
      </c>
      <c r="J2666" t="s">
        <v>261</v>
      </c>
      <c r="K2666">
        <v>206</v>
      </c>
      <c r="L2666">
        <v>0</v>
      </c>
      <c r="M2666" t="s">
        <v>115</v>
      </c>
      <c r="N2666" t="str">
        <f t="shared" si="246"/>
        <v>PO-102665</v>
      </c>
      <c r="O2666" t="str">
        <f t="shared" si="247"/>
        <v>Delivered</v>
      </c>
      <c r="P2666" t="str">
        <f t="shared" si="248"/>
        <v>WH-BOM</v>
      </c>
      <c r="Q2666" t="str">
        <f>VLOOKUP(C2666, Lookups!$A$2:$D$10, 2, FALSE())</f>
        <v>Peripheral Source</v>
      </c>
      <c r="R2666" t="str">
        <f>_xlfn.XLOOKUP(D2666, Lookups!$A$12:$A$51, Lookups!$C$12:$C$51, "Unknown")</f>
        <v>Peripherals</v>
      </c>
      <c r="S2666" t="str">
        <f>IF(ISBLANK(I2666), B2666+VLOOKUP(C2666, Lookups!$A$2:$D$10, 4, FALSE()), I2666)</f>
        <v>2026-01-14</v>
      </c>
      <c r="T2666">
        <f t="shared" si="249"/>
        <v>11</v>
      </c>
      <c r="U2666" t="str">
        <f t="shared" si="250"/>
        <v>Late</v>
      </c>
      <c r="V2666">
        <f t="shared" si="251"/>
        <v>0</v>
      </c>
    </row>
    <row r="2667" spans="1:22" x14ac:dyDescent="0.45">
      <c r="A2667" t="s">
        <v>3523</v>
      </c>
      <c r="B2667" t="s">
        <v>308</v>
      </c>
      <c r="C2667" t="s">
        <v>30</v>
      </c>
      <c r="D2667" t="s">
        <v>53</v>
      </c>
      <c r="E2667" t="s">
        <v>17</v>
      </c>
      <c r="F2667">
        <v>193</v>
      </c>
      <c r="G2667">
        <v>81048</v>
      </c>
      <c r="H2667">
        <v>15642264</v>
      </c>
      <c r="I2667" t="s">
        <v>1519</v>
      </c>
      <c r="J2667" t="s">
        <v>1428</v>
      </c>
      <c r="K2667">
        <v>193</v>
      </c>
      <c r="L2667">
        <v>0</v>
      </c>
      <c r="M2667" t="s">
        <v>115</v>
      </c>
      <c r="N2667" t="str">
        <f t="shared" si="246"/>
        <v>PO-102666</v>
      </c>
      <c r="O2667" t="str">
        <f t="shared" si="247"/>
        <v>Delivered</v>
      </c>
      <c r="P2667" t="str">
        <f t="shared" si="248"/>
        <v>WH-BLR</v>
      </c>
      <c r="Q2667" t="str">
        <f>VLOOKUP(C2667, Lookups!$A$2:$D$10, 2, FALSE())</f>
        <v>TechSupply Corp</v>
      </c>
      <c r="R2667" t="str">
        <f>_xlfn.XLOOKUP(D2667, Lookups!$A$12:$A$51, Lookups!$C$12:$C$51, "Unknown")</f>
        <v>Electronics</v>
      </c>
      <c r="S2667" t="str">
        <f>IF(ISBLANK(I2667), B2667+VLOOKUP(C2667, Lookups!$A$2:$D$10, 4, FALSE()), I2667)</f>
        <v>2026-09-27</v>
      </c>
      <c r="T2667">
        <f t="shared" si="249"/>
        <v>15</v>
      </c>
      <c r="U2667" t="str">
        <f t="shared" si="250"/>
        <v>Late</v>
      </c>
      <c r="V2667">
        <f t="shared" si="251"/>
        <v>0</v>
      </c>
    </row>
    <row r="2668" spans="1:22" x14ac:dyDescent="0.45">
      <c r="A2668" t="s">
        <v>3524</v>
      </c>
      <c r="B2668" t="s">
        <v>1338</v>
      </c>
      <c r="C2668" t="s">
        <v>30</v>
      </c>
      <c r="D2668" t="s">
        <v>59</v>
      </c>
      <c r="E2668" t="s">
        <v>16</v>
      </c>
      <c r="F2668">
        <v>16</v>
      </c>
      <c r="G2668">
        <v>48905</v>
      </c>
      <c r="H2668">
        <v>782480</v>
      </c>
      <c r="I2668" t="s">
        <v>1198</v>
      </c>
      <c r="J2668" t="s">
        <v>1198</v>
      </c>
      <c r="K2668">
        <v>16</v>
      </c>
      <c r="L2668">
        <v>0</v>
      </c>
      <c r="M2668" t="s">
        <v>115</v>
      </c>
      <c r="N2668" t="str">
        <f t="shared" si="246"/>
        <v>PO-102667</v>
      </c>
      <c r="O2668" t="str">
        <f t="shared" si="247"/>
        <v>Delivered</v>
      </c>
      <c r="P2668" t="str">
        <f t="shared" si="248"/>
        <v>WH-DEL</v>
      </c>
      <c r="Q2668" t="str">
        <f>VLOOKUP(C2668, Lookups!$A$2:$D$10, 2, FALSE())</f>
        <v>TechSupply Corp</v>
      </c>
      <c r="R2668" t="str">
        <f>_xlfn.XLOOKUP(D2668, Lookups!$A$12:$A$51, Lookups!$C$12:$C$51, "Unknown")</f>
        <v>Electronics</v>
      </c>
      <c r="S2668" t="str">
        <f>IF(ISBLANK(I2668), B2668+VLOOKUP(C2668, Lookups!$A$2:$D$10, 4, FALSE()), I2668)</f>
        <v>2026-10-16</v>
      </c>
      <c r="T2668">
        <f t="shared" si="249"/>
        <v>14</v>
      </c>
      <c r="U2668" t="str">
        <f t="shared" si="250"/>
        <v>On-Time</v>
      </c>
      <c r="V2668">
        <f t="shared" si="251"/>
        <v>0</v>
      </c>
    </row>
    <row r="2669" spans="1:22" x14ac:dyDescent="0.45">
      <c r="A2669" t="s">
        <v>3525</v>
      </c>
      <c r="B2669" t="s">
        <v>613</v>
      </c>
      <c r="C2669" t="s">
        <v>35</v>
      </c>
      <c r="D2669" t="s">
        <v>91</v>
      </c>
      <c r="E2669" t="s">
        <v>17</v>
      </c>
      <c r="F2669">
        <v>132</v>
      </c>
      <c r="G2669">
        <v>6707</v>
      </c>
      <c r="H2669">
        <v>885324</v>
      </c>
      <c r="I2669" t="s">
        <v>266</v>
      </c>
      <c r="J2669" t="s">
        <v>266</v>
      </c>
      <c r="K2669">
        <v>132</v>
      </c>
      <c r="L2669">
        <v>0</v>
      </c>
      <c r="M2669" t="s">
        <v>115</v>
      </c>
      <c r="N2669" t="str">
        <f t="shared" si="246"/>
        <v>PO-102668</v>
      </c>
      <c r="O2669" t="str">
        <f t="shared" si="247"/>
        <v>Delivered</v>
      </c>
      <c r="P2669" t="str">
        <f t="shared" si="248"/>
        <v>WH-BLR</v>
      </c>
      <c r="Q2669" t="str">
        <f>VLOOKUP(C2669, Lookups!$A$2:$D$10, 2, FALSE())</f>
        <v>Peripheral Source</v>
      </c>
      <c r="R2669" t="str">
        <f>_xlfn.XLOOKUP(D2669, Lookups!$A$12:$A$51, Lookups!$C$12:$C$51, "Unknown")</f>
        <v>Peripherals</v>
      </c>
      <c r="S2669" t="str">
        <f>IF(ISBLANK(I2669), B2669+VLOOKUP(C2669, Lookups!$A$2:$D$10, 4, FALSE()), I2669)</f>
        <v>2025-02-15</v>
      </c>
      <c r="T2669">
        <f t="shared" si="249"/>
        <v>10</v>
      </c>
      <c r="U2669" t="str">
        <f t="shared" si="250"/>
        <v>On-Time</v>
      </c>
      <c r="V2669">
        <f t="shared" si="251"/>
        <v>0</v>
      </c>
    </row>
    <row r="2670" spans="1:22" x14ac:dyDescent="0.45">
      <c r="A2670" t="s">
        <v>3526</v>
      </c>
      <c r="B2670" t="s">
        <v>777</v>
      </c>
      <c r="C2670" t="s">
        <v>30</v>
      </c>
      <c r="D2670" t="s">
        <v>52</v>
      </c>
      <c r="E2670" t="s">
        <v>15</v>
      </c>
      <c r="F2670">
        <v>155</v>
      </c>
      <c r="G2670">
        <v>59592</v>
      </c>
      <c r="H2670">
        <v>9236760</v>
      </c>
      <c r="I2670" t="s">
        <v>401</v>
      </c>
      <c r="J2670" t="s">
        <v>930</v>
      </c>
      <c r="K2670">
        <v>155</v>
      </c>
      <c r="L2670">
        <v>0</v>
      </c>
      <c r="M2670" t="s">
        <v>115</v>
      </c>
      <c r="N2670" t="str">
        <f t="shared" si="246"/>
        <v>PO-102669</v>
      </c>
      <c r="O2670" t="str">
        <f t="shared" si="247"/>
        <v>Delivered</v>
      </c>
      <c r="P2670" t="str">
        <f t="shared" si="248"/>
        <v>WH-BOM</v>
      </c>
      <c r="Q2670" t="str">
        <f>VLOOKUP(C2670, Lookups!$A$2:$D$10, 2, FALSE())</f>
        <v>TechSupply Corp</v>
      </c>
      <c r="R2670" t="str">
        <f>_xlfn.XLOOKUP(D2670, Lookups!$A$12:$A$51, Lookups!$C$12:$C$51, "Unknown")</f>
        <v>Electronics</v>
      </c>
      <c r="S2670" t="str">
        <f>IF(ISBLANK(I2670), B2670+VLOOKUP(C2670, Lookups!$A$2:$D$10, 4, FALSE()), I2670)</f>
        <v>2025-12-09</v>
      </c>
      <c r="T2670">
        <f t="shared" si="249"/>
        <v>15</v>
      </c>
      <c r="U2670" t="str">
        <f t="shared" si="250"/>
        <v>Late</v>
      </c>
      <c r="V2670">
        <f t="shared" si="251"/>
        <v>0</v>
      </c>
    </row>
    <row r="2671" spans="1:22" x14ac:dyDescent="0.45">
      <c r="A2671" t="s">
        <v>3527</v>
      </c>
      <c r="B2671" t="s">
        <v>356</v>
      </c>
      <c r="C2671" t="s">
        <v>37</v>
      </c>
      <c r="D2671" t="s">
        <v>69</v>
      </c>
      <c r="E2671" t="s">
        <v>17</v>
      </c>
      <c r="F2671">
        <v>121</v>
      </c>
      <c r="G2671">
        <v>13231</v>
      </c>
      <c r="H2671">
        <v>1600951</v>
      </c>
      <c r="I2671" t="s">
        <v>460</v>
      </c>
      <c r="J2671" t="s">
        <v>346</v>
      </c>
      <c r="K2671">
        <v>121</v>
      </c>
      <c r="L2671">
        <v>0</v>
      </c>
      <c r="M2671" t="s">
        <v>115</v>
      </c>
      <c r="N2671" t="str">
        <f t="shared" si="246"/>
        <v>PO-102670</v>
      </c>
      <c r="O2671" t="str">
        <f t="shared" si="247"/>
        <v>Delivered</v>
      </c>
      <c r="P2671" t="str">
        <f t="shared" si="248"/>
        <v>WH-BLR</v>
      </c>
      <c r="Q2671" t="str">
        <f>VLOOKUP(C2671, Lookups!$A$2:$D$10, 2, FALSE())</f>
        <v>Premium Desks Ltd</v>
      </c>
      <c r="R2671" t="str">
        <f>_xlfn.XLOOKUP(D2671, Lookups!$A$12:$A$51, Lookups!$C$12:$C$51, "Unknown")</f>
        <v>Office Furniture</v>
      </c>
      <c r="S2671" t="str">
        <f>IF(ISBLANK(I2671), B2671+VLOOKUP(C2671, Lookups!$A$2:$D$10, 4, FALSE()), I2671)</f>
        <v>2025-10-09</v>
      </c>
      <c r="T2671">
        <f t="shared" si="249"/>
        <v>13</v>
      </c>
      <c r="U2671" t="str">
        <f t="shared" si="250"/>
        <v>Late</v>
      </c>
      <c r="V2671">
        <f t="shared" si="251"/>
        <v>0</v>
      </c>
    </row>
    <row r="2672" spans="1:22" x14ac:dyDescent="0.45">
      <c r="A2672" t="s">
        <v>3528</v>
      </c>
      <c r="B2672" t="s">
        <v>883</v>
      </c>
      <c r="C2672" t="s">
        <v>35</v>
      </c>
      <c r="D2672" t="s">
        <v>57</v>
      </c>
      <c r="E2672" t="s">
        <v>18</v>
      </c>
      <c r="F2672">
        <v>77</v>
      </c>
      <c r="G2672">
        <v>2212</v>
      </c>
      <c r="H2672">
        <v>170324</v>
      </c>
      <c r="I2672" t="s">
        <v>991</v>
      </c>
      <c r="J2672" t="s">
        <v>991</v>
      </c>
      <c r="K2672">
        <v>58</v>
      </c>
      <c r="L2672">
        <v>0</v>
      </c>
      <c r="M2672" t="s">
        <v>115</v>
      </c>
      <c r="N2672" t="str">
        <f t="shared" si="246"/>
        <v>PO-102671</v>
      </c>
      <c r="O2672" t="str">
        <f t="shared" si="247"/>
        <v>Delivered</v>
      </c>
      <c r="P2672" t="str">
        <f t="shared" si="248"/>
        <v>WH-PUN</v>
      </c>
      <c r="Q2672" t="str">
        <f>VLOOKUP(C2672, Lookups!$A$2:$D$10, 2, FALSE())</f>
        <v>Peripheral Source</v>
      </c>
      <c r="R2672" t="str">
        <f>_xlfn.XLOOKUP(D2672, Lookups!$A$12:$A$51, Lookups!$C$12:$C$51, "Unknown")</f>
        <v>Peripherals</v>
      </c>
      <c r="S2672" t="str">
        <f>IF(ISBLANK(I2672), B2672+VLOOKUP(C2672, Lookups!$A$2:$D$10, 4, FALSE()), I2672)</f>
        <v>2026-07-16</v>
      </c>
      <c r="T2672">
        <f t="shared" si="249"/>
        <v>10</v>
      </c>
      <c r="U2672" t="str">
        <f t="shared" si="250"/>
        <v>On-Time</v>
      </c>
      <c r="V2672">
        <f t="shared" si="251"/>
        <v>0</v>
      </c>
    </row>
    <row r="2673" spans="1:22" x14ac:dyDescent="0.45">
      <c r="A2673" t="s">
        <v>3529</v>
      </c>
      <c r="B2673" t="s">
        <v>1111</v>
      </c>
      <c r="C2673" t="s">
        <v>35</v>
      </c>
      <c r="D2673" t="s">
        <v>75</v>
      </c>
      <c r="E2673" t="s">
        <v>15</v>
      </c>
      <c r="F2673">
        <v>238</v>
      </c>
      <c r="G2673">
        <v>4440</v>
      </c>
      <c r="H2673">
        <v>1056720</v>
      </c>
      <c r="I2673" t="s">
        <v>1401</v>
      </c>
      <c r="J2673" t="s">
        <v>1318</v>
      </c>
      <c r="K2673">
        <v>238</v>
      </c>
      <c r="L2673">
        <v>0</v>
      </c>
      <c r="M2673" t="s">
        <v>115</v>
      </c>
      <c r="N2673" t="str">
        <f t="shared" si="246"/>
        <v>PO-102672</v>
      </c>
      <c r="O2673" t="str">
        <f t="shared" si="247"/>
        <v>Delivered</v>
      </c>
      <c r="P2673" t="str">
        <f t="shared" si="248"/>
        <v>WH-BOM</v>
      </c>
      <c r="Q2673" t="str">
        <f>VLOOKUP(C2673, Lookups!$A$2:$D$10, 2, FALSE())</f>
        <v>Peripheral Source</v>
      </c>
      <c r="R2673" t="str">
        <f>_xlfn.XLOOKUP(D2673, Lookups!$A$12:$A$51, Lookups!$C$12:$C$51, "Unknown")</f>
        <v>Peripherals</v>
      </c>
      <c r="S2673" t="str">
        <f>IF(ISBLANK(I2673), B2673+VLOOKUP(C2673, Lookups!$A$2:$D$10, 4, FALSE()), I2673)</f>
        <v>2026-10-24</v>
      </c>
      <c r="T2673">
        <f t="shared" si="249"/>
        <v>11</v>
      </c>
      <c r="U2673" t="str">
        <f t="shared" si="250"/>
        <v>Late</v>
      </c>
      <c r="V2673">
        <f t="shared" si="251"/>
        <v>0</v>
      </c>
    </row>
    <row r="2674" spans="1:22" x14ac:dyDescent="0.45">
      <c r="A2674" t="s">
        <v>3530</v>
      </c>
      <c r="B2674" t="s">
        <v>320</v>
      </c>
      <c r="C2674" t="s">
        <v>30</v>
      </c>
      <c r="D2674" t="s">
        <v>52</v>
      </c>
      <c r="E2674" t="s">
        <v>16</v>
      </c>
      <c r="F2674">
        <v>22</v>
      </c>
      <c r="G2674">
        <v>59592</v>
      </c>
      <c r="H2674">
        <v>1311024</v>
      </c>
      <c r="I2674" t="s">
        <v>988</v>
      </c>
      <c r="J2674" t="s">
        <v>1005</v>
      </c>
      <c r="K2674">
        <v>22</v>
      </c>
      <c r="L2674">
        <v>0</v>
      </c>
      <c r="M2674" t="s">
        <v>301</v>
      </c>
      <c r="N2674" t="str">
        <f t="shared" si="246"/>
        <v>PO-102673</v>
      </c>
      <c r="O2674" t="str">
        <f t="shared" si="247"/>
        <v>Delivered</v>
      </c>
      <c r="P2674" t="str">
        <f t="shared" si="248"/>
        <v>WH-DEL</v>
      </c>
      <c r="Q2674" t="str">
        <f>VLOOKUP(C2674, Lookups!$A$2:$D$10, 2, FALSE())</f>
        <v>TechSupply Corp</v>
      </c>
      <c r="R2674" t="str">
        <f>_xlfn.XLOOKUP(D2674, Lookups!$A$12:$A$51, Lookups!$C$12:$C$51, "Unknown")</f>
        <v>Electronics</v>
      </c>
      <c r="S2674" t="str">
        <f>IF(ISBLANK(I2674), B2674+VLOOKUP(C2674, Lookups!$A$2:$D$10, 4, FALSE()), I2674)</f>
        <v>2025-10-29</v>
      </c>
      <c r="T2674">
        <f t="shared" si="249"/>
        <v>22</v>
      </c>
      <c r="U2674" t="str">
        <f t="shared" si="250"/>
        <v>Late</v>
      </c>
      <c r="V2674">
        <f t="shared" si="251"/>
        <v>0</v>
      </c>
    </row>
    <row r="2675" spans="1:22" x14ac:dyDescent="0.45">
      <c r="A2675" t="s">
        <v>3531</v>
      </c>
      <c r="B2675" t="s">
        <v>493</v>
      </c>
      <c r="C2675" t="s">
        <v>36</v>
      </c>
      <c r="D2675" t="s">
        <v>90</v>
      </c>
      <c r="E2675" t="s">
        <v>16</v>
      </c>
      <c r="F2675">
        <v>19</v>
      </c>
      <c r="G2675">
        <v>81434</v>
      </c>
      <c r="H2675">
        <v>1547246</v>
      </c>
      <c r="I2675" t="s">
        <v>1338</v>
      </c>
      <c r="J2675" t="s">
        <v>1338</v>
      </c>
      <c r="K2675">
        <v>13</v>
      </c>
      <c r="L2675">
        <v>0</v>
      </c>
      <c r="M2675" t="s">
        <v>115</v>
      </c>
      <c r="N2675" t="str">
        <f t="shared" si="246"/>
        <v>PO-102674</v>
      </c>
      <c r="O2675" t="str">
        <f t="shared" si="247"/>
        <v>Delivered</v>
      </c>
      <c r="P2675" t="str">
        <f t="shared" si="248"/>
        <v>WH-DEL</v>
      </c>
      <c r="Q2675" t="str">
        <f>VLOOKUP(C2675, Lookups!$A$2:$D$10, 2, FALSE())</f>
        <v>NextGen Hardware</v>
      </c>
      <c r="R2675" t="str">
        <f>_xlfn.XLOOKUP(D2675, Lookups!$A$12:$A$51, Lookups!$C$12:$C$51, "Unknown")</f>
        <v>Electronics</v>
      </c>
      <c r="S2675" t="str">
        <f>IF(ISBLANK(I2675), B2675+VLOOKUP(C2675, Lookups!$A$2:$D$10, 4, FALSE()), I2675)</f>
        <v>2026-10-02</v>
      </c>
      <c r="T2675">
        <f t="shared" si="249"/>
        <v>24</v>
      </c>
      <c r="U2675" t="str">
        <f t="shared" si="250"/>
        <v>On-Time</v>
      </c>
      <c r="V2675">
        <f t="shared" si="251"/>
        <v>0</v>
      </c>
    </row>
    <row r="2676" spans="1:22" x14ac:dyDescent="0.45">
      <c r="A2676" t="s">
        <v>3532</v>
      </c>
      <c r="B2676" t="s">
        <v>1092</v>
      </c>
      <c r="C2676" t="s">
        <v>36</v>
      </c>
      <c r="D2676" t="s">
        <v>71</v>
      </c>
      <c r="E2676" t="s">
        <v>15</v>
      </c>
      <c r="F2676">
        <v>99</v>
      </c>
      <c r="G2676">
        <v>65379</v>
      </c>
      <c r="H2676">
        <v>6472521</v>
      </c>
      <c r="I2676" t="s">
        <v>1456</v>
      </c>
      <c r="J2676" t="s">
        <v>1456</v>
      </c>
      <c r="K2676">
        <v>99</v>
      </c>
      <c r="L2676">
        <v>0</v>
      </c>
      <c r="M2676" t="s">
        <v>115</v>
      </c>
      <c r="N2676" t="str">
        <f t="shared" si="246"/>
        <v>PO-102675</v>
      </c>
      <c r="O2676" t="str">
        <f t="shared" si="247"/>
        <v>Delivered</v>
      </c>
      <c r="P2676" t="str">
        <f t="shared" si="248"/>
        <v>WH-BOM</v>
      </c>
      <c r="Q2676" t="str">
        <f>VLOOKUP(C2676, Lookups!$A$2:$D$10, 2, FALSE())</f>
        <v>NextGen Hardware</v>
      </c>
      <c r="R2676" t="str">
        <f>_xlfn.XLOOKUP(D2676, Lookups!$A$12:$A$51, Lookups!$C$12:$C$51, "Unknown")</f>
        <v>Electronics</v>
      </c>
      <c r="S2676" t="str">
        <f>IF(ISBLANK(I2676), B2676+VLOOKUP(C2676, Lookups!$A$2:$D$10, 4, FALSE()), I2676)</f>
        <v>2025-04-15</v>
      </c>
      <c r="T2676">
        <f t="shared" si="249"/>
        <v>24</v>
      </c>
      <c r="U2676" t="str">
        <f t="shared" si="250"/>
        <v>On-Time</v>
      </c>
      <c r="V2676">
        <f t="shared" si="251"/>
        <v>0</v>
      </c>
    </row>
    <row r="2677" spans="1:22" x14ac:dyDescent="0.45">
      <c r="A2677" t="s">
        <v>3533</v>
      </c>
      <c r="B2677" t="s">
        <v>177</v>
      </c>
      <c r="C2677" t="s">
        <v>31</v>
      </c>
      <c r="D2677" t="s">
        <v>56</v>
      </c>
      <c r="E2677" t="s">
        <v>17</v>
      </c>
      <c r="F2677">
        <v>210</v>
      </c>
      <c r="G2677">
        <v>39270</v>
      </c>
      <c r="H2677">
        <v>8246700</v>
      </c>
      <c r="I2677" t="s">
        <v>520</v>
      </c>
      <c r="J2677" t="s">
        <v>1119</v>
      </c>
      <c r="K2677">
        <v>210</v>
      </c>
      <c r="L2677">
        <v>0</v>
      </c>
      <c r="M2677" t="s">
        <v>115</v>
      </c>
      <c r="N2677" t="str">
        <f t="shared" si="246"/>
        <v>PO-102676</v>
      </c>
      <c r="O2677" t="str">
        <f t="shared" si="247"/>
        <v>Delivered</v>
      </c>
      <c r="P2677" t="str">
        <f t="shared" si="248"/>
        <v>WH-BLR</v>
      </c>
      <c r="Q2677" t="str">
        <f>VLOOKUP(C2677, Lookups!$A$2:$D$10, 2, FALSE())</f>
        <v>Global Networks</v>
      </c>
      <c r="R2677" t="str">
        <f>_xlfn.XLOOKUP(D2677, Lookups!$A$12:$A$51, Lookups!$C$12:$C$51, "Unknown")</f>
        <v>Networking</v>
      </c>
      <c r="S2677" t="str">
        <f>IF(ISBLANK(I2677), B2677+VLOOKUP(C2677, Lookups!$A$2:$D$10, 4, FALSE()), I2677)</f>
        <v>2026-08-29</v>
      </c>
      <c r="T2677">
        <f t="shared" si="249"/>
        <v>22</v>
      </c>
      <c r="U2677" t="str">
        <f t="shared" si="250"/>
        <v>Late</v>
      </c>
      <c r="V2677">
        <f t="shared" si="251"/>
        <v>0</v>
      </c>
    </row>
    <row r="2678" spans="1:22" x14ac:dyDescent="0.45">
      <c r="A2678" t="s">
        <v>3534</v>
      </c>
      <c r="B2678" t="s">
        <v>667</v>
      </c>
      <c r="C2678" t="s">
        <v>36</v>
      </c>
      <c r="D2678" t="s">
        <v>55</v>
      </c>
      <c r="E2678" t="s">
        <v>15</v>
      </c>
      <c r="F2678">
        <v>20</v>
      </c>
      <c r="G2678">
        <v>58434</v>
      </c>
      <c r="H2678">
        <v>1168680</v>
      </c>
      <c r="I2678" t="s">
        <v>1051</v>
      </c>
      <c r="J2678" t="s">
        <v>1051</v>
      </c>
      <c r="K2678">
        <v>16</v>
      </c>
      <c r="L2678">
        <v>0</v>
      </c>
      <c r="M2678" t="s">
        <v>115</v>
      </c>
      <c r="N2678" t="str">
        <f t="shared" si="246"/>
        <v>PO-102677</v>
      </c>
      <c r="O2678" t="str">
        <f t="shared" si="247"/>
        <v>Delivered</v>
      </c>
      <c r="P2678" t="str">
        <f t="shared" si="248"/>
        <v>WH-BOM</v>
      </c>
      <c r="Q2678" t="str">
        <f>VLOOKUP(C2678, Lookups!$A$2:$D$10, 2, FALSE())</f>
        <v>NextGen Hardware</v>
      </c>
      <c r="R2678" t="str">
        <f>_xlfn.XLOOKUP(D2678, Lookups!$A$12:$A$51, Lookups!$C$12:$C$51, "Unknown")</f>
        <v>Electronics</v>
      </c>
      <c r="S2678" t="str">
        <f>IF(ISBLANK(I2678), B2678+VLOOKUP(C2678, Lookups!$A$2:$D$10, 4, FALSE()), I2678)</f>
        <v>2025-01-30</v>
      </c>
      <c r="T2678">
        <f t="shared" si="249"/>
        <v>24</v>
      </c>
      <c r="U2678" t="str">
        <f t="shared" si="250"/>
        <v>On-Time</v>
      </c>
      <c r="V2678">
        <f t="shared" si="251"/>
        <v>0</v>
      </c>
    </row>
    <row r="2679" spans="1:22" x14ac:dyDescent="0.45">
      <c r="A2679" t="s">
        <v>3535</v>
      </c>
      <c r="B2679" t="s">
        <v>537</v>
      </c>
      <c r="C2679" t="s">
        <v>34</v>
      </c>
      <c r="D2679" t="s">
        <v>68</v>
      </c>
      <c r="E2679" t="s">
        <v>18</v>
      </c>
      <c r="F2679">
        <v>108</v>
      </c>
      <c r="G2679">
        <v>41405</v>
      </c>
      <c r="H2679">
        <v>4471740</v>
      </c>
      <c r="I2679" t="s">
        <v>358</v>
      </c>
      <c r="J2679" t="s">
        <v>358</v>
      </c>
      <c r="K2679">
        <v>108</v>
      </c>
      <c r="L2679">
        <v>0</v>
      </c>
      <c r="M2679" t="s">
        <v>115</v>
      </c>
      <c r="N2679" t="str">
        <f t="shared" si="246"/>
        <v>PO-102678</v>
      </c>
      <c r="O2679" t="str">
        <f t="shared" si="247"/>
        <v>Delivered</v>
      </c>
      <c r="P2679" t="str">
        <f t="shared" si="248"/>
        <v>WH-PUN</v>
      </c>
      <c r="Q2679" t="str">
        <f>VLOOKUP(C2679, Lookups!$A$2:$D$10, 2, FALSE())</f>
        <v>FastElectronics</v>
      </c>
      <c r="R2679" t="str">
        <f>_xlfn.XLOOKUP(D2679, Lookups!$A$12:$A$51, Lookups!$C$12:$C$51, "Unknown")</f>
        <v>Networking</v>
      </c>
      <c r="S2679" t="str">
        <f>IF(ISBLANK(I2679), B2679+VLOOKUP(C2679, Lookups!$A$2:$D$10, 4, FALSE()), I2679)</f>
        <v>2026-01-21</v>
      </c>
      <c r="T2679">
        <f t="shared" si="249"/>
        <v>18</v>
      </c>
      <c r="U2679" t="str">
        <f t="shared" si="250"/>
        <v>On-Time</v>
      </c>
      <c r="V2679">
        <f t="shared" si="251"/>
        <v>0</v>
      </c>
    </row>
    <row r="2680" spans="1:22" x14ac:dyDescent="0.45">
      <c r="A2680" t="s">
        <v>3536</v>
      </c>
      <c r="B2680" t="s">
        <v>1671</v>
      </c>
      <c r="C2680" t="s">
        <v>34</v>
      </c>
      <c r="D2680" t="s">
        <v>74</v>
      </c>
      <c r="E2680" t="s">
        <v>16</v>
      </c>
      <c r="F2680">
        <v>102</v>
      </c>
      <c r="G2680">
        <v>94797</v>
      </c>
      <c r="H2680">
        <v>9669294</v>
      </c>
      <c r="I2680" t="s">
        <v>367</v>
      </c>
      <c r="J2680" t="s">
        <v>366</v>
      </c>
      <c r="K2680">
        <v>102</v>
      </c>
      <c r="L2680">
        <v>0</v>
      </c>
      <c r="M2680" t="s">
        <v>115</v>
      </c>
      <c r="N2680" t="str">
        <f t="shared" si="246"/>
        <v>PO-102679</v>
      </c>
      <c r="O2680" t="str">
        <f t="shared" si="247"/>
        <v>Delivered</v>
      </c>
      <c r="P2680" t="str">
        <f t="shared" si="248"/>
        <v>WH-DEL</v>
      </c>
      <c r="Q2680" t="str">
        <f>VLOOKUP(C2680, Lookups!$A$2:$D$10, 2, FALSE())</f>
        <v>FastElectronics</v>
      </c>
      <c r="R2680" t="str">
        <f>_xlfn.XLOOKUP(D2680, Lookups!$A$12:$A$51, Lookups!$C$12:$C$51, "Unknown")</f>
        <v>Electronics</v>
      </c>
      <c r="S2680" t="str">
        <f>IF(ISBLANK(I2680), B2680+VLOOKUP(C2680, Lookups!$A$2:$D$10, 4, FALSE()), I2680)</f>
        <v>2026-04-15</v>
      </c>
      <c r="T2680">
        <f t="shared" si="249"/>
        <v>19</v>
      </c>
      <c r="U2680" t="str">
        <f t="shared" si="250"/>
        <v>Late</v>
      </c>
      <c r="V2680">
        <f t="shared" si="251"/>
        <v>0</v>
      </c>
    </row>
    <row r="2681" spans="1:22" x14ac:dyDescent="0.45">
      <c r="A2681" t="s">
        <v>3537</v>
      </c>
      <c r="B2681" t="s">
        <v>450</v>
      </c>
      <c r="C2681" t="s">
        <v>30</v>
      </c>
      <c r="D2681" t="s">
        <v>61</v>
      </c>
      <c r="E2681" t="s">
        <v>17</v>
      </c>
      <c r="F2681">
        <v>111</v>
      </c>
      <c r="G2681">
        <v>111237</v>
      </c>
      <c r="H2681">
        <v>12347307</v>
      </c>
      <c r="I2681" t="s">
        <v>1223</v>
      </c>
      <c r="J2681" t="s">
        <v>1519</v>
      </c>
      <c r="K2681">
        <v>111</v>
      </c>
      <c r="L2681">
        <v>7</v>
      </c>
      <c r="M2681" t="s">
        <v>115</v>
      </c>
      <c r="N2681" t="str">
        <f t="shared" si="246"/>
        <v>PO-102680</v>
      </c>
      <c r="O2681" t="str">
        <f t="shared" si="247"/>
        <v>Delivered</v>
      </c>
      <c r="P2681" t="str">
        <f t="shared" si="248"/>
        <v>WH-BLR</v>
      </c>
      <c r="Q2681" t="str">
        <f>VLOOKUP(C2681, Lookups!$A$2:$D$10, 2, FALSE())</f>
        <v>TechSupply Corp</v>
      </c>
      <c r="R2681" t="str">
        <f>_xlfn.XLOOKUP(D2681, Lookups!$A$12:$A$51, Lookups!$C$12:$C$51, "Unknown")</f>
        <v>Electronics</v>
      </c>
      <c r="S2681" t="str">
        <f>IF(ISBLANK(I2681), B2681+VLOOKUP(C2681, Lookups!$A$2:$D$10, 4, FALSE()), I2681)</f>
        <v>2026-09-26</v>
      </c>
      <c r="T2681">
        <f t="shared" si="249"/>
        <v>15</v>
      </c>
      <c r="U2681" t="str">
        <f t="shared" si="250"/>
        <v>Late</v>
      </c>
      <c r="V2681">
        <f t="shared" si="251"/>
        <v>6.3063063063063057E-2</v>
      </c>
    </row>
    <row r="2682" spans="1:22" x14ac:dyDescent="0.45">
      <c r="A2682" t="s">
        <v>3538</v>
      </c>
      <c r="B2682" t="s">
        <v>305</v>
      </c>
      <c r="C2682" t="s">
        <v>34</v>
      </c>
      <c r="D2682" t="s">
        <v>54</v>
      </c>
      <c r="E2682" t="s">
        <v>18</v>
      </c>
      <c r="F2682">
        <v>164</v>
      </c>
      <c r="G2682">
        <v>22314</v>
      </c>
      <c r="H2682">
        <v>3659496</v>
      </c>
      <c r="I2682" t="s">
        <v>991</v>
      </c>
      <c r="J2682" t="s">
        <v>991</v>
      </c>
      <c r="K2682">
        <v>146</v>
      </c>
      <c r="L2682">
        <v>0</v>
      </c>
      <c r="M2682" t="s">
        <v>115</v>
      </c>
      <c r="N2682" t="str">
        <f t="shared" si="246"/>
        <v>PO-102681</v>
      </c>
      <c r="O2682" t="str">
        <f t="shared" si="247"/>
        <v>Delivered</v>
      </c>
      <c r="P2682" t="str">
        <f t="shared" si="248"/>
        <v>WH-PUN</v>
      </c>
      <c r="Q2682" t="str">
        <f>VLOOKUP(C2682, Lookups!$A$2:$D$10, 2, FALSE())</f>
        <v>FastElectronics</v>
      </c>
      <c r="R2682" t="str">
        <f>_xlfn.XLOOKUP(D2682, Lookups!$A$12:$A$51, Lookups!$C$12:$C$51, "Unknown")</f>
        <v>Networking</v>
      </c>
      <c r="S2682" t="str">
        <f>IF(ISBLANK(I2682), B2682+VLOOKUP(C2682, Lookups!$A$2:$D$10, 4, FALSE()), I2682)</f>
        <v>2026-07-16</v>
      </c>
      <c r="T2682">
        <f t="shared" si="249"/>
        <v>18</v>
      </c>
      <c r="U2682" t="str">
        <f t="shared" si="250"/>
        <v>On-Time</v>
      </c>
      <c r="V2682">
        <f t="shared" si="251"/>
        <v>0</v>
      </c>
    </row>
    <row r="2683" spans="1:22" x14ac:dyDescent="0.45">
      <c r="A2683" t="s">
        <v>3539</v>
      </c>
      <c r="B2683" t="s">
        <v>743</v>
      </c>
      <c r="C2683" t="s">
        <v>34</v>
      </c>
      <c r="D2683" t="s">
        <v>58</v>
      </c>
      <c r="E2683" t="s">
        <v>18</v>
      </c>
      <c r="F2683">
        <v>100</v>
      </c>
      <c r="G2683">
        <v>100302</v>
      </c>
      <c r="H2683">
        <v>10030200</v>
      </c>
      <c r="I2683" t="s">
        <v>1170</v>
      </c>
      <c r="J2683" t="s">
        <v>1697</v>
      </c>
      <c r="K2683">
        <v>100</v>
      </c>
      <c r="L2683">
        <v>0</v>
      </c>
      <c r="M2683" t="s">
        <v>115</v>
      </c>
      <c r="N2683" t="str">
        <f t="shared" si="246"/>
        <v>PO-102682</v>
      </c>
      <c r="O2683" t="str">
        <f t="shared" si="247"/>
        <v>Delivered</v>
      </c>
      <c r="P2683" t="str">
        <f t="shared" si="248"/>
        <v>WH-PUN</v>
      </c>
      <c r="Q2683" t="str">
        <f>VLOOKUP(C2683, Lookups!$A$2:$D$10, 2, FALSE())</f>
        <v>FastElectronics</v>
      </c>
      <c r="R2683" t="str">
        <f>_xlfn.XLOOKUP(D2683, Lookups!$A$12:$A$51, Lookups!$C$12:$C$51, "Unknown")</f>
        <v>Electronics</v>
      </c>
      <c r="S2683" t="str">
        <f>IF(ISBLANK(I2683), B2683+VLOOKUP(C2683, Lookups!$A$2:$D$10, 4, FALSE()), I2683)</f>
        <v>2026-12-03</v>
      </c>
      <c r="T2683">
        <f t="shared" si="249"/>
        <v>30</v>
      </c>
      <c r="U2683" t="str">
        <f t="shared" si="250"/>
        <v>Late</v>
      </c>
      <c r="V2683">
        <f t="shared" si="251"/>
        <v>0</v>
      </c>
    </row>
    <row r="2684" spans="1:22" x14ac:dyDescent="0.45">
      <c r="A2684" t="s">
        <v>3540</v>
      </c>
      <c r="B2684" t="s">
        <v>1241</v>
      </c>
      <c r="C2684" t="s">
        <v>35</v>
      </c>
      <c r="D2684" t="s">
        <v>75</v>
      </c>
      <c r="E2684" t="s">
        <v>17</v>
      </c>
      <c r="F2684">
        <v>164</v>
      </c>
      <c r="G2684">
        <v>4440</v>
      </c>
      <c r="H2684">
        <v>728160</v>
      </c>
      <c r="I2684" t="s">
        <v>506</v>
      </c>
      <c r="J2684" t="s">
        <v>1451</v>
      </c>
      <c r="K2684">
        <v>164</v>
      </c>
      <c r="L2684">
        <v>0</v>
      </c>
      <c r="M2684" t="s">
        <v>115</v>
      </c>
      <c r="N2684" t="str">
        <f t="shared" si="246"/>
        <v>PO-102683</v>
      </c>
      <c r="O2684" t="str">
        <f t="shared" si="247"/>
        <v>Delivered</v>
      </c>
      <c r="P2684" t="str">
        <f t="shared" si="248"/>
        <v>WH-BLR</v>
      </c>
      <c r="Q2684" t="str">
        <f>VLOOKUP(C2684, Lookups!$A$2:$D$10, 2, FALSE())</f>
        <v>Peripheral Source</v>
      </c>
      <c r="R2684" t="str">
        <f>_xlfn.XLOOKUP(D2684, Lookups!$A$12:$A$51, Lookups!$C$12:$C$51, "Unknown")</f>
        <v>Peripherals</v>
      </c>
      <c r="S2684" t="str">
        <f>IF(ISBLANK(I2684), B2684+VLOOKUP(C2684, Lookups!$A$2:$D$10, 4, FALSE()), I2684)</f>
        <v>2025-05-11</v>
      </c>
      <c r="T2684">
        <f t="shared" si="249"/>
        <v>15</v>
      </c>
      <c r="U2684" t="str">
        <f t="shared" si="250"/>
        <v>Late</v>
      </c>
      <c r="V2684">
        <f t="shared" si="251"/>
        <v>0</v>
      </c>
    </row>
    <row r="2685" spans="1:22" x14ac:dyDescent="0.45">
      <c r="A2685" t="s">
        <v>3541</v>
      </c>
      <c r="B2685" t="s">
        <v>512</v>
      </c>
      <c r="C2685" t="s">
        <v>31</v>
      </c>
      <c r="D2685" t="s">
        <v>56</v>
      </c>
      <c r="E2685" t="s">
        <v>18</v>
      </c>
      <c r="F2685">
        <v>75</v>
      </c>
      <c r="G2685">
        <v>39270</v>
      </c>
      <c r="H2685">
        <v>2945250</v>
      </c>
      <c r="I2685" t="s">
        <v>366</v>
      </c>
      <c r="J2685" t="s">
        <v>218</v>
      </c>
      <c r="K2685">
        <v>75</v>
      </c>
      <c r="L2685">
        <v>0</v>
      </c>
      <c r="M2685" t="s">
        <v>115</v>
      </c>
      <c r="N2685" t="str">
        <f t="shared" si="246"/>
        <v>PO-102684</v>
      </c>
      <c r="O2685" t="str">
        <f t="shared" si="247"/>
        <v>Delivered</v>
      </c>
      <c r="P2685" t="str">
        <f t="shared" si="248"/>
        <v>WH-PUN</v>
      </c>
      <c r="Q2685" t="str">
        <f>VLOOKUP(C2685, Lookups!$A$2:$D$10, 2, FALSE())</f>
        <v>Global Networks</v>
      </c>
      <c r="R2685" t="str">
        <f>_xlfn.XLOOKUP(D2685, Lookups!$A$12:$A$51, Lookups!$C$12:$C$51, "Unknown")</f>
        <v>Networking</v>
      </c>
      <c r="S2685" t="str">
        <f>IF(ISBLANK(I2685), B2685+VLOOKUP(C2685, Lookups!$A$2:$D$10, 4, FALSE()), I2685)</f>
        <v>2026-04-16</v>
      </c>
      <c r="T2685">
        <f t="shared" si="249"/>
        <v>29</v>
      </c>
      <c r="U2685" t="str">
        <f t="shared" si="250"/>
        <v>Late</v>
      </c>
      <c r="V2685">
        <f t="shared" si="251"/>
        <v>0</v>
      </c>
    </row>
    <row r="2686" spans="1:22" x14ac:dyDescent="0.45">
      <c r="A2686" t="s">
        <v>3542</v>
      </c>
      <c r="B2686" t="s">
        <v>863</v>
      </c>
      <c r="C2686" t="s">
        <v>34</v>
      </c>
      <c r="D2686" t="s">
        <v>76</v>
      </c>
      <c r="E2686" t="s">
        <v>16</v>
      </c>
      <c r="F2686">
        <v>219</v>
      </c>
      <c r="G2686">
        <v>26270</v>
      </c>
      <c r="H2686">
        <v>5753130</v>
      </c>
      <c r="I2686" t="s">
        <v>416</v>
      </c>
      <c r="J2686" t="s">
        <v>416</v>
      </c>
      <c r="K2686">
        <v>219</v>
      </c>
      <c r="L2686">
        <v>0</v>
      </c>
      <c r="M2686" t="s">
        <v>115</v>
      </c>
      <c r="N2686" t="str">
        <f t="shared" si="246"/>
        <v>PO-102685</v>
      </c>
      <c r="O2686" t="str">
        <f t="shared" si="247"/>
        <v>Delivered</v>
      </c>
      <c r="P2686" t="str">
        <f t="shared" si="248"/>
        <v>WH-DEL</v>
      </c>
      <c r="Q2686" t="str">
        <f>VLOOKUP(C2686, Lookups!$A$2:$D$10, 2, FALSE())</f>
        <v>FastElectronics</v>
      </c>
      <c r="R2686" t="str">
        <f>_xlfn.XLOOKUP(D2686, Lookups!$A$12:$A$51, Lookups!$C$12:$C$51, "Unknown")</f>
        <v>Networking</v>
      </c>
      <c r="S2686" t="str">
        <f>IF(ISBLANK(I2686), B2686+VLOOKUP(C2686, Lookups!$A$2:$D$10, 4, FALSE()), I2686)</f>
        <v>2026-05-29</v>
      </c>
      <c r="T2686">
        <f t="shared" si="249"/>
        <v>18</v>
      </c>
      <c r="U2686" t="str">
        <f t="shared" si="250"/>
        <v>On-Time</v>
      </c>
      <c r="V2686">
        <f t="shared" si="251"/>
        <v>0</v>
      </c>
    </row>
    <row r="2687" spans="1:22" x14ac:dyDescent="0.45">
      <c r="A2687" t="s">
        <v>3543</v>
      </c>
      <c r="B2687" t="s">
        <v>1236</v>
      </c>
      <c r="C2687" t="s">
        <v>36</v>
      </c>
      <c r="D2687" t="s">
        <v>62</v>
      </c>
      <c r="E2687" t="s">
        <v>16</v>
      </c>
      <c r="F2687">
        <v>41</v>
      </c>
      <c r="G2687">
        <v>48478</v>
      </c>
      <c r="H2687">
        <v>1987598</v>
      </c>
      <c r="I2687" t="s">
        <v>394</v>
      </c>
      <c r="J2687" t="s">
        <v>1783</v>
      </c>
      <c r="K2687">
        <v>41</v>
      </c>
      <c r="L2687">
        <v>0</v>
      </c>
      <c r="M2687" t="s">
        <v>115</v>
      </c>
      <c r="N2687" t="str">
        <f t="shared" si="246"/>
        <v>PO-102686</v>
      </c>
      <c r="O2687" t="str">
        <f t="shared" si="247"/>
        <v>Delivered</v>
      </c>
      <c r="P2687" t="str">
        <f t="shared" si="248"/>
        <v>WH-DEL</v>
      </c>
      <c r="Q2687" t="str">
        <f>VLOOKUP(C2687, Lookups!$A$2:$D$10, 2, FALSE())</f>
        <v>NextGen Hardware</v>
      </c>
      <c r="R2687" t="str">
        <f>_xlfn.XLOOKUP(D2687, Lookups!$A$12:$A$51, Lookups!$C$12:$C$51, "Unknown")</f>
        <v>Electronics</v>
      </c>
      <c r="S2687" t="str">
        <f>IF(ISBLANK(I2687), B2687+VLOOKUP(C2687, Lookups!$A$2:$D$10, 4, FALSE()), I2687)</f>
        <v>2025-09-16</v>
      </c>
      <c r="T2687">
        <f t="shared" si="249"/>
        <v>25</v>
      </c>
      <c r="U2687" t="str">
        <f t="shared" si="250"/>
        <v>Late</v>
      </c>
      <c r="V2687">
        <f t="shared" si="251"/>
        <v>0</v>
      </c>
    </row>
    <row r="2688" spans="1:22" x14ac:dyDescent="0.45">
      <c r="A2688" t="s">
        <v>3544</v>
      </c>
      <c r="B2688" t="s">
        <v>370</v>
      </c>
      <c r="C2688" t="s">
        <v>34</v>
      </c>
      <c r="D2688" t="s">
        <v>76</v>
      </c>
      <c r="E2688" t="s">
        <v>15</v>
      </c>
      <c r="F2688">
        <v>115</v>
      </c>
      <c r="G2688">
        <v>26270</v>
      </c>
      <c r="H2688">
        <v>3021050</v>
      </c>
      <c r="I2688" t="s">
        <v>446</v>
      </c>
      <c r="J2688" t="s">
        <v>1574</v>
      </c>
      <c r="K2688">
        <v>115</v>
      </c>
      <c r="L2688">
        <v>0</v>
      </c>
      <c r="M2688" t="s">
        <v>115</v>
      </c>
      <c r="N2688" t="str">
        <f t="shared" si="246"/>
        <v>PO-102687</v>
      </c>
      <c r="O2688" t="str">
        <f t="shared" si="247"/>
        <v>Delivered</v>
      </c>
      <c r="P2688" t="str">
        <f t="shared" si="248"/>
        <v>WH-BOM</v>
      </c>
      <c r="Q2688" t="str">
        <f>VLOOKUP(C2688, Lookups!$A$2:$D$10, 2, FALSE())</f>
        <v>FastElectronics</v>
      </c>
      <c r="R2688" t="str">
        <f>_xlfn.XLOOKUP(D2688, Lookups!$A$12:$A$51, Lookups!$C$12:$C$51, "Unknown")</f>
        <v>Networking</v>
      </c>
      <c r="S2688" t="str">
        <f>IF(ISBLANK(I2688), B2688+VLOOKUP(C2688, Lookups!$A$2:$D$10, 4, FALSE()), I2688)</f>
        <v>2025-11-29</v>
      </c>
      <c r="T2688">
        <f t="shared" si="249"/>
        <v>19</v>
      </c>
      <c r="U2688" t="str">
        <f t="shared" si="250"/>
        <v>Late</v>
      </c>
      <c r="V2688">
        <f t="shared" si="251"/>
        <v>0</v>
      </c>
    </row>
    <row r="2689" spans="1:22" x14ac:dyDescent="0.45">
      <c r="A2689" t="s">
        <v>3545</v>
      </c>
      <c r="B2689" t="s">
        <v>809</v>
      </c>
      <c r="C2689" t="s">
        <v>35</v>
      </c>
      <c r="D2689" t="s">
        <v>75</v>
      </c>
      <c r="E2689" t="s">
        <v>16</v>
      </c>
      <c r="F2689">
        <v>74</v>
      </c>
      <c r="G2689">
        <v>4440</v>
      </c>
      <c r="H2689">
        <v>328560</v>
      </c>
      <c r="I2689" t="s">
        <v>1077</v>
      </c>
      <c r="J2689" t="s">
        <v>1077</v>
      </c>
      <c r="K2689">
        <v>74</v>
      </c>
      <c r="L2689">
        <v>0</v>
      </c>
      <c r="M2689" t="s">
        <v>115</v>
      </c>
      <c r="N2689" t="str">
        <f t="shared" si="246"/>
        <v>PO-102688</v>
      </c>
      <c r="O2689" t="str">
        <f t="shared" si="247"/>
        <v>Delivered</v>
      </c>
      <c r="P2689" t="str">
        <f t="shared" si="248"/>
        <v>WH-DEL</v>
      </c>
      <c r="Q2689" t="str">
        <f>VLOOKUP(C2689, Lookups!$A$2:$D$10, 2, FALSE())</f>
        <v>Peripheral Source</v>
      </c>
      <c r="R2689" t="str">
        <f>_xlfn.XLOOKUP(D2689, Lookups!$A$12:$A$51, Lookups!$C$12:$C$51, "Unknown")</f>
        <v>Peripherals</v>
      </c>
      <c r="S2689" t="str">
        <f>IF(ISBLANK(I2689), B2689+VLOOKUP(C2689, Lookups!$A$2:$D$10, 4, FALSE()), I2689)</f>
        <v>2025-10-27</v>
      </c>
      <c r="T2689">
        <f t="shared" si="249"/>
        <v>10</v>
      </c>
      <c r="U2689" t="str">
        <f t="shared" si="250"/>
        <v>On-Time</v>
      </c>
      <c r="V2689">
        <f t="shared" si="251"/>
        <v>0</v>
      </c>
    </row>
    <row r="2690" spans="1:22" x14ac:dyDescent="0.45">
      <c r="A2690" t="s">
        <v>3546</v>
      </c>
      <c r="B2690" t="s">
        <v>229</v>
      </c>
      <c r="C2690" t="s">
        <v>32</v>
      </c>
      <c r="D2690" t="s">
        <v>84</v>
      </c>
      <c r="E2690" t="s">
        <v>15</v>
      </c>
      <c r="F2690">
        <v>231</v>
      </c>
      <c r="G2690">
        <v>7271</v>
      </c>
      <c r="H2690">
        <v>1679601</v>
      </c>
      <c r="I2690" t="s">
        <v>491</v>
      </c>
      <c r="J2690" t="s">
        <v>2381</v>
      </c>
      <c r="K2690">
        <v>231</v>
      </c>
      <c r="L2690">
        <v>0</v>
      </c>
      <c r="M2690" t="s">
        <v>115</v>
      </c>
      <c r="N2690" t="str">
        <f t="shared" ref="N2690:N2753" si="252">TRIM(A2690)</f>
        <v>PO-102689</v>
      </c>
      <c r="O2690" t="str">
        <f t="shared" ref="O2690:O2753" si="253">PROPER(TRIM(M2690))</f>
        <v>Delivered</v>
      </c>
      <c r="P2690" t="str">
        <f t="shared" ref="P2690:P2753" si="254">TRIM(E2690)</f>
        <v>WH-BOM</v>
      </c>
      <c r="Q2690" t="str">
        <f>VLOOKUP(C2690, Lookups!$A$2:$D$10, 2, FALSE())</f>
        <v>OfficeDepot Pro</v>
      </c>
      <c r="R2690" t="str">
        <f>_xlfn.XLOOKUP(D2690, Lookups!$A$12:$A$51, Lookups!$C$12:$C$51, "Unknown")</f>
        <v>Peripherals</v>
      </c>
      <c r="S2690" t="str">
        <f>IF(ISBLANK(I2690), B2690+VLOOKUP(C2690, Lookups!$A$2:$D$10, 4, FALSE()), I2690)</f>
        <v>2025-07-16</v>
      </c>
      <c r="T2690">
        <f t="shared" ref="T2690:T2753" si="255">IF(ISBLANK(J2690), "", J2690-B2690)</f>
        <v>21</v>
      </c>
      <c r="U2690" t="str">
        <f t="shared" ref="U2690:U2753" si="256">IF(O2690="Open", "Open", IF(J2690&gt;S2690, "Late", "On-Time"))</f>
        <v>Late</v>
      </c>
      <c r="V2690">
        <f t="shared" ref="V2690:V2753" si="257">IF(K2690&gt;0, L2690/K2690, 0)</f>
        <v>0</v>
      </c>
    </row>
    <row r="2691" spans="1:22" x14ac:dyDescent="0.45">
      <c r="A2691" t="s">
        <v>3547</v>
      </c>
      <c r="B2691" t="s">
        <v>1254</v>
      </c>
      <c r="C2691" t="s">
        <v>35</v>
      </c>
      <c r="D2691" t="s">
        <v>60</v>
      </c>
      <c r="E2691" t="s">
        <v>17</v>
      </c>
      <c r="F2691">
        <v>200</v>
      </c>
      <c r="G2691">
        <v>3291</v>
      </c>
      <c r="H2691">
        <v>658200</v>
      </c>
      <c r="I2691" t="s">
        <v>750</v>
      </c>
      <c r="J2691" t="s">
        <v>1370</v>
      </c>
      <c r="K2691">
        <v>200</v>
      </c>
      <c r="L2691">
        <v>0</v>
      </c>
      <c r="M2691" t="s">
        <v>115</v>
      </c>
      <c r="N2691" t="str">
        <f t="shared" si="252"/>
        <v>PO-102690</v>
      </c>
      <c r="O2691" t="str">
        <f t="shared" si="253"/>
        <v>Delivered</v>
      </c>
      <c r="P2691" t="str">
        <f t="shared" si="254"/>
        <v>WH-BLR</v>
      </c>
      <c r="Q2691" t="str">
        <f>VLOOKUP(C2691, Lookups!$A$2:$D$10, 2, FALSE())</f>
        <v>Peripheral Source</v>
      </c>
      <c r="R2691" t="str">
        <f>_xlfn.XLOOKUP(D2691, Lookups!$A$12:$A$51, Lookups!$C$12:$C$51, "Unknown")</f>
        <v>Peripherals</v>
      </c>
      <c r="S2691" t="str">
        <f>IF(ISBLANK(I2691), B2691+VLOOKUP(C2691, Lookups!$A$2:$D$10, 4, FALSE()), I2691)</f>
        <v>2026-10-20</v>
      </c>
      <c r="T2691">
        <f t="shared" si="255"/>
        <v>11</v>
      </c>
      <c r="U2691" t="str">
        <f t="shared" si="256"/>
        <v>Late</v>
      </c>
      <c r="V2691">
        <f t="shared" si="257"/>
        <v>0</v>
      </c>
    </row>
    <row r="2692" spans="1:22" x14ac:dyDescent="0.45">
      <c r="A2692" t="s">
        <v>3548</v>
      </c>
      <c r="B2692" t="s">
        <v>135</v>
      </c>
      <c r="C2692" t="s">
        <v>36</v>
      </c>
      <c r="D2692" t="s">
        <v>62</v>
      </c>
      <c r="E2692" t="s">
        <v>18</v>
      </c>
      <c r="F2692">
        <v>201</v>
      </c>
      <c r="G2692">
        <v>48478</v>
      </c>
      <c r="H2692">
        <v>9744078</v>
      </c>
      <c r="I2692" t="s">
        <v>1223</v>
      </c>
      <c r="J2692" t="s">
        <v>1223</v>
      </c>
      <c r="K2692">
        <v>201</v>
      </c>
      <c r="L2692">
        <v>0</v>
      </c>
      <c r="M2692" t="s">
        <v>115</v>
      </c>
      <c r="N2692" t="str">
        <f t="shared" si="252"/>
        <v>PO-102691</v>
      </c>
      <c r="O2692" t="str">
        <f t="shared" si="253"/>
        <v>Delivered</v>
      </c>
      <c r="P2692" t="str">
        <f t="shared" si="254"/>
        <v>WH-PUN</v>
      </c>
      <c r="Q2692" t="str">
        <f>VLOOKUP(C2692, Lookups!$A$2:$D$10, 2, FALSE())</f>
        <v>NextGen Hardware</v>
      </c>
      <c r="R2692" t="str">
        <f>_xlfn.XLOOKUP(D2692, Lookups!$A$12:$A$51, Lookups!$C$12:$C$51, "Unknown")</f>
        <v>Electronics</v>
      </c>
      <c r="S2692" t="str">
        <f>IF(ISBLANK(I2692), B2692+VLOOKUP(C2692, Lookups!$A$2:$D$10, 4, FALSE()), I2692)</f>
        <v>2026-09-26</v>
      </c>
      <c r="T2692">
        <f t="shared" si="255"/>
        <v>24</v>
      </c>
      <c r="U2692" t="str">
        <f t="shared" si="256"/>
        <v>On-Time</v>
      </c>
      <c r="V2692">
        <f t="shared" si="257"/>
        <v>0</v>
      </c>
    </row>
    <row r="2693" spans="1:22" x14ac:dyDescent="0.45">
      <c r="A2693" t="s">
        <v>3549</v>
      </c>
      <c r="B2693" t="s">
        <v>471</v>
      </c>
      <c r="C2693" t="s">
        <v>31</v>
      </c>
      <c r="D2693" t="s">
        <v>85</v>
      </c>
      <c r="E2693" t="s">
        <v>17</v>
      </c>
      <c r="F2693">
        <v>15</v>
      </c>
      <c r="G2693">
        <v>16501</v>
      </c>
      <c r="H2693">
        <v>247515</v>
      </c>
      <c r="I2693" t="s">
        <v>755</v>
      </c>
      <c r="J2693" t="s">
        <v>777</v>
      </c>
      <c r="K2693">
        <v>15</v>
      </c>
      <c r="L2693">
        <v>0</v>
      </c>
      <c r="M2693" t="s">
        <v>115</v>
      </c>
      <c r="N2693" t="str">
        <f t="shared" si="252"/>
        <v>PO-102692</v>
      </c>
      <c r="O2693" t="str">
        <f t="shared" si="253"/>
        <v>Delivered</v>
      </c>
      <c r="P2693" t="str">
        <f t="shared" si="254"/>
        <v>WH-BLR</v>
      </c>
      <c r="Q2693" t="str">
        <f>VLOOKUP(C2693, Lookups!$A$2:$D$10, 2, FALSE())</f>
        <v>Global Networks</v>
      </c>
      <c r="R2693" t="str">
        <f>_xlfn.XLOOKUP(D2693, Lookups!$A$12:$A$51, Lookups!$C$12:$C$51, "Unknown")</f>
        <v>Networking</v>
      </c>
      <c r="S2693" t="str">
        <f>IF(ISBLANK(I2693), B2693+VLOOKUP(C2693, Lookups!$A$2:$D$10, 4, FALSE()), I2693)</f>
        <v>2025-11-24</v>
      </c>
      <c r="T2693">
        <f t="shared" si="255"/>
        <v>22</v>
      </c>
      <c r="U2693" t="str">
        <f t="shared" si="256"/>
        <v>Late</v>
      </c>
      <c r="V2693">
        <f t="shared" si="257"/>
        <v>0</v>
      </c>
    </row>
    <row r="2694" spans="1:22" x14ac:dyDescent="0.45">
      <c r="A2694" t="s">
        <v>3550</v>
      </c>
      <c r="B2694" t="s">
        <v>290</v>
      </c>
      <c r="C2694" t="s">
        <v>34</v>
      </c>
      <c r="D2694" t="s">
        <v>68</v>
      </c>
      <c r="E2694" t="s">
        <v>18</v>
      </c>
      <c r="F2694">
        <v>70</v>
      </c>
      <c r="G2694">
        <v>41405</v>
      </c>
      <c r="H2694">
        <v>2898350</v>
      </c>
      <c r="I2694" t="s">
        <v>1562</v>
      </c>
      <c r="J2694" t="s">
        <v>1562</v>
      </c>
      <c r="K2694">
        <v>70</v>
      </c>
      <c r="L2694">
        <v>0</v>
      </c>
      <c r="M2694" t="s">
        <v>115</v>
      </c>
      <c r="N2694" t="str">
        <f t="shared" si="252"/>
        <v>PO-102693</v>
      </c>
      <c r="O2694" t="str">
        <f t="shared" si="253"/>
        <v>Delivered</v>
      </c>
      <c r="P2694" t="str">
        <f t="shared" si="254"/>
        <v>WH-PUN</v>
      </c>
      <c r="Q2694" t="str">
        <f>VLOOKUP(C2694, Lookups!$A$2:$D$10, 2, FALSE())</f>
        <v>FastElectronics</v>
      </c>
      <c r="R2694" t="str">
        <f>_xlfn.XLOOKUP(D2694, Lookups!$A$12:$A$51, Lookups!$C$12:$C$51, "Unknown")</f>
        <v>Networking</v>
      </c>
      <c r="S2694" t="str">
        <f>IF(ISBLANK(I2694), B2694+VLOOKUP(C2694, Lookups!$A$2:$D$10, 4, FALSE()), I2694)</f>
        <v>2026-07-30</v>
      </c>
      <c r="T2694">
        <f t="shared" si="255"/>
        <v>18</v>
      </c>
      <c r="U2694" t="str">
        <f t="shared" si="256"/>
        <v>On-Time</v>
      </c>
      <c r="V2694">
        <f t="shared" si="257"/>
        <v>0</v>
      </c>
    </row>
    <row r="2695" spans="1:22" x14ac:dyDescent="0.45">
      <c r="A2695" t="s">
        <v>3551</v>
      </c>
      <c r="B2695" t="s">
        <v>374</v>
      </c>
      <c r="C2695" t="s">
        <v>37</v>
      </c>
      <c r="D2695" t="s">
        <v>83</v>
      </c>
      <c r="E2695" t="s">
        <v>15</v>
      </c>
      <c r="F2695">
        <v>174</v>
      </c>
      <c r="G2695">
        <v>19850</v>
      </c>
      <c r="H2695">
        <v>3453900</v>
      </c>
      <c r="I2695" t="s">
        <v>124</v>
      </c>
      <c r="J2695" t="s">
        <v>124</v>
      </c>
      <c r="K2695">
        <v>174</v>
      </c>
      <c r="L2695">
        <v>0</v>
      </c>
      <c r="M2695" t="s">
        <v>115</v>
      </c>
      <c r="N2695" t="str">
        <f t="shared" si="252"/>
        <v>PO-102694</v>
      </c>
      <c r="O2695" t="str">
        <f t="shared" si="253"/>
        <v>Delivered</v>
      </c>
      <c r="P2695" t="str">
        <f t="shared" si="254"/>
        <v>WH-BOM</v>
      </c>
      <c r="Q2695" t="str">
        <f>VLOOKUP(C2695, Lookups!$A$2:$D$10, 2, FALSE())</f>
        <v>Premium Desks Ltd</v>
      </c>
      <c r="R2695" t="str">
        <f>_xlfn.XLOOKUP(D2695, Lookups!$A$12:$A$51, Lookups!$C$12:$C$51, "Unknown")</f>
        <v>Office Furniture</v>
      </c>
      <c r="S2695" t="str">
        <f>IF(ISBLANK(I2695), B2695+VLOOKUP(C2695, Lookups!$A$2:$D$10, 4, FALSE()), I2695)</f>
        <v>2026-06-12</v>
      </c>
      <c r="T2695">
        <f t="shared" si="255"/>
        <v>12</v>
      </c>
      <c r="U2695" t="str">
        <f t="shared" si="256"/>
        <v>On-Time</v>
      </c>
      <c r="V2695">
        <f t="shared" si="257"/>
        <v>0</v>
      </c>
    </row>
    <row r="2696" spans="1:22" x14ac:dyDescent="0.45">
      <c r="A2696" t="s">
        <v>3552</v>
      </c>
      <c r="B2696" t="s">
        <v>1101</v>
      </c>
      <c r="C2696" t="s">
        <v>30</v>
      </c>
      <c r="D2696" t="s">
        <v>82</v>
      </c>
      <c r="E2696" t="s">
        <v>18</v>
      </c>
      <c r="F2696">
        <v>215</v>
      </c>
      <c r="G2696">
        <v>83427</v>
      </c>
      <c r="H2696">
        <v>17936805</v>
      </c>
      <c r="I2696" t="s">
        <v>1102</v>
      </c>
      <c r="J2696" t="s">
        <v>745</v>
      </c>
      <c r="K2696">
        <v>215</v>
      </c>
      <c r="L2696">
        <v>16</v>
      </c>
      <c r="M2696" t="s">
        <v>115</v>
      </c>
      <c r="N2696" t="str">
        <f t="shared" si="252"/>
        <v>PO-102695</v>
      </c>
      <c r="O2696" t="str">
        <f t="shared" si="253"/>
        <v>Delivered</v>
      </c>
      <c r="P2696" t="str">
        <f t="shared" si="254"/>
        <v>WH-PUN</v>
      </c>
      <c r="Q2696" t="str">
        <f>VLOOKUP(C2696, Lookups!$A$2:$D$10, 2, FALSE())</f>
        <v>TechSupply Corp</v>
      </c>
      <c r="R2696" t="str">
        <f>_xlfn.XLOOKUP(D2696, Lookups!$A$12:$A$51, Lookups!$C$12:$C$51, "Unknown")</f>
        <v>Electronics</v>
      </c>
      <c r="S2696" t="str">
        <f>IF(ISBLANK(I2696), B2696+VLOOKUP(C2696, Lookups!$A$2:$D$10, 4, FALSE()), I2696)</f>
        <v>2026-12-05</v>
      </c>
      <c r="T2696">
        <f t="shared" si="255"/>
        <v>15</v>
      </c>
      <c r="U2696" t="str">
        <f t="shared" si="256"/>
        <v>Late</v>
      </c>
      <c r="V2696">
        <f t="shared" si="257"/>
        <v>7.441860465116279E-2</v>
      </c>
    </row>
    <row r="2697" spans="1:22" x14ac:dyDescent="0.45">
      <c r="A2697" t="s">
        <v>3553</v>
      </c>
      <c r="B2697" t="s">
        <v>146</v>
      </c>
      <c r="C2697" t="s">
        <v>30</v>
      </c>
      <c r="D2697" t="s">
        <v>61</v>
      </c>
      <c r="E2697" t="s">
        <v>17</v>
      </c>
      <c r="F2697">
        <v>38</v>
      </c>
      <c r="G2697">
        <v>111237</v>
      </c>
      <c r="H2697">
        <v>4227006</v>
      </c>
      <c r="I2697" t="s">
        <v>200</v>
      </c>
      <c r="J2697" t="s">
        <v>1046</v>
      </c>
      <c r="K2697">
        <v>38</v>
      </c>
      <c r="L2697">
        <v>0</v>
      </c>
      <c r="M2697" t="s">
        <v>115</v>
      </c>
      <c r="N2697" t="str">
        <f t="shared" si="252"/>
        <v>PO-102696</v>
      </c>
      <c r="O2697" t="str">
        <f t="shared" si="253"/>
        <v>Delivered</v>
      </c>
      <c r="P2697" t="str">
        <f t="shared" si="254"/>
        <v>WH-BLR</v>
      </c>
      <c r="Q2697" t="str">
        <f>VLOOKUP(C2697, Lookups!$A$2:$D$10, 2, FALSE())</f>
        <v>TechSupply Corp</v>
      </c>
      <c r="R2697" t="str">
        <f>_xlfn.XLOOKUP(D2697, Lookups!$A$12:$A$51, Lookups!$C$12:$C$51, "Unknown")</f>
        <v>Electronics</v>
      </c>
      <c r="S2697" t="str">
        <f>IF(ISBLANK(I2697), B2697+VLOOKUP(C2697, Lookups!$A$2:$D$10, 4, FALSE()), I2697)</f>
        <v>2025-10-22</v>
      </c>
      <c r="T2697">
        <f t="shared" si="255"/>
        <v>15</v>
      </c>
      <c r="U2697" t="str">
        <f t="shared" si="256"/>
        <v>Late</v>
      </c>
      <c r="V2697">
        <f t="shared" si="257"/>
        <v>0</v>
      </c>
    </row>
    <row r="2698" spans="1:22" x14ac:dyDescent="0.45">
      <c r="A2698" t="s">
        <v>3554</v>
      </c>
      <c r="B2698" t="s">
        <v>883</v>
      </c>
      <c r="C2698" t="s">
        <v>30</v>
      </c>
      <c r="D2698" t="s">
        <v>88</v>
      </c>
      <c r="E2698" t="s">
        <v>18</v>
      </c>
      <c r="F2698">
        <v>88</v>
      </c>
      <c r="G2698">
        <v>75512</v>
      </c>
      <c r="H2698">
        <v>6645056</v>
      </c>
      <c r="I2698" t="s">
        <v>679</v>
      </c>
      <c r="J2698" t="s">
        <v>419</v>
      </c>
      <c r="K2698">
        <v>88</v>
      </c>
      <c r="L2698">
        <v>0</v>
      </c>
      <c r="M2698" t="s">
        <v>115</v>
      </c>
      <c r="N2698" t="str">
        <f t="shared" si="252"/>
        <v>PO-102697</v>
      </c>
      <c r="O2698" t="str">
        <f t="shared" si="253"/>
        <v>Delivered</v>
      </c>
      <c r="P2698" t="str">
        <f t="shared" si="254"/>
        <v>WH-PUN</v>
      </c>
      <c r="Q2698" t="str">
        <f>VLOOKUP(C2698, Lookups!$A$2:$D$10, 2, FALSE())</f>
        <v>TechSupply Corp</v>
      </c>
      <c r="R2698" t="str">
        <f>_xlfn.XLOOKUP(D2698, Lookups!$A$12:$A$51, Lookups!$C$12:$C$51, "Unknown")</f>
        <v>Electronics</v>
      </c>
      <c r="S2698" t="str">
        <f>IF(ISBLANK(I2698), B2698+VLOOKUP(C2698, Lookups!$A$2:$D$10, 4, FALSE()), I2698)</f>
        <v>2026-07-20</v>
      </c>
      <c r="T2698">
        <f t="shared" si="255"/>
        <v>15</v>
      </c>
      <c r="U2698" t="str">
        <f t="shared" si="256"/>
        <v>Late</v>
      </c>
      <c r="V2698">
        <f t="shared" si="257"/>
        <v>0</v>
      </c>
    </row>
    <row r="2699" spans="1:22" x14ac:dyDescent="0.45">
      <c r="A2699" t="s">
        <v>3555</v>
      </c>
      <c r="B2699" t="s">
        <v>220</v>
      </c>
      <c r="C2699" t="s">
        <v>36</v>
      </c>
      <c r="D2699" t="s">
        <v>55</v>
      </c>
      <c r="E2699" t="s">
        <v>15</v>
      </c>
      <c r="F2699">
        <v>160</v>
      </c>
      <c r="G2699">
        <v>58434</v>
      </c>
      <c r="H2699">
        <v>9349440</v>
      </c>
      <c r="I2699" t="s">
        <v>685</v>
      </c>
      <c r="J2699" t="s">
        <v>625</v>
      </c>
      <c r="K2699">
        <v>160</v>
      </c>
      <c r="L2699">
        <v>0</v>
      </c>
      <c r="M2699" t="s">
        <v>115</v>
      </c>
      <c r="N2699" t="str">
        <f t="shared" si="252"/>
        <v>PO-102698</v>
      </c>
      <c r="O2699" t="str">
        <f t="shared" si="253"/>
        <v>Delivered</v>
      </c>
      <c r="P2699" t="str">
        <f t="shared" si="254"/>
        <v>WH-BOM</v>
      </c>
      <c r="Q2699" t="str">
        <f>VLOOKUP(C2699, Lookups!$A$2:$D$10, 2, FALSE())</f>
        <v>NextGen Hardware</v>
      </c>
      <c r="R2699" t="str">
        <f>_xlfn.XLOOKUP(D2699, Lookups!$A$12:$A$51, Lookups!$C$12:$C$51, "Unknown")</f>
        <v>Electronics</v>
      </c>
      <c r="S2699" t="str">
        <f>IF(ISBLANK(I2699), B2699+VLOOKUP(C2699, Lookups!$A$2:$D$10, 4, FALSE()), I2699)</f>
        <v>2026-03-10</v>
      </c>
      <c r="T2699">
        <f t="shared" si="255"/>
        <v>29</v>
      </c>
      <c r="U2699" t="str">
        <f t="shared" si="256"/>
        <v>Late</v>
      </c>
      <c r="V2699">
        <f t="shared" si="257"/>
        <v>0</v>
      </c>
    </row>
    <row r="2700" spans="1:22" x14ac:dyDescent="0.45">
      <c r="A2700" t="s">
        <v>3556</v>
      </c>
      <c r="B2700" t="s">
        <v>1783</v>
      </c>
      <c r="C2700" t="s">
        <v>35</v>
      </c>
      <c r="D2700" t="s">
        <v>60</v>
      </c>
      <c r="E2700" t="s">
        <v>17</v>
      </c>
      <c r="F2700">
        <v>157</v>
      </c>
      <c r="G2700">
        <v>3291</v>
      </c>
      <c r="H2700">
        <v>516687</v>
      </c>
      <c r="I2700" t="s">
        <v>356</v>
      </c>
      <c r="J2700" t="s">
        <v>356</v>
      </c>
      <c r="K2700">
        <v>157</v>
      </c>
      <c r="L2700">
        <v>0</v>
      </c>
      <c r="M2700" t="s">
        <v>115</v>
      </c>
      <c r="N2700" t="str">
        <f t="shared" si="252"/>
        <v>PO-102699</v>
      </c>
      <c r="O2700" t="str">
        <f t="shared" si="253"/>
        <v>Delivered</v>
      </c>
      <c r="P2700" t="str">
        <f t="shared" si="254"/>
        <v>WH-BLR</v>
      </c>
      <c r="Q2700" t="str">
        <f>VLOOKUP(C2700, Lookups!$A$2:$D$10, 2, FALSE())</f>
        <v>Peripheral Source</v>
      </c>
      <c r="R2700" t="str">
        <f>_xlfn.XLOOKUP(D2700, Lookups!$A$12:$A$51, Lookups!$C$12:$C$51, "Unknown")</f>
        <v>Peripherals</v>
      </c>
      <c r="S2700" t="str">
        <f>IF(ISBLANK(I2700), B2700+VLOOKUP(C2700, Lookups!$A$2:$D$10, 4, FALSE()), I2700)</f>
        <v>2025-09-27</v>
      </c>
      <c r="T2700">
        <f t="shared" si="255"/>
        <v>10</v>
      </c>
      <c r="U2700" t="str">
        <f t="shared" si="256"/>
        <v>On-Time</v>
      </c>
      <c r="V2700">
        <f t="shared" si="257"/>
        <v>0</v>
      </c>
    </row>
    <row r="2701" spans="1:22" x14ac:dyDescent="0.45">
      <c r="A2701" t="s">
        <v>3557</v>
      </c>
      <c r="B2701" t="s">
        <v>683</v>
      </c>
      <c r="C2701" t="s">
        <v>37</v>
      </c>
      <c r="D2701" t="s">
        <v>83</v>
      </c>
      <c r="E2701" t="s">
        <v>15</v>
      </c>
      <c r="F2701">
        <v>145</v>
      </c>
      <c r="G2701">
        <v>19850</v>
      </c>
      <c r="H2701">
        <v>2878250</v>
      </c>
      <c r="I2701" t="s">
        <v>520</v>
      </c>
      <c r="J2701" t="s">
        <v>1119</v>
      </c>
      <c r="K2701">
        <v>145</v>
      </c>
      <c r="L2701">
        <v>0</v>
      </c>
      <c r="M2701" t="s">
        <v>115</v>
      </c>
      <c r="N2701" t="str">
        <f t="shared" si="252"/>
        <v>PO-102700</v>
      </c>
      <c r="O2701" t="str">
        <f t="shared" si="253"/>
        <v>Delivered</v>
      </c>
      <c r="P2701" t="str">
        <f t="shared" si="254"/>
        <v>WH-BOM</v>
      </c>
      <c r="Q2701" t="str">
        <f>VLOOKUP(C2701, Lookups!$A$2:$D$10, 2, FALSE())</f>
        <v>Premium Desks Ltd</v>
      </c>
      <c r="R2701" t="str">
        <f>_xlfn.XLOOKUP(D2701, Lookups!$A$12:$A$51, Lookups!$C$12:$C$51, "Unknown")</f>
        <v>Office Furniture</v>
      </c>
      <c r="S2701" t="str">
        <f>IF(ISBLANK(I2701), B2701+VLOOKUP(C2701, Lookups!$A$2:$D$10, 4, FALSE()), I2701)</f>
        <v>2026-08-29</v>
      </c>
      <c r="T2701">
        <f t="shared" si="255"/>
        <v>13</v>
      </c>
      <c r="U2701" t="str">
        <f t="shared" si="256"/>
        <v>Late</v>
      </c>
      <c r="V2701">
        <f t="shared" si="257"/>
        <v>0</v>
      </c>
    </row>
    <row r="2702" spans="1:22" x14ac:dyDescent="0.45">
      <c r="A2702" t="s">
        <v>3558</v>
      </c>
      <c r="B2702" t="s">
        <v>454</v>
      </c>
      <c r="C2702" t="s">
        <v>30</v>
      </c>
      <c r="D2702" t="s">
        <v>59</v>
      </c>
      <c r="E2702" t="s">
        <v>15</v>
      </c>
      <c r="F2702">
        <v>170</v>
      </c>
      <c r="G2702">
        <v>48905</v>
      </c>
      <c r="H2702">
        <v>8313850</v>
      </c>
      <c r="I2702" t="s">
        <v>307</v>
      </c>
      <c r="J2702" t="s">
        <v>133</v>
      </c>
      <c r="K2702">
        <v>170</v>
      </c>
      <c r="L2702">
        <v>0</v>
      </c>
      <c r="M2702" t="s">
        <v>115</v>
      </c>
      <c r="N2702" t="str">
        <f t="shared" si="252"/>
        <v>PO-102701</v>
      </c>
      <c r="O2702" t="str">
        <f t="shared" si="253"/>
        <v>Delivered</v>
      </c>
      <c r="P2702" t="str">
        <f t="shared" si="254"/>
        <v>WH-BOM</v>
      </c>
      <c r="Q2702" t="str">
        <f>VLOOKUP(C2702, Lookups!$A$2:$D$10, 2, FALSE())</f>
        <v>TechSupply Corp</v>
      </c>
      <c r="R2702" t="str">
        <f>_xlfn.XLOOKUP(D2702, Lookups!$A$12:$A$51, Lookups!$C$12:$C$51, "Unknown")</f>
        <v>Electronics</v>
      </c>
      <c r="S2702" t="str">
        <f>IF(ISBLANK(I2702), B2702+VLOOKUP(C2702, Lookups!$A$2:$D$10, 4, FALSE()), I2702)</f>
        <v>2026-08-26</v>
      </c>
      <c r="T2702">
        <f t="shared" si="255"/>
        <v>15</v>
      </c>
      <c r="U2702" t="str">
        <f t="shared" si="256"/>
        <v>Late</v>
      </c>
      <c r="V2702">
        <f t="shared" si="257"/>
        <v>0</v>
      </c>
    </row>
    <row r="2703" spans="1:22" x14ac:dyDescent="0.45">
      <c r="A2703" t="s">
        <v>3559</v>
      </c>
      <c r="B2703" t="s">
        <v>520</v>
      </c>
      <c r="C2703" t="s">
        <v>37</v>
      </c>
      <c r="D2703" t="s">
        <v>78</v>
      </c>
      <c r="E2703" t="s">
        <v>18</v>
      </c>
      <c r="F2703">
        <v>21</v>
      </c>
      <c r="G2703">
        <v>9423</v>
      </c>
      <c r="H2703">
        <v>197883</v>
      </c>
      <c r="I2703" t="s">
        <v>865</v>
      </c>
      <c r="J2703" t="s">
        <v>868</v>
      </c>
      <c r="K2703">
        <v>21</v>
      </c>
      <c r="L2703">
        <v>0</v>
      </c>
      <c r="M2703" t="s">
        <v>115</v>
      </c>
      <c r="N2703" t="str">
        <f t="shared" si="252"/>
        <v>PO-102702</v>
      </c>
      <c r="O2703" t="str">
        <f t="shared" si="253"/>
        <v>Delivered</v>
      </c>
      <c r="P2703" t="str">
        <f t="shared" si="254"/>
        <v>WH-PUN</v>
      </c>
      <c r="Q2703" t="str">
        <f>VLOOKUP(C2703, Lookups!$A$2:$D$10, 2, FALSE())</f>
        <v>Premium Desks Ltd</v>
      </c>
      <c r="R2703" t="str">
        <f>_xlfn.XLOOKUP(D2703, Lookups!$A$12:$A$51, Lookups!$C$12:$C$51, "Unknown")</f>
        <v>Office Furniture</v>
      </c>
      <c r="S2703" t="str">
        <f>IF(ISBLANK(I2703), B2703+VLOOKUP(C2703, Lookups!$A$2:$D$10, 4, FALSE()), I2703)</f>
        <v>2026-09-10</v>
      </c>
      <c r="T2703">
        <f t="shared" si="255"/>
        <v>13</v>
      </c>
      <c r="U2703" t="str">
        <f t="shared" si="256"/>
        <v>Late</v>
      </c>
      <c r="V2703">
        <f t="shared" si="257"/>
        <v>0</v>
      </c>
    </row>
    <row r="2704" spans="1:22" x14ac:dyDescent="0.45">
      <c r="A2704" t="s">
        <v>3560</v>
      </c>
      <c r="B2704" t="s">
        <v>535</v>
      </c>
      <c r="C2704" t="s">
        <v>30</v>
      </c>
      <c r="D2704" t="s">
        <v>59</v>
      </c>
      <c r="E2704" t="s">
        <v>17</v>
      </c>
      <c r="F2704">
        <v>18</v>
      </c>
      <c r="G2704">
        <v>48905</v>
      </c>
      <c r="H2704">
        <v>880290</v>
      </c>
      <c r="I2704" t="s">
        <v>123</v>
      </c>
      <c r="J2704" t="s">
        <v>1405</v>
      </c>
      <c r="K2704">
        <v>18</v>
      </c>
      <c r="L2704">
        <v>0</v>
      </c>
      <c r="M2704" t="s">
        <v>115</v>
      </c>
      <c r="N2704" t="str">
        <f t="shared" si="252"/>
        <v>PO-102703</v>
      </c>
      <c r="O2704" t="str">
        <f t="shared" si="253"/>
        <v>Delivered</v>
      </c>
      <c r="P2704" t="str">
        <f t="shared" si="254"/>
        <v>WH-BLR</v>
      </c>
      <c r="Q2704" t="str">
        <f>VLOOKUP(C2704, Lookups!$A$2:$D$10, 2, FALSE())</f>
        <v>TechSupply Corp</v>
      </c>
      <c r="R2704" t="str">
        <f>_xlfn.XLOOKUP(D2704, Lookups!$A$12:$A$51, Lookups!$C$12:$C$51, "Unknown")</f>
        <v>Electronics</v>
      </c>
      <c r="S2704" t="str">
        <f>IF(ISBLANK(I2704), B2704+VLOOKUP(C2704, Lookups!$A$2:$D$10, 4, FALSE()), I2704)</f>
        <v>2026-05-22</v>
      </c>
      <c r="T2704">
        <f t="shared" si="255"/>
        <v>15</v>
      </c>
      <c r="U2704" t="str">
        <f t="shared" si="256"/>
        <v>Late</v>
      </c>
      <c r="V2704">
        <f t="shared" si="257"/>
        <v>0</v>
      </c>
    </row>
    <row r="2705" spans="1:22" x14ac:dyDescent="0.45">
      <c r="A2705" t="s">
        <v>3561</v>
      </c>
      <c r="B2705" t="s">
        <v>185</v>
      </c>
      <c r="C2705" t="s">
        <v>35</v>
      </c>
      <c r="D2705" t="s">
        <v>60</v>
      </c>
      <c r="E2705" t="s">
        <v>17</v>
      </c>
      <c r="F2705">
        <v>201</v>
      </c>
      <c r="G2705">
        <v>3291</v>
      </c>
      <c r="H2705">
        <v>661491</v>
      </c>
      <c r="I2705" t="s">
        <v>926</v>
      </c>
      <c r="J2705" t="s">
        <v>665</v>
      </c>
      <c r="K2705">
        <v>201</v>
      </c>
      <c r="L2705">
        <v>0</v>
      </c>
      <c r="M2705" t="s">
        <v>115</v>
      </c>
      <c r="N2705" t="str">
        <f t="shared" si="252"/>
        <v>PO-102704</v>
      </c>
      <c r="O2705" t="str">
        <f t="shared" si="253"/>
        <v>Delivered</v>
      </c>
      <c r="P2705" t="str">
        <f t="shared" si="254"/>
        <v>WH-BLR</v>
      </c>
      <c r="Q2705" t="str">
        <f>VLOOKUP(C2705, Lookups!$A$2:$D$10, 2, FALSE())</f>
        <v>Peripheral Source</v>
      </c>
      <c r="R2705" t="str">
        <f>_xlfn.XLOOKUP(D2705, Lookups!$A$12:$A$51, Lookups!$C$12:$C$51, "Unknown")</f>
        <v>Peripherals</v>
      </c>
      <c r="S2705" t="str">
        <f>IF(ISBLANK(I2705), B2705+VLOOKUP(C2705, Lookups!$A$2:$D$10, 4, FALSE()), I2705)</f>
        <v>2025-03-08</v>
      </c>
      <c r="T2705">
        <f t="shared" si="255"/>
        <v>13</v>
      </c>
      <c r="U2705" t="str">
        <f t="shared" si="256"/>
        <v>Late</v>
      </c>
      <c r="V2705">
        <f t="shared" si="257"/>
        <v>0</v>
      </c>
    </row>
    <row r="2706" spans="1:22" x14ac:dyDescent="0.45">
      <c r="A2706" t="s">
        <v>3562</v>
      </c>
      <c r="B2706" t="s">
        <v>1475</v>
      </c>
      <c r="C2706" t="s">
        <v>35</v>
      </c>
      <c r="D2706" t="s">
        <v>91</v>
      </c>
      <c r="E2706" t="s">
        <v>17</v>
      </c>
      <c r="F2706">
        <v>19</v>
      </c>
      <c r="G2706">
        <v>6707</v>
      </c>
      <c r="H2706">
        <v>127433</v>
      </c>
      <c r="I2706" t="s">
        <v>978</v>
      </c>
      <c r="J2706" t="s">
        <v>1252</v>
      </c>
      <c r="K2706">
        <v>19</v>
      </c>
      <c r="L2706">
        <v>0</v>
      </c>
      <c r="M2706" t="s">
        <v>115</v>
      </c>
      <c r="N2706" t="str">
        <f t="shared" si="252"/>
        <v>PO-102705</v>
      </c>
      <c r="O2706" t="str">
        <f t="shared" si="253"/>
        <v>Delivered</v>
      </c>
      <c r="P2706" t="str">
        <f t="shared" si="254"/>
        <v>WH-BLR</v>
      </c>
      <c r="Q2706" t="str">
        <f>VLOOKUP(C2706, Lookups!$A$2:$D$10, 2, FALSE())</f>
        <v>Peripheral Source</v>
      </c>
      <c r="R2706" t="str">
        <f>_xlfn.XLOOKUP(D2706, Lookups!$A$12:$A$51, Lookups!$C$12:$C$51, "Unknown")</f>
        <v>Peripherals</v>
      </c>
      <c r="S2706" t="str">
        <f>IF(ISBLANK(I2706), B2706+VLOOKUP(C2706, Lookups!$A$2:$D$10, 4, FALSE()), I2706)</f>
        <v>2025-09-30</v>
      </c>
      <c r="T2706">
        <f t="shared" si="255"/>
        <v>11</v>
      </c>
      <c r="U2706" t="str">
        <f t="shared" si="256"/>
        <v>Late</v>
      </c>
      <c r="V2706">
        <f t="shared" si="257"/>
        <v>0</v>
      </c>
    </row>
    <row r="2707" spans="1:22" x14ac:dyDescent="0.45">
      <c r="A2707" t="s">
        <v>3563</v>
      </c>
      <c r="B2707" t="s">
        <v>261</v>
      </c>
      <c r="C2707" t="s">
        <v>34</v>
      </c>
      <c r="D2707" t="s">
        <v>76</v>
      </c>
      <c r="E2707" t="s">
        <v>16</v>
      </c>
      <c r="F2707">
        <v>135</v>
      </c>
      <c r="G2707">
        <v>26270</v>
      </c>
      <c r="H2707">
        <v>3546450</v>
      </c>
      <c r="I2707" t="s">
        <v>127</v>
      </c>
      <c r="J2707" t="s">
        <v>342</v>
      </c>
      <c r="K2707">
        <v>135</v>
      </c>
      <c r="L2707">
        <v>0</v>
      </c>
      <c r="M2707" t="s">
        <v>115</v>
      </c>
      <c r="N2707" t="str">
        <f t="shared" si="252"/>
        <v>PO-102706</v>
      </c>
      <c r="O2707" t="str">
        <f t="shared" si="253"/>
        <v>Delivered</v>
      </c>
      <c r="P2707" t="str">
        <f t="shared" si="254"/>
        <v>WH-DEL</v>
      </c>
      <c r="Q2707" t="str">
        <f>VLOOKUP(C2707, Lookups!$A$2:$D$10, 2, FALSE())</f>
        <v>FastElectronics</v>
      </c>
      <c r="R2707" t="str">
        <f>_xlfn.XLOOKUP(D2707, Lookups!$A$12:$A$51, Lookups!$C$12:$C$51, "Unknown")</f>
        <v>Networking</v>
      </c>
      <c r="S2707" t="str">
        <f>IF(ISBLANK(I2707), B2707+VLOOKUP(C2707, Lookups!$A$2:$D$10, 4, FALSE()), I2707)</f>
        <v>2026-02-02</v>
      </c>
      <c r="T2707">
        <f t="shared" si="255"/>
        <v>19</v>
      </c>
      <c r="U2707" t="str">
        <f t="shared" si="256"/>
        <v>Late</v>
      </c>
      <c r="V2707">
        <f t="shared" si="257"/>
        <v>0</v>
      </c>
    </row>
    <row r="2708" spans="1:22" x14ac:dyDescent="0.45">
      <c r="A2708" t="s">
        <v>3564</v>
      </c>
      <c r="B2708" t="s">
        <v>772</v>
      </c>
      <c r="C2708" t="s">
        <v>34</v>
      </c>
      <c r="D2708" t="s">
        <v>73</v>
      </c>
      <c r="E2708" t="s">
        <v>17</v>
      </c>
      <c r="F2708">
        <v>191</v>
      </c>
      <c r="G2708">
        <v>58396</v>
      </c>
      <c r="H2708">
        <v>11153636</v>
      </c>
      <c r="I2708" t="s">
        <v>422</v>
      </c>
      <c r="J2708" t="s">
        <v>591</v>
      </c>
      <c r="K2708">
        <v>191</v>
      </c>
      <c r="L2708">
        <v>0</v>
      </c>
      <c r="M2708" t="s">
        <v>115</v>
      </c>
      <c r="N2708" t="str">
        <f t="shared" si="252"/>
        <v>PO-102707</v>
      </c>
      <c r="O2708" t="str">
        <f t="shared" si="253"/>
        <v>Delivered</v>
      </c>
      <c r="P2708" t="str">
        <f t="shared" si="254"/>
        <v>WH-BLR</v>
      </c>
      <c r="Q2708" t="str">
        <f>VLOOKUP(C2708, Lookups!$A$2:$D$10, 2, FALSE())</f>
        <v>FastElectronics</v>
      </c>
      <c r="R2708" t="str">
        <f>_xlfn.XLOOKUP(D2708, Lookups!$A$12:$A$51, Lookups!$C$12:$C$51, "Unknown")</f>
        <v>Electronics</v>
      </c>
      <c r="S2708" t="str">
        <f>IF(ISBLANK(I2708), B2708+VLOOKUP(C2708, Lookups!$A$2:$D$10, 4, FALSE()), I2708)</f>
        <v>2026-01-19</v>
      </c>
      <c r="T2708">
        <f t="shared" si="255"/>
        <v>19</v>
      </c>
      <c r="U2708" t="str">
        <f t="shared" si="256"/>
        <v>Late</v>
      </c>
      <c r="V2708">
        <f t="shared" si="257"/>
        <v>0</v>
      </c>
    </row>
    <row r="2709" spans="1:22" x14ac:dyDescent="0.45">
      <c r="A2709" t="s">
        <v>3565</v>
      </c>
      <c r="B2709" t="s">
        <v>1101</v>
      </c>
      <c r="C2709" t="s">
        <v>37</v>
      </c>
      <c r="D2709" t="s">
        <v>78</v>
      </c>
      <c r="E2709" t="s">
        <v>16</v>
      </c>
      <c r="F2709">
        <v>71</v>
      </c>
      <c r="G2709">
        <v>9423</v>
      </c>
      <c r="H2709">
        <v>669033</v>
      </c>
      <c r="I2709" t="s">
        <v>1170</v>
      </c>
      <c r="J2709" t="s">
        <v>877</v>
      </c>
      <c r="K2709">
        <v>56</v>
      </c>
      <c r="L2709">
        <v>6</v>
      </c>
      <c r="M2709" t="s">
        <v>115</v>
      </c>
      <c r="N2709" t="str">
        <f t="shared" si="252"/>
        <v>PO-102708</v>
      </c>
      <c r="O2709" t="str">
        <f t="shared" si="253"/>
        <v>Delivered</v>
      </c>
      <c r="P2709" t="str">
        <f t="shared" si="254"/>
        <v>WH-DEL</v>
      </c>
      <c r="Q2709" t="str">
        <f>VLOOKUP(C2709, Lookups!$A$2:$D$10, 2, FALSE())</f>
        <v>Premium Desks Ltd</v>
      </c>
      <c r="R2709" t="str">
        <f>_xlfn.XLOOKUP(D2709, Lookups!$A$12:$A$51, Lookups!$C$12:$C$51, "Unknown")</f>
        <v>Office Furniture</v>
      </c>
      <c r="S2709" t="str">
        <f>IF(ISBLANK(I2709), B2709+VLOOKUP(C2709, Lookups!$A$2:$D$10, 4, FALSE()), I2709)</f>
        <v>2026-12-03</v>
      </c>
      <c r="T2709">
        <f t="shared" si="255"/>
        <v>13</v>
      </c>
      <c r="U2709" t="str">
        <f t="shared" si="256"/>
        <v>Late</v>
      </c>
      <c r="V2709">
        <f t="shared" si="257"/>
        <v>0.10714285714285714</v>
      </c>
    </row>
    <row r="2710" spans="1:22" x14ac:dyDescent="0.45">
      <c r="A2710" t="s">
        <v>3566</v>
      </c>
      <c r="B2710" t="s">
        <v>1235</v>
      </c>
      <c r="C2710" t="s">
        <v>30</v>
      </c>
      <c r="D2710" t="s">
        <v>52</v>
      </c>
      <c r="E2710" t="s">
        <v>18</v>
      </c>
      <c r="F2710">
        <v>51</v>
      </c>
      <c r="G2710">
        <v>59592</v>
      </c>
      <c r="H2710">
        <v>3039192</v>
      </c>
      <c r="I2710" t="s">
        <v>1236</v>
      </c>
      <c r="J2710" t="s">
        <v>1104</v>
      </c>
      <c r="K2710">
        <v>51</v>
      </c>
      <c r="L2710">
        <v>0</v>
      </c>
      <c r="M2710" t="s">
        <v>115</v>
      </c>
      <c r="N2710" t="str">
        <f t="shared" si="252"/>
        <v>PO-102709</v>
      </c>
      <c r="O2710" t="str">
        <f t="shared" si="253"/>
        <v>Delivered</v>
      </c>
      <c r="P2710" t="str">
        <f t="shared" si="254"/>
        <v>WH-PUN</v>
      </c>
      <c r="Q2710" t="str">
        <f>VLOOKUP(C2710, Lookups!$A$2:$D$10, 2, FALSE())</f>
        <v>TechSupply Corp</v>
      </c>
      <c r="R2710" t="str">
        <f>_xlfn.XLOOKUP(D2710, Lookups!$A$12:$A$51, Lookups!$C$12:$C$51, "Unknown")</f>
        <v>Electronics</v>
      </c>
      <c r="S2710" t="str">
        <f>IF(ISBLANK(I2710), B2710+VLOOKUP(C2710, Lookups!$A$2:$D$10, 4, FALSE()), I2710)</f>
        <v>2025-08-23</v>
      </c>
      <c r="T2710">
        <f t="shared" si="255"/>
        <v>15</v>
      </c>
      <c r="U2710" t="str">
        <f t="shared" si="256"/>
        <v>Late</v>
      </c>
      <c r="V2710">
        <f t="shared" si="257"/>
        <v>0</v>
      </c>
    </row>
    <row r="2711" spans="1:22" x14ac:dyDescent="0.45">
      <c r="A2711" t="s">
        <v>3567</v>
      </c>
      <c r="B2711" t="s">
        <v>653</v>
      </c>
      <c r="C2711" t="s">
        <v>30</v>
      </c>
      <c r="D2711" t="s">
        <v>61</v>
      </c>
      <c r="E2711" t="s">
        <v>18</v>
      </c>
      <c r="F2711">
        <v>109</v>
      </c>
      <c r="G2711">
        <v>111237</v>
      </c>
      <c r="H2711">
        <v>12124833</v>
      </c>
      <c r="I2711" t="s">
        <v>825</v>
      </c>
      <c r="K2711">
        <v>0</v>
      </c>
      <c r="L2711">
        <v>0</v>
      </c>
      <c r="M2711" t="s">
        <v>297</v>
      </c>
      <c r="N2711" t="str">
        <f t="shared" si="252"/>
        <v>PO-102710</v>
      </c>
      <c r="O2711" t="str">
        <f t="shared" si="253"/>
        <v>Open</v>
      </c>
      <c r="P2711" t="str">
        <f t="shared" si="254"/>
        <v>WH-PUN</v>
      </c>
      <c r="Q2711" t="str">
        <f>VLOOKUP(C2711, Lookups!$A$2:$D$10, 2, FALSE())</f>
        <v>TechSupply Corp</v>
      </c>
      <c r="R2711" t="str">
        <f>_xlfn.XLOOKUP(D2711, Lookups!$A$12:$A$51, Lookups!$C$12:$C$51, "Unknown")</f>
        <v>Electronics</v>
      </c>
      <c r="S2711" t="str">
        <f>IF(ISBLANK(I2711), B2711+VLOOKUP(C2711, Lookups!$A$2:$D$10, 4, FALSE()), I2711)</f>
        <v>2026-12-28</v>
      </c>
      <c r="T2711" t="str">
        <f t="shared" si="255"/>
        <v/>
      </c>
      <c r="U2711" t="str">
        <f t="shared" si="256"/>
        <v>Open</v>
      </c>
      <c r="V2711">
        <f t="shared" si="257"/>
        <v>0</v>
      </c>
    </row>
    <row r="2712" spans="1:22" x14ac:dyDescent="0.45">
      <c r="A2712" t="s">
        <v>3568</v>
      </c>
      <c r="B2712" t="s">
        <v>141</v>
      </c>
      <c r="C2712" t="s">
        <v>33</v>
      </c>
      <c r="D2712" t="s">
        <v>89</v>
      </c>
      <c r="E2712" t="s">
        <v>17</v>
      </c>
      <c r="F2712">
        <v>225</v>
      </c>
      <c r="G2712">
        <v>11309</v>
      </c>
      <c r="H2712">
        <v>2544525</v>
      </c>
      <c r="I2712" t="s">
        <v>1610</v>
      </c>
      <c r="J2712" t="s">
        <v>1610</v>
      </c>
      <c r="K2712">
        <v>225</v>
      </c>
      <c r="L2712">
        <v>0</v>
      </c>
      <c r="M2712" t="s">
        <v>115</v>
      </c>
      <c r="N2712" t="str">
        <f t="shared" si="252"/>
        <v>PO-102711</v>
      </c>
      <c r="O2712" t="str">
        <f t="shared" si="253"/>
        <v>Delivered</v>
      </c>
      <c r="P2712" t="str">
        <f t="shared" si="254"/>
        <v>WH-BLR</v>
      </c>
      <c r="Q2712" t="str">
        <f>VLOOKUP(C2712, Lookups!$A$2:$D$10, 2, FALSE())</f>
        <v>MegaFurnish</v>
      </c>
      <c r="R2712" t="str">
        <f>_xlfn.XLOOKUP(D2712, Lookups!$A$12:$A$51, Lookups!$C$12:$C$51, "Unknown")</f>
        <v>Office Furniture</v>
      </c>
      <c r="S2712" t="str">
        <f>IF(ISBLANK(I2712), B2712+VLOOKUP(C2712, Lookups!$A$2:$D$10, 4, FALSE()), I2712)</f>
        <v>2026-08-22</v>
      </c>
      <c r="T2712">
        <f t="shared" si="255"/>
        <v>30</v>
      </c>
      <c r="U2712" t="str">
        <f t="shared" si="256"/>
        <v>On-Time</v>
      </c>
      <c r="V2712">
        <f t="shared" si="257"/>
        <v>0</v>
      </c>
    </row>
    <row r="2713" spans="1:22" x14ac:dyDescent="0.45">
      <c r="A2713" t="s">
        <v>3569</v>
      </c>
      <c r="B2713" t="s">
        <v>1979</v>
      </c>
      <c r="C2713" t="s">
        <v>31</v>
      </c>
      <c r="D2713" t="s">
        <v>77</v>
      </c>
      <c r="E2713" t="s">
        <v>15</v>
      </c>
      <c r="F2713">
        <v>70</v>
      </c>
      <c r="G2713">
        <v>23667</v>
      </c>
      <c r="H2713">
        <v>1656690</v>
      </c>
      <c r="I2713" t="s">
        <v>149</v>
      </c>
      <c r="J2713" t="s">
        <v>323</v>
      </c>
      <c r="K2713">
        <v>70</v>
      </c>
      <c r="L2713">
        <v>0</v>
      </c>
      <c r="M2713" t="s">
        <v>115</v>
      </c>
      <c r="N2713" t="str">
        <f t="shared" si="252"/>
        <v>PO-102712</v>
      </c>
      <c r="O2713" t="str">
        <f t="shared" si="253"/>
        <v>Delivered</v>
      </c>
      <c r="P2713" t="str">
        <f t="shared" si="254"/>
        <v>WH-BOM</v>
      </c>
      <c r="Q2713" t="str">
        <f>VLOOKUP(C2713, Lookups!$A$2:$D$10, 2, FALSE())</f>
        <v>Global Networks</v>
      </c>
      <c r="R2713" t="str">
        <f>_xlfn.XLOOKUP(D2713, Lookups!$A$12:$A$51, Lookups!$C$12:$C$51, "Unknown")</f>
        <v>Networking</v>
      </c>
      <c r="S2713" t="str">
        <f>IF(ISBLANK(I2713), B2713+VLOOKUP(C2713, Lookups!$A$2:$D$10, 4, FALSE()), I2713)</f>
        <v>2026-04-03</v>
      </c>
      <c r="T2713">
        <f t="shared" si="255"/>
        <v>22</v>
      </c>
      <c r="U2713" t="str">
        <f t="shared" si="256"/>
        <v>Late</v>
      </c>
      <c r="V2713">
        <f t="shared" si="257"/>
        <v>0</v>
      </c>
    </row>
    <row r="2714" spans="1:22" x14ac:dyDescent="0.45">
      <c r="A2714" t="s">
        <v>3570</v>
      </c>
      <c r="B2714" t="s">
        <v>1111</v>
      </c>
      <c r="C2714" t="s">
        <v>36</v>
      </c>
      <c r="D2714" t="s">
        <v>63</v>
      </c>
      <c r="E2714" t="s">
        <v>18</v>
      </c>
      <c r="F2714">
        <v>121</v>
      </c>
      <c r="G2714">
        <v>71062</v>
      </c>
      <c r="H2714">
        <v>8598502</v>
      </c>
      <c r="I2714" t="s">
        <v>615</v>
      </c>
      <c r="J2714" t="s">
        <v>921</v>
      </c>
      <c r="K2714">
        <v>121</v>
      </c>
      <c r="L2714">
        <v>0</v>
      </c>
      <c r="M2714" t="s">
        <v>115</v>
      </c>
      <c r="N2714" t="str">
        <f t="shared" si="252"/>
        <v>PO-102713</v>
      </c>
      <c r="O2714" t="str">
        <f t="shared" si="253"/>
        <v>Delivered</v>
      </c>
      <c r="P2714" t="str">
        <f t="shared" si="254"/>
        <v>WH-PUN</v>
      </c>
      <c r="Q2714" t="str">
        <f>VLOOKUP(C2714, Lookups!$A$2:$D$10, 2, FALSE())</f>
        <v>NextGen Hardware</v>
      </c>
      <c r="R2714" t="str">
        <f>_xlfn.XLOOKUP(D2714, Lookups!$A$12:$A$51, Lookups!$C$12:$C$51, "Unknown")</f>
        <v>Electronics</v>
      </c>
      <c r="S2714" t="str">
        <f>IF(ISBLANK(I2714), B2714+VLOOKUP(C2714, Lookups!$A$2:$D$10, 4, FALSE()), I2714)</f>
        <v>2026-11-07</v>
      </c>
      <c r="T2714">
        <f t="shared" si="255"/>
        <v>25</v>
      </c>
      <c r="U2714" t="str">
        <f t="shared" si="256"/>
        <v>Late</v>
      </c>
      <c r="V2714">
        <f t="shared" si="257"/>
        <v>0</v>
      </c>
    </row>
    <row r="2715" spans="1:22" x14ac:dyDescent="0.45">
      <c r="A2715" t="s">
        <v>3571</v>
      </c>
      <c r="B2715" t="s">
        <v>794</v>
      </c>
      <c r="C2715" t="s">
        <v>35</v>
      </c>
      <c r="D2715" t="s">
        <v>70</v>
      </c>
      <c r="E2715" t="s">
        <v>16</v>
      </c>
      <c r="F2715">
        <v>187</v>
      </c>
      <c r="G2715">
        <v>4287</v>
      </c>
      <c r="H2715">
        <v>801669</v>
      </c>
      <c r="I2715" t="s">
        <v>795</v>
      </c>
      <c r="J2715" t="s">
        <v>795</v>
      </c>
      <c r="K2715">
        <v>187</v>
      </c>
      <c r="L2715">
        <v>0</v>
      </c>
      <c r="M2715" t="s">
        <v>115</v>
      </c>
      <c r="N2715" t="str">
        <f t="shared" si="252"/>
        <v>PO-102714</v>
      </c>
      <c r="O2715" t="str">
        <f t="shared" si="253"/>
        <v>Delivered</v>
      </c>
      <c r="P2715" t="str">
        <f t="shared" si="254"/>
        <v>WH-DEL</v>
      </c>
      <c r="Q2715" t="str">
        <f>VLOOKUP(C2715, Lookups!$A$2:$D$10, 2, FALSE())</f>
        <v>Peripheral Source</v>
      </c>
      <c r="R2715" t="str">
        <f>_xlfn.XLOOKUP(D2715, Lookups!$A$12:$A$51, Lookups!$C$12:$C$51, "Unknown")</f>
        <v>Peripherals</v>
      </c>
      <c r="S2715" t="str">
        <f>IF(ISBLANK(I2715), B2715+VLOOKUP(C2715, Lookups!$A$2:$D$10, 4, FALSE()), I2715)</f>
        <v>2026-09-17</v>
      </c>
      <c r="T2715">
        <f t="shared" si="255"/>
        <v>10</v>
      </c>
      <c r="U2715" t="str">
        <f t="shared" si="256"/>
        <v>On-Time</v>
      </c>
      <c r="V2715">
        <f t="shared" si="257"/>
        <v>0</v>
      </c>
    </row>
    <row r="2716" spans="1:22" x14ac:dyDescent="0.45">
      <c r="A2716" t="s">
        <v>3572</v>
      </c>
      <c r="B2716" t="s">
        <v>423</v>
      </c>
      <c r="C2716" t="s">
        <v>34</v>
      </c>
      <c r="D2716" t="s">
        <v>58</v>
      </c>
      <c r="E2716" t="s">
        <v>18</v>
      </c>
      <c r="F2716">
        <v>100</v>
      </c>
      <c r="G2716">
        <v>100302</v>
      </c>
      <c r="H2716">
        <v>10030200</v>
      </c>
      <c r="I2716" t="s">
        <v>1413</v>
      </c>
      <c r="J2716" t="s">
        <v>222</v>
      </c>
      <c r="K2716">
        <v>100</v>
      </c>
      <c r="L2716">
        <v>0</v>
      </c>
      <c r="M2716" t="s">
        <v>115</v>
      </c>
      <c r="N2716" t="str">
        <f t="shared" si="252"/>
        <v>PO-102715</v>
      </c>
      <c r="O2716" t="str">
        <f t="shared" si="253"/>
        <v>Delivered</v>
      </c>
      <c r="P2716" t="str">
        <f t="shared" si="254"/>
        <v>WH-PUN</v>
      </c>
      <c r="Q2716" t="str">
        <f>VLOOKUP(C2716, Lookups!$A$2:$D$10, 2, FALSE())</f>
        <v>FastElectronics</v>
      </c>
      <c r="R2716" t="str">
        <f>_xlfn.XLOOKUP(D2716, Lookups!$A$12:$A$51, Lookups!$C$12:$C$51, "Unknown")</f>
        <v>Electronics</v>
      </c>
      <c r="S2716" t="str">
        <f>IF(ISBLANK(I2716), B2716+VLOOKUP(C2716, Lookups!$A$2:$D$10, 4, FALSE()), I2716)</f>
        <v>2026-03-02</v>
      </c>
      <c r="T2716">
        <f t="shared" si="255"/>
        <v>17</v>
      </c>
      <c r="U2716" t="str">
        <f t="shared" si="256"/>
        <v>On-Time</v>
      </c>
      <c r="V2716">
        <f t="shared" si="257"/>
        <v>0</v>
      </c>
    </row>
    <row r="2717" spans="1:22" x14ac:dyDescent="0.45">
      <c r="A2717" t="s">
        <v>3573</v>
      </c>
      <c r="B2717" t="s">
        <v>304</v>
      </c>
      <c r="C2717" t="s">
        <v>34</v>
      </c>
      <c r="D2717" t="s">
        <v>68</v>
      </c>
      <c r="E2717" t="s">
        <v>16</v>
      </c>
      <c r="F2717">
        <v>81</v>
      </c>
      <c r="G2717">
        <v>41405</v>
      </c>
      <c r="H2717">
        <v>3353805</v>
      </c>
      <c r="I2717" t="s">
        <v>196</v>
      </c>
      <c r="J2717" t="s">
        <v>290</v>
      </c>
      <c r="K2717">
        <v>81</v>
      </c>
      <c r="L2717">
        <v>0</v>
      </c>
      <c r="M2717" t="s">
        <v>115</v>
      </c>
      <c r="N2717" t="str">
        <f t="shared" si="252"/>
        <v>PO-102716</v>
      </c>
      <c r="O2717" t="str">
        <f t="shared" si="253"/>
        <v>Delivered</v>
      </c>
      <c r="P2717" t="str">
        <f t="shared" si="254"/>
        <v>WH-DEL</v>
      </c>
      <c r="Q2717" t="str">
        <f>VLOOKUP(C2717, Lookups!$A$2:$D$10, 2, FALSE())</f>
        <v>FastElectronics</v>
      </c>
      <c r="R2717" t="str">
        <f>_xlfn.XLOOKUP(D2717, Lookups!$A$12:$A$51, Lookups!$C$12:$C$51, "Unknown")</f>
        <v>Networking</v>
      </c>
      <c r="S2717" t="str">
        <f>IF(ISBLANK(I2717), B2717+VLOOKUP(C2717, Lookups!$A$2:$D$10, 4, FALSE()), I2717)</f>
        <v>2026-07-11</v>
      </c>
      <c r="T2717">
        <f t="shared" si="255"/>
        <v>19</v>
      </c>
      <c r="U2717" t="str">
        <f t="shared" si="256"/>
        <v>Late</v>
      </c>
      <c r="V2717">
        <f t="shared" si="257"/>
        <v>0</v>
      </c>
    </row>
    <row r="2718" spans="1:22" x14ac:dyDescent="0.45">
      <c r="A2718" t="s">
        <v>3574</v>
      </c>
      <c r="B2718" t="s">
        <v>926</v>
      </c>
      <c r="C2718" t="s">
        <v>33</v>
      </c>
      <c r="D2718" t="s">
        <v>89</v>
      </c>
      <c r="E2718" t="s">
        <v>15</v>
      </c>
      <c r="F2718">
        <v>109</v>
      </c>
      <c r="G2718">
        <v>11309</v>
      </c>
      <c r="H2718">
        <v>1232681</v>
      </c>
      <c r="I2718" t="s">
        <v>1265</v>
      </c>
      <c r="J2718" t="s">
        <v>397</v>
      </c>
      <c r="K2718">
        <v>109</v>
      </c>
      <c r="L2718">
        <v>16</v>
      </c>
      <c r="M2718" t="s">
        <v>115</v>
      </c>
      <c r="N2718" t="str">
        <f t="shared" si="252"/>
        <v>PO-102717</v>
      </c>
      <c r="O2718" t="str">
        <f t="shared" si="253"/>
        <v>Delivered</v>
      </c>
      <c r="P2718" t="str">
        <f t="shared" si="254"/>
        <v>WH-BOM</v>
      </c>
      <c r="Q2718" t="str">
        <f>VLOOKUP(C2718, Lookups!$A$2:$D$10, 2, FALSE())</f>
        <v>MegaFurnish</v>
      </c>
      <c r="R2718" t="str">
        <f>_xlfn.XLOOKUP(D2718, Lookups!$A$12:$A$51, Lookups!$C$12:$C$51, "Unknown")</f>
        <v>Office Furniture</v>
      </c>
      <c r="S2718" t="str">
        <f>IF(ISBLANK(I2718), B2718+VLOOKUP(C2718, Lookups!$A$2:$D$10, 4, FALSE()), I2718)</f>
        <v>2025-04-07</v>
      </c>
      <c r="T2718">
        <f t="shared" si="255"/>
        <v>29</v>
      </c>
      <c r="U2718" t="str">
        <f t="shared" si="256"/>
        <v>On-Time</v>
      </c>
      <c r="V2718">
        <f t="shared" si="257"/>
        <v>0.14678899082568808</v>
      </c>
    </row>
    <row r="2719" spans="1:22" x14ac:dyDescent="0.45">
      <c r="A2719" t="s">
        <v>3575</v>
      </c>
      <c r="B2719" t="s">
        <v>214</v>
      </c>
      <c r="C2719" t="s">
        <v>34</v>
      </c>
      <c r="D2719" t="s">
        <v>73</v>
      </c>
      <c r="E2719" t="s">
        <v>16</v>
      </c>
      <c r="F2719">
        <v>98</v>
      </c>
      <c r="G2719">
        <v>58396</v>
      </c>
      <c r="H2719">
        <v>5722808</v>
      </c>
      <c r="I2719" t="s">
        <v>469</v>
      </c>
      <c r="J2719" t="s">
        <v>1326</v>
      </c>
      <c r="K2719">
        <v>98</v>
      </c>
      <c r="L2719">
        <v>0</v>
      </c>
      <c r="M2719" t="s">
        <v>115</v>
      </c>
      <c r="N2719" t="str">
        <f t="shared" si="252"/>
        <v>PO-102718</v>
      </c>
      <c r="O2719" t="str">
        <f t="shared" si="253"/>
        <v>Delivered</v>
      </c>
      <c r="P2719" t="str">
        <f t="shared" si="254"/>
        <v>WH-DEL</v>
      </c>
      <c r="Q2719" t="str">
        <f>VLOOKUP(C2719, Lookups!$A$2:$D$10, 2, FALSE())</f>
        <v>FastElectronics</v>
      </c>
      <c r="R2719" t="str">
        <f>_xlfn.XLOOKUP(D2719, Lookups!$A$12:$A$51, Lookups!$C$12:$C$51, "Unknown")</f>
        <v>Electronics</v>
      </c>
      <c r="S2719" t="str">
        <f>IF(ISBLANK(I2719), B2719+VLOOKUP(C2719, Lookups!$A$2:$D$10, 4, FALSE()), I2719)</f>
        <v>2025-07-15</v>
      </c>
      <c r="T2719">
        <f t="shared" si="255"/>
        <v>26</v>
      </c>
      <c r="U2719" t="str">
        <f t="shared" si="256"/>
        <v>Late</v>
      </c>
      <c r="V2719">
        <f t="shared" si="257"/>
        <v>0</v>
      </c>
    </row>
    <row r="2720" spans="1:22" x14ac:dyDescent="0.45">
      <c r="A2720" t="s">
        <v>3576</v>
      </c>
      <c r="B2720" t="s">
        <v>866</v>
      </c>
      <c r="C2720" t="s">
        <v>30</v>
      </c>
      <c r="D2720" t="s">
        <v>82</v>
      </c>
      <c r="E2720" t="s">
        <v>15</v>
      </c>
      <c r="F2720">
        <v>132</v>
      </c>
      <c r="G2720">
        <v>83427</v>
      </c>
      <c r="H2720">
        <v>11012364</v>
      </c>
      <c r="I2720" t="s">
        <v>451</v>
      </c>
      <c r="J2720" t="s">
        <v>451</v>
      </c>
      <c r="K2720">
        <v>132</v>
      </c>
      <c r="L2720">
        <v>0</v>
      </c>
      <c r="M2720" t="s">
        <v>115</v>
      </c>
      <c r="N2720" t="str">
        <f t="shared" si="252"/>
        <v>PO-102719</v>
      </c>
      <c r="O2720" t="str">
        <f t="shared" si="253"/>
        <v>Delivered</v>
      </c>
      <c r="P2720" t="str">
        <f t="shared" si="254"/>
        <v>WH-BOM</v>
      </c>
      <c r="Q2720" t="str">
        <f>VLOOKUP(C2720, Lookups!$A$2:$D$10, 2, FALSE())</f>
        <v>TechSupply Corp</v>
      </c>
      <c r="R2720" t="str">
        <f>_xlfn.XLOOKUP(D2720, Lookups!$A$12:$A$51, Lookups!$C$12:$C$51, "Unknown")</f>
        <v>Electronics</v>
      </c>
      <c r="S2720" t="str">
        <f>IF(ISBLANK(I2720), B2720+VLOOKUP(C2720, Lookups!$A$2:$D$10, 4, FALSE()), I2720)</f>
        <v>2026-10-04</v>
      </c>
      <c r="T2720">
        <f t="shared" si="255"/>
        <v>14</v>
      </c>
      <c r="U2720" t="str">
        <f t="shared" si="256"/>
        <v>On-Time</v>
      </c>
      <c r="V2720">
        <f t="shared" si="257"/>
        <v>0</v>
      </c>
    </row>
    <row r="2721" spans="1:22" x14ac:dyDescent="0.45">
      <c r="A2721" t="s">
        <v>3577</v>
      </c>
      <c r="B2721" t="s">
        <v>633</v>
      </c>
      <c r="C2721" t="s">
        <v>30</v>
      </c>
      <c r="D2721" t="s">
        <v>53</v>
      </c>
      <c r="E2721" t="s">
        <v>15</v>
      </c>
      <c r="F2721">
        <v>60</v>
      </c>
      <c r="G2721">
        <v>81048</v>
      </c>
      <c r="H2721">
        <v>4862880</v>
      </c>
      <c r="I2721" t="s">
        <v>2461</v>
      </c>
      <c r="J2721" t="s">
        <v>285</v>
      </c>
      <c r="K2721">
        <v>60</v>
      </c>
      <c r="L2721">
        <v>0</v>
      </c>
      <c r="M2721" t="s">
        <v>115</v>
      </c>
      <c r="N2721" t="str">
        <f t="shared" si="252"/>
        <v>PO-102720</v>
      </c>
      <c r="O2721" t="str">
        <f t="shared" si="253"/>
        <v>Delivered</v>
      </c>
      <c r="P2721" t="str">
        <f t="shared" si="254"/>
        <v>WH-BOM</v>
      </c>
      <c r="Q2721" t="str">
        <f>VLOOKUP(C2721, Lookups!$A$2:$D$10, 2, FALSE())</f>
        <v>TechSupply Corp</v>
      </c>
      <c r="R2721" t="str">
        <f>_xlfn.XLOOKUP(D2721, Lookups!$A$12:$A$51, Lookups!$C$12:$C$51, "Unknown")</f>
        <v>Electronics</v>
      </c>
      <c r="S2721" t="str">
        <f>IF(ISBLANK(I2721), B2721+VLOOKUP(C2721, Lookups!$A$2:$D$10, 4, FALSE()), I2721)</f>
        <v>2025-03-03</v>
      </c>
      <c r="T2721">
        <f t="shared" si="255"/>
        <v>12</v>
      </c>
      <c r="U2721" t="str">
        <f t="shared" si="256"/>
        <v>On-Time</v>
      </c>
      <c r="V2721">
        <f t="shared" si="257"/>
        <v>0</v>
      </c>
    </row>
    <row r="2722" spans="1:22" x14ac:dyDescent="0.45">
      <c r="A2722" t="s">
        <v>3578</v>
      </c>
      <c r="B2722" t="s">
        <v>1329</v>
      </c>
      <c r="C2722" t="s">
        <v>35</v>
      </c>
      <c r="D2722" t="s">
        <v>65</v>
      </c>
      <c r="E2722" t="s">
        <v>18</v>
      </c>
      <c r="F2722">
        <v>86</v>
      </c>
      <c r="G2722">
        <v>4936</v>
      </c>
      <c r="H2722">
        <v>424496</v>
      </c>
      <c r="I2722" t="s">
        <v>238</v>
      </c>
      <c r="J2722" t="s">
        <v>327</v>
      </c>
      <c r="K2722">
        <v>86</v>
      </c>
      <c r="L2722">
        <v>0</v>
      </c>
      <c r="M2722" t="s">
        <v>115</v>
      </c>
      <c r="N2722" t="str">
        <f t="shared" si="252"/>
        <v>PO-102721</v>
      </c>
      <c r="O2722" t="str">
        <f t="shared" si="253"/>
        <v>Delivered</v>
      </c>
      <c r="P2722" t="str">
        <f t="shared" si="254"/>
        <v>WH-PUN</v>
      </c>
      <c r="Q2722" t="str">
        <f>VLOOKUP(C2722, Lookups!$A$2:$D$10, 2, FALSE())</f>
        <v>Peripheral Source</v>
      </c>
      <c r="R2722" t="str">
        <f>_xlfn.XLOOKUP(D2722, Lookups!$A$12:$A$51, Lookups!$C$12:$C$51, "Unknown")</f>
        <v>Peripherals</v>
      </c>
      <c r="S2722" t="str">
        <f>IF(ISBLANK(I2722), B2722+VLOOKUP(C2722, Lookups!$A$2:$D$10, 4, FALSE()), I2722)</f>
        <v>2025-06-04</v>
      </c>
      <c r="T2722">
        <f t="shared" si="255"/>
        <v>11</v>
      </c>
      <c r="U2722" t="str">
        <f t="shared" si="256"/>
        <v>Late</v>
      </c>
      <c r="V2722">
        <f t="shared" si="257"/>
        <v>0</v>
      </c>
    </row>
    <row r="2723" spans="1:22" x14ac:dyDescent="0.45">
      <c r="A2723" t="s">
        <v>3579</v>
      </c>
      <c r="B2723" t="s">
        <v>2110</v>
      </c>
      <c r="C2723" t="s">
        <v>35</v>
      </c>
      <c r="D2723" t="s">
        <v>91</v>
      </c>
      <c r="E2723" t="s">
        <v>17</v>
      </c>
      <c r="F2723">
        <v>35</v>
      </c>
      <c r="G2723">
        <v>6707</v>
      </c>
      <c r="H2723">
        <v>234745</v>
      </c>
      <c r="I2723" t="s">
        <v>1046</v>
      </c>
      <c r="J2723" t="s">
        <v>1046</v>
      </c>
      <c r="K2723">
        <v>35</v>
      </c>
      <c r="L2723">
        <v>0</v>
      </c>
      <c r="M2723" t="s">
        <v>115</v>
      </c>
      <c r="N2723" t="str">
        <f t="shared" si="252"/>
        <v>PO-102722</v>
      </c>
      <c r="O2723" t="str">
        <f t="shared" si="253"/>
        <v>Delivered</v>
      </c>
      <c r="P2723" t="str">
        <f t="shared" si="254"/>
        <v>WH-BLR</v>
      </c>
      <c r="Q2723" t="str">
        <f>VLOOKUP(C2723, Lookups!$A$2:$D$10, 2, FALSE())</f>
        <v>Peripheral Source</v>
      </c>
      <c r="R2723" t="str">
        <f>_xlfn.XLOOKUP(D2723, Lookups!$A$12:$A$51, Lookups!$C$12:$C$51, "Unknown")</f>
        <v>Peripherals</v>
      </c>
      <c r="S2723" t="str">
        <f>IF(ISBLANK(I2723), B2723+VLOOKUP(C2723, Lookups!$A$2:$D$10, 4, FALSE()), I2723)</f>
        <v>2025-10-23</v>
      </c>
      <c r="T2723">
        <f t="shared" si="255"/>
        <v>10</v>
      </c>
      <c r="U2723" t="str">
        <f t="shared" si="256"/>
        <v>On-Time</v>
      </c>
      <c r="V2723">
        <f t="shared" si="257"/>
        <v>0</v>
      </c>
    </row>
    <row r="2724" spans="1:22" x14ac:dyDescent="0.45">
      <c r="A2724" t="s">
        <v>3580</v>
      </c>
      <c r="B2724" t="s">
        <v>1041</v>
      </c>
      <c r="C2724" t="s">
        <v>34</v>
      </c>
      <c r="D2724" t="s">
        <v>74</v>
      </c>
      <c r="E2724" t="s">
        <v>15</v>
      </c>
      <c r="F2724">
        <v>40</v>
      </c>
      <c r="G2724">
        <v>94797</v>
      </c>
      <c r="H2724">
        <v>3791880</v>
      </c>
      <c r="I2724" t="s">
        <v>986</v>
      </c>
      <c r="J2724" t="s">
        <v>986</v>
      </c>
      <c r="K2724">
        <v>40</v>
      </c>
      <c r="L2724">
        <v>0</v>
      </c>
      <c r="M2724" t="s">
        <v>115</v>
      </c>
      <c r="N2724" t="str">
        <f t="shared" si="252"/>
        <v>PO-102723</v>
      </c>
      <c r="O2724" t="str">
        <f t="shared" si="253"/>
        <v>Delivered</v>
      </c>
      <c r="P2724" t="str">
        <f t="shared" si="254"/>
        <v>WH-BOM</v>
      </c>
      <c r="Q2724" t="str">
        <f>VLOOKUP(C2724, Lookups!$A$2:$D$10, 2, FALSE())</f>
        <v>FastElectronics</v>
      </c>
      <c r="R2724" t="str">
        <f>_xlfn.XLOOKUP(D2724, Lookups!$A$12:$A$51, Lookups!$C$12:$C$51, "Unknown")</f>
        <v>Electronics</v>
      </c>
      <c r="S2724" t="str">
        <f>IF(ISBLANK(I2724), B2724+VLOOKUP(C2724, Lookups!$A$2:$D$10, 4, FALSE()), I2724)</f>
        <v>2026-11-04</v>
      </c>
      <c r="T2724">
        <f t="shared" si="255"/>
        <v>18</v>
      </c>
      <c r="U2724" t="str">
        <f t="shared" si="256"/>
        <v>On-Time</v>
      </c>
      <c r="V2724">
        <f t="shared" si="257"/>
        <v>0</v>
      </c>
    </row>
    <row r="2725" spans="1:22" x14ac:dyDescent="0.45">
      <c r="A2725" t="s">
        <v>3581</v>
      </c>
      <c r="B2725" t="s">
        <v>356</v>
      </c>
      <c r="C2725" t="s">
        <v>34</v>
      </c>
      <c r="D2725" t="s">
        <v>54</v>
      </c>
      <c r="E2725" t="s">
        <v>16</v>
      </c>
      <c r="F2725">
        <v>27</v>
      </c>
      <c r="G2725">
        <v>22314</v>
      </c>
      <c r="H2725">
        <v>602478</v>
      </c>
      <c r="I2725" t="s">
        <v>320</v>
      </c>
      <c r="J2725" t="s">
        <v>320</v>
      </c>
      <c r="K2725">
        <v>27</v>
      </c>
      <c r="L2725">
        <v>0</v>
      </c>
      <c r="M2725" t="s">
        <v>115</v>
      </c>
      <c r="N2725" t="str">
        <f t="shared" si="252"/>
        <v>PO-102724</v>
      </c>
      <c r="O2725" t="str">
        <f t="shared" si="253"/>
        <v>Delivered</v>
      </c>
      <c r="P2725" t="str">
        <f t="shared" si="254"/>
        <v>WH-DEL</v>
      </c>
      <c r="Q2725" t="str">
        <f>VLOOKUP(C2725, Lookups!$A$2:$D$10, 2, FALSE())</f>
        <v>FastElectronics</v>
      </c>
      <c r="R2725" t="str">
        <f>_xlfn.XLOOKUP(D2725, Lookups!$A$12:$A$51, Lookups!$C$12:$C$51, "Unknown")</f>
        <v>Networking</v>
      </c>
      <c r="S2725" t="str">
        <f>IF(ISBLANK(I2725), B2725+VLOOKUP(C2725, Lookups!$A$2:$D$10, 4, FALSE()), I2725)</f>
        <v>2025-10-15</v>
      </c>
      <c r="T2725">
        <f t="shared" si="255"/>
        <v>18</v>
      </c>
      <c r="U2725" t="str">
        <f t="shared" si="256"/>
        <v>On-Time</v>
      </c>
      <c r="V2725">
        <f t="shared" si="257"/>
        <v>0</v>
      </c>
    </row>
    <row r="2726" spans="1:22" x14ac:dyDescent="0.45">
      <c r="A2726" t="s">
        <v>3582</v>
      </c>
      <c r="B2726" t="s">
        <v>1265</v>
      </c>
      <c r="C2726" t="s">
        <v>34</v>
      </c>
      <c r="D2726" t="s">
        <v>68</v>
      </c>
      <c r="E2726" t="s">
        <v>18</v>
      </c>
      <c r="F2726">
        <v>244</v>
      </c>
      <c r="G2726">
        <v>41405</v>
      </c>
      <c r="H2726">
        <v>10102820</v>
      </c>
      <c r="I2726" t="s">
        <v>805</v>
      </c>
      <c r="J2726" t="s">
        <v>583</v>
      </c>
      <c r="K2726">
        <v>132</v>
      </c>
      <c r="L2726">
        <v>0</v>
      </c>
      <c r="M2726" t="s">
        <v>115</v>
      </c>
      <c r="N2726" t="str">
        <f t="shared" si="252"/>
        <v>PO-102725</v>
      </c>
      <c r="O2726" t="str">
        <f t="shared" si="253"/>
        <v>Delivered</v>
      </c>
      <c r="P2726" t="str">
        <f t="shared" si="254"/>
        <v>WH-PUN</v>
      </c>
      <c r="Q2726" t="str">
        <f>VLOOKUP(C2726, Lookups!$A$2:$D$10, 2, FALSE())</f>
        <v>FastElectronics</v>
      </c>
      <c r="R2726" t="str">
        <f>_xlfn.XLOOKUP(D2726, Lookups!$A$12:$A$51, Lookups!$C$12:$C$51, "Unknown")</f>
        <v>Networking</v>
      </c>
      <c r="S2726" t="str">
        <f>IF(ISBLANK(I2726), B2726+VLOOKUP(C2726, Lookups!$A$2:$D$10, 4, FALSE()), I2726)</f>
        <v>2025-04-25</v>
      </c>
      <c r="T2726">
        <f t="shared" si="255"/>
        <v>19</v>
      </c>
      <c r="U2726" t="str">
        <f t="shared" si="256"/>
        <v>Late</v>
      </c>
      <c r="V2726">
        <f t="shared" si="257"/>
        <v>0</v>
      </c>
    </row>
    <row r="2727" spans="1:22" x14ac:dyDescent="0.45">
      <c r="A2727" t="s">
        <v>3583</v>
      </c>
      <c r="B2727" t="s">
        <v>607</v>
      </c>
      <c r="C2727" t="s">
        <v>31</v>
      </c>
      <c r="D2727" t="s">
        <v>64</v>
      </c>
      <c r="E2727" t="s">
        <v>16</v>
      </c>
      <c r="F2727">
        <v>154</v>
      </c>
      <c r="G2727">
        <v>36295</v>
      </c>
      <c r="H2727">
        <v>5589430</v>
      </c>
      <c r="I2727" t="s">
        <v>764</v>
      </c>
      <c r="J2727" t="s">
        <v>764</v>
      </c>
      <c r="K2727">
        <v>154</v>
      </c>
      <c r="L2727">
        <v>0</v>
      </c>
      <c r="M2727" t="s">
        <v>115</v>
      </c>
      <c r="N2727" t="str">
        <f t="shared" si="252"/>
        <v>PO-102726</v>
      </c>
      <c r="O2727" t="str">
        <f t="shared" si="253"/>
        <v>Delivered</v>
      </c>
      <c r="P2727" t="str">
        <f t="shared" si="254"/>
        <v>WH-DEL</v>
      </c>
      <c r="Q2727" t="str">
        <f>VLOOKUP(C2727, Lookups!$A$2:$D$10, 2, FALSE())</f>
        <v>Global Networks</v>
      </c>
      <c r="R2727" t="str">
        <f>_xlfn.XLOOKUP(D2727, Lookups!$A$12:$A$51, Lookups!$C$12:$C$51, "Unknown")</f>
        <v>Networking</v>
      </c>
      <c r="S2727" t="str">
        <f>IF(ISBLANK(I2727), B2727+VLOOKUP(C2727, Lookups!$A$2:$D$10, 4, FALSE()), I2727)</f>
        <v>2025-02-19</v>
      </c>
      <c r="T2727">
        <f t="shared" si="255"/>
        <v>21</v>
      </c>
      <c r="U2727" t="str">
        <f t="shared" si="256"/>
        <v>On-Time</v>
      </c>
      <c r="V2727">
        <f t="shared" si="257"/>
        <v>0</v>
      </c>
    </row>
    <row r="2728" spans="1:22" x14ac:dyDescent="0.45">
      <c r="A2728" t="s">
        <v>3584</v>
      </c>
      <c r="B2728" t="s">
        <v>1416</v>
      </c>
      <c r="C2728" t="s">
        <v>37</v>
      </c>
      <c r="D2728" t="s">
        <v>79</v>
      </c>
      <c r="E2728" t="s">
        <v>18</v>
      </c>
      <c r="F2728">
        <v>175</v>
      </c>
      <c r="G2728">
        <v>23054</v>
      </c>
      <c r="H2728">
        <v>4034450</v>
      </c>
      <c r="I2728" t="s">
        <v>718</v>
      </c>
      <c r="J2728" t="s">
        <v>718</v>
      </c>
      <c r="K2728">
        <v>175</v>
      </c>
      <c r="L2728">
        <v>0</v>
      </c>
      <c r="M2728" t="s">
        <v>115</v>
      </c>
      <c r="N2728" t="str">
        <f t="shared" si="252"/>
        <v>PO-102727</v>
      </c>
      <c r="O2728" t="str">
        <f t="shared" si="253"/>
        <v>Delivered</v>
      </c>
      <c r="P2728" t="str">
        <f t="shared" si="254"/>
        <v>WH-PUN</v>
      </c>
      <c r="Q2728" t="str">
        <f>VLOOKUP(C2728, Lookups!$A$2:$D$10, 2, FALSE())</f>
        <v>Premium Desks Ltd</v>
      </c>
      <c r="R2728" t="str">
        <f>_xlfn.XLOOKUP(D2728, Lookups!$A$12:$A$51, Lookups!$C$12:$C$51, "Unknown")</f>
        <v>Office Furniture</v>
      </c>
      <c r="S2728" t="str">
        <f>IF(ISBLANK(I2728), B2728+VLOOKUP(C2728, Lookups!$A$2:$D$10, 4, FALSE()), I2728)</f>
        <v>2026-02-11</v>
      </c>
      <c r="T2728">
        <f t="shared" si="255"/>
        <v>12</v>
      </c>
      <c r="U2728" t="str">
        <f t="shared" si="256"/>
        <v>On-Time</v>
      </c>
      <c r="V2728">
        <f t="shared" si="257"/>
        <v>0</v>
      </c>
    </row>
    <row r="2729" spans="1:22" x14ac:dyDescent="0.45">
      <c r="A2729" t="s">
        <v>3585</v>
      </c>
      <c r="B2729" t="s">
        <v>404</v>
      </c>
      <c r="C2729" t="s">
        <v>31</v>
      </c>
      <c r="D2729" t="s">
        <v>64</v>
      </c>
      <c r="E2729" t="s">
        <v>16</v>
      </c>
      <c r="F2729">
        <v>194</v>
      </c>
      <c r="G2729">
        <v>36295</v>
      </c>
      <c r="H2729">
        <v>7041230</v>
      </c>
      <c r="I2729" t="s">
        <v>1087</v>
      </c>
      <c r="J2729" t="s">
        <v>1006</v>
      </c>
      <c r="K2729">
        <v>194</v>
      </c>
      <c r="L2729">
        <v>0</v>
      </c>
      <c r="M2729" t="s">
        <v>115</v>
      </c>
      <c r="N2729" t="str">
        <f t="shared" si="252"/>
        <v>PO-102728</v>
      </c>
      <c r="O2729" t="str">
        <f t="shared" si="253"/>
        <v>Delivered</v>
      </c>
      <c r="P2729" t="str">
        <f t="shared" si="254"/>
        <v>WH-DEL</v>
      </c>
      <c r="Q2729" t="str">
        <f>VLOOKUP(C2729, Lookups!$A$2:$D$10, 2, FALSE())</f>
        <v>Global Networks</v>
      </c>
      <c r="R2729" t="str">
        <f>_xlfn.XLOOKUP(D2729, Lookups!$A$12:$A$51, Lookups!$C$12:$C$51, "Unknown")</f>
        <v>Networking</v>
      </c>
      <c r="S2729" t="str">
        <f>IF(ISBLANK(I2729), B2729+VLOOKUP(C2729, Lookups!$A$2:$D$10, 4, FALSE()), I2729)</f>
        <v>2025-11-15</v>
      </c>
      <c r="T2729">
        <f t="shared" si="255"/>
        <v>22</v>
      </c>
      <c r="U2729" t="str">
        <f t="shared" si="256"/>
        <v>Late</v>
      </c>
      <c r="V2729">
        <f t="shared" si="257"/>
        <v>0</v>
      </c>
    </row>
    <row r="2730" spans="1:22" x14ac:dyDescent="0.45">
      <c r="A2730" t="s">
        <v>3586</v>
      </c>
      <c r="B2730" t="s">
        <v>551</v>
      </c>
      <c r="C2730" t="s">
        <v>34</v>
      </c>
      <c r="D2730" t="s">
        <v>76</v>
      </c>
      <c r="E2730" t="s">
        <v>16</v>
      </c>
      <c r="F2730">
        <v>131</v>
      </c>
      <c r="G2730">
        <v>26270</v>
      </c>
      <c r="H2730">
        <v>3441370</v>
      </c>
      <c r="I2730" t="s">
        <v>552</v>
      </c>
      <c r="J2730" t="s">
        <v>552</v>
      </c>
      <c r="K2730">
        <v>131</v>
      </c>
      <c r="L2730">
        <v>0</v>
      </c>
      <c r="M2730" t="s">
        <v>115</v>
      </c>
      <c r="N2730" t="str">
        <f t="shared" si="252"/>
        <v>PO-102729</v>
      </c>
      <c r="O2730" t="str">
        <f t="shared" si="253"/>
        <v>Delivered</v>
      </c>
      <c r="P2730" t="str">
        <f t="shared" si="254"/>
        <v>WH-DEL</v>
      </c>
      <c r="Q2730" t="str">
        <f>VLOOKUP(C2730, Lookups!$A$2:$D$10, 2, FALSE())</f>
        <v>FastElectronics</v>
      </c>
      <c r="R2730" t="str">
        <f>_xlfn.XLOOKUP(D2730, Lookups!$A$12:$A$51, Lookups!$C$12:$C$51, "Unknown")</f>
        <v>Networking</v>
      </c>
      <c r="S2730" t="str">
        <f>IF(ISBLANK(I2730), B2730+VLOOKUP(C2730, Lookups!$A$2:$D$10, 4, FALSE()), I2730)</f>
        <v>2025-11-22</v>
      </c>
      <c r="T2730">
        <f t="shared" si="255"/>
        <v>18</v>
      </c>
      <c r="U2730" t="str">
        <f t="shared" si="256"/>
        <v>On-Time</v>
      </c>
      <c r="V2730">
        <f t="shared" si="257"/>
        <v>0</v>
      </c>
    </row>
    <row r="2731" spans="1:22" x14ac:dyDescent="0.45">
      <c r="A2731" t="s">
        <v>3587</v>
      </c>
      <c r="B2731" t="s">
        <v>446</v>
      </c>
      <c r="C2731" t="s">
        <v>36</v>
      </c>
      <c r="D2731" t="s">
        <v>55</v>
      </c>
      <c r="E2731" t="s">
        <v>16</v>
      </c>
      <c r="F2731">
        <v>12</v>
      </c>
      <c r="G2731">
        <v>58434</v>
      </c>
      <c r="H2731">
        <v>701208</v>
      </c>
      <c r="I2731" t="s">
        <v>753</v>
      </c>
      <c r="J2731" t="s">
        <v>753</v>
      </c>
      <c r="K2731">
        <v>12</v>
      </c>
      <c r="L2731">
        <v>0</v>
      </c>
      <c r="M2731" t="s">
        <v>115</v>
      </c>
      <c r="N2731" t="str">
        <f t="shared" si="252"/>
        <v>PO-102730</v>
      </c>
      <c r="O2731" t="str">
        <f t="shared" si="253"/>
        <v>Delivered</v>
      </c>
      <c r="P2731" t="str">
        <f t="shared" si="254"/>
        <v>WH-DEL</v>
      </c>
      <c r="Q2731" t="str">
        <f>VLOOKUP(C2731, Lookups!$A$2:$D$10, 2, FALSE())</f>
        <v>NextGen Hardware</v>
      </c>
      <c r="R2731" t="str">
        <f>_xlfn.XLOOKUP(D2731, Lookups!$A$12:$A$51, Lookups!$C$12:$C$51, "Unknown")</f>
        <v>Electronics</v>
      </c>
      <c r="S2731" t="str">
        <f>IF(ISBLANK(I2731), B2731+VLOOKUP(C2731, Lookups!$A$2:$D$10, 4, FALSE()), I2731)</f>
        <v>2025-12-23</v>
      </c>
      <c r="T2731">
        <f t="shared" si="255"/>
        <v>24</v>
      </c>
      <c r="U2731" t="str">
        <f t="shared" si="256"/>
        <v>On-Time</v>
      </c>
      <c r="V2731">
        <f t="shared" si="257"/>
        <v>0</v>
      </c>
    </row>
    <row r="2732" spans="1:22" x14ac:dyDescent="0.45">
      <c r="A2732" t="s">
        <v>3588</v>
      </c>
      <c r="B2732" t="s">
        <v>168</v>
      </c>
      <c r="C2732" t="s">
        <v>35</v>
      </c>
      <c r="D2732" t="s">
        <v>57</v>
      </c>
      <c r="E2732" t="s">
        <v>18</v>
      </c>
      <c r="F2732">
        <v>157</v>
      </c>
      <c r="G2732">
        <v>2212</v>
      </c>
      <c r="H2732">
        <v>347284</v>
      </c>
      <c r="I2732" t="s">
        <v>525</v>
      </c>
      <c r="J2732" t="s">
        <v>325</v>
      </c>
      <c r="K2732">
        <v>157</v>
      </c>
      <c r="L2732">
        <v>0</v>
      </c>
      <c r="M2732" t="s">
        <v>115</v>
      </c>
      <c r="N2732" t="str">
        <f t="shared" si="252"/>
        <v>PO-102731</v>
      </c>
      <c r="O2732" t="str">
        <f t="shared" si="253"/>
        <v>Delivered</v>
      </c>
      <c r="P2732" t="str">
        <f t="shared" si="254"/>
        <v>WH-PUN</v>
      </c>
      <c r="Q2732" t="str">
        <f>VLOOKUP(C2732, Lookups!$A$2:$D$10, 2, FALSE())</f>
        <v>Peripheral Source</v>
      </c>
      <c r="R2732" t="str">
        <f>_xlfn.XLOOKUP(D2732, Lookups!$A$12:$A$51, Lookups!$C$12:$C$51, "Unknown")</f>
        <v>Peripherals</v>
      </c>
      <c r="S2732" t="str">
        <f>IF(ISBLANK(I2732), B2732+VLOOKUP(C2732, Lookups!$A$2:$D$10, 4, FALSE()), I2732)</f>
        <v>2025-05-30</v>
      </c>
      <c r="T2732">
        <f t="shared" si="255"/>
        <v>6</v>
      </c>
      <c r="U2732" t="str">
        <f t="shared" si="256"/>
        <v>On-Time</v>
      </c>
      <c r="V2732">
        <f t="shared" si="257"/>
        <v>0</v>
      </c>
    </row>
    <row r="2733" spans="1:22" x14ac:dyDescent="0.45">
      <c r="A2733" t="s">
        <v>3589</v>
      </c>
      <c r="B2733" t="s">
        <v>2813</v>
      </c>
      <c r="C2733" t="s">
        <v>34</v>
      </c>
      <c r="D2733" t="s">
        <v>74</v>
      </c>
      <c r="E2733" t="s">
        <v>16</v>
      </c>
      <c r="F2733">
        <v>50</v>
      </c>
      <c r="G2733">
        <v>94797</v>
      </c>
      <c r="H2733">
        <v>4739850</v>
      </c>
      <c r="I2733" t="s">
        <v>752</v>
      </c>
      <c r="J2733" t="s">
        <v>752</v>
      </c>
      <c r="K2733">
        <v>50</v>
      </c>
      <c r="L2733">
        <v>0</v>
      </c>
      <c r="M2733" t="s">
        <v>115</v>
      </c>
      <c r="N2733" t="str">
        <f t="shared" si="252"/>
        <v>PO-102732</v>
      </c>
      <c r="O2733" t="str">
        <f t="shared" si="253"/>
        <v>Delivered</v>
      </c>
      <c r="P2733" t="str">
        <f t="shared" si="254"/>
        <v>WH-DEL</v>
      </c>
      <c r="Q2733" t="str">
        <f>VLOOKUP(C2733, Lookups!$A$2:$D$10, 2, FALSE())</f>
        <v>FastElectronics</v>
      </c>
      <c r="R2733" t="str">
        <f>_xlfn.XLOOKUP(D2733, Lookups!$A$12:$A$51, Lookups!$C$12:$C$51, "Unknown")</f>
        <v>Electronics</v>
      </c>
      <c r="S2733" t="str">
        <f>IF(ISBLANK(I2733), B2733+VLOOKUP(C2733, Lookups!$A$2:$D$10, 4, FALSE()), I2733)</f>
        <v>2025-12-22</v>
      </c>
      <c r="T2733">
        <f t="shared" si="255"/>
        <v>18</v>
      </c>
      <c r="U2733" t="str">
        <f t="shared" si="256"/>
        <v>On-Time</v>
      </c>
      <c r="V2733">
        <f t="shared" si="257"/>
        <v>0</v>
      </c>
    </row>
    <row r="2734" spans="1:22" x14ac:dyDescent="0.45">
      <c r="A2734" t="s">
        <v>3590</v>
      </c>
      <c r="B2734" t="s">
        <v>1367</v>
      </c>
      <c r="C2734" t="s">
        <v>36</v>
      </c>
      <c r="D2734" t="s">
        <v>71</v>
      </c>
      <c r="E2734" t="s">
        <v>16</v>
      </c>
      <c r="F2734">
        <v>186</v>
      </c>
      <c r="G2734">
        <v>65379</v>
      </c>
      <c r="H2734">
        <v>12160494</v>
      </c>
      <c r="I2734" t="s">
        <v>986</v>
      </c>
      <c r="J2734" t="s">
        <v>158</v>
      </c>
      <c r="K2734">
        <v>186</v>
      </c>
      <c r="L2734">
        <v>0</v>
      </c>
      <c r="M2734" t="s">
        <v>301</v>
      </c>
      <c r="N2734" t="str">
        <f t="shared" si="252"/>
        <v>PO-102733</v>
      </c>
      <c r="O2734" t="str">
        <f t="shared" si="253"/>
        <v>Delivered</v>
      </c>
      <c r="P2734" t="str">
        <f t="shared" si="254"/>
        <v>WH-DEL</v>
      </c>
      <c r="Q2734" t="str">
        <f>VLOOKUP(C2734, Lookups!$A$2:$D$10, 2, FALSE())</f>
        <v>NextGen Hardware</v>
      </c>
      <c r="R2734" t="str">
        <f>_xlfn.XLOOKUP(D2734, Lookups!$A$12:$A$51, Lookups!$C$12:$C$51, "Unknown")</f>
        <v>Electronics</v>
      </c>
      <c r="S2734" t="str">
        <f>IF(ISBLANK(I2734), B2734+VLOOKUP(C2734, Lookups!$A$2:$D$10, 4, FALSE()), I2734)</f>
        <v>2026-11-04</v>
      </c>
      <c r="T2734">
        <f t="shared" si="255"/>
        <v>25</v>
      </c>
      <c r="U2734" t="str">
        <f t="shared" si="256"/>
        <v>Late</v>
      </c>
      <c r="V2734">
        <f t="shared" si="257"/>
        <v>0</v>
      </c>
    </row>
    <row r="2735" spans="1:22" x14ac:dyDescent="0.45">
      <c r="A2735" t="s">
        <v>3591</v>
      </c>
      <c r="B2735" t="s">
        <v>798</v>
      </c>
      <c r="C2735" t="s">
        <v>33</v>
      </c>
      <c r="D2735" t="s">
        <v>89</v>
      </c>
      <c r="E2735" t="s">
        <v>16</v>
      </c>
      <c r="F2735">
        <v>197</v>
      </c>
      <c r="G2735">
        <v>11309</v>
      </c>
      <c r="H2735">
        <v>2227873</v>
      </c>
      <c r="I2735" t="s">
        <v>391</v>
      </c>
      <c r="J2735" t="s">
        <v>842</v>
      </c>
      <c r="K2735">
        <v>197</v>
      </c>
      <c r="L2735">
        <v>6</v>
      </c>
      <c r="M2735" t="s">
        <v>115</v>
      </c>
      <c r="N2735" t="str">
        <f t="shared" si="252"/>
        <v>PO-102734</v>
      </c>
      <c r="O2735" t="str">
        <f t="shared" si="253"/>
        <v>Delivered</v>
      </c>
      <c r="P2735" t="str">
        <f t="shared" si="254"/>
        <v>WH-DEL</v>
      </c>
      <c r="Q2735" t="str">
        <f>VLOOKUP(C2735, Lookups!$A$2:$D$10, 2, FALSE())</f>
        <v>MegaFurnish</v>
      </c>
      <c r="R2735" t="str">
        <f>_xlfn.XLOOKUP(D2735, Lookups!$A$12:$A$51, Lookups!$C$12:$C$51, "Unknown")</f>
        <v>Office Furniture</v>
      </c>
      <c r="S2735" t="str">
        <f>IF(ISBLANK(I2735), B2735+VLOOKUP(C2735, Lookups!$A$2:$D$10, 4, FALSE()), I2735)</f>
        <v>2026-06-14</v>
      </c>
      <c r="T2735">
        <f t="shared" si="255"/>
        <v>31</v>
      </c>
      <c r="U2735" t="str">
        <f t="shared" si="256"/>
        <v>Late</v>
      </c>
      <c r="V2735">
        <f t="shared" si="257"/>
        <v>3.0456852791878174E-2</v>
      </c>
    </row>
    <row r="2736" spans="1:22" x14ac:dyDescent="0.45">
      <c r="A2736" t="s">
        <v>3592</v>
      </c>
      <c r="B2736" t="s">
        <v>406</v>
      </c>
      <c r="C2736" t="s">
        <v>37</v>
      </c>
      <c r="D2736" t="s">
        <v>79</v>
      </c>
      <c r="E2736" t="s">
        <v>18</v>
      </c>
      <c r="F2736">
        <v>52</v>
      </c>
      <c r="G2736">
        <v>23054</v>
      </c>
      <c r="H2736">
        <v>1198808</v>
      </c>
      <c r="I2736" t="s">
        <v>883</v>
      </c>
      <c r="J2736" t="s">
        <v>527</v>
      </c>
      <c r="K2736">
        <v>52</v>
      </c>
      <c r="L2736">
        <v>0</v>
      </c>
      <c r="M2736" t="s">
        <v>115</v>
      </c>
      <c r="N2736" t="str">
        <f t="shared" si="252"/>
        <v>PO-102735</v>
      </c>
      <c r="O2736" t="str">
        <f t="shared" si="253"/>
        <v>Delivered</v>
      </c>
      <c r="P2736" t="str">
        <f t="shared" si="254"/>
        <v>WH-PUN</v>
      </c>
      <c r="Q2736" t="str">
        <f>VLOOKUP(C2736, Lookups!$A$2:$D$10, 2, FALSE())</f>
        <v>Premium Desks Ltd</v>
      </c>
      <c r="R2736" t="str">
        <f>_xlfn.XLOOKUP(D2736, Lookups!$A$12:$A$51, Lookups!$C$12:$C$51, "Unknown")</f>
        <v>Office Furniture</v>
      </c>
      <c r="S2736" t="str">
        <f>IF(ISBLANK(I2736), B2736+VLOOKUP(C2736, Lookups!$A$2:$D$10, 4, FALSE()), I2736)</f>
        <v>2026-07-06</v>
      </c>
      <c r="T2736">
        <f t="shared" si="255"/>
        <v>13</v>
      </c>
      <c r="U2736" t="str">
        <f t="shared" si="256"/>
        <v>Late</v>
      </c>
      <c r="V2736">
        <f t="shared" si="257"/>
        <v>0</v>
      </c>
    </row>
    <row r="2737" spans="1:22" x14ac:dyDescent="0.45">
      <c r="A2737" t="s">
        <v>3593</v>
      </c>
      <c r="B2737" t="s">
        <v>1622</v>
      </c>
      <c r="C2737" t="s">
        <v>35</v>
      </c>
      <c r="D2737" t="s">
        <v>91</v>
      </c>
      <c r="E2737" t="s">
        <v>15</v>
      </c>
      <c r="F2737">
        <v>23</v>
      </c>
      <c r="G2737">
        <v>6707</v>
      </c>
      <c r="H2737">
        <v>154261</v>
      </c>
      <c r="I2737" t="s">
        <v>359</v>
      </c>
      <c r="J2737" t="s">
        <v>262</v>
      </c>
      <c r="K2737">
        <v>23</v>
      </c>
      <c r="L2737">
        <v>0</v>
      </c>
      <c r="M2737" t="s">
        <v>115</v>
      </c>
      <c r="N2737" t="str">
        <f t="shared" si="252"/>
        <v>PO-102736</v>
      </c>
      <c r="O2737" t="str">
        <f t="shared" si="253"/>
        <v>Delivered</v>
      </c>
      <c r="P2737" t="str">
        <f t="shared" si="254"/>
        <v>WH-BOM</v>
      </c>
      <c r="Q2737" t="str">
        <f>VLOOKUP(C2737, Lookups!$A$2:$D$10, 2, FALSE())</f>
        <v>Peripheral Source</v>
      </c>
      <c r="R2737" t="str">
        <f>_xlfn.XLOOKUP(D2737, Lookups!$A$12:$A$51, Lookups!$C$12:$C$51, "Unknown")</f>
        <v>Peripherals</v>
      </c>
      <c r="S2737" t="str">
        <f>IF(ISBLANK(I2737), B2737+VLOOKUP(C2737, Lookups!$A$2:$D$10, 4, FALSE()), I2737)</f>
        <v>2026-02-07</v>
      </c>
      <c r="T2737">
        <f t="shared" si="255"/>
        <v>11</v>
      </c>
      <c r="U2737" t="str">
        <f t="shared" si="256"/>
        <v>Late</v>
      </c>
      <c r="V2737">
        <f t="shared" si="257"/>
        <v>0</v>
      </c>
    </row>
    <row r="2738" spans="1:22" x14ac:dyDescent="0.45">
      <c r="A2738" t="s">
        <v>3594</v>
      </c>
      <c r="B2738" t="s">
        <v>1288</v>
      </c>
      <c r="C2738" t="s">
        <v>36</v>
      </c>
      <c r="D2738" t="s">
        <v>90</v>
      </c>
      <c r="E2738" t="s">
        <v>18</v>
      </c>
      <c r="F2738">
        <v>231</v>
      </c>
      <c r="G2738">
        <v>81434</v>
      </c>
      <c r="H2738">
        <v>18811254</v>
      </c>
      <c r="I2738" t="s">
        <v>228</v>
      </c>
      <c r="J2738" t="s">
        <v>458</v>
      </c>
      <c r="K2738">
        <v>231</v>
      </c>
      <c r="L2738">
        <v>0</v>
      </c>
      <c r="M2738" t="s">
        <v>115</v>
      </c>
      <c r="N2738" t="str">
        <f t="shared" si="252"/>
        <v>PO-102737</v>
      </c>
      <c r="O2738" t="str">
        <f t="shared" si="253"/>
        <v>Delivered</v>
      </c>
      <c r="P2738" t="str">
        <f t="shared" si="254"/>
        <v>WH-PUN</v>
      </c>
      <c r="Q2738" t="str">
        <f>VLOOKUP(C2738, Lookups!$A$2:$D$10, 2, FALSE())</f>
        <v>NextGen Hardware</v>
      </c>
      <c r="R2738" t="str">
        <f>_xlfn.XLOOKUP(D2738, Lookups!$A$12:$A$51, Lookups!$C$12:$C$51, "Unknown")</f>
        <v>Electronics</v>
      </c>
      <c r="S2738" t="str">
        <f>IF(ISBLANK(I2738), B2738+VLOOKUP(C2738, Lookups!$A$2:$D$10, 4, FALSE()), I2738)</f>
        <v>2025-07-13</v>
      </c>
      <c r="T2738">
        <f t="shared" si="255"/>
        <v>25</v>
      </c>
      <c r="U2738" t="str">
        <f t="shared" si="256"/>
        <v>Late</v>
      </c>
      <c r="V2738">
        <f t="shared" si="257"/>
        <v>0</v>
      </c>
    </row>
    <row r="2739" spans="1:22" x14ac:dyDescent="0.45">
      <c r="A2739" t="s">
        <v>3595</v>
      </c>
      <c r="B2739" t="s">
        <v>199</v>
      </c>
      <c r="C2739" t="s">
        <v>34</v>
      </c>
      <c r="D2739" t="s">
        <v>58</v>
      </c>
      <c r="E2739" t="s">
        <v>17</v>
      </c>
      <c r="F2739">
        <v>134</v>
      </c>
      <c r="G2739">
        <v>100302</v>
      </c>
      <c r="H2739">
        <v>13440468</v>
      </c>
      <c r="I2739" t="s">
        <v>471</v>
      </c>
      <c r="J2739" t="s">
        <v>155</v>
      </c>
      <c r="K2739">
        <v>134</v>
      </c>
      <c r="L2739">
        <v>0</v>
      </c>
      <c r="M2739" t="s">
        <v>115</v>
      </c>
      <c r="N2739" t="str">
        <f t="shared" si="252"/>
        <v>PO-102738</v>
      </c>
      <c r="O2739" t="str">
        <f t="shared" si="253"/>
        <v>Delivered</v>
      </c>
      <c r="P2739" t="str">
        <f t="shared" si="254"/>
        <v>WH-BLR</v>
      </c>
      <c r="Q2739" t="str">
        <f>VLOOKUP(C2739, Lookups!$A$2:$D$10, 2, FALSE())</f>
        <v>FastElectronics</v>
      </c>
      <c r="R2739" t="str">
        <f>_xlfn.XLOOKUP(D2739, Lookups!$A$12:$A$51, Lookups!$C$12:$C$51, "Unknown")</f>
        <v>Electronics</v>
      </c>
      <c r="S2739" t="str">
        <f>IF(ISBLANK(I2739), B2739+VLOOKUP(C2739, Lookups!$A$2:$D$10, 4, FALSE()), I2739)</f>
        <v>2025-11-03</v>
      </c>
      <c r="T2739">
        <f t="shared" si="255"/>
        <v>14</v>
      </c>
      <c r="U2739" t="str">
        <f t="shared" si="256"/>
        <v>On-Time</v>
      </c>
      <c r="V2739">
        <f t="shared" si="257"/>
        <v>0</v>
      </c>
    </row>
    <row r="2740" spans="1:22" x14ac:dyDescent="0.45">
      <c r="A2740" t="s">
        <v>3596</v>
      </c>
      <c r="B2740" t="s">
        <v>729</v>
      </c>
      <c r="C2740" t="s">
        <v>31</v>
      </c>
      <c r="D2740" t="s">
        <v>56</v>
      </c>
      <c r="E2740" t="s">
        <v>15</v>
      </c>
      <c r="F2740">
        <v>127</v>
      </c>
      <c r="G2740">
        <v>39270</v>
      </c>
      <c r="H2740">
        <v>4987290</v>
      </c>
      <c r="I2740" t="s">
        <v>889</v>
      </c>
      <c r="J2740" t="s">
        <v>889</v>
      </c>
      <c r="K2740">
        <v>127</v>
      </c>
      <c r="L2740">
        <v>0</v>
      </c>
      <c r="M2740" t="s">
        <v>115</v>
      </c>
      <c r="N2740" t="str">
        <f t="shared" si="252"/>
        <v>PO-102739</v>
      </c>
      <c r="O2740" t="str">
        <f t="shared" si="253"/>
        <v>Delivered</v>
      </c>
      <c r="P2740" t="str">
        <f t="shared" si="254"/>
        <v>WH-BOM</v>
      </c>
      <c r="Q2740" t="str">
        <f>VLOOKUP(C2740, Lookups!$A$2:$D$10, 2, FALSE())</f>
        <v>Global Networks</v>
      </c>
      <c r="R2740" t="str">
        <f>_xlfn.XLOOKUP(D2740, Lookups!$A$12:$A$51, Lookups!$C$12:$C$51, "Unknown")</f>
        <v>Networking</v>
      </c>
      <c r="S2740" t="str">
        <f>IF(ISBLANK(I2740), B2740+VLOOKUP(C2740, Lookups!$A$2:$D$10, 4, FALSE()), I2740)</f>
        <v>2025-10-19</v>
      </c>
      <c r="T2740">
        <f t="shared" si="255"/>
        <v>21</v>
      </c>
      <c r="U2740" t="str">
        <f t="shared" si="256"/>
        <v>On-Time</v>
      </c>
      <c r="V2740">
        <f t="shared" si="257"/>
        <v>0</v>
      </c>
    </row>
    <row r="2741" spans="1:22" x14ac:dyDescent="0.45">
      <c r="A2741" t="s">
        <v>3597</v>
      </c>
      <c r="B2741" t="s">
        <v>319</v>
      </c>
      <c r="C2741" t="s">
        <v>32</v>
      </c>
      <c r="D2741" t="s">
        <v>67</v>
      </c>
      <c r="E2741" t="s">
        <v>16</v>
      </c>
      <c r="F2741">
        <v>126</v>
      </c>
      <c r="G2741">
        <v>1553</v>
      </c>
      <c r="H2741">
        <v>195678</v>
      </c>
      <c r="I2741" t="s">
        <v>246</v>
      </c>
      <c r="J2741" t="s">
        <v>404</v>
      </c>
      <c r="K2741">
        <v>126</v>
      </c>
      <c r="L2741">
        <v>0</v>
      </c>
      <c r="M2741" t="s">
        <v>115</v>
      </c>
      <c r="N2741" t="str">
        <f t="shared" si="252"/>
        <v>PO-102740</v>
      </c>
      <c r="O2741" t="str">
        <f t="shared" si="253"/>
        <v>Delivered</v>
      </c>
      <c r="P2741" t="str">
        <f t="shared" si="254"/>
        <v>WH-DEL</v>
      </c>
      <c r="Q2741" t="str">
        <f>VLOOKUP(C2741, Lookups!$A$2:$D$10, 2, FALSE())</f>
        <v>OfficeDepot Pro</v>
      </c>
      <c r="R2741" t="str">
        <f>_xlfn.XLOOKUP(D2741, Lookups!$A$12:$A$51, Lookups!$C$12:$C$51, "Unknown")</f>
        <v>Peripherals</v>
      </c>
      <c r="S2741" t="str">
        <f>IF(ISBLANK(I2741), B2741+VLOOKUP(C2741, Lookups!$A$2:$D$10, 4, FALSE()), I2741)</f>
        <v>2025-10-21</v>
      </c>
      <c r="T2741">
        <f t="shared" si="255"/>
        <v>11</v>
      </c>
      <c r="U2741" t="str">
        <f t="shared" si="256"/>
        <v>Late</v>
      </c>
      <c r="V2741">
        <f t="shared" si="257"/>
        <v>0</v>
      </c>
    </row>
    <row r="2742" spans="1:22" x14ac:dyDescent="0.45">
      <c r="A2742" t="s">
        <v>3598</v>
      </c>
      <c r="B2742" t="s">
        <v>268</v>
      </c>
      <c r="C2742" t="s">
        <v>35</v>
      </c>
      <c r="D2742" t="s">
        <v>70</v>
      </c>
      <c r="E2742" t="s">
        <v>18</v>
      </c>
      <c r="F2742">
        <v>66</v>
      </c>
      <c r="G2742">
        <v>4287</v>
      </c>
      <c r="H2742">
        <v>282942</v>
      </c>
      <c r="I2742" t="s">
        <v>960</v>
      </c>
      <c r="J2742" t="s">
        <v>352</v>
      </c>
      <c r="K2742">
        <v>46</v>
      </c>
      <c r="L2742">
        <v>0</v>
      </c>
      <c r="M2742" t="s">
        <v>115</v>
      </c>
      <c r="N2742" t="str">
        <f t="shared" si="252"/>
        <v>PO-102741</v>
      </c>
      <c r="O2742" t="str">
        <f t="shared" si="253"/>
        <v>Delivered</v>
      </c>
      <c r="P2742" t="str">
        <f t="shared" si="254"/>
        <v>WH-PUN</v>
      </c>
      <c r="Q2742" t="str">
        <f>VLOOKUP(C2742, Lookups!$A$2:$D$10, 2, FALSE())</f>
        <v>Peripheral Source</v>
      </c>
      <c r="R2742" t="str">
        <f>_xlfn.XLOOKUP(D2742, Lookups!$A$12:$A$51, Lookups!$C$12:$C$51, "Unknown")</f>
        <v>Peripherals</v>
      </c>
      <c r="S2742" t="str">
        <f>IF(ISBLANK(I2742), B2742+VLOOKUP(C2742, Lookups!$A$2:$D$10, 4, FALSE()), I2742)</f>
        <v>2025-04-23</v>
      </c>
      <c r="T2742">
        <f t="shared" si="255"/>
        <v>11</v>
      </c>
      <c r="U2742" t="str">
        <f t="shared" si="256"/>
        <v>Late</v>
      </c>
      <c r="V2742">
        <f t="shared" si="257"/>
        <v>0</v>
      </c>
    </row>
    <row r="2743" spans="1:22" x14ac:dyDescent="0.45">
      <c r="A2743" t="s">
        <v>3599</v>
      </c>
      <c r="B2743" t="s">
        <v>380</v>
      </c>
      <c r="C2743" t="s">
        <v>35</v>
      </c>
      <c r="D2743" t="s">
        <v>57</v>
      </c>
      <c r="E2743" t="s">
        <v>15</v>
      </c>
      <c r="F2743">
        <v>235</v>
      </c>
      <c r="G2743">
        <v>2212</v>
      </c>
      <c r="H2743">
        <v>519820</v>
      </c>
      <c r="I2743" t="s">
        <v>431</v>
      </c>
      <c r="J2743" t="s">
        <v>1164</v>
      </c>
      <c r="K2743">
        <v>235</v>
      </c>
      <c r="L2743">
        <v>0</v>
      </c>
      <c r="M2743" t="s">
        <v>115</v>
      </c>
      <c r="N2743" t="str">
        <f t="shared" si="252"/>
        <v>PO-102742</v>
      </c>
      <c r="O2743" t="str">
        <f t="shared" si="253"/>
        <v>Delivered</v>
      </c>
      <c r="P2743" t="str">
        <f t="shared" si="254"/>
        <v>WH-BOM</v>
      </c>
      <c r="Q2743" t="str">
        <f>VLOOKUP(C2743, Lookups!$A$2:$D$10, 2, FALSE())</f>
        <v>Peripheral Source</v>
      </c>
      <c r="R2743" t="str">
        <f>_xlfn.XLOOKUP(D2743, Lookups!$A$12:$A$51, Lookups!$C$12:$C$51, "Unknown")</f>
        <v>Peripherals</v>
      </c>
      <c r="S2743" t="str">
        <f>IF(ISBLANK(I2743), B2743+VLOOKUP(C2743, Lookups!$A$2:$D$10, 4, FALSE()), I2743)</f>
        <v>2025-03-16</v>
      </c>
      <c r="T2743">
        <f t="shared" si="255"/>
        <v>17</v>
      </c>
      <c r="U2743" t="str">
        <f t="shared" si="256"/>
        <v>Late</v>
      </c>
      <c r="V2743">
        <f t="shared" si="257"/>
        <v>0</v>
      </c>
    </row>
    <row r="2744" spans="1:22" x14ac:dyDescent="0.45">
      <c r="A2744" t="s">
        <v>3600</v>
      </c>
      <c r="B2744" t="s">
        <v>577</v>
      </c>
      <c r="C2744" t="s">
        <v>31</v>
      </c>
      <c r="D2744" t="s">
        <v>66</v>
      </c>
      <c r="E2744" t="s">
        <v>15</v>
      </c>
      <c r="F2744">
        <v>218</v>
      </c>
      <c r="G2744">
        <v>29719</v>
      </c>
      <c r="H2744">
        <v>6478742</v>
      </c>
      <c r="I2744" t="s">
        <v>339</v>
      </c>
      <c r="J2744" t="s">
        <v>366</v>
      </c>
      <c r="K2744">
        <v>218</v>
      </c>
      <c r="L2744">
        <v>0</v>
      </c>
      <c r="M2744" t="s">
        <v>166</v>
      </c>
      <c r="N2744" t="str">
        <f t="shared" si="252"/>
        <v>PO-102743</v>
      </c>
      <c r="O2744" t="str">
        <f t="shared" si="253"/>
        <v>Delivered</v>
      </c>
      <c r="P2744" t="str">
        <f t="shared" si="254"/>
        <v>WH-BOM</v>
      </c>
      <c r="Q2744" t="str">
        <f>VLOOKUP(C2744, Lookups!$A$2:$D$10, 2, FALSE())</f>
        <v>Global Networks</v>
      </c>
      <c r="R2744" t="str">
        <f>_xlfn.XLOOKUP(D2744, Lookups!$A$12:$A$51, Lookups!$C$12:$C$51, "Unknown")</f>
        <v>Networking</v>
      </c>
      <c r="S2744" t="str">
        <f>IF(ISBLANK(I2744), B2744+VLOOKUP(C2744, Lookups!$A$2:$D$10, 4, FALSE()), I2744)</f>
        <v>2026-04-20</v>
      </c>
      <c r="T2744">
        <f t="shared" si="255"/>
        <v>17</v>
      </c>
      <c r="U2744" t="str">
        <f t="shared" si="256"/>
        <v>On-Time</v>
      </c>
      <c r="V2744">
        <f t="shared" si="257"/>
        <v>0</v>
      </c>
    </row>
    <row r="2745" spans="1:22" x14ac:dyDescent="0.45">
      <c r="A2745" t="s">
        <v>3601</v>
      </c>
      <c r="B2745" t="s">
        <v>566</v>
      </c>
      <c r="C2745" t="s">
        <v>34</v>
      </c>
      <c r="D2745" t="s">
        <v>81</v>
      </c>
      <c r="E2745" t="s">
        <v>17</v>
      </c>
      <c r="F2745">
        <v>155</v>
      </c>
      <c r="G2745">
        <v>55328</v>
      </c>
      <c r="H2745">
        <v>8575840</v>
      </c>
      <c r="I2745" t="s">
        <v>396</v>
      </c>
      <c r="J2745" t="s">
        <v>1168</v>
      </c>
      <c r="K2745">
        <v>155</v>
      </c>
      <c r="L2745">
        <v>0</v>
      </c>
      <c r="M2745" t="s">
        <v>115</v>
      </c>
      <c r="N2745" t="str">
        <f t="shared" si="252"/>
        <v>PO-102744</v>
      </c>
      <c r="O2745" t="str">
        <f t="shared" si="253"/>
        <v>Delivered</v>
      </c>
      <c r="P2745" t="str">
        <f t="shared" si="254"/>
        <v>WH-BLR</v>
      </c>
      <c r="Q2745" t="str">
        <f>VLOOKUP(C2745, Lookups!$A$2:$D$10, 2, FALSE())</f>
        <v>FastElectronics</v>
      </c>
      <c r="R2745" t="str">
        <f>_xlfn.XLOOKUP(D2745, Lookups!$A$12:$A$51, Lookups!$C$12:$C$51, "Unknown")</f>
        <v>Electronics</v>
      </c>
      <c r="S2745" t="str">
        <f>IF(ISBLANK(I2745), B2745+VLOOKUP(C2745, Lookups!$A$2:$D$10, 4, FALSE()), I2745)</f>
        <v>2025-03-27</v>
      </c>
      <c r="T2745">
        <f t="shared" si="255"/>
        <v>17</v>
      </c>
      <c r="U2745" t="str">
        <f t="shared" si="256"/>
        <v>On-Time</v>
      </c>
      <c r="V2745">
        <f t="shared" si="257"/>
        <v>0</v>
      </c>
    </row>
    <row r="2746" spans="1:22" x14ac:dyDescent="0.45">
      <c r="A2746" t="s">
        <v>3602</v>
      </c>
      <c r="B2746" t="s">
        <v>412</v>
      </c>
      <c r="C2746" t="s">
        <v>31</v>
      </c>
      <c r="D2746" t="s">
        <v>66</v>
      </c>
      <c r="E2746" t="s">
        <v>15</v>
      </c>
      <c r="F2746">
        <v>57</v>
      </c>
      <c r="G2746">
        <v>29719</v>
      </c>
      <c r="H2746">
        <v>1693983</v>
      </c>
      <c r="I2746" t="s">
        <v>2281</v>
      </c>
      <c r="J2746" t="s">
        <v>2018</v>
      </c>
      <c r="K2746">
        <v>57</v>
      </c>
      <c r="L2746">
        <v>0</v>
      </c>
      <c r="M2746" t="s">
        <v>115</v>
      </c>
      <c r="N2746" t="str">
        <f t="shared" si="252"/>
        <v>PO-102745</v>
      </c>
      <c r="O2746" t="str">
        <f t="shared" si="253"/>
        <v>Delivered</v>
      </c>
      <c r="P2746" t="str">
        <f t="shared" si="254"/>
        <v>WH-BOM</v>
      </c>
      <c r="Q2746" t="str">
        <f>VLOOKUP(C2746, Lookups!$A$2:$D$10, 2, FALSE())</f>
        <v>Global Networks</v>
      </c>
      <c r="R2746" t="str">
        <f>_xlfn.XLOOKUP(D2746, Lookups!$A$12:$A$51, Lookups!$C$12:$C$51, "Unknown")</f>
        <v>Networking</v>
      </c>
      <c r="S2746" t="str">
        <f>IF(ISBLANK(I2746), B2746+VLOOKUP(C2746, Lookups!$A$2:$D$10, 4, FALSE()), I2746)</f>
        <v>2026-06-17</v>
      </c>
      <c r="T2746">
        <f t="shared" si="255"/>
        <v>22</v>
      </c>
      <c r="U2746" t="str">
        <f t="shared" si="256"/>
        <v>Late</v>
      </c>
      <c r="V2746">
        <f t="shared" si="257"/>
        <v>0</v>
      </c>
    </row>
    <row r="2747" spans="1:22" x14ac:dyDescent="0.45">
      <c r="A2747" t="s">
        <v>3603</v>
      </c>
      <c r="B2747" t="s">
        <v>135</v>
      </c>
      <c r="C2747" t="s">
        <v>30</v>
      </c>
      <c r="D2747" t="s">
        <v>82</v>
      </c>
      <c r="E2747" t="s">
        <v>15</v>
      </c>
      <c r="F2747">
        <v>31</v>
      </c>
      <c r="G2747">
        <v>83427</v>
      </c>
      <c r="H2747">
        <v>2586237</v>
      </c>
      <c r="I2747" t="s">
        <v>521</v>
      </c>
      <c r="J2747" t="s">
        <v>521</v>
      </c>
      <c r="K2747">
        <v>24</v>
      </c>
      <c r="L2747">
        <v>0</v>
      </c>
      <c r="M2747" t="s">
        <v>115</v>
      </c>
      <c r="N2747" t="str">
        <f t="shared" si="252"/>
        <v>PO-102746</v>
      </c>
      <c r="O2747" t="str">
        <f t="shared" si="253"/>
        <v>Delivered</v>
      </c>
      <c r="P2747" t="str">
        <f t="shared" si="254"/>
        <v>WH-BOM</v>
      </c>
      <c r="Q2747" t="str">
        <f>VLOOKUP(C2747, Lookups!$A$2:$D$10, 2, FALSE())</f>
        <v>TechSupply Corp</v>
      </c>
      <c r="R2747" t="str">
        <f>_xlfn.XLOOKUP(D2747, Lookups!$A$12:$A$51, Lookups!$C$12:$C$51, "Unknown")</f>
        <v>Electronics</v>
      </c>
      <c r="S2747" t="str">
        <f>IF(ISBLANK(I2747), B2747+VLOOKUP(C2747, Lookups!$A$2:$D$10, 4, FALSE()), I2747)</f>
        <v>2026-09-16</v>
      </c>
      <c r="T2747">
        <f t="shared" si="255"/>
        <v>14</v>
      </c>
      <c r="U2747" t="str">
        <f t="shared" si="256"/>
        <v>On-Time</v>
      </c>
      <c r="V2747">
        <f t="shared" si="257"/>
        <v>0</v>
      </c>
    </row>
    <row r="2748" spans="1:22" x14ac:dyDescent="0.45">
      <c r="A2748" t="s">
        <v>3604</v>
      </c>
      <c r="B2748" t="s">
        <v>221</v>
      </c>
      <c r="C2748" t="s">
        <v>36</v>
      </c>
      <c r="D2748" t="s">
        <v>62</v>
      </c>
      <c r="E2748" t="s">
        <v>15</v>
      </c>
      <c r="F2748">
        <v>221</v>
      </c>
      <c r="G2748">
        <v>48478</v>
      </c>
      <c r="H2748">
        <v>10713638</v>
      </c>
      <c r="I2748" t="s">
        <v>322</v>
      </c>
      <c r="J2748" t="s">
        <v>322</v>
      </c>
      <c r="K2748">
        <v>221</v>
      </c>
      <c r="L2748">
        <v>0</v>
      </c>
      <c r="M2748" t="s">
        <v>115</v>
      </c>
      <c r="N2748" t="str">
        <f t="shared" si="252"/>
        <v>PO-102747</v>
      </c>
      <c r="O2748" t="str">
        <f t="shared" si="253"/>
        <v>Delivered</v>
      </c>
      <c r="P2748" t="str">
        <f t="shared" si="254"/>
        <v>WH-BOM</v>
      </c>
      <c r="Q2748" t="str">
        <f>VLOOKUP(C2748, Lookups!$A$2:$D$10, 2, FALSE())</f>
        <v>NextGen Hardware</v>
      </c>
      <c r="R2748" t="str">
        <f>_xlfn.XLOOKUP(D2748, Lookups!$A$12:$A$51, Lookups!$C$12:$C$51, "Unknown")</f>
        <v>Electronics</v>
      </c>
      <c r="S2748" t="str">
        <f>IF(ISBLANK(I2748), B2748+VLOOKUP(C2748, Lookups!$A$2:$D$10, 4, FALSE()), I2748)</f>
        <v>2026-03-24</v>
      </c>
      <c r="T2748">
        <f t="shared" si="255"/>
        <v>24</v>
      </c>
      <c r="U2748" t="str">
        <f t="shared" si="256"/>
        <v>On-Time</v>
      </c>
      <c r="V2748">
        <f t="shared" si="257"/>
        <v>0</v>
      </c>
    </row>
    <row r="2749" spans="1:22" x14ac:dyDescent="0.45">
      <c r="A2749" t="s">
        <v>3605</v>
      </c>
      <c r="B2749" t="s">
        <v>744</v>
      </c>
      <c r="C2749" t="s">
        <v>34</v>
      </c>
      <c r="D2749" t="s">
        <v>68</v>
      </c>
      <c r="E2749" t="s">
        <v>15</v>
      </c>
      <c r="F2749">
        <v>10</v>
      </c>
      <c r="G2749">
        <v>41405</v>
      </c>
      <c r="H2749">
        <v>414050</v>
      </c>
      <c r="K2749">
        <v>0</v>
      </c>
      <c r="L2749">
        <v>0</v>
      </c>
      <c r="M2749" t="s">
        <v>297</v>
      </c>
      <c r="N2749" t="str">
        <f t="shared" si="252"/>
        <v>PO-102748</v>
      </c>
      <c r="O2749" t="str">
        <f t="shared" si="253"/>
        <v>Open</v>
      </c>
      <c r="P2749" t="str">
        <f t="shared" si="254"/>
        <v>WH-BOM</v>
      </c>
      <c r="Q2749" t="str">
        <f>VLOOKUP(C2749, Lookups!$A$2:$D$10, 2, FALSE())</f>
        <v>FastElectronics</v>
      </c>
      <c r="R2749" t="str">
        <f>_xlfn.XLOOKUP(D2749, Lookups!$A$12:$A$51, Lookups!$C$12:$C$51, "Unknown")</f>
        <v>Networking</v>
      </c>
      <c r="S2749">
        <f>IF(ISBLANK(I2749), B2749+VLOOKUP(C2749, Lookups!$A$2:$D$10, 4, FALSE()), I2749)</f>
        <v>46369</v>
      </c>
      <c r="T2749" t="str">
        <f t="shared" si="255"/>
        <v/>
      </c>
      <c r="U2749" t="str">
        <f t="shared" si="256"/>
        <v>Open</v>
      </c>
      <c r="V2749">
        <f t="shared" si="257"/>
        <v>0</v>
      </c>
    </row>
    <row r="2750" spans="1:22" x14ac:dyDescent="0.45">
      <c r="A2750" t="s">
        <v>3606</v>
      </c>
      <c r="B2750" t="s">
        <v>401</v>
      </c>
      <c r="C2750" t="s">
        <v>37</v>
      </c>
      <c r="D2750" t="s">
        <v>69</v>
      </c>
      <c r="E2750" t="s">
        <v>18</v>
      </c>
      <c r="F2750">
        <v>247</v>
      </c>
      <c r="G2750">
        <v>13231</v>
      </c>
      <c r="H2750">
        <v>3268057</v>
      </c>
      <c r="I2750" t="s">
        <v>859</v>
      </c>
      <c r="J2750" t="s">
        <v>859</v>
      </c>
      <c r="K2750">
        <v>247</v>
      </c>
      <c r="L2750">
        <v>0</v>
      </c>
      <c r="M2750" t="s">
        <v>115</v>
      </c>
      <c r="N2750" t="str">
        <f t="shared" si="252"/>
        <v>PO-102749</v>
      </c>
      <c r="O2750" t="str">
        <f t="shared" si="253"/>
        <v>Delivered</v>
      </c>
      <c r="P2750" t="str">
        <f t="shared" si="254"/>
        <v>WH-PUN</v>
      </c>
      <c r="Q2750" t="str">
        <f>VLOOKUP(C2750, Lookups!$A$2:$D$10, 2, FALSE())</f>
        <v>Premium Desks Ltd</v>
      </c>
      <c r="R2750" t="str">
        <f>_xlfn.XLOOKUP(D2750, Lookups!$A$12:$A$51, Lookups!$C$12:$C$51, "Unknown")</f>
        <v>Office Furniture</v>
      </c>
      <c r="S2750" t="str">
        <f>IF(ISBLANK(I2750), B2750+VLOOKUP(C2750, Lookups!$A$2:$D$10, 4, FALSE()), I2750)</f>
        <v>2025-12-21</v>
      </c>
      <c r="T2750">
        <f t="shared" si="255"/>
        <v>12</v>
      </c>
      <c r="U2750" t="str">
        <f t="shared" si="256"/>
        <v>On-Time</v>
      </c>
      <c r="V2750">
        <f t="shared" si="257"/>
        <v>0</v>
      </c>
    </row>
    <row r="2751" spans="1:22" x14ac:dyDescent="0.45">
      <c r="A2751" t="s">
        <v>3607</v>
      </c>
      <c r="B2751" t="s">
        <v>478</v>
      </c>
      <c r="C2751" t="s">
        <v>37</v>
      </c>
      <c r="D2751" t="s">
        <v>69</v>
      </c>
      <c r="E2751" t="s">
        <v>16</v>
      </c>
      <c r="F2751">
        <v>97</v>
      </c>
      <c r="G2751">
        <v>13231</v>
      </c>
      <c r="H2751">
        <v>1283407</v>
      </c>
      <c r="I2751" t="s">
        <v>1165</v>
      </c>
      <c r="J2751" t="s">
        <v>1165</v>
      </c>
      <c r="K2751">
        <v>97</v>
      </c>
      <c r="L2751">
        <v>0</v>
      </c>
      <c r="M2751" t="s">
        <v>115</v>
      </c>
      <c r="N2751" t="str">
        <f t="shared" si="252"/>
        <v>PO-102750</v>
      </c>
      <c r="O2751" t="str">
        <f t="shared" si="253"/>
        <v>Delivered</v>
      </c>
      <c r="P2751" t="str">
        <f t="shared" si="254"/>
        <v>WH-DEL</v>
      </c>
      <c r="Q2751" t="str">
        <f>VLOOKUP(C2751, Lookups!$A$2:$D$10, 2, FALSE())</f>
        <v>Premium Desks Ltd</v>
      </c>
      <c r="R2751" t="str">
        <f>_xlfn.XLOOKUP(D2751, Lookups!$A$12:$A$51, Lookups!$C$12:$C$51, "Unknown")</f>
        <v>Office Furniture</v>
      </c>
      <c r="S2751" t="str">
        <f>IF(ISBLANK(I2751), B2751+VLOOKUP(C2751, Lookups!$A$2:$D$10, 4, FALSE()), I2751)</f>
        <v>2025-04-10</v>
      </c>
      <c r="T2751">
        <f t="shared" si="255"/>
        <v>12</v>
      </c>
      <c r="U2751" t="str">
        <f t="shared" si="256"/>
        <v>On-Time</v>
      </c>
      <c r="V2751">
        <f t="shared" si="257"/>
        <v>0</v>
      </c>
    </row>
    <row r="2752" spans="1:22" x14ac:dyDescent="0.45">
      <c r="A2752" t="s">
        <v>3608</v>
      </c>
      <c r="B2752" t="s">
        <v>396</v>
      </c>
      <c r="C2752" t="s">
        <v>31</v>
      </c>
      <c r="D2752" t="s">
        <v>56</v>
      </c>
      <c r="E2752" t="s">
        <v>15</v>
      </c>
      <c r="F2752">
        <v>211</v>
      </c>
      <c r="G2752">
        <v>39270</v>
      </c>
      <c r="H2752">
        <v>8285970</v>
      </c>
      <c r="I2752" t="s">
        <v>1377</v>
      </c>
      <c r="J2752" t="s">
        <v>960</v>
      </c>
      <c r="K2752">
        <v>211</v>
      </c>
      <c r="L2752">
        <v>0</v>
      </c>
      <c r="M2752" t="s">
        <v>115</v>
      </c>
      <c r="N2752" t="str">
        <f t="shared" si="252"/>
        <v>PO-102751</v>
      </c>
      <c r="O2752" t="str">
        <f t="shared" si="253"/>
        <v>Delivered</v>
      </c>
      <c r="P2752" t="str">
        <f t="shared" si="254"/>
        <v>WH-BOM</v>
      </c>
      <c r="Q2752" t="str">
        <f>VLOOKUP(C2752, Lookups!$A$2:$D$10, 2, FALSE())</f>
        <v>Global Networks</v>
      </c>
      <c r="R2752" t="str">
        <f>_xlfn.XLOOKUP(D2752, Lookups!$A$12:$A$51, Lookups!$C$12:$C$51, "Unknown")</f>
        <v>Networking</v>
      </c>
      <c r="S2752" t="str">
        <f>IF(ISBLANK(I2752), B2752+VLOOKUP(C2752, Lookups!$A$2:$D$10, 4, FALSE()), I2752)</f>
        <v>2025-04-17</v>
      </c>
      <c r="T2752">
        <f t="shared" si="255"/>
        <v>27</v>
      </c>
      <c r="U2752" t="str">
        <f t="shared" si="256"/>
        <v>Late</v>
      </c>
      <c r="V2752">
        <f t="shared" si="257"/>
        <v>0</v>
      </c>
    </row>
    <row r="2753" spans="1:22" x14ac:dyDescent="0.45">
      <c r="A2753" t="s">
        <v>3609</v>
      </c>
      <c r="B2753" t="s">
        <v>464</v>
      </c>
      <c r="C2753" t="s">
        <v>32</v>
      </c>
      <c r="D2753" t="s">
        <v>67</v>
      </c>
      <c r="E2753" t="s">
        <v>15</v>
      </c>
      <c r="F2753">
        <v>191</v>
      </c>
      <c r="G2753">
        <v>1553</v>
      </c>
      <c r="H2753">
        <v>296623</v>
      </c>
      <c r="I2753" t="s">
        <v>638</v>
      </c>
      <c r="J2753" t="s">
        <v>2813</v>
      </c>
      <c r="K2753">
        <v>191</v>
      </c>
      <c r="L2753">
        <v>0</v>
      </c>
      <c r="M2753" t="s">
        <v>115</v>
      </c>
      <c r="N2753" t="str">
        <f t="shared" si="252"/>
        <v>PO-102752</v>
      </c>
      <c r="O2753" t="str">
        <f t="shared" si="253"/>
        <v>Delivered</v>
      </c>
      <c r="P2753" t="str">
        <f t="shared" si="254"/>
        <v>WH-BOM</v>
      </c>
      <c r="Q2753" t="str">
        <f>VLOOKUP(C2753, Lookups!$A$2:$D$10, 2, FALSE())</f>
        <v>OfficeDepot Pro</v>
      </c>
      <c r="R2753" t="str">
        <f>_xlfn.XLOOKUP(D2753, Lookups!$A$12:$A$51, Lookups!$C$12:$C$51, "Unknown")</f>
        <v>Peripherals</v>
      </c>
      <c r="S2753" t="str">
        <f>IF(ISBLANK(I2753), B2753+VLOOKUP(C2753, Lookups!$A$2:$D$10, 4, FALSE()), I2753)</f>
        <v>2025-11-27</v>
      </c>
      <c r="T2753">
        <f t="shared" si="255"/>
        <v>14</v>
      </c>
      <c r="U2753" t="str">
        <f t="shared" si="256"/>
        <v>Late</v>
      </c>
      <c r="V2753">
        <f t="shared" si="257"/>
        <v>0</v>
      </c>
    </row>
    <row r="2754" spans="1:22" x14ac:dyDescent="0.45">
      <c r="A2754" t="s">
        <v>3610</v>
      </c>
      <c r="B2754" t="s">
        <v>662</v>
      </c>
      <c r="C2754" t="s">
        <v>37</v>
      </c>
      <c r="D2754" t="s">
        <v>78</v>
      </c>
      <c r="E2754" t="s">
        <v>15</v>
      </c>
      <c r="F2754">
        <v>222</v>
      </c>
      <c r="G2754">
        <v>9423</v>
      </c>
      <c r="H2754">
        <v>2091906</v>
      </c>
      <c r="I2754" t="s">
        <v>1041</v>
      </c>
      <c r="J2754" t="s">
        <v>846</v>
      </c>
      <c r="K2754">
        <v>222</v>
      </c>
      <c r="L2754">
        <v>0</v>
      </c>
      <c r="M2754" t="s">
        <v>115</v>
      </c>
      <c r="N2754" t="str">
        <f t="shared" ref="N2754:N2817" si="258">TRIM(A2754)</f>
        <v>PO-102753</v>
      </c>
      <c r="O2754" t="str">
        <f t="shared" ref="O2754:O2817" si="259">PROPER(TRIM(M2754))</f>
        <v>Delivered</v>
      </c>
      <c r="P2754" t="str">
        <f t="shared" ref="P2754:P2817" si="260">TRIM(E2754)</f>
        <v>WH-BOM</v>
      </c>
      <c r="Q2754" t="str">
        <f>VLOOKUP(C2754, Lookups!$A$2:$D$10, 2, FALSE())</f>
        <v>Premium Desks Ltd</v>
      </c>
      <c r="R2754" t="str">
        <f>_xlfn.XLOOKUP(D2754, Lookups!$A$12:$A$51, Lookups!$C$12:$C$51, "Unknown")</f>
        <v>Office Furniture</v>
      </c>
      <c r="S2754" t="str">
        <f>IF(ISBLANK(I2754), B2754+VLOOKUP(C2754, Lookups!$A$2:$D$10, 4, FALSE()), I2754)</f>
        <v>2026-10-17</v>
      </c>
      <c r="T2754">
        <f t="shared" ref="T2754:T2817" si="261">IF(ISBLANK(J2754), "", J2754-B2754)</f>
        <v>13</v>
      </c>
      <c r="U2754" t="str">
        <f t="shared" ref="U2754:U2817" si="262">IF(O2754="Open", "Open", IF(J2754&gt;S2754, "Late", "On-Time"))</f>
        <v>Late</v>
      </c>
      <c r="V2754">
        <f t="shared" ref="V2754:V2817" si="263">IF(K2754&gt;0, L2754/K2754, 0)</f>
        <v>0</v>
      </c>
    </row>
    <row r="2755" spans="1:22" x14ac:dyDescent="0.45">
      <c r="A2755" t="s">
        <v>3611</v>
      </c>
      <c r="B2755" t="s">
        <v>146</v>
      </c>
      <c r="C2755" t="s">
        <v>37</v>
      </c>
      <c r="D2755" t="s">
        <v>83</v>
      </c>
      <c r="E2755" t="s">
        <v>18</v>
      </c>
      <c r="F2755">
        <v>165</v>
      </c>
      <c r="G2755">
        <v>19850</v>
      </c>
      <c r="H2755">
        <v>3275250</v>
      </c>
      <c r="I2755" t="s">
        <v>642</v>
      </c>
      <c r="J2755" t="s">
        <v>642</v>
      </c>
      <c r="K2755">
        <v>165</v>
      </c>
      <c r="L2755">
        <v>0</v>
      </c>
      <c r="M2755" t="s">
        <v>115</v>
      </c>
      <c r="N2755" t="str">
        <f t="shared" si="258"/>
        <v>PO-102754</v>
      </c>
      <c r="O2755" t="str">
        <f t="shared" si="259"/>
        <v>Delivered</v>
      </c>
      <c r="P2755" t="str">
        <f t="shared" si="260"/>
        <v>WH-PUN</v>
      </c>
      <c r="Q2755" t="str">
        <f>VLOOKUP(C2755, Lookups!$A$2:$D$10, 2, FALSE())</f>
        <v>Premium Desks Ltd</v>
      </c>
      <c r="R2755" t="str">
        <f>_xlfn.XLOOKUP(D2755, Lookups!$A$12:$A$51, Lookups!$C$12:$C$51, "Unknown")</f>
        <v>Office Furniture</v>
      </c>
      <c r="S2755" t="str">
        <f>IF(ISBLANK(I2755), B2755+VLOOKUP(C2755, Lookups!$A$2:$D$10, 4, FALSE()), I2755)</f>
        <v>2025-10-20</v>
      </c>
      <c r="T2755">
        <f t="shared" si="261"/>
        <v>12</v>
      </c>
      <c r="U2755" t="str">
        <f t="shared" si="262"/>
        <v>On-Time</v>
      </c>
      <c r="V2755">
        <f t="shared" si="263"/>
        <v>0</v>
      </c>
    </row>
    <row r="2756" spans="1:22" x14ac:dyDescent="0.45">
      <c r="A2756" t="s">
        <v>3612</v>
      </c>
      <c r="B2756" t="s">
        <v>1661</v>
      </c>
      <c r="C2756" t="s">
        <v>34</v>
      </c>
      <c r="D2756" t="s">
        <v>73</v>
      </c>
      <c r="E2756" t="s">
        <v>18</v>
      </c>
      <c r="F2756">
        <v>48</v>
      </c>
      <c r="G2756">
        <v>58396</v>
      </c>
      <c r="H2756">
        <v>2803008</v>
      </c>
      <c r="I2756" t="s">
        <v>2281</v>
      </c>
      <c r="J2756" t="s">
        <v>2018</v>
      </c>
      <c r="K2756">
        <v>32</v>
      </c>
      <c r="L2756">
        <v>0</v>
      </c>
      <c r="M2756" t="s">
        <v>115</v>
      </c>
      <c r="N2756" t="str">
        <f t="shared" si="258"/>
        <v>PO-102755</v>
      </c>
      <c r="O2756" t="str">
        <f t="shared" si="259"/>
        <v>Delivered</v>
      </c>
      <c r="P2756" t="str">
        <f t="shared" si="260"/>
        <v>WH-PUN</v>
      </c>
      <c r="Q2756" t="str">
        <f>VLOOKUP(C2756, Lookups!$A$2:$D$10, 2, FALSE())</f>
        <v>FastElectronics</v>
      </c>
      <c r="R2756" t="str">
        <f>_xlfn.XLOOKUP(D2756, Lookups!$A$12:$A$51, Lookups!$C$12:$C$51, "Unknown")</f>
        <v>Electronics</v>
      </c>
      <c r="S2756" t="str">
        <f>IF(ISBLANK(I2756), B2756+VLOOKUP(C2756, Lookups!$A$2:$D$10, 4, FALSE()), I2756)</f>
        <v>2026-06-17</v>
      </c>
      <c r="T2756">
        <f t="shared" si="261"/>
        <v>19</v>
      </c>
      <c r="U2756" t="str">
        <f t="shared" si="262"/>
        <v>Late</v>
      </c>
      <c r="V2756">
        <f t="shared" si="263"/>
        <v>0</v>
      </c>
    </row>
    <row r="2757" spans="1:22" x14ac:dyDescent="0.45">
      <c r="A2757" t="s">
        <v>3613</v>
      </c>
      <c r="B2757" t="s">
        <v>232</v>
      </c>
      <c r="C2757" t="s">
        <v>31</v>
      </c>
      <c r="D2757" t="s">
        <v>77</v>
      </c>
      <c r="E2757" t="s">
        <v>17</v>
      </c>
      <c r="F2757">
        <v>203</v>
      </c>
      <c r="G2757">
        <v>23667</v>
      </c>
      <c r="H2757">
        <v>4804401</v>
      </c>
      <c r="I2757" t="s">
        <v>1597</v>
      </c>
      <c r="J2757" t="s">
        <v>1770</v>
      </c>
      <c r="K2757">
        <v>203</v>
      </c>
      <c r="L2757">
        <v>0</v>
      </c>
      <c r="M2757" t="s">
        <v>115</v>
      </c>
      <c r="N2757" t="str">
        <f t="shared" si="258"/>
        <v>PO-102756</v>
      </c>
      <c r="O2757" t="str">
        <f t="shared" si="259"/>
        <v>Delivered</v>
      </c>
      <c r="P2757" t="str">
        <f t="shared" si="260"/>
        <v>WH-BLR</v>
      </c>
      <c r="Q2757" t="str">
        <f>VLOOKUP(C2757, Lookups!$A$2:$D$10, 2, FALSE())</f>
        <v>Global Networks</v>
      </c>
      <c r="R2757" t="str">
        <f>_xlfn.XLOOKUP(D2757, Lookups!$A$12:$A$51, Lookups!$C$12:$C$51, "Unknown")</f>
        <v>Networking</v>
      </c>
      <c r="S2757" t="str">
        <f>IF(ISBLANK(I2757), B2757+VLOOKUP(C2757, Lookups!$A$2:$D$10, 4, FALSE()), I2757)</f>
        <v>2025-12-05</v>
      </c>
      <c r="T2757">
        <f t="shared" si="261"/>
        <v>32</v>
      </c>
      <c r="U2757" t="str">
        <f t="shared" si="262"/>
        <v>Late</v>
      </c>
      <c r="V2757">
        <f t="shared" si="263"/>
        <v>0</v>
      </c>
    </row>
    <row r="2758" spans="1:22" x14ac:dyDescent="0.45">
      <c r="A2758" t="s">
        <v>3614</v>
      </c>
      <c r="B2758" t="s">
        <v>766</v>
      </c>
      <c r="C2758" t="s">
        <v>32</v>
      </c>
      <c r="D2758" t="s">
        <v>84</v>
      </c>
      <c r="E2758" t="s">
        <v>18</v>
      </c>
      <c r="F2758">
        <v>203</v>
      </c>
      <c r="G2758">
        <v>7271</v>
      </c>
      <c r="H2758">
        <v>1476013</v>
      </c>
      <c r="I2758" t="s">
        <v>1335</v>
      </c>
      <c r="J2758" t="s">
        <v>770</v>
      </c>
      <c r="K2758">
        <v>203</v>
      </c>
      <c r="L2758">
        <v>0</v>
      </c>
      <c r="M2758" t="s">
        <v>115</v>
      </c>
      <c r="N2758" t="str">
        <f t="shared" si="258"/>
        <v>PO-102757</v>
      </c>
      <c r="O2758" t="str">
        <f t="shared" si="259"/>
        <v>Delivered</v>
      </c>
      <c r="P2758" t="str">
        <f t="shared" si="260"/>
        <v>WH-PUN</v>
      </c>
      <c r="Q2758" t="str">
        <f>VLOOKUP(C2758, Lookups!$A$2:$D$10, 2, FALSE())</f>
        <v>OfficeDepot Pro</v>
      </c>
      <c r="R2758" t="str">
        <f>_xlfn.XLOOKUP(D2758, Lookups!$A$12:$A$51, Lookups!$C$12:$C$51, "Unknown")</f>
        <v>Peripherals</v>
      </c>
      <c r="S2758" t="str">
        <f>IF(ISBLANK(I2758), B2758+VLOOKUP(C2758, Lookups!$A$2:$D$10, 4, FALSE()), I2758)</f>
        <v>2026-12-17</v>
      </c>
      <c r="T2758">
        <f t="shared" si="261"/>
        <v>20</v>
      </c>
      <c r="U2758" t="str">
        <f t="shared" si="262"/>
        <v>Late</v>
      </c>
      <c r="V2758">
        <f t="shared" si="263"/>
        <v>0</v>
      </c>
    </row>
    <row r="2759" spans="1:22" x14ac:dyDescent="0.45">
      <c r="A2759" t="s">
        <v>3615</v>
      </c>
      <c r="B2759" t="s">
        <v>1454</v>
      </c>
      <c r="C2759" t="s">
        <v>31</v>
      </c>
      <c r="D2759" t="s">
        <v>85</v>
      </c>
      <c r="E2759" t="s">
        <v>16</v>
      </c>
      <c r="F2759">
        <v>137</v>
      </c>
      <c r="G2759">
        <v>16501</v>
      </c>
      <c r="H2759">
        <v>2260637</v>
      </c>
      <c r="I2759" t="s">
        <v>1106</v>
      </c>
      <c r="J2759" t="s">
        <v>1106</v>
      </c>
      <c r="K2759">
        <v>137</v>
      </c>
      <c r="L2759">
        <v>0</v>
      </c>
      <c r="M2759" t="s">
        <v>178</v>
      </c>
      <c r="N2759" t="str">
        <f t="shared" si="258"/>
        <v>PO-102758</v>
      </c>
      <c r="O2759" t="str">
        <f t="shared" si="259"/>
        <v>Delivered</v>
      </c>
      <c r="P2759" t="str">
        <f t="shared" si="260"/>
        <v>WH-DEL</v>
      </c>
      <c r="Q2759" t="str">
        <f>VLOOKUP(C2759, Lookups!$A$2:$D$10, 2, FALSE())</f>
        <v>Global Networks</v>
      </c>
      <c r="R2759" t="str">
        <f>_xlfn.XLOOKUP(D2759, Lookups!$A$12:$A$51, Lookups!$C$12:$C$51, "Unknown")</f>
        <v>Networking</v>
      </c>
      <c r="S2759" t="str">
        <f>IF(ISBLANK(I2759), B2759+VLOOKUP(C2759, Lookups!$A$2:$D$10, 4, FALSE()), I2759)</f>
        <v>2025-05-10</v>
      </c>
      <c r="T2759">
        <f t="shared" si="261"/>
        <v>21</v>
      </c>
      <c r="U2759" t="str">
        <f t="shared" si="262"/>
        <v>On-Time</v>
      </c>
      <c r="V2759">
        <f t="shared" si="263"/>
        <v>0</v>
      </c>
    </row>
    <row r="2760" spans="1:22" x14ac:dyDescent="0.45">
      <c r="A2760" t="s">
        <v>3616</v>
      </c>
      <c r="B2760" t="s">
        <v>1066</v>
      </c>
      <c r="C2760" t="s">
        <v>34</v>
      </c>
      <c r="D2760" t="s">
        <v>58</v>
      </c>
      <c r="E2760" t="s">
        <v>18</v>
      </c>
      <c r="F2760">
        <v>24</v>
      </c>
      <c r="G2760">
        <v>100302</v>
      </c>
      <c r="H2760">
        <v>2407248</v>
      </c>
      <c r="I2760" t="s">
        <v>455</v>
      </c>
      <c r="J2760" t="s">
        <v>455</v>
      </c>
      <c r="K2760">
        <v>24</v>
      </c>
      <c r="L2760">
        <v>0</v>
      </c>
      <c r="M2760" t="s">
        <v>115</v>
      </c>
      <c r="N2760" t="str">
        <f t="shared" si="258"/>
        <v>PO-102759</v>
      </c>
      <c r="O2760" t="str">
        <f t="shared" si="259"/>
        <v>Delivered</v>
      </c>
      <c r="P2760" t="str">
        <f t="shared" si="260"/>
        <v>WH-PUN</v>
      </c>
      <c r="Q2760" t="str">
        <f>VLOOKUP(C2760, Lookups!$A$2:$D$10, 2, FALSE())</f>
        <v>FastElectronics</v>
      </c>
      <c r="R2760" t="str">
        <f>_xlfn.XLOOKUP(D2760, Lookups!$A$12:$A$51, Lookups!$C$12:$C$51, "Unknown")</f>
        <v>Electronics</v>
      </c>
      <c r="S2760" t="str">
        <f>IF(ISBLANK(I2760), B2760+VLOOKUP(C2760, Lookups!$A$2:$D$10, 4, FALSE()), I2760)</f>
        <v>2026-08-13</v>
      </c>
      <c r="T2760">
        <f t="shared" si="261"/>
        <v>18</v>
      </c>
      <c r="U2760" t="str">
        <f t="shared" si="262"/>
        <v>On-Time</v>
      </c>
      <c r="V2760">
        <f t="shared" si="263"/>
        <v>0</v>
      </c>
    </row>
    <row r="2761" spans="1:22" x14ac:dyDescent="0.45">
      <c r="A2761" t="s">
        <v>3617</v>
      </c>
      <c r="B2761" t="s">
        <v>674</v>
      </c>
      <c r="C2761" t="s">
        <v>34</v>
      </c>
      <c r="D2761" t="s">
        <v>73</v>
      </c>
      <c r="E2761" t="s">
        <v>17</v>
      </c>
      <c r="F2761">
        <v>243</v>
      </c>
      <c r="G2761">
        <v>58396</v>
      </c>
      <c r="H2761">
        <v>14190228</v>
      </c>
      <c r="I2761" t="s">
        <v>824</v>
      </c>
      <c r="J2761" t="s">
        <v>824</v>
      </c>
      <c r="K2761">
        <v>243</v>
      </c>
      <c r="L2761">
        <v>0</v>
      </c>
      <c r="M2761" t="s">
        <v>115</v>
      </c>
      <c r="N2761" t="str">
        <f t="shared" si="258"/>
        <v>PO-102760</v>
      </c>
      <c r="O2761" t="str">
        <f t="shared" si="259"/>
        <v>Delivered</v>
      </c>
      <c r="P2761" t="str">
        <f t="shared" si="260"/>
        <v>WH-BLR</v>
      </c>
      <c r="Q2761" t="str">
        <f>VLOOKUP(C2761, Lookups!$A$2:$D$10, 2, FALSE())</f>
        <v>FastElectronics</v>
      </c>
      <c r="R2761" t="str">
        <f>_xlfn.XLOOKUP(D2761, Lookups!$A$12:$A$51, Lookups!$C$12:$C$51, "Unknown")</f>
        <v>Electronics</v>
      </c>
      <c r="S2761" t="str">
        <f>IF(ISBLANK(I2761), B2761+VLOOKUP(C2761, Lookups!$A$2:$D$10, 4, FALSE()), I2761)</f>
        <v>2026-12-07</v>
      </c>
      <c r="T2761">
        <f t="shared" si="261"/>
        <v>18</v>
      </c>
      <c r="U2761" t="str">
        <f t="shared" si="262"/>
        <v>On-Time</v>
      </c>
      <c r="V2761">
        <f t="shared" si="263"/>
        <v>0</v>
      </c>
    </row>
    <row r="2762" spans="1:22" x14ac:dyDescent="0.45">
      <c r="A2762" t="s">
        <v>3618</v>
      </c>
      <c r="B2762" t="s">
        <v>708</v>
      </c>
      <c r="C2762" t="s">
        <v>35</v>
      </c>
      <c r="D2762" t="s">
        <v>72</v>
      </c>
      <c r="E2762" t="s">
        <v>15</v>
      </c>
      <c r="F2762">
        <v>77</v>
      </c>
      <c r="G2762">
        <v>7754</v>
      </c>
      <c r="H2762">
        <v>597058</v>
      </c>
      <c r="I2762" t="s">
        <v>164</v>
      </c>
      <c r="J2762" t="s">
        <v>861</v>
      </c>
      <c r="K2762">
        <v>57</v>
      </c>
      <c r="L2762">
        <v>0</v>
      </c>
      <c r="M2762" t="s">
        <v>115</v>
      </c>
      <c r="N2762" t="str">
        <f t="shared" si="258"/>
        <v>PO-102761</v>
      </c>
      <c r="O2762" t="str">
        <f t="shared" si="259"/>
        <v>Delivered</v>
      </c>
      <c r="P2762" t="str">
        <f t="shared" si="260"/>
        <v>WH-BOM</v>
      </c>
      <c r="Q2762" t="str">
        <f>VLOOKUP(C2762, Lookups!$A$2:$D$10, 2, FALSE())</f>
        <v>Peripheral Source</v>
      </c>
      <c r="R2762" t="str">
        <f>_xlfn.XLOOKUP(D2762, Lookups!$A$12:$A$51, Lookups!$C$12:$C$51, "Unknown")</f>
        <v>Peripherals</v>
      </c>
      <c r="S2762" t="str">
        <f>IF(ISBLANK(I2762), B2762+VLOOKUP(C2762, Lookups!$A$2:$D$10, 4, FALSE()), I2762)</f>
        <v>2026-02-05</v>
      </c>
      <c r="T2762">
        <f t="shared" si="261"/>
        <v>11</v>
      </c>
      <c r="U2762" t="str">
        <f t="shared" si="262"/>
        <v>Late</v>
      </c>
      <c r="V2762">
        <f t="shared" si="263"/>
        <v>0</v>
      </c>
    </row>
    <row r="2763" spans="1:22" x14ac:dyDescent="0.45">
      <c r="A2763" t="s">
        <v>3619</v>
      </c>
      <c r="B2763" t="s">
        <v>2110</v>
      </c>
      <c r="C2763" t="s">
        <v>35</v>
      </c>
      <c r="D2763" t="s">
        <v>60</v>
      </c>
      <c r="E2763" t="s">
        <v>17</v>
      </c>
      <c r="F2763">
        <v>206</v>
      </c>
      <c r="G2763">
        <v>3291</v>
      </c>
      <c r="H2763">
        <v>677946</v>
      </c>
      <c r="I2763" t="s">
        <v>1046</v>
      </c>
      <c r="J2763" t="s">
        <v>905</v>
      </c>
      <c r="K2763">
        <v>206</v>
      </c>
      <c r="L2763">
        <v>0</v>
      </c>
      <c r="M2763" t="s">
        <v>115</v>
      </c>
      <c r="N2763" t="str">
        <f t="shared" si="258"/>
        <v>PO-102762</v>
      </c>
      <c r="O2763" t="str">
        <f t="shared" si="259"/>
        <v>Delivered</v>
      </c>
      <c r="P2763" t="str">
        <f t="shared" si="260"/>
        <v>WH-BLR</v>
      </c>
      <c r="Q2763" t="str">
        <f>VLOOKUP(C2763, Lookups!$A$2:$D$10, 2, FALSE())</f>
        <v>Peripheral Source</v>
      </c>
      <c r="R2763" t="str">
        <f>_xlfn.XLOOKUP(D2763, Lookups!$A$12:$A$51, Lookups!$C$12:$C$51, "Unknown")</f>
        <v>Peripherals</v>
      </c>
      <c r="S2763" t="str">
        <f>IF(ISBLANK(I2763), B2763+VLOOKUP(C2763, Lookups!$A$2:$D$10, 4, FALSE()), I2763)</f>
        <v>2025-10-23</v>
      </c>
      <c r="T2763">
        <f t="shared" si="261"/>
        <v>18</v>
      </c>
      <c r="U2763" t="str">
        <f t="shared" si="262"/>
        <v>Late</v>
      </c>
      <c r="V2763">
        <f t="shared" si="263"/>
        <v>0</v>
      </c>
    </row>
    <row r="2764" spans="1:22" x14ac:dyDescent="0.45">
      <c r="A2764" t="s">
        <v>3620</v>
      </c>
      <c r="B2764" t="s">
        <v>631</v>
      </c>
      <c r="C2764" t="s">
        <v>30</v>
      </c>
      <c r="D2764" t="s">
        <v>86</v>
      </c>
      <c r="E2764" t="s">
        <v>15</v>
      </c>
      <c r="F2764">
        <v>189</v>
      </c>
      <c r="G2764">
        <v>74871</v>
      </c>
      <c r="H2764">
        <v>14150619</v>
      </c>
      <c r="I2764" t="s">
        <v>196</v>
      </c>
      <c r="J2764" t="s">
        <v>196</v>
      </c>
      <c r="K2764">
        <v>109</v>
      </c>
      <c r="L2764">
        <v>0</v>
      </c>
      <c r="M2764" t="s">
        <v>115</v>
      </c>
      <c r="N2764" t="str">
        <f t="shared" si="258"/>
        <v>PO-102763</v>
      </c>
      <c r="O2764" t="str">
        <f t="shared" si="259"/>
        <v>Delivered</v>
      </c>
      <c r="P2764" t="str">
        <f t="shared" si="260"/>
        <v>WH-BOM</v>
      </c>
      <c r="Q2764" t="str">
        <f>VLOOKUP(C2764, Lookups!$A$2:$D$10, 2, FALSE())</f>
        <v>TechSupply Corp</v>
      </c>
      <c r="R2764" t="str">
        <f>_xlfn.XLOOKUP(D2764, Lookups!$A$12:$A$51, Lookups!$C$12:$C$51, "Unknown")</f>
        <v>Electronics</v>
      </c>
      <c r="S2764" t="str">
        <f>IF(ISBLANK(I2764), B2764+VLOOKUP(C2764, Lookups!$A$2:$D$10, 4, FALSE()), I2764)</f>
        <v>2026-07-11</v>
      </c>
      <c r="T2764">
        <f t="shared" si="261"/>
        <v>14</v>
      </c>
      <c r="U2764" t="str">
        <f t="shared" si="262"/>
        <v>On-Time</v>
      </c>
      <c r="V2764">
        <f t="shared" si="263"/>
        <v>0</v>
      </c>
    </row>
    <row r="2765" spans="1:22" x14ac:dyDescent="0.45">
      <c r="A2765" t="s">
        <v>3621</v>
      </c>
      <c r="B2765" t="s">
        <v>1024</v>
      </c>
      <c r="C2765" t="s">
        <v>32</v>
      </c>
      <c r="D2765" t="s">
        <v>84</v>
      </c>
      <c r="E2765" t="s">
        <v>18</v>
      </c>
      <c r="F2765">
        <v>207</v>
      </c>
      <c r="G2765">
        <v>7271</v>
      </c>
      <c r="H2765">
        <v>1505097</v>
      </c>
      <c r="I2765" t="s">
        <v>296</v>
      </c>
      <c r="J2765" t="s">
        <v>744</v>
      </c>
      <c r="K2765">
        <v>207</v>
      </c>
      <c r="L2765">
        <v>0</v>
      </c>
      <c r="M2765" t="s">
        <v>115</v>
      </c>
      <c r="N2765" t="str">
        <f t="shared" si="258"/>
        <v>PO-102764</v>
      </c>
      <c r="O2765" t="str">
        <f t="shared" si="259"/>
        <v>Delivered</v>
      </c>
      <c r="P2765" t="str">
        <f t="shared" si="260"/>
        <v>WH-PUN</v>
      </c>
      <c r="Q2765" t="str">
        <f>VLOOKUP(C2765, Lookups!$A$2:$D$10, 2, FALSE())</f>
        <v>OfficeDepot Pro</v>
      </c>
      <c r="R2765" t="str">
        <f>_xlfn.XLOOKUP(D2765, Lookups!$A$12:$A$51, Lookups!$C$12:$C$51, "Unknown")</f>
        <v>Peripherals</v>
      </c>
      <c r="S2765" t="str">
        <f>IF(ISBLANK(I2765), B2765+VLOOKUP(C2765, Lookups!$A$2:$D$10, 4, FALSE()), I2765)</f>
        <v>2026-11-24</v>
      </c>
      <c r="T2765">
        <f t="shared" si="261"/>
        <v>8</v>
      </c>
      <c r="U2765" t="str">
        <f t="shared" si="262"/>
        <v>Late</v>
      </c>
      <c r="V2765">
        <f t="shared" si="263"/>
        <v>0</v>
      </c>
    </row>
    <row r="2766" spans="1:22" x14ac:dyDescent="0.45">
      <c r="A2766" t="s">
        <v>3622</v>
      </c>
      <c r="B2766" t="s">
        <v>443</v>
      </c>
      <c r="C2766" t="s">
        <v>34</v>
      </c>
      <c r="D2766" t="s">
        <v>54</v>
      </c>
      <c r="E2766" t="s">
        <v>17</v>
      </c>
      <c r="F2766">
        <v>46</v>
      </c>
      <c r="G2766">
        <v>22314</v>
      </c>
      <c r="H2766">
        <v>1026444</v>
      </c>
      <c r="I2766" t="s">
        <v>558</v>
      </c>
      <c r="J2766" t="s">
        <v>559</v>
      </c>
      <c r="K2766">
        <v>46</v>
      </c>
      <c r="L2766">
        <v>0</v>
      </c>
      <c r="M2766" t="s">
        <v>115</v>
      </c>
      <c r="N2766" t="str">
        <f t="shared" si="258"/>
        <v>PO-102765</v>
      </c>
      <c r="O2766" t="str">
        <f t="shared" si="259"/>
        <v>Delivered</v>
      </c>
      <c r="P2766" t="str">
        <f t="shared" si="260"/>
        <v>WH-BLR</v>
      </c>
      <c r="Q2766" t="str">
        <f>VLOOKUP(C2766, Lookups!$A$2:$D$10, 2, FALSE())</f>
        <v>FastElectronics</v>
      </c>
      <c r="R2766" t="str">
        <f>_xlfn.XLOOKUP(D2766, Lookups!$A$12:$A$51, Lookups!$C$12:$C$51, "Unknown")</f>
        <v>Networking</v>
      </c>
      <c r="S2766" t="str">
        <f>IF(ISBLANK(I2766), B2766+VLOOKUP(C2766, Lookups!$A$2:$D$10, 4, FALSE()), I2766)</f>
        <v>2026-04-18</v>
      </c>
      <c r="T2766">
        <f t="shared" si="261"/>
        <v>19</v>
      </c>
      <c r="U2766" t="str">
        <f t="shared" si="262"/>
        <v>Late</v>
      </c>
      <c r="V2766">
        <f t="shared" si="263"/>
        <v>0</v>
      </c>
    </row>
    <row r="2767" spans="1:22" x14ac:dyDescent="0.45">
      <c r="A2767" t="s">
        <v>3623</v>
      </c>
      <c r="B2767" t="s">
        <v>983</v>
      </c>
      <c r="C2767" t="s">
        <v>35</v>
      </c>
      <c r="D2767" t="s">
        <v>70</v>
      </c>
      <c r="E2767" t="s">
        <v>16</v>
      </c>
      <c r="F2767">
        <v>233</v>
      </c>
      <c r="G2767">
        <v>4287</v>
      </c>
      <c r="H2767">
        <v>998871</v>
      </c>
      <c r="I2767" t="s">
        <v>1106</v>
      </c>
      <c r="J2767" t="s">
        <v>1106</v>
      </c>
      <c r="K2767">
        <v>233</v>
      </c>
      <c r="L2767">
        <v>0</v>
      </c>
      <c r="M2767" t="s">
        <v>115</v>
      </c>
      <c r="N2767" t="str">
        <f t="shared" si="258"/>
        <v>PO-102766</v>
      </c>
      <c r="O2767" t="str">
        <f t="shared" si="259"/>
        <v>Delivered</v>
      </c>
      <c r="P2767" t="str">
        <f t="shared" si="260"/>
        <v>WH-DEL</v>
      </c>
      <c r="Q2767" t="str">
        <f>VLOOKUP(C2767, Lookups!$A$2:$D$10, 2, FALSE())</f>
        <v>Peripheral Source</v>
      </c>
      <c r="R2767" t="str">
        <f>_xlfn.XLOOKUP(D2767, Lookups!$A$12:$A$51, Lookups!$C$12:$C$51, "Unknown")</f>
        <v>Peripherals</v>
      </c>
      <c r="S2767" t="str">
        <f>IF(ISBLANK(I2767), B2767+VLOOKUP(C2767, Lookups!$A$2:$D$10, 4, FALSE()), I2767)</f>
        <v>2025-05-10</v>
      </c>
      <c r="T2767">
        <f t="shared" si="261"/>
        <v>10</v>
      </c>
      <c r="U2767" t="str">
        <f t="shared" si="262"/>
        <v>On-Time</v>
      </c>
      <c r="V2767">
        <f t="shared" si="263"/>
        <v>0</v>
      </c>
    </row>
    <row r="2768" spans="1:22" x14ac:dyDescent="0.45">
      <c r="A2768" t="s">
        <v>3624</v>
      </c>
      <c r="B2768" t="s">
        <v>883</v>
      </c>
      <c r="C2768" t="s">
        <v>35</v>
      </c>
      <c r="D2768" t="s">
        <v>57</v>
      </c>
      <c r="E2768" t="s">
        <v>18</v>
      </c>
      <c r="F2768">
        <v>177</v>
      </c>
      <c r="G2768">
        <v>2212</v>
      </c>
      <c r="H2768">
        <v>391524</v>
      </c>
      <c r="I2768" t="s">
        <v>991</v>
      </c>
      <c r="J2768" t="s">
        <v>952</v>
      </c>
      <c r="K2768">
        <v>177</v>
      </c>
      <c r="L2768">
        <v>0</v>
      </c>
      <c r="M2768" t="s">
        <v>115</v>
      </c>
      <c r="N2768" t="str">
        <f t="shared" si="258"/>
        <v>PO-102767</v>
      </c>
      <c r="O2768" t="str">
        <f t="shared" si="259"/>
        <v>Delivered</v>
      </c>
      <c r="P2768" t="str">
        <f t="shared" si="260"/>
        <v>WH-PUN</v>
      </c>
      <c r="Q2768" t="str">
        <f>VLOOKUP(C2768, Lookups!$A$2:$D$10, 2, FALSE())</f>
        <v>Peripheral Source</v>
      </c>
      <c r="R2768" t="str">
        <f>_xlfn.XLOOKUP(D2768, Lookups!$A$12:$A$51, Lookups!$C$12:$C$51, "Unknown")</f>
        <v>Peripherals</v>
      </c>
      <c r="S2768" t="str">
        <f>IF(ISBLANK(I2768), B2768+VLOOKUP(C2768, Lookups!$A$2:$D$10, 4, FALSE()), I2768)</f>
        <v>2026-07-16</v>
      </c>
      <c r="T2768">
        <f t="shared" si="261"/>
        <v>18</v>
      </c>
      <c r="U2768" t="str">
        <f t="shared" si="262"/>
        <v>Late</v>
      </c>
      <c r="V2768">
        <f t="shared" si="263"/>
        <v>0</v>
      </c>
    </row>
    <row r="2769" spans="1:22" x14ac:dyDescent="0.45">
      <c r="A2769" t="s">
        <v>3625</v>
      </c>
      <c r="B2769" t="s">
        <v>1069</v>
      </c>
      <c r="C2769" t="s">
        <v>37</v>
      </c>
      <c r="D2769" t="s">
        <v>79</v>
      </c>
      <c r="E2769" t="s">
        <v>17</v>
      </c>
      <c r="F2769">
        <v>157</v>
      </c>
      <c r="G2769">
        <v>23054</v>
      </c>
      <c r="H2769">
        <v>3619478</v>
      </c>
      <c r="I2769" t="s">
        <v>834</v>
      </c>
      <c r="J2769" t="s">
        <v>834</v>
      </c>
      <c r="K2769">
        <v>157</v>
      </c>
      <c r="L2769">
        <v>0</v>
      </c>
      <c r="M2769" t="s">
        <v>115</v>
      </c>
      <c r="N2769" t="str">
        <f t="shared" si="258"/>
        <v>PO-102768</v>
      </c>
      <c r="O2769" t="str">
        <f t="shared" si="259"/>
        <v>Delivered</v>
      </c>
      <c r="P2769" t="str">
        <f t="shared" si="260"/>
        <v>WH-BLR</v>
      </c>
      <c r="Q2769" t="str">
        <f>VLOOKUP(C2769, Lookups!$A$2:$D$10, 2, FALSE())</f>
        <v>Premium Desks Ltd</v>
      </c>
      <c r="R2769" t="str">
        <f>_xlfn.XLOOKUP(D2769, Lookups!$A$12:$A$51, Lookups!$C$12:$C$51, "Unknown")</f>
        <v>Office Furniture</v>
      </c>
      <c r="S2769" t="str">
        <f>IF(ISBLANK(I2769), B2769+VLOOKUP(C2769, Lookups!$A$2:$D$10, 4, FALSE()), I2769)</f>
        <v>2025-08-26</v>
      </c>
      <c r="T2769">
        <f t="shared" si="261"/>
        <v>12</v>
      </c>
      <c r="U2769" t="str">
        <f t="shared" si="262"/>
        <v>On-Time</v>
      </c>
      <c r="V2769">
        <f t="shared" si="263"/>
        <v>0</v>
      </c>
    </row>
    <row r="2770" spans="1:22" x14ac:dyDescent="0.45">
      <c r="A2770" t="s">
        <v>3626</v>
      </c>
      <c r="B2770" t="s">
        <v>218</v>
      </c>
      <c r="C2770" t="s">
        <v>31</v>
      </c>
      <c r="D2770" t="s">
        <v>77</v>
      </c>
      <c r="E2770" t="s">
        <v>18</v>
      </c>
      <c r="F2770">
        <v>198</v>
      </c>
      <c r="G2770">
        <v>23667</v>
      </c>
      <c r="H2770">
        <v>4686066</v>
      </c>
      <c r="I2770" t="s">
        <v>798</v>
      </c>
      <c r="J2770" t="s">
        <v>415</v>
      </c>
      <c r="K2770">
        <v>198</v>
      </c>
      <c r="L2770">
        <v>0</v>
      </c>
      <c r="M2770" t="s">
        <v>115</v>
      </c>
      <c r="N2770" t="str">
        <f t="shared" si="258"/>
        <v>PO-102769</v>
      </c>
      <c r="O2770" t="str">
        <f t="shared" si="259"/>
        <v>Delivered</v>
      </c>
      <c r="P2770" t="str">
        <f t="shared" si="260"/>
        <v>WH-PUN</v>
      </c>
      <c r="Q2770" t="str">
        <f>VLOOKUP(C2770, Lookups!$A$2:$D$10, 2, FALSE())</f>
        <v>Global Networks</v>
      </c>
      <c r="R2770" t="str">
        <f>_xlfn.XLOOKUP(D2770, Lookups!$A$12:$A$51, Lookups!$C$12:$C$51, "Unknown")</f>
        <v>Networking</v>
      </c>
      <c r="S2770" t="str">
        <f>IF(ISBLANK(I2770), B2770+VLOOKUP(C2770, Lookups!$A$2:$D$10, 4, FALSE()), I2770)</f>
        <v>2026-05-15</v>
      </c>
      <c r="T2770">
        <f t="shared" si="261"/>
        <v>23</v>
      </c>
      <c r="U2770" t="str">
        <f t="shared" si="262"/>
        <v>Late</v>
      </c>
      <c r="V2770">
        <f t="shared" si="263"/>
        <v>0</v>
      </c>
    </row>
    <row r="2771" spans="1:22" x14ac:dyDescent="0.45">
      <c r="A2771" t="s">
        <v>3627</v>
      </c>
      <c r="B2771" t="s">
        <v>366</v>
      </c>
      <c r="C2771" t="s">
        <v>35</v>
      </c>
      <c r="D2771" t="s">
        <v>57</v>
      </c>
      <c r="E2771" t="s">
        <v>17</v>
      </c>
      <c r="F2771">
        <v>19</v>
      </c>
      <c r="G2771">
        <v>2212</v>
      </c>
      <c r="H2771">
        <v>42028</v>
      </c>
      <c r="I2771" t="s">
        <v>1002</v>
      </c>
      <c r="J2771" t="s">
        <v>1432</v>
      </c>
      <c r="K2771">
        <v>19</v>
      </c>
      <c r="L2771">
        <v>0</v>
      </c>
      <c r="M2771" t="s">
        <v>115</v>
      </c>
      <c r="N2771" t="str">
        <f t="shared" si="258"/>
        <v>PO-102770</v>
      </c>
      <c r="O2771" t="str">
        <f t="shared" si="259"/>
        <v>Delivered</v>
      </c>
      <c r="P2771" t="str">
        <f t="shared" si="260"/>
        <v>WH-BLR</v>
      </c>
      <c r="Q2771" t="str">
        <f>VLOOKUP(C2771, Lookups!$A$2:$D$10, 2, FALSE())</f>
        <v>Peripheral Source</v>
      </c>
      <c r="R2771" t="str">
        <f>_xlfn.XLOOKUP(D2771, Lookups!$A$12:$A$51, Lookups!$C$12:$C$51, "Unknown")</f>
        <v>Peripherals</v>
      </c>
      <c r="S2771" t="str">
        <f>IF(ISBLANK(I2771), B2771+VLOOKUP(C2771, Lookups!$A$2:$D$10, 4, FALSE()), I2771)</f>
        <v>2026-04-26</v>
      </c>
      <c r="T2771">
        <f t="shared" si="261"/>
        <v>19</v>
      </c>
      <c r="U2771" t="str">
        <f t="shared" si="262"/>
        <v>Late</v>
      </c>
      <c r="V2771">
        <f t="shared" si="263"/>
        <v>0</v>
      </c>
    </row>
    <row r="2772" spans="1:22" x14ac:dyDescent="0.45">
      <c r="A2772" t="s">
        <v>3628</v>
      </c>
      <c r="B2772" t="s">
        <v>151</v>
      </c>
      <c r="C2772" t="s">
        <v>34</v>
      </c>
      <c r="D2772" t="s">
        <v>74</v>
      </c>
      <c r="E2772" t="s">
        <v>15</v>
      </c>
      <c r="F2772">
        <v>191</v>
      </c>
      <c r="G2772">
        <v>94797</v>
      </c>
      <c r="H2772">
        <v>18106227</v>
      </c>
      <c r="I2772" t="s">
        <v>856</v>
      </c>
      <c r="J2772" t="s">
        <v>856</v>
      </c>
      <c r="K2772">
        <v>152</v>
      </c>
      <c r="L2772">
        <v>0</v>
      </c>
      <c r="M2772" t="s">
        <v>115</v>
      </c>
      <c r="N2772" t="str">
        <f t="shared" si="258"/>
        <v>PO-102771</v>
      </c>
      <c r="O2772" t="str">
        <f t="shared" si="259"/>
        <v>Delivered</v>
      </c>
      <c r="P2772" t="str">
        <f t="shared" si="260"/>
        <v>WH-BOM</v>
      </c>
      <c r="Q2772" t="str">
        <f>VLOOKUP(C2772, Lookups!$A$2:$D$10, 2, FALSE())</f>
        <v>FastElectronics</v>
      </c>
      <c r="R2772" t="str">
        <f>_xlfn.XLOOKUP(D2772, Lookups!$A$12:$A$51, Lookups!$C$12:$C$51, "Unknown")</f>
        <v>Electronics</v>
      </c>
      <c r="S2772" t="str">
        <f>IF(ISBLANK(I2772), B2772+VLOOKUP(C2772, Lookups!$A$2:$D$10, 4, FALSE()), I2772)</f>
        <v>2026-05-02</v>
      </c>
      <c r="T2772">
        <f t="shared" si="261"/>
        <v>18</v>
      </c>
      <c r="U2772" t="str">
        <f t="shared" si="262"/>
        <v>On-Time</v>
      </c>
      <c r="V2772">
        <f t="shared" si="263"/>
        <v>0</v>
      </c>
    </row>
    <row r="2773" spans="1:22" x14ac:dyDescent="0.45">
      <c r="A2773" t="s">
        <v>3629</v>
      </c>
      <c r="B2773" t="s">
        <v>419</v>
      </c>
      <c r="C2773" t="s">
        <v>34</v>
      </c>
      <c r="D2773" t="s">
        <v>68</v>
      </c>
      <c r="E2773" t="s">
        <v>16</v>
      </c>
      <c r="F2773">
        <v>139</v>
      </c>
      <c r="G2773">
        <v>41405</v>
      </c>
      <c r="H2773">
        <v>5755295</v>
      </c>
      <c r="I2773" t="s">
        <v>177</v>
      </c>
      <c r="J2773" t="s">
        <v>1347</v>
      </c>
      <c r="K2773">
        <v>139</v>
      </c>
      <c r="L2773">
        <v>0</v>
      </c>
      <c r="M2773" t="s">
        <v>115</v>
      </c>
      <c r="N2773" t="str">
        <f t="shared" si="258"/>
        <v>PO-102772</v>
      </c>
      <c r="O2773" t="str">
        <f t="shared" si="259"/>
        <v>Delivered</v>
      </c>
      <c r="P2773" t="str">
        <f t="shared" si="260"/>
        <v>WH-DEL</v>
      </c>
      <c r="Q2773" t="str">
        <f>VLOOKUP(C2773, Lookups!$A$2:$D$10, 2, FALSE())</f>
        <v>FastElectronics</v>
      </c>
      <c r="R2773" t="str">
        <f>_xlfn.XLOOKUP(D2773, Lookups!$A$12:$A$51, Lookups!$C$12:$C$51, "Unknown")</f>
        <v>Networking</v>
      </c>
      <c r="S2773" t="str">
        <f>IF(ISBLANK(I2773), B2773+VLOOKUP(C2773, Lookups!$A$2:$D$10, 4, FALSE()), I2773)</f>
        <v>2026-08-08</v>
      </c>
      <c r="T2773">
        <f t="shared" si="261"/>
        <v>19</v>
      </c>
      <c r="U2773" t="str">
        <f t="shared" si="262"/>
        <v>Late</v>
      </c>
      <c r="V2773">
        <f t="shared" si="263"/>
        <v>0</v>
      </c>
    </row>
    <row r="2774" spans="1:22" x14ac:dyDescent="0.45">
      <c r="A2774" t="s">
        <v>3630</v>
      </c>
      <c r="B2774" t="s">
        <v>631</v>
      </c>
      <c r="C2774" t="s">
        <v>37</v>
      </c>
      <c r="D2774" t="s">
        <v>79</v>
      </c>
      <c r="E2774" t="s">
        <v>18</v>
      </c>
      <c r="F2774">
        <v>133</v>
      </c>
      <c r="G2774">
        <v>23054</v>
      </c>
      <c r="H2774">
        <v>3066182</v>
      </c>
      <c r="I2774" t="s">
        <v>289</v>
      </c>
      <c r="J2774" t="s">
        <v>195</v>
      </c>
      <c r="K2774">
        <v>133</v>
      </c>
      <c r="L2774">
        <v>0</v>
      </c>
      <c r="M2774" t="s">
        <v>115</v>
      </c>
      <c r="N2774" t="str">
        <f t="shared" si="258"/>
        <v>PO-102773</v>
      </c>
      <c r="O2774" t="str">
        <f t="shared" si="259"/>
        <v>Delivered</v>
      </c>
      <c r="P2774" t="str">
        <f t="shared" si="260"/>
        <v>WH-PUN</v>
      </c>
      <c r="Q2774" t="str">
        <f>VLOOKUP(C2774, Lookups!$A$2:$D$10, 2, FALSE())</f>
        <v>Premium Desks Ltd</v>
      </c>
      <c r="R2774" t="str">
        <f>_xlfn.XLOOKUP(D2774, Lookups!$A$12:$A$51, Lookups!$C$12:$C$51, "Unknown")</f>
        <v>Office Furniture</v>
      </c>
      <c r="S2774" t="str">
        <f>IF(ISBLANK(I2774), B2774+VLOOKUP(C2774, Lookups!$A$2:$D$10, 4, FALSE()), I2774)</f>
        <v>2026-07-09</v>
      </c>
      <c r="T2774">
        <f t="shared" si="261"/>
        <v>13</v>
      </c>
      <c r="U2774" t="str">
        <f t="shared" si="262"/>
        <v>Late</v>
      </c>
      <c r="V2774">
        <f t="shared" si="263"/>
        <v>0</v>
      </c>
    </row>
    <row r="2775" spans="1:22" x14ac:dyDescent="0.45">
      <c r="A2775" t="s">
        <v>3631</v>
      </c>
      <c r="B2775" t="s">
        <v>1921</v>
      </c>
      <c r="C2775" t="s">
        <v>36</v>
      </c>
      <c r="D2775" t="s">
        <v>90</v>
      </c>
      <c r="E2775" t="s">
        <v>16</v>
      </c>
      <c r="F2775">
        <v>214</v>
      </c>
      <c r="G2775">
        <v>81434</v>
      </c>
      <c r="H2775">
        <v>17426876</v>
      </c>
      <c r="I2775" t="s">
        <v>1190</v>
      </c>
      <c r="J2775" t="s">
        <v>1190</v>
      </c>
      <c r="K2775">
        <v>214</v>
      </c>
      <c r="L2775">
        <v>0</v>
      </c>
      <c r="M2775" t="s">
        <v>115</v>
      </c>
      <c r="N2775" t="str">
        <f t="shared" si="258"/>
        <v>PO-102774</v>
      </c>
      <c r="O2775" t="str">
        <f t="shared" si="259"/>
        <v>Delivered</v>
      </c>
      <c r="P2775" t="str">
        <f t="shared" si="260"/>
        <v>WH-DEL</v>
      </c>
      <c r="Q2775" t="str">
        <f>VLOOKUP(C2775, Lookups!$A$2:$D$10, 2, FALSE())</f>
        <v>NextGen Hardware</v>
      </c>
      <c r="R2775" t="str">
        <f>_xlfn.XLOOKUP(D2775, Lookups!$A$12:$A$51, Lookups!$C$12:$C$51, "Unknown")</f>
        <v>Electronics</v>
      </c>
      <c r="S2775" t="str">
        <f>IF(ISBLANK(I2775), B2775+VLOOKUP(C2775, Lookups!$A$2:$D$10, 4, FALSE()), I2775)</f>
        <v>2025-04-29</v>
      </c>
      <c r="T2775">
        <f t="shared" si="261"/>
        <v>24</v>
      </c>
      <c r="U2775" t="str">
        <f t="shared" si="262"/>
        <v>On-Time</v>
      </c>
      <c r="V2775">
        <f t="shared" si="263"/>
        <v>0</v>
      </c>
    </row>
    <row r="2776" spans="1:22" x14ac:dyDescent="0.45">
      <c r="A2776" t="s">
        <v>3632</v>
      </c>
      <c r="B2776" t="s">
        <v>318</v>
      </c>
      <c r="C2776" t="s">
        <v>35</v>
      </c>
      <c r="D2776" t="s">
        <v>65</v>
      </c>
      <c r="E2776" t="s">
        <v>15</v>
      </c>
      <c r="F2776">
        <v>172</v>
      </c>
      <c r="G2776">
        <v>4936</v>
      </c>
      <c r="H2776">
        <v>848992</v>
      </c>
      <c r="I2776" t="s">
        <v>600</v>
      </c>
      <c r="J2776" t="s">
        <v>600</v>
      </c>
      <c r="K2776">
        <v>172</v>
      </c>
      <c r="L2776">
        <v>0</v>
      </c>
      <c r="M2776" t="s">
        <v>115</v>
      </c>
      <c r="N2776" t="str">
        <f t="shared" si="258"/>
        <v>PO-102775</v>
      </c>
      <c r="O2776" t="str">
        <f t="shared" si="259"/>
        <v>Delivered</v>
      </c>
      <c r="P2776" t="str">
        <f t="shared" si="260"/>
        <v>WH-BOM</v>
      </c>
      <c r="Q2776" t="str">
        <f>VLOOKUP(C2776, Lookups!$A$2:$D$10, 2, FALSE())</f>
        <v>Peripheral Source</v>
      </c>
      <c r="R2776" t="str">
        <f>_xlfn.XLOOKUP(D2776, Lookups!$A$12:$A$51, Lookups!$C$12:$C$51, "Unknown")</f>
        <v>Peripherals</v>
      </c>
      <c r="S2776" t="str">
        <f>IF(ISBLANK(I2776), B2776+VLOOKUP(C2776, Lookups!$A$2:$D$10, 4, FALSE()), I2776)</f>
        <v>2025-10-03</v>
      </c>
      <c r="T2776">
        <f t="shared" si="261"/>
        <v>10</v>
      </c>
      <c r="U2776" t="str">
        <f t="shared" si="262"/>
        <v>On-Time</v>
      </c>
      <c r="V2776">
        <f t="shared" si="263"/>
        <v>0</v>
      </c>
    </row>
    <row r="2777" spans="1:22" x14ac:dyDescent="0.45">
      <c r="A2777" t="s">
        <v>3633</v>
      </c>
      <c r="B2777" t="s">
        <v>636</v>
      </c>
      <c r="C2777" t="s">
        <v>35</v>
      </c>
      <c r="D2777" t="s">
        <v>75</v>
      </c>
      <c r="E2777" t="s">
        <v>18</v>
      </c>
      <c r="F2777">
        <v>146</v>
      </c>
      <c r="G2777">
        <v>4440</v>
      </c>
      <c r="H2777">
        <v>648240</v>
      </c>
      <c r="I2777" t="s">
        <v>715</v>
      </c>
      <c r="J2777" t="s">
        <v>229</v>
      </c>
      <c r="K2777">
        <v>146</v>
      </c>
      <c r="L2777">
        <v>0</v>
      </c>
      <c r="M2777" t="s">
        <v>115</v>
      </c>
      <c r="N2777" t="str">
        <f t="shared" si="258"/>
        <v>PO-102776</v>
      </c>
      <c r="O2777" t="str">
        <f t="shared" si="259"/>
        <v>Delivered</v>
      </c>
      <c r="P2777" t="str">
        <f t="shared" si="260"/>
        <v>WH-PUN</v>
      </c>
      <c r="Q2777" t="str">
        <f>VLOOKUP(C2777, Lookups!$A$2:$D$10, 2, FALSE())</f>
        <v>Peripheral Source</v>
      </c>
      <c r="R2777" t="str">
        <f>_xlfn.XLOOKUP(D2777, Lookups!$A$12:$A$51, Lookups!$C$12:$C$51, "Unknown")</f>
        <v>Peripherals</v>
      </c>
      <c r="S2777" t="str">
        <f>IF(ISBLANK(I2777), B2777+VLOOKUP(C2777, Lookups!$A$2:$D$10, 4, FALSE()), I2777)</f>
        <v>2025-07-10</v>
      </c>
      <c r="T2777">
        <f t="shared" si="261"/>
        <v>9</v>
      </c>
      <c r="U2777" t="str">
        <f t="shared" si="262"/>
        <v>On-Time</v>
      </c>
      <c r="V2777">
        <f t="shared" si="263"/>
        <v>0</v>
      </c>
    </row>
    <row r="2778" spans="1:22" x14ac:dyDescent="0.45">
      <c r="A2778" t="s">
        <v>3634</v>
      </c>
      <c r="B2778" t="s">
        <v>320</v>
      </c>
      <c r="C2778" t="s">
        <v>36</v>
      </c>
      <c r="D2778" t="s">
        <v>55</v>
      </c>
      <c r="E2778" t="s">
        <v>15</v>
      </c>
      <c r="F2778">
        <v>53</v>
      </c>
      <c r="G2778">
        <v>58434</v>
      </c>
      <c r="H2778">
        <v>3097002</v>
      </c>
      <c r="I2778" t="s">
        <v>1407</v>
      </c>
      <c r="J2778" t="s">
        <v>1407</v>
      </c>
      <c r="K2778">
        <v>53</v>
      </c>
      <c r="L2778">
        <v>0</v>
      </c>
      <c r="M2778" t="s">
        <v>115</v>
      </c>
      <c r="N2778" t="str">
        <f t="shared" si="258"/>
        <v>PO-102777</v>
      </c>
      <c r="O2778" t="str">
        <f t="shared" si="259"/>
        <v>Delivered</v>
      </c>
      <c r="P2778" t="str">
        <f t="shared" si="260"/>
        <v>WH-BOM</v>
      </c>
      <c r="Q2778" t="str">
        <f>VLOOKUP(C2778, Lookups!$A$2:$D$10, 2, FALSE())</f>
        <v>NextGen Hardware</v>
      </c>
      <c r="R2778" t="str">
        <f>_xlfn.XLOOKUP(D2778, Lookups!$A$12:$A$51, Lookups!$C$12:$C$51, "Unknown")</f>
        <v>Electronics</v>
      </c>
      <c r="S2778" t="str">
        <f>IF(ISBLANK(I2778), B2778+VLOOKUP(C2778, Lookups!$A$2:$D$10, 4, FALSE()), I2778)</f>
        <v>2025-11-08</v>
      </c>
      <c r="T2778">
        <f t="shared" si="261"/>
        <v>24</v>
      </c>
      <c r="U2778" t="str">
        <f t="shared" si="262"/>
        <v>On-Time</v>
      </c>
      <c r="V2778">
        <f t="shared" si="263"/>
        <v>0</v>
      </c>
    </row>
    <row r="2779" spans="1:22" x14ac:dyDescent="0.45">
      <c r="A2779" t="s">
        <v>3635</v>
      </c>
      <c r="B2779" t="s">
        <v>609</v>
      </c>
      <c r="C2779" t="s">
        <v>35</v>
      </c>
      <c r="D2779" t="s">
        <v>70</v>
      </c>
      <c r="E2779" t="s">
        <v>18</v>
      </c>
      <c r="F2779">
        <v>170</v>
      </c>
      <c r="G2779">
        <v>4287</v>
      </c>
      <c r="H2779">
        <v>728790</v>
      </c>
      <c r="I2779" t="s">
        <v>332</v>
      </c>
      <c r="J2779" t="s">
        <v>2110</v>
      </c>
      <c r="K2779">
        <v>170</v>
      </c>
      <c r="L2779">
        <v>0</v>
      </c>
      <c r="M2779" t="s">
        <v>115</v>
      </c>
      <c r="N2779" t="str">
        <f t="shared" si="258"/>
        <v>PO-102778</v>
      </c>
      <c r="O2779" t="str">
        <f t="shared" si="259"/>
        <v>Delivered</v>
      </c>
      <c r="P2779" t="str">
        <f t="shared" si="260"/>
        <v>WH-PUN</v>
      </c>
      <c r="Q2779" t="str">
        <f>VLOOKUP(C2779, Lookups!$A$2:$D$10, 2, FALSE())</f>
        <v>Peripheral Source</v>
      </c>
      <c r="R2779" t="str">
        <f>_xlfn.XLOOKUP(D2779, Lookups!$A$12:$A$51, Lookups!$C$12:$C$51, "Unknown")</f>
        <v>Peripherals</v>
      </c>
      <c r="S2779" t="str">
        <f>IF(ISBLANK(I2779), B2779+VLOOKUP(C2779, Lookups!$A$2:$D$10, 4, FALSE()), I2779)</f>
        <v>2025-10-12</v>
      </c>
      <c r="T2779">
        <f t="shared" si="261"/>
        <v>11</v>
      </c>
      <c r="U2779" t="str">
        <f t="shared" si="262"/>
        <v>Late</v>
      </c>
      <c r="V2779">
        <f t="shared" si="263"/>
        <v>0</v>
      </c>
    </row>
    <row r="2780" spans="1:22" x14ac:dyDescent="0.45">
      <c r="A2780" t="s">
        <v>3636</v>
      </c>
      <c r="B2780" t="s">
        <v>527</v>
      </c>
      <c r="C2780" t="s">
        <v>30</v>
      </c>
      <c r="D2780" t="s">
        <v>53</v>
      </c>
      <c r="E2780" t="s">
        <v>15</v>
      </c>
      <c r="F2780">
        <v>55</v>
      </c>
      <c r="G2780">
        <v>81048</v>
      </c>
      <c r="H2780">
        <v>4457640</v>
      </c>
      <c r="I2780" t="s">
        <v>419</v>
      </c>
      <c r="J2780" t="s">
        <v>419</v>
      </c>
      <c r="K2780">
        <v>55</v>
      </c>
      <c r="L2780">
        <v>0</v>
      </c>
      <c r="M2780" t="s">
        <v>115</v>
      </c>
      <c r="N2780" t="str">
        <f t="shared" si="258"/>
        <v>PO-102779</v>
      </c>
      <c r="O2780" t="str">
        <f t="shared" si="259"/>
        <v>Delivered</v>
      </c>
      <c r="P2780" t="str">
        <f t="shared" si="260"/>
        <v>WH-BOM</v>
      </c>
      <c r="Q2780" t="str">
        <f>VLOOKUP(C2780, Lookups!$A$2:$D$10, 2, FALSE())</f>
        <v>TechSupply Corp</v>
      </c>
      <c r="R2780" t="str">
        <f>_xlfn.XLOOKUP(D2780, Lookups!$A$12:$A$51, Lookups!$C$12:$C$51, "Unknown")</f>
        <v>Electronics</v>
      </c>
      <c r="S2780" t="str">
        <f>IF(ISBLANK(I2780), B2780+VLOOKUP(C2780, Lookups!$A$2:$D$10, 4, FALSE()), I2780)</f>
        <v>2026-07-21</v>
      </c>
      <c r="T2780">
        <f t="shared" si="261"/>
        <v>14</v>
      </c>
      <c r="U2780" t="str">
        <f t="shared" si="262"/>
        <v>On-Time</v>
      </c>
      <c r="V2780">
        <f t="shared" si="263"/>
        <v>0</v>
      </c>
    </row>
    <row r="2781" spans="1:22" x14ac:dyDescent="0.45">
      <c r="A2781" t="s">
        <v>3637</v>
      </c>
      <c r="B2781" t="s">
        <v>278</v>
      </c>
      <c r="C2781" t="s">
        <v>36</v>
      </c>
      <c r="D2781" t="s">
        <v>55</v>
      </c>
      <c r="E2781" t="s">
        <v>16</v>
      </c>
      <c r="F2781">
        <v>116</v>
      </c>
      <c r="G2781">
        <v>58434</v>
      </c>
      <c r="H2781">
        <v>6778344</v>
      </c>
      <c r="I2781" t="s">
        <v>328</v>
      </c>
      <c r="J2781" t="s">
        <v>731</v>
      </c>
      <c r="K2781">
        <v>116</v>
      </c>
      <c r="L2781">
        <v>0</v>
      </c>
      <c r="M2781" t="s">
        <v>115</v>
      </c>
      <c r="N2781" t="str">
        <f t="shared" si="258"/>
        <v>PO-102780</v>
      </c>
      <c r="O2781" t="str">
        <f t="shared" si="259"/>
        <v>Delivered</v>
      </c>
      <c r="P2781" t="str">
        <f t="shared" si="260"/>
        <v>WH-DEL</v>
      </c>
      <c r="Q2781" t="str">
        <f>VLOOKUP(C2781, Lookups!$A$2:$D$10, 2, FALSE())</f>
        <v>NextGen Hardware</v>
      </c>
      <c r="R2781" t="str">
        <f>_xlfn.XLOOKUP(D2781, Lookups!$A$12:$A$51, Lookups!$C$12:$C$51, "Unknown")</f>
        <v>Electronics</v>
      </c>
      <c r="S2781" t="str">
        <f>IF(ISBLANK(I2781), B2781+VLOOKUP(C2781, Lookups!$A$2:$D$10, 4, FALSE()), I2781)</f>
        <v>2025-06-06</v>
      </c>
      <c r="T2781">
        <f t="shared" si="261"/>
        <v>26</v>
      </c>
      <c r="U2781" t="str">
        <f t="shared" si="262"/>
        <v>Late</v>
      </c>
      <c r="V2781">
        <f t="shared" si="263"/>
        <v>0</v>
      </c>
    </row>
    <row r="2782" spans="1:22" x14ac:dyDescent="0.45">
      <c r="A2782" t="s">
        <v>3638</v>
      </c>
      <c r="B2782" t="s">
        <v>209</v>
      </c>
      <c r="C2782" t="s">
        <v>34</v>
      </c>
      <c r="D2782" t="s">
        <v>74</v>
      </c>
      <c r="E2782" t="s">
        <v>18</v>
      </c>
      <c r="F2782">
        <v>220</v>
      </c>
      <c r="G2782">
        <v>94797</v>
      </c>
      <c r="H2782">
        <v>20855340</v>
      </c>
      <c r="I2782" t="s">
        <v>210</v>
      </c>
      <c r="J2782" t="s">
        <v>210</v>
      </c>
      <c r="K2782">
        <v>220</v>
      </c>
      <c r="L2782">
        <v>0</v>
      </c>
      <c r="M2782" t="s">
        <v>115</v>
      </c>
      <c r="N2782" t="str">
        <f t="shared" si="258"/>
        <v>PO-102781</v>
      </c>
      <c r="O2782" t="str">
        <f t="shared" si="259"/>
        <v>Delivered</v>
      </c>
      <c r="P2782" t="str">
        <f t="shared" si="260"/>
        <v>WH-PUN</v>
      </c>
      <c r="Q2782" t="str">
        <f>VLOOKUP(C2782, Lookups!$A$2:$D$10, 2, FALSE())</f>
        <v>FastElectronics</v>
      </c>
      <c r="R2782" t="str">
        <f>_xlfn.XLOOKUP(D2782, Lookups!$A$12:$A$51, Lookups!$C$12:$C$51, "Unknown")</f>
        <v>Electronics</v>
      </c>
      <c r="S2782" t="str">
        <f>IF(ISBLANK(I2782), B2782+VLOOKUP(C2782, Lookups!$A$2:$D$10, 4, FALSE()), I2782)</f>
        <v>2025-06-20</v>
      </c>
      <c r="T2782">
        <f t="shared" si="261"/>
        <v>18</v>
      </c>
      <c r="U2782" t="str">
        <f t="shared" si="262"/>
        <v>On-Time</v>
      </c>
      <c r="V2782">
        <f t="shared" si="263"/>
        <v>0</v>
      </c>
    </row>
    <row r="2783" spans="1:22" x14ac:dyDescent="0.45">
      <c r="A2783" t="s">
        <v>3639</v>
      </c>
      <c r="B2783" t="s">
        <v>1639</v>
      </c>
      <c r="C2783" t="s">
        <v>36</v>
      </c>
      <c r="D2783" t="s">
        <v>55</v>
      </c>
      <c r="E2783" t="s">
        <v>18</v>
      </c>
      <c r="F2783">
        <v>193</v>
      </c>
      <c r="G2783">
        <v>58434</v>
      </c>
      <c r="H2783">
        <v>11277762</v>
      </c>
      <c r="I2783" t="s">
        <v>491</v>
      </c>
      <c r="J2783" t="s">
        <v>491</v>
      </c>
      <c r="K2783">
        <v>193</v>
      </c>
      <c r="L2783">
        <v>0</v>
      </c>
      <c r="M2783" t="s">
        <v>115</v>
      </c>
      <c r="N2783" t="str">
        <f t="shared" si="258"/>
        <v>PO-102782</v>
      </c>
      <c r="O2783" t="str">
        <f t="shared" si="259"/>
        <v>Delivered</v>
      </c>
      <c r="P2783" t="str">
        <f t="shared" si="260"/>
        <v>WH-PUN</v>
      </c>
      <c r="Q2783" t="str">
        <f>VLOOKUP(C2783, Lookups!$A$2:$D$10, 2, FALSE())</f>
        <v>NextGen Hardware</v>
      </c>
      <c r="R2783" t="str">
        <f>_xlfn.XLOOKUP(D2783, Lookups!$A$12:$A$51, Lookups!$C$12:$C$51, "Unknown")</f>
        <v>Electronics</v>
      </c>
      <c r="S2783" t="str">
        <f>IF(ISBLANK(I2783), B2783+VLOOKUP(C2783, Lookups!$A$2:$D$10, 4, FALSE()), I2783)</f>
        <v>2025-07-16</v>
      </c>
      <c r="T2783">
        <f t="shared" si="261"/>
        <v>24</v>
      </c>
      <c r="U2783" t="str">
        <f t="shared" si="262"/>
        <v>On-Time</v>
      </c>
      <c r="V2783">
        <f t="shared" si="263"/>
        <v>0</v>
      </c>
    </row>
    <row r="2784" spans="1:22" x14ac:dyDescent="0.45">
      <c r="A2784" t="s">
        <v>3640</v>
      </c>
      <c r="B2784" t="s">
        <v>937</v>
      </c>
      <c r="C2784" t="s">
        <v>35</v>
      </c>
      <c r="D2784" t="s">
        <v>91</v>
      </c>
      <c r="E2784" t="s">
        <v>17</v>
      </c>
      <c r="F2784">
        <v>236</v>
      </c>
      <c r="G2784">
        <v>6707</v>
      </c>
      <c r="H2784">
        <v>1582852</v>
      </c>
      <c r="I2784" t="s">
        <v>752</v>
      </c>
      <c r="J2784" t="s">
        <v>752</v>
      </c>
      <c r="K2784">
        <v>236</v>
      </c>
      <c r="L2784">
        <v>0</v>
      </c>
      <c r="M2784" t="s">
        <v>115</v>
      </c>
      <c r="N2784" t="str">
        <f t="shared" si="258"/>
        <v>PO-102783</v>
      </c>
      <c r="O2784" t="str">
        <f t="shared" si="259"/>
        <v>Delivered</v>
      </c>
      <c r="P2784" t="str">
        <f t="shared" si="260"/>
        <v>WH-BLR</v>
      </c>
      <c r="Q2784" t="str">
        <f>VLOOKUP(C2784, Lookups!$A$2:$D$10, 2, FALSE())</f>
        <v>Peripheral Source</v>
      </c>
      <c r="R2784" t="str">
        <f>_xlfn.XLOOKUP(D2784, Lookups!$A$12:$A$51, Lookups!$C$12:$C$51, "Unknown")</f>
        <v>Peripherals</v>
      </c>
      <c r="S2784" t="str">
        <f>IF(ISBLANK(I2784), B2784+VLOOKUP(C2784, Lookups!$A$2:$D$10, 4, FALSE()), I2784)</f>
        <v>2025-12-22</v>
      </c>
      <c r="T2784">
        <f t="shared" si="261"/>
        <v>10</v>
      </c>
      <c r="U2784" t="str">
        <f t="shared" si="262"/>
        <v>On-Time</v>
      </c>
      <c r="V2784">
        <f t="shared" si="263"/>
        <v>0</v>
      </c>
    </row>
    <row r="2785" spans="1:22" x14ac:dyDescent="0.45">
      <c r="A2785" t="s">
        <v>3641</v>
      </c>
      <c r="B2785" t="s">
        <v>2554</v>
      </c>
      <c r="C2785" t="s">
        <v>31</v>
      </c>
      <c r="D2785" t="s">
        <v>56</v>
      </c>
      <c r="E2785" t="s">
        <v>18</v>
      </c>
      <c r="F2785">
        <v>190</v>
      </c>
      <c r="G2785">
        <v>39270</v>
      </c>
      <c r="H2785">
        <v>7461300</v>
      </c>
      <c r="I2785" t="s">
        <v>815</v>
      </c>
      <c r="J2785" t="s">
        <v>220</v>
      </c>
      <c r="K2785">
        <v>190</v>
      </c>
      <c r="L2785">
        <v>0</v>
      </c>
      <c r="M2785" t="s">
        <v>115</v>
      </c>
      <c r="N2785" t="str">
        <f t="shared" si="258"/>
        <v>PO-102784</v>
      </c>
      <c r="O2785" t="str">
        <f t="shared" si="259"/>
        <v>Delivered</v>
      </c>
      <c r="P2785" t="str">
        <f t="shared" si="260"/>
        <v>WH-PUN</v>
      </c>
      <c r="Q2785" t="str">
        <f>VLOOKUP(C2785, Lookups!$A$2:$D$10, 2, FALSE())</f>
        <v>Global Networks</v>
      </c>
      <c r="R2785" t="str">
        <f>_xlfn.XLOOKUP(D2785, Lookups!$A$12:$A$51, Lookups!$C$12:$C$51, "Unknown")</f>
        <v>Networking</v>
      </c>
      <c r="S2785" t="str">
        <f>IF(ISBLANK(I2785), B2785+VLOOKUP(C2785, Lookups!$A$2:$D$10, 4, FALSE()), I2785)</f>
        <v>2026-02-13</v>
      </c>
      <c r="T2785">
        <f t="shared" si="261"/>
        <v>22</v>
      </c>
      <c r="U2785" t="str">
        <f t="shared" si="262"/>
        <v>Late</v>
      </c>
      <c r="V2785">
        <f t="shared" si="263"/>
        <v>0</v>
      </c>
    </row>
    <row r="2786" spans="1:22" x14ac:dyDescent="0.45">
      <c r="A2786" t="s">
        <v>3642</v>
      </c>
      <c r="B2786" t="s">
        <v>289</v>
      </c>
      <c r="C2786" t="s">
        <v>31</v>
      </c>
      <c r="D2786" t="s">
        <v>77</v>
      </c>
      <c r="E2786" t="s">
        <v>16</v>
      </c>
      <c r="F2786">
        <v>108</v>
      </c>
      <c r="G2786">
        <v>23667</v>
      </c>
      <c r="H2786">
        <v>2556036</v>
      </c>
      <c r="I2786" t="s">
        <v>1562</v>
      </c>
      <c r="J2786" t="s">
        <v>1562</v>
      </c>
      <c r="K2786">
        <v>108</v>
      </c>
      <c r="L2786">
        <v>0</v>
      </c>
      <c r="M2786" t="s">
        <v>115</v>
      </c>
      <c r="N2786" t="str">
        <f t="shared" si="258"/>
        <v>PO-102785</v>
      </c>
      <c r="O2786" t="str">
        <f t="shared" si="259"/>
        <v>Delivered</v>
      </c>
      <c r="P2786" t="str">
        <f t="shared" si="260"/>
        <v>WH-DEL</v>
      </c>
      <c r="Q2786" t="str">
        <f>VLOOKUP(C2786, Lookups!$A$2:$D$10, 2, FALSE())</f>
        <v>Global Networks</v>
      </c>
      <c r="R2786" t="str">
        <f>_xlfn.XLOOKUP(D2786, Lookups!$A$12:$A$51, Lookups!$C$12:$C$51, "Unknown")</f>
        <v>Networking</v>
      </c>
      <c r="S2786" t="str">
        <f>IF(ISBLANK(I2786), B2786+VLOOKUP(C2786, Lookups!$A$2:$D$10, 4, FALSE()), I2786)</f>
        <v>2026-07-30</v>
      </c>
      <c r="T2786">
        <f t="shared" si="261"/>
        <v>21</v>
      </c>
      <c r="U2786" t="str">
        <f t="shared" si="262"/>
        <v>On-Time</v>
      </c>
      <c r="V2786">
        <f t="shared" si="263"/>
        <v>0</v>
      </c>
    </row>
    <row r="2787" spans="1:22" x14ac:dyDescent="0.45">
      <c r="A2787" t="s">
        <v>3643</v>
      </c>
      <c r="B2787" t="s">
        <v>591</v>
      </c>
      <c r="C2787" t="s">
        <v>32</v>
      </c>
      <c r="D2787" t="s">
        <v>84</v>
      </c>
      <c r="E2787" t="s">
        <v>18</v>
      </c>
      <c r="F2787">
        <v>58</v>
      </c>
      <c r="G2787">
        <v>7271</v>
      </c>
      <c r="H2787">
        <v>421718</v>
      </c>
      <c r="I2787" t="s">
        <v>1389</v>
      </c>
      <c r="J2787" t="s">
        <v>1389</v>
      </c>
      <c r="K2787">
        <v>58</v>
      </c>
      <c r="L2787">
        <v>0</v>
      </c>
      <c r="M2787" t="s">
        <v>115</v>
      </c>
      <c r="N2787" t="str">
        <f t="shared" si="258"/>
        <v>PO-102786</v>
      </c>
      <c r="O2787" t="str">
        <f t="shared" si="259"/>
        <v>Delivered</v>
      </c>
      <c r="P2787" t="str">
        <f t="shared" si="260"/>
        <v>WH-PUN</v>
      </c>
      <c r="Q2787" t="str">
        <f>VLOOKUP(C2787, Lookups!$A$2:$D$10, 2, FALSE())</f>
        <v>OfficeDepot Pro</v>
      </c>
      <c r="R2787" t="str">
        <f>_xlfn.XLOOKUP(D2787, Lookups!$A$12:$A$51, Lookups!$C$12:$C$51, "Unknown")</f>
        <v>Peripherals</v>
      </c>
      <c r="S2787" t="str">
        <f>IF(ISBLANK(I2787), B2787+VLOOKUP(C2787, Lookups!$A$2:$D$10, 4, FALSE()), I2787)</f>
        <v>2026-01-27</v>
      </c>
      <c r="T2787">
        <f t="shared" si="261"/>
        <v>7</v>
      </c>
      <c r="U2787" t="str">
        <f t="shared" si="262"/>
        <v>On-Time</v>
      </c>
      <c r="V2787">
        <f t="shared" si="263"/>
        <v>0</v>
      </c>
    </row>
    <row r="2788" spans="1:22" x14ac:dyDescent="0.45">
      <c r="A2788" t="s">
        <v>3644</v>
      </c>
      <c r="B2788" t="s">
        <v>346</v>
      </c>
      <c r="C2788" t="s">
        <v>35</v>
      </c>
      <c r="D2788" t="s">
        <v>75</v>
      </c>
      <c r="E2788" t="s">
        <v>15</v>
      </c>
      <c r="F2788">
        <v>216</v>
      </c>
      <c r="G2788">
        <v>4440</v>
      </c>
      <c r="H2788">
        <v>959040</v>
      </c>
      <c r="I2788" t="s">
        <v>642</v>
      </c>
      <c r="J2788" t="s">
        <v>642</v>
      </c>
      <c r="K2788">
        <v>216</v>
      </c>
      <c r="L2788">
        <v>0</v>
      </c>
      <c r="M2788" t="s">
        <v>115</v>
      </c>
      <c r="N2788" t="str">
        <f t="shared" si="258"/>
        <v>PO-102787</v>
      </c>
      <c r="O2788" t="str">
        <f t="shared" si="259"/>
        <v>Delivered</v>
      </c>
      <c r="P2788" t="str">
        <f t="shared" si="260"/>
        <v>WH-BOM</v>
      </c>
      <c r="Q2788" t="str">
        <f>VLOOKUP(C2788, Lookups!$A$2:$D$10, 2, FALSE())</f>
        <v>Peripheral Source</v>
      </c>
      <c r="R2788" t="str">
        <f>_xlfn.XLOOKUP(D2788, Lookups!$A$12:$A$51, Lookups!$C$12:$C$51, "Unknown")</f>
        <v>Peripherals</v>
      </c>
      <c r="S2788" t="str">
        <f>IF(ISBLANK(I2788), B2788+VLOOKUP(C2788, Lookups!$A$2:$D$10, 4, FALSE()), I2788)</f>
        <v>2025-10-20</v>
      </c>
      <c r="T2788">
        <f t="shared" si="261"/>
        <v>10</v>
      </c>
      <c r="U2788" t="str">
        <f t="shared" si="262"/>
        <v>On-Time</v>
      </c>
      <c r="V2788">
        <f t="shared" si="263"/>
        <v>0</v>
      </c>
    </row>
    <row r="2789" spans="1:22" x14ac:dyDescent="0.45">
      <c r="A2789" t="s">
        <v>3645</v>
      </c>
      <c r="B2789" t="s">
        <v>866</v>
      </c>
      <c r="C2789" t="s">
        <v>34</v>
      </c>
      <c r="D2789" t="s">
        <v>80</v>
      </c>
      <c r="E2789" t="s">
        <v>18</v>
      </c>
      <c r="F2789">
        <v>219</v>
      </c>
      <c r="G2789">
        <v>19090</v>
      </c>
      <c r="H2789">
        <v>4180710</v>
      </c>
      <c r="I2789" t="s">
        <v>280</v>
      </c>
      <c r="J2789" t="s">
        <v>646</v>
      </c>
      <c r="K2789">
        <v>219</v>
      </c>
      <c r="L2789">
        <v>0</v>
      </c>
      <c r="M2789" t="s">
        <v>115</v>
      </c>
      <c r="N2789" t="str">
        <f t="shared" si="258"/>
        <v>PO-102788</v>
      </c>
      <c r="O2789" t="str">
        <f t="shared" si="259"/>
        <v>Delivered</v>
      </c>
      <c r="P2789" t="str">
        <f t="shared" si="260"/>
        <v>WH-PUN</v>
      </c>
      <c r="Q2789" t="str">
        <f>VLOOKUP(C2789, Lookups!$A$2:$D$10, 2, FALSE())</f>
        <v>FastElectronics</v>
      </c>
      <c r="R2789" t="str">
        <f>_xlfn.XLOOKUP(D2789, Lookups!$A$12:$A$51, Lookups!$C$12:$C$51, "Unknown")</f>
        <v>Networking</v>
      </c>
      <c r="S2789" t="str">
        <f>IF(ISBLANK(I2789), B2789+VLOOKUP(C2789, Lookups!$A$2:$D$10, 4, FALSE()), I2789)</f>
        <v>2026-10-08</v>
      </c>
      <c r="T2789">
        <f t="shared" si="261"/>
        <v>17</v>
      </c>
      <c r="U2789" t="str">
        <f t="shared" si="262"/>
        <v>On-Time</v>
      </c>
      <c r="V2789">
        <f t="shared" si="263"/>
        <v>0</v>
      </c>
    </row>
    <row r="2790" spans="1:22" x14ac:dyDescent="0.45">
      <c r="A2790" t="s">
        <v>3646</v>
      </c>
      <c r="B2790" t="s">
        <v>1026</v>
      </c>
      <c r="C2790" t="s">
        <v>31</v>
      </c>
      <c r="D2790" t="s">
        <v>64</v>
      </c>
      <c r="E2790" t="s">
        <v>17</v>
      </c>
      <c r="F2790">
        <v>238</v>
      </c>
      <c r="G2790">
        <v>36295</v>
      </c>
      <c r="H2790">
        <v>8638210</v>
      </c>
      <c r="I2790" t="s">
        <v>952</v>
      </c>
      <c r="J2790" t="s">
        <v>1066</v>
      </c>
      <c r="K2790">
        <v>238</v>
      </c>
      <c r="L2790">
        <v>0</v>
      </c>
      <c r="M2790" t="s">
        <v>115</v>
      </c>
      <c r="N2790" t="str">
        <f t="shared" si="258"/>
        <v>PO-102789</v>
      </c>
      <c r="O2790" t="str">
        <f t="shared" si="259"/>
        <v>Delivered</v>
      </c>
      <c r="P2790" t="str">
        <f t="shared" si="260"/>
        <v>WH-BLR</v>
      </c>
      <c r="Q2790" t="str">
        <f>VLOOKUP(C2790, Lookups!$A$2:$D$10, 2, FALSE())</f>
        <v>Global Networks</v>
      </c>
      <c r="R2790" t="str">
        <f>_xlfn.XLOOKUP(D2790, Lookups!$A$12:$A$51, Lookups!$C$12:$C$51, "Unknown")</f>
        <v>Networking</v>
      </c>
      <c r="S2790" t="str">
        <f>IF(ISBLANK(I2790), B2790+VLOOKUP(C2790, Lookups!$A$2:$D$10, 4, FALSE()), I2790)</f>
        <v>2026-07-24</v>
      </c>
      <c r="T2790">
        <f t="shared" si="261"/>
        <v>23</v>
      </c>
      <c r="U2790" t="str">
        <f t="shared" si="262"/>
        <v>Late</v>
      </c>
      <c r="V2790">
        <f t="shared" si="263"/>
        <v>0</v>
      </c>
    </row>
    <row r="2791" spans="1:22" x14ac:dyDescent="0.45">
      <c r="A2791" t="s">
        <v>3647</v>
      </c>
      <c r="B2791" t="s">
        <v>322</v>
      </c>
      <c r="C2791" t="s">
        <v>34</v>
      </c>
      <c r="D2791" t="s">
        <v>76</v>
      </c>
      <c r="E2791" t="s">
        <v>17</v>
      </c>
      <c r="F2791">
        <v>148</v>
      </c>
      <c r="G2791">
        <v>26270</v>
      </c>
      <c r="H2791">
        <v>3887960</v>
      </c>
      <c r="I2791" t="s">
        <v>587</v>
      </c>
      <c r="J2791" t="s">
        <v>444</v>
      </c>
      <c r="K2791">
        <v>148</v>
      </c>
      <c r="L2791">
        <v>0</v>
      </c>
      <c r="M2791" t="s">
        <v>115</v>
      </c>
      <c r="N2791" t="str">
        <f t="shared" si="258"/>
        <v>PO-102790</v>
      </c>
      <c r="O2791" t="str">
        <f t="shared" si="259"/>
        <v>Delivered</v>
      </c>
      <c r="P2791" t="str">
        <f t="shared" si="260"/>
        <v>WH-BLR</v>
      </c>
      <c r="Q2791" t="str">
        <f>VLOOKUP(C2791, Lookups!$A$2:$D$10, 2, FALSE())</f>
        <v>FastElectronics</v>
      </c>
      <c r="R2791" t="str">
        <f>_xlfn.XLOOKUP(D2791, Lookups!$A$12:$A$51, Lookups!$C$12:$C$51, "Unknown")</f>
        <v>Networking</v>
      </c>
      <c r="S2791" t="str">
        <f>IF(ISBLANK(I2791), B2791+VLOOKUP(C2791, Lookups!$A$2:$D$10, 4, FALSE()), I2791)</f>
        <v>2026-04-11</v>
      </c>
      <c r="T2791">
        <f t="shared" si="261"/>
        <v>19</v>
      </c>
      <c r="U2791" t="str">
        <f t="shared" si="262"/>
        <v>Late</v>
      </c>
      <c r="V2791">
        <f t="shared" si="263"/>
        <v>0</v>
      </c>
    </row>
    <row r="2792" spans="1:22" x14ac:dyDescent="0.45">
      <c r="A2792" t="s">
        <v>3648</v>
      </c>
      <c r="B2792" t="s">
        <v>293</v>
      </c>
      <c r="C2792" t="s">
        <v>30</v>
      </c>
      <c r="D2792" t="s">
        <v>88</v>
      </c>
      <c r="E2792" t="s">
        <v>16</v>
      </c>
      <c r="F2792">
        <v>16</v>
      </c>
      <c r="G2792">
        <v>75512</v>
      </c>
      <c r="H2792">
        <v>1208192</v>
      </c>
      <c r="I2792" t="s">
        <v>403</v>
      </c>
      <c r="J2792" t="s">
        <v>569</v>
      </c>
      <c r="K2792">
        <v>16</v>
      </c>
      <c r="L2792">
        <v>0</v>
      </c>
      <c r="M2792" t="s">
        <v>115</v>
      </c>
      <c r="N2792" t="str">
        <f t="shared" si="258"/>
        <v>PO-102791</v>
      </c>
      <c r="O2792" t="str">
        <f t="shared" si="259"/>
        <v>Delivered</v>
      </c>
      <c r="P2792" t="str">
        <f t="shared" si="260"/>
        <v>WH-DEL</v>
      </c>
      <c r="Q2792" t="str">
        <f>VLOOKUP(C2792, Lookups!$A$2:$D$10, 2, FALSE())</f>
        <v>TechSupply Corp</v>
      </c>
      <c r="R2792" t="str">
        <f>_xlfn.XLOOKUP(D2792, Lookups!$A$12:$A$51, Lookups!$C$12:$C$51, "Unknown")</f>
        <v>Electronics</v>
      </c>
      <c r="S2792" t="str">
        <f>IF(ISBLANK(I2792), B2792+VLOOKUP(C2792, Lookups!$A$2:$D$10, 4, FALSE()), I2792)</f>
        <v>2025-09-18</v>
      </c>
      <c r="T2792">
        <f t="shared" si="261"/>
        <v>15</v>
      </c>
      <c r="U2792" t="str">
        <f t="shared" si="262"/>
        <v>Late</v>
      </c>
      <c r="V2792">
        <f t="shared" si="263"/>
        <v>0</v>
      </c>
    </row>
    <row r="2793" spans="1:22" x14ac:dyDescent="0.45">
      <c r="A2793" t="s">
        <v>3649</v>
      </c>
      <c r="B2793" t="s">
        <v>1596</v>
      </c>
      <c r="C2793" t="s">
        <v>37</v>
      </c>
      <c r="D2793" t="s">
        <v>78</v>
      </c>
      <c r="E2793" t="s">
        <v>15</v>
      </c>
      <c r="F2793">
        <v>191</v>
      </c>
      <c r="G2793">
        <v>9423</v>
      </c>
      <c r="H2793">
        <v>1799793</v>
      </c>
      <c r="I2793" t="s">
        <v>446</v>
      </c>
      <c r="J2793" t="s">
        <v>1574</v>
      </c>
      <c r="K2793">
        <v>191</v>
      </c>
      <c r="L2793">
        <v>0</v>
      </c>
      <c r="M2793" t="s">
        <v>115</v>
      </c>
      <c r="N2793" t="str">
        <f t="shared" si="258"/>
        <v>PO-102792</v>
      </c>
      <c r="O2793" t="str">
        <f t="shared" si="259"/>
        <v>Delivered</v>
      </c>
      <c r="P2793" t="str">
        <f t="shared" si="260"/>
        <v>WH-BOM</v>
      </c>
      <c r="Q2793" t="str">
        <f>VLOOKUP(C2793, Lookups!$A$2:$D$10, 2, FALSE())</f>
        <v>Premium Desks Ltd</v>
      </c>
      <c r="R2793" t="str">
        <f>_xlfn.XLOOKUP(D2793, Lookups!$A$12:$A$51, Lookups!$C$12:$C$51, "Unknown")</f>
        <v>Office Furniture</v>
      </c>
      <c r="S2793" t="str">
        <f>IF(ISBLANK(I2793), B2793+VLOOKUP(C2793, Lookups!$A$2:$D$10, 4, FALSE()), I2793)</f>
        <v>2025-11-29</v>
      </c>
      <c r="T2793">
        <f t="shared" si="261"/>
        <v>13</v>
      </c>
      <c r="U2793" t="str">
        <f t="shared" si="262"/>
        <v>Late</v>
      </c>
      <c r="V2793">
        <f t="shared" si="263"/>
        <v>0</v>
      </c>
    </row>
    <row r="2794" spans="1:22" x14ac:dyDescent="0.45">
      <c r="A2794" t="s">
        <v>3650</v>
      </c>
      <c r="B2794" t="s">
        <v>142</v>
      </c>
      <c r="C2794" t="s">
        <v>32</v>
      </c>
      <c r="D2794" t="s">
        <v>67</v>
      </c>
      <c r="E2794" t="s">
        <v>18</v>
      </c>
      <c r="F2794">
        <v>105</v>
      </c>
      <c r="G2794">
        <v>1553</v>
      </c>
      <c r="H2794">
        <v>163065</v>
      </c>
      <c r="I2794" t="s">
        <v>1347</v>
      </c>
      <c r="J2794" t="s">
        <v>1347</v>
      </c>
      <c r="K2794">
        <v>105</v>
      </c>
      <c r="L2794">
        <v>0</v>
      </c>
      <c r="M2794" t="s">
        <v>115</v>
      </c>
      <c r="N2794" t="str">
        <f t="shared" si="258"/>
        <v>PO-102793</v>
      </c>
      <c r="O2794" t="str">
        <f t="shared" si="259"/>
        <v>Delivered</v>
      </c>
      <c r="P2794" t="str">
        <f t="shared" si="260"/>
        <v>WH-PUN</v>
      </c>
      <c r="Q2794" t="str">
        <f>VLOOKUP(C2794, Lookups!$A$2:$D$10, 2, FALSE())</f>
        <v>OfficeDepot Pro</v>
      </c>
      <c r="R2794" t="str">
        <f>_xlfn.XLOOKUP(D2794, Lookups!$A$12:$A$51, Lookups!$C$12:$C$51, "Unknown")</f>
        <v>Peripherals</v>
      </c>
      <c r="S2794" t="str">
        <f>IF(ISBLANK(I2794), B2794+VLOOKUP(C2794, Lookups!$A$2:$D$10, 4, FALSE()), I2794)</f>
        <v>2026-08-09</v>
      </c>
      <c r="T2794">
        <f t="shared" si="261"/>
        <v>7</v>
      </c>
      <c r="U2794" t="str">
        <f t="shared" si="262"/>
        <v>On-Time</v>
      </c>
      <c r="V2794">
        <f t="shared" si="263"/>
        <v>0</v>
      </c>
    </row>
    <row r="2795" spans="1:22" x14ac:dyDescent="0.45">
      <c r="A2795" t="s">
        <v>3651</v>
      </c>
      <c r="B2795" t="s">
        <v>494</v>
      </c>
      <c r="C2795" t="s">
        <v>36</v>
      </c>
      <c r="D2795" t="s">
        <v>55</v>
      </c>
      <c r="E2795" t="s">
        <v>17</v>
      </c>
      <c r="F2795">
        <v>201</v>
      </c>
      <c r="G2795">
        <v>58434</v>
      </c>
      <c r="H2795">
        <v>11745234</v>
      </c>
      <c r="I2795" t="s">
        <v>980</v>
      </c>
      <c r="J2795" t="s">
        <v>980</v>
      </c>
      <c r="K2795">
        <v>160</v>
      </c>
      <c r="L2795">
        <v>16</v>
      </c>
      <c r="M2795" t="s">
        <v>115</v>
      </c>
      <c r="N2795" t="str">
        <f t="shared" si="258"/>
        <v>PO-102794</v>
      </c>
      <c r="O2795" t="str">
        <f t="shared" si="259"/>
        <v>Delivered</v>
      </c>
      <c r="P2795" t="str">
        <f t="shared" si="260"/>
        <v>WH-BLR</v>
      </c>
      <c r="Q2795" t="str">
        <f>VLOOKUP(C2795, Lookups!$A$2:$D$10, 2, FALSE())</f>
        <v>NextGen Hardware</v>
      </c>
      <c r="R2795" t="str">
        <f>_xlfn.XLOOKUP(D2795, Lookups!$A$12:$A$51, Lookups!$C$12:$C$51, "Unknown")</f>
        <v>Electronics</v>
      </c>
      <c r="S2795" t="str">
        <f>IF(ISBLANK(I2795), B2795+VLOOKUP(C2795, Lookups!$A$2:$D$10, 4, FALSE()), I2795)</f>
        <v>2026-10-12</v>
      </c>
      <c r="T2795">
        <f t="shared" si="261"/>
        <v>24</v>
      </c>
      <c r="U2795" t="str">
        <f t="shared" si="262"/>
        <v>On-Time</v>
      </c>
      <c r="V2795">
        <f t="shared" si="263"/>
        <v>0.1</v>
      </c>
    </row>
    <row r="2796" spans="1:22" x14ac:dyDescent="0.45">
      <c r="A2796" t="s">
        <v>3652</v>
      </c>
      <c r="B2796" t="s">
        <v>1403</v>
      </c>
      <c r="C2796" t="s">
        <v>31</v>
      </c>
      <c r="D2796" t="s">
        <v>85</v>
      </c>
      <c r="E2796" t="s">
        <v>15</v>
      </c>
      <c r="F2796">
        <v>50</v>
      </c>
      <c r="G2796">
        <v>16501</v>
      </c>
      <c r="H2796">
        <v>825050</v>
      </c>
      <c r="I2796" t="s">
        <v>694</v>
      </c>
      <c r="J2796" t="s">
        <v>296</v>
      </c>
      <c r="K2796">
        <v>50</v>
      </c>
      <c r="L2796">
        <v>0</v>
      </c>
      <c r="M2796" t="s">
        <v>115</v>
      </c>
      <c r="N2796" t="str">
        <f t="shared" si="258"/>
        <v>PO-102795</v>
      </c>
      <c r="O2796" t="str">
        <f t="shared" si="259"/>
        <v>Delivered</v>
      </c>
      <c r="P2796" t="str">
        <f t="shared" si="260"/>
        <v>WH-BOM</v>
      </c>
      <c r="Q2796" t="str">
        <f>VLOOKUP(C2796, Lookups!$A$2:$D$10, 2, FALSE())</f>
        <v>Global Networks</v>
      </c>
      <c r="R2796" t="str">
        <f>_xlfn.XLOOKUP(D2796, Lookups!$A$12:$A$51, Lookups!$C$12:$C$51, "Unknown")</f>
        <v>Networking</v>
      </c>
      <c r="S2796" t="str">
        <f>IF(ISBLANK(I2796), B2796+VLOOKUP(C2796, Lookups!$A$2:$D$10, 4, FALSE()), I2796)</f>
        <v>2026-11-23</v>
      </c>
      <c r="T2796">
        <f t="shared" si="261"/>
        <v>22</v>
      </c>
      <c r="U2796" t="str">
        <f t="shared" si="262"/>
        <v>Late</v>
      </c>
      <c r="V2796">
        <f t="shared" si="263"/>
        <v>0</v>
      </c>
    </row>
    <row r="2797" spans="1:22" x14ac:dyDescent="0.45">
      <c r="A2797" t="s">
        <v>3653</v>
      </c>
      <c r="B2797" t="s">
        <v>1530</v>
      </c>
      <c r="C2797" t="s">
        <v>30</v>
      </c>
      <c r="D2797" t="s">
        <v>52</v>
      </c>
      <c r="E2797" t="s">
        <v>15</v>
      </c>
      <c r="F2797">
        <v>92</v>
      </c>
      <c r="G2797">
        <v>59592</v>
      </c>
      <c r="H2797">
        <v>5482464</v>
      </c>
      <c r="I2797" t="s">
        <v>271</v>
      </c>
      <c r="J2797" t="s">
        <v>271</v>
      </c>
      <c r="K2797">
        <v>92</v>
      </c>
      <c r="L2797">
        <v>0</v>
      </c>
      <c r="M2797" t="s">
        <v>115</v>
      </c>
      <c r="N2797" t="str">
        <f t="shared" si="258"/>
        <v>PO-102796</v>
      </c>
      <c r="O2797" t="str">
        <f t="shared" si="259"/>
        <v>Delivered</v>
      </c>
      <c r="P2797" t="str">
        <f t="shared" si="260"/>
        <v>WH-BOM</v>
      </c>
      <c r="Q2797" t="str">
        <f>VLOOKUP(C2797, Lookups!$A$2:$D$10, 2, FALSE())</f>
        <v>TechSupply Corp</v>
      </c>
      <c r="R2797" t="str">
        <f>_xlfn.XLOOKUP(D2797, Lookups!$A$12:$A$51, Lookups!$C$12:$C$51, "Unknown")</f>
        <v>Electronics</v>
      </c>
      <c r="S2797" t="str">
        <f>IF(ISBLANK(I2797), B2797+VLOOKUP(C2797, Lookups!$A$2:$D$10, 4, FALSE()), I2797)</f>
        <v>2025-07-26</v>
      </c>
      <c r="T2797">
        <f t="shared" si="261"/>
        <v>14</v>
      </c>
      <c r="U2797" t="str">
        <f t="shared" si="262"/>
        <v>On-Time</v>
      </c>
      <c r="V2797">
        <f t="shared" si="263"/>
        <v>0</v>
      </c>
    </row>
    <row r="2798" spans="1:22" x14ac:dyDescent="0.45">
      <c r="A2798" t="s">
        <v>3654</v>
      </c>
      <c r="B2798" t="s">
        <v>659</v>
      </c>
      <c r="C2798" t="s">
        <v>30</v>
      </c>
      <c r="D2798" t="s">
        <v>86</v>
      </c>
      <c r="E2798" t="s">
        <v>17</v>
      </c>
      <c r="F2798">
        <v>244</v>
      </c>
      <c r="G2798">
        <v>74871</v>
      </c>
      <c r="H2798">
        <v>18268524</v>
      </c>
      <c r="I2798" t="s">
        <v>920</v>
      </c>
      <c r="J2798" t="s">
        <v>1198</v>
      </c>
      <c r="K2798">
        <v>244</v>
      </c>
      <c r="L2798">
        <v>0</v>
      </c>
      <c r="M2798" t="s">
        <v>115</v>
      </c>
      <c r="N2798" t="str">
        <f t="shared" si="258"/>
        <v>PO-102797</v>
      </c>
      <c r="O2798" t="str">
        <f t="shared" si="259"/>
        <v>Delivered</v>
      </c>
      <c r="P2798" t="str">
        <f t="shared" si="260"/>
        <v>WH-BLR</v>
      </c>
      <c r="Q2798" t="str">
        <f>VLOOKUP(C2798, Lookups!$A$2:$D$10, 2, FALSE())</f>
        <v>TechSupply Corp</v>
      </c>
      <c r="R2798" t="str">
        <f>_xlfn.XLOOKUP(D2798, Lookups!$A$12:$A$51, Lookups!$C$12:$C$51, "Unknown")</f>
        <v>Electronics</v>
      </c>
      <c r="S2798" t="str">
        <f>IF(ISBLANK(I2798), B2798+VLOOKUP(C2798, Lookups!$A$2:$D$10, 4, FALSE()), I2798)</f>
        <v>2026-10-15</v>
      </c>
      <c r="T2798">
        <f t="shared" si="261"/>
        <v>15</v>
      </c>
      <c r="U2798" t="str">
        <f t="shared" si="262"/>
        <v>Late</v>
      </c>
      <c r="V2798">
        <f t="shared" si="263"/>
        <v>0</v>
      </c>
    </row>
    <row r="2799" spans="1:22" x14ac:dyDescent="0.45">
      <c r="A2799" t="s">
        <v>3655</v>
      </c>
      <c r="B2799" t="s">
        <v>413</v>
      </c>
      <c r="C2799" t="s">
        <v>30</v>
      </c>
      <c r="D2799" t="s">
        <v>52</v>
      </c>
      <c r="E2799" t="s">
        <v>17</v>
      </c>
      <c r="F2799">
        <v>56</v>
      </c>
      <c r="G2799">
        <v>59592</v>
      </c>
      <c r="H2799">
        <v>3337152</v>
      </c>
      <c r="I2799" t="s">
        <v>1218</v>
      </c>
      <c r="J2799" t="s">
        <v>1218</v>
      </c>
      <c r="K2799">
        <v>56</v>
      </c>
      <c r="L2799">
        <v>0</v>
      </c>
      <c r="M2799" t="s">
        <v>115</v>
      </c>
      <c r="N2799" t="str">
        <f t="shared" si="258"/>
        <v>PO-102798</v>
      </c>
      <c r="O2799" t="str">
        <f t="shared" si="259"/>
        <v>Delivered</v>
      </c>
      <c r="P2799" t="str">
        <f t="shared" si="260"/>
        <v>WH-BLR</v>
      </c>
      <c r="Q2799" t="str">
        <f>VLOOKUP(C2799, Lookups!$A$2:$D$10, 2, FALSE())</f>
        <v>TechSupply Corp</v>
      </c>
      <c r="R2799" t="str">
        <f>_xlfn.XLOOKUP(D2799, Lookups!$A$12:$A$51, Lookups!$C$12:$C$51, "Unknown")</f>
        <v>Electronics</v>
      </c>
      <c r="S2799" t="str">
        <f>IF(ISBLANK(I2799), B2799+VLOOKUP(C2799, Lookups!$A$2:$D$10, 4, FALSE()), I2799)</f>
        <v>2026-06-19</v>
      </c>
      <c r="T2799">
        <f t="shared" si="261"/>
        <v>14</v>
      </c>
      <c r="U2799" t="str">
        <f t="shared" si="262"/>
        <v>On-Time</v>
      </c>
      <c r="V2799">
        <f t="shared" si="263"/>
        <v>0</v>
      </c>
    </row>
    <row r="2800" spans="1:22" x14ac:dyDescent="0.45">
      <c r="A2800" t="s">
        <v>3656</v>
      </c>
      <c r="B2800" t="s">
        <v>416</v>
      </c>
      <c r="C2800" t="s">
        <v>35</v>
      </c>
      <c r="D2800" t="s">
        <v>72</v>
      </c>
      <c r="E2800" t="s">
        <v>15</v>
      </c>
      <c r="F2800">
        <v>123</v>
      </c>
      <c r="G2800">
        <v>7754</v>
      </c>
      <c r="H2800">
        <v>953742</v>
      </c>
      <c r="I2800" t="s">
        <v>703</v>
      </c>
      <c r="J2800" t="s">
        <v>842</v>
      </c>
      <c r="K2800">
        <v>123</v>
      </c>
      <c r="L2800">
        <v>5</v>
      </c>
      <c r="M2800" t="s">
        <v>115</v>
      </c>
      <c r="N2800" t="str">
        <f t="shared" si="258"/>
        <v>PO-102799</v>
      </c>
      <c r="O2800" t="str">
        <f t="shared" si="259"/>
        <v>Delivered</v>
      </c>
      <c r="P2800" t="str">
        <f t="shared" si="260"/>
        <v>WH-BOM</v>
      </c>
      <c r="Q2800" t="str">
        <f>VLOOKUP(C2800, Lookups!$A$2:$D$10, 2, FALSE())</f>
        <v>Peripheral Source</v>
      </c>
      <c r="R2800" t="str">
        <f>_xlfn.XLOOKUP(D2800, Lookups!$A$12:$A$51, Lookups!$C$12:$C$51, "Unknown")</f>
        <v>Peripherals</v>
      </c>
      <c r="S2800" t="str">
        <f>IF(ISBLANK(I2800), B2800+VLOOKUP(C2800, Lookups!$A$2:$D$10, 4, FALSE()), I2800)</f>
        <v>2026-06-08</v>
      </c>
      <c r="T2800">
        <f t="shared" si="261"/>
        <v>17</v>
      </c>
      <c r="U2800" t="str">
        <f t="shared" si="262"/>
        <v>Late</v>
      </c>
      <c r="V2800">
        <f t="shared" si="263"/>
        <v>4.065040650406504E-2</v>
      </c>
    </row>
    <row r="2801" spans="1:22" x14ac:dyDescent="0.45">
      <c r="A2801" t="s">
        <v>3657</v>
      </c>
      <c r="B2801" t="s">
        <v>113</v>
      </c>
      <c r="C2801" t="s">
        <v>35</v>
      </c>
      <c r="D2801" t="s">
        <v>75</v>
      </c>
      <c r="E2801" t="s">
        <v>15</v>
      </c>
      <c r="F2801">
        <v>91</v>
      </c>
      <c r="G2801">
        <v>4440</v>
      </c>
      <c r="H2801">
        <v>404040</v>
      </c>
      <c r="I2801" t="s">
        <v>514</v>
      </c>
      <c r="J2801" t="s">
        <v>514</v>
      </c>
      <c r="K2801">
        <v>91</v>
      </c>
      <c r="L2801">
        <v>0</v>
      </c>
      <c r="M2801" t="s">
        <v>115</v>
      </c>
      <c r="N2801" t="str">
        <f t="shared" si="258"/>
        <v>PO-102800</v>
      </c>
      <c r="O2801" t="str">
        <f t="shared" si="259"/>
        <v>Delivered</v>
      </c>
      <c r="P2801" t="str">
        <f t="shared" si="260"/>
        <v>WH-BOM</v>
      </c>
      <c r="Q2801" t="str">
        <f>VLOOKUP(C2801, Lookups!$A$2:$D$10, 2, FALSE())</f>
        <v>Peripheral Source</v>
      </c>
      <c r="R2801" t="str">
        <f>_xlfn.XLOOKUP(D2801, Lookups!$A$12:$A$51, Lookups!$C$12:$C$51, "Unknown")</f>
        <v>Peripherals</v>
      </c>
      <c r="S2801" t="str">
        <f>IF(ISBLANK(I2801), B2801+VLOOKUP(C2801, Lookups!$A$2:$D$10, 4, FALSE()), I2801)</f>
        <v>2026-07-14</v>
      </c>
      <c r="T2801">
        <f t="shared" si="261"/>
        <v>10</v>
      </c>
      <c r="U2801" t="str">
        <f t="shared" si="262"/>
        <v>On-Time</v>
      </c>
      <c r="V2801">
        <f t="shared" si="263"/>
        <v>0</v>
      </c>
    </row>
    <row r="2802" spans="1:22" x14ac:dyDescent="0.45">
      <c r="A2802" t="s">
        <v>3658</v>
      </c>
      <c r="B2802" t="s">
        <v>394</v>
      </c>
      <c r="C2802" t="s">
        <v>34</v>
      </c>
      <c r="D2802" t="s">
        <v>81</v>
      </c>
      <c r="E2802" t="s">
        <v>15</v>
      </c>
      <c r="F2802">
        <v>33</v>
      </c>
      <c r="G2802">
        <v>55328</v>
      </c>
      <c r="H2802">
        <v>1825824</v>
      </c>
      <c r="I2802" t="s">
        <v>968</v>
      </c>
      <c r="J2802" t="s">
        <v>147</v>
      </c>
      <c r="K2802">
        <v>33</v>
      </c>
      <c r="L2802">
        <v>0</v>
      </c>
      <c r="M2802" t="s">
        <v>115</v>
      </c>
      <c r="N2802" t="str">
        <f t="shared" si="258"/>
        <v>PO-102801</v>
      </c>
      <c r="O2802" t="str">
        <f t="shared" si="259"/>
        <v>Delivered</v>
      </c>
      <c r="P2802" t="str">
        <f t="shared" si="260"/>
        <v>WH-BOM</v>
      </c>
      <c r="Q2802" t="str">
        <f>VLOOKUP(C2802, Lookups!$A$2:$D$10, 2, FALSE())</f>
        <v>FastElectronics</v>
      </c>
      <c r="R2802" t="str">
        <f>_xlfn.XLOOKUP(D2802, Lookups!$A$12:$A$51, Lookups!$C$12:$C$51, "Unknown")</f>
        <v>Electronics</v>
      </c>
      <c r="S2802" t="str">
        <f>IF(ISBLANK(I2802), B2802+VLOOKUP(C2802, Lookups!$A$2:$D$10, 4, FALSE()), I2802)</f>
        <v>2025-10-04</v>
      </c>
      <c r="T2802">
        <f t="shared" si="261"/>
        <v>19</v>
      </c>
      <c r="U2802" t="str">
        <f t="shared" si="262"/>
        <v>Late</v>
      </c>
      <c r="V2802">
        <f t="shared" si="263"/>
        <v>0</v>
      </c>
    </row>
    <row r="2803" spans="1:22" x14ac:dyDescent="0.45">
      <c r="A2803" t="s">
        <v>3659</v>
      </c>
      <c r="B2803" t="s">
        <v>1776</v>
      </c>
      <c r="C2803" t="s">
        <v>30</v>
      </c>
      <c r="D2803" t="s">
        <v>52</v>
      </c>
      <c r="E2803" t="s">
        <v>17</v>
      </c>
      <c r="F2803">
        <v>41</v>
      </c>
      <c r="G2803">
        <v>59592</v>
      </c>
      <c r="H2803">
        <v>2443272</v>
      </c>
      <c r="I2803" t="s">
        <v>537</v>
      </c>
      <c r="J2803" t="s">
        <v>1621</v>
      </c>
      <c r="K2803">
        <v>41</v>
      </c>
      <c r="L2803">
        <v>0</v>
      </c>
      <c r="M2803" t="s">
        <v>115</v>
      </c>
      <c r="N2803" t="str">
        <f t="shared" si="258"/>
        <v>PO-102802</v>
      </c>
      <c r="O2803" t="str">
        <f t="shared" si="259"/>
        <v>Delivered</v>
      </c>
      <c r="P2803" t="str">
        <f t="shared" si="260"/>
        <v>WH-BLR</v>
      </c>
      <c r="Q2803" t="str">
        <f>VLOOKUP(C2803, Lookups!$A$2:$D$10, 2, FALSE())</f>
        <v>TechSupply Corp</v>
      </c>
      <c r="R2803" t="str">
        <f>_xlfn.XLOOKUP(D2803, Lookups!$A$12:$A$51, Lookups!$C$12:$C$51, "Unknown")</f>
        <v>Electronics</v>
      </c>
      <c r="S2803" t="str">
        <f>IF(ISBLANK(I2803), B2803+VLOOKUP(C2803, Lookups!$A$2:$D$10, 4, FALSE()), I2803)</f>
        <v>2026-01-03</v>
      </c>
      <c r="T2803">
        <f t="shared" si="261"/>
        <v>10</v>
      </c>
      <c r="U2803" t="str">
        <f t="shared" si="262"/>
        <v>On-Time</v>
      </c>
      <c r="V2803">
        <f t="shared" si="263"/>
        <v>0</v>
      </c>
    </row>
    <row r="2804" spans="1:22" x14ac:dyDescent="0.45">
      <c r="A2804" t="s">
        <v>3660</v>
      </c>
      <c r="B2804" t="s">
        <v>1737</v>
      </c>
      <c r="C2804" t="s">
        <v>32</v>
      </c>
      <c r="D2804" t="s">
        <v>84</v>
      </c>
      <c r="E2804" t="s">
        <v>15</v>
      </c>
      <c r="F2804">
        <v>101</v>
      </c>
      <c r="G2804">
        <v>7271</v>
      </c>
      <c r="H2804">
        <v>734371</v>
      </c>
      <c r="I2804" t="s">
        <v>1265</v>
      </c>
      <c r="J2804" t="s">
        <v>910</v>
      </c>
      <c r="K2804">
        <v>101</v>
      </c>
      <c r="L2804">
        <v>12</v>
      </c>
      <c r="M2804" t="s">
        <v>115</v>
      </c>
      <c r="N2804" t="str">
        <f t="shared" si="258"/>
        <v>PO-102803</v>
      </c>
      <c r="O2804" t="str">
        <f t="shared" si="259"/>
        <v>Delivered</v>
      </c>
      <c r="P2804" t="str">
        <f t="shared" si="260"/>
        <v>WH-BOM</v>
      </c>
      <c r="Q2804" t="str">
        <f>VLOOKUP(C2804, Lookups!$A$2:$D$10, 2, FALSE())</f>
        <v>OfficeDepot Pro</v>
      </c>
      <c r="R2804" t="str">
        <f>_xlfn.XLOOKUP(D2804, Lookups!$A$12:$A$51, Lookups!$C$12:$C$51, "Unknown")</f>
        <v>Peripherals</v>
      </c>
      <c r="S2804" t="str">
        <f>IF(ISBLANK(I2804), B2804+VLOOKUP(C2804, Lookups!$A$2:$D$10, 4, FALSE()), I2804)</f>
        <v>2025-04-07</v>
      </c>
      <c r="T2804">
        <f t="shared" si="261"/>
        <v>8</v>
      </c>
      <c r="U2804" t="str">
        <f t="shared" si="262"/>
        <v>Late</v>
      </c>
      <c r="V2804">
        <f t="shared" si="263"/>
        <v>0.11881188118811881</v>
      </c>
    </row>
    <row r="2805" spans="1:22" x14ac:dyDescent="0.45">
      <c r="A2805" t="s">
        <v>3661</v>
      </c>
      <c r="B2805" t="s">
        <v>606</v>
      </c>
      <c r="C2805" t="s">
        <v>37</v>
      </c>
      <c r="D2805" t="s">
        <v>83</v>
      </c>
      <c r="E2805" t="s">
        <v>17</v>
      </c>
      <c r="F2805">
        <v>171</v>
      </c>
      <c r="G2805">
        <v>19850</v>
      </c>
      <c r="H2805">
        <v>3394350</v>
      </c>
      <c r="I2805" t="s">
        <v>3662</v>
      </c>
      <c r="J2805" t="s">
        <v>121</v>
      </c>
      <c r="K2805">
        <v>171</v>
      </c>
      <c r="L2805">
        <v>0</v>
      </c>
      <c r="M2805" t="s">
        <v>115</v>
      </c>
      <c r="N2805" t="str">
        <f t="shared" si="258"/>
        <v>PO-102804</v>
      </c>
      <c r="O2805" t="str">
        <f t="shared" si="259"/>
        <v>Delivered</v>
      </c>
      <c r="P2805" t="str">
        <f t="shared" si="260"/>
        <v>WH-BLR</v>
      </c>
      <c r="Q2805" t="str">
        <f>VLOOKUP(C2805, Lookups!$A$2:$D$10, 2, FALSE())</f>
        <v>Premium Desks Ltd</v>
      </c>
      <c r="R2805" t="str">
        <f>_xlfn.XLOOKUP(D2805, Lookups!$A$12:$A$51, Lookups!$C$12:$C$51, "Unknown")</f>
        <v>Office Furniture</v>
      </c>
      <c r="S2805" t="str">
        <f>IF(ISBLANK(I2805), B2805+VLOOKUP(C2805, Lookups!$A$2:$D$10, 4, FALSE()), I2805)</f>
        <v>2025-01-16</v>
      </c>
      <c r="T2805">
        <f t="shared" si="261"/>
        <v>13</v>
      </c>
      <c r="U2805" t="str">
        <f t="shared" si="262"/>
        <v>Late</v>
      </c>
      <c r="V2805">
        <f t="shared" si="263"/>
        <v>0</v>
      </c>
    </row>
    <row r="2806" spans="1:22" x14ac:dyDescent="0.45">
      <c r="A2806" t="s">
        <v>3663</v>
      </c>
      <c r="B2806" t="s">
        <v>947</v>
      </c>
      <c r="C2806" t="s">
        <v>37</v>
      </c>
      <c r="D2806" t="s">
        <v>79</v>
      </c>
      <c r="E2806" t="s">
        <v>16</v>
      </c>
      <c r="F2806">
        <v>65</v>
      </c>
      <c r="G2806">
        <v>23054</v>
      </c>
      <c r="H2806">
        <v>1498510</v>
      </c>
      <c r="I2806" t="s">
        <v>448</v>
      </c>
      <c r="J2806" t="s">
        <v>448</v>
      </c>
      <c r="K2806">
        <v>65</v>
      </c>
      <c r="L2806">
        <v>0</v>
      </c>
      <c r="M2806" t="s">
        <v>115</v>
      </c>
      <c r="N2806" t="str">
        <f t="shared" si="258"/>
        <v>PO-102805</v>
      </c>
      <c r="O2806" t="str">
        <f t="shared" si="259"/>
        <v>Delivered</v>
      </c>
      <c r="P2806" t="str">
        <f t="shared" si="260"/>
        <v>WH-DEL</v>
      </c>
      <c r="Q2806" t="str">
        <f>VLOOKUP(C2806, Lookups!$A$2:$D$10, 2, FALSE())</f>
        <v>Premium Desks Ltd</v>
      </c>
      <c r="R2806" t="str">
        <f>_xlfn.XLOOKUP(D2806, Lookups!$A$12:$A$51, Lookups!$C$12:$C$51, "Unknown")</f>
        <v>Office Furniture</v>
      </c>
      <c r="S2806" t="str">
        <f>IF(ISBLANK(I2806), B2806+VLOOKUP(C2806, Lookups!$A$2:$D$10, 4, FALSE()), I2806)</f>
        <v>2025-12-18</v>
      </c>
      <c r="T2806">
        <f t="shared" si="261"/>
        <v>12</v>
      </c>
      <c r="U2806" t="str">
        <f t="shared" si="262"/>
        <v>On-Time</v>
      </c>
      <c r="V2806">
        <f t="shared" si="263"/>
        <v>0</v>
      </c>
    </row>
    <row r="2807" spans="1:22" x14ac:dyDescent="0.45">
      <c r="A2807" t="s">
        <v>3664</v>
      </c>
      <c r="B2807" t="s">
        <v>524</v>
      </c>
      <c r="C2807" t="s">
        <v>34</v>
      </c>
      <c r="D2807" t="s">
        <v>76</v>
      </c>
      <c r="E2807" t="s">
        <v>17</v>
      </c>
      <c r="F2807">
        <v>124</v>
      </c>
      <c r="G2807">
        <v>26270</v>
      </c>
      <c r="H2807">
        <v>3257480</v>
      </c>
      <c r="I2807" t="s">
        <v>486</v>
      </c>
      <c r="J2807" t="s">
        <v>240</v>
      </c>
      <c r="K2807">
        <v>124</v>
      </c>
      <c r="L2807">
        <v>0</v>
      </c>
      <c r="M2807" t="s">
        <v>115</v>
      </c>
      <c r="N2807" t="str">
        <f t="shared" si="258"/>
        <v>PO-102806</v>
      </c>
      <c r="O2807" t="str">
        <f t="shared" si="259"/>
        <v>Delivered</v>
      </c>
      <c r="P2807" t="str">
        <f t="shared" si="260"/>
        <v>WH-BLR</v>
      </c>
      <c r="Q2807" t="str">
        <f>VLOOKUP(C2807, Lookups!$A$2:$D$10, 2, FALSE())</f>
        <v>FastElectronics</v>
      </c>
      <c r="R2807" t="str">
        <f>_xlfn.XLOOKUP(D2807, Lookups!$A$12:$A$51, Lookups!$C$12:$C$51, "Unknown")</f>
        <v>Networking</v>
      </c>
      <c r="S2807" t="str">
        <f>IF(ISBLANK(I2807), B2807+VLOOKUP(C2807, Lookups!$A$2:$D$10, 4, FALSE()), I2807)</f>
        <v>2025-06-16</v>
      </c>
      <c r="T2807">
        <f t="shared" si="261"/>
        <v>17</v>
      </c>
      <c r="U2807" t="str">
        <f t="shared" si="262"/>
        <v>On-Time</v>
      </c>
      <c r="V2807">
        <f t="shared" si="263"/>
        <v>0</v>
      </c>
    </row>
    <row r="2808" spans="1:22" x14ac:dyDescent="0.45">
      <c r="A2808" t="s">
        <v>3665</v>
      </c>
      <c r="B2808" t="s">
        <v>680</v>
      </c>
      <c r="C2808" t="s">
        <v>30</v>
      </c>
      <c r="D2808" t="s">
        <v>61</v>
      </c>
      <c r="E2808" t="s">
        <v>17</v>
      </c>
      <c r="F2808">
        <v>55</v>
      </c>
      <c r="G2808">
        <v>111237</v>
      </c>
      <c r="H2808">
        <v>6118035</v>
      </c>
      <c r="I2808" t="s">
        <v>998</v>
      </c>
      <c r="J2808" t="s">
        <v>998</v>
      </c>
      <c r="K2808">
        <v>55</v>
      </c>
      <c r="L2808">
        <v>7</v>
      </c>
      <c r="M2808" t="s">
        <v>115</v>
      </c>
      <c r="N2808" t="str">
        <f t="shared" si="258"/>
        <v>PO-102807</v>
      </c>
      <c r="O2808" t="str">
        <f t="shared" si="259"/>
        <v>Delivered</v>
      </c>
      <c r="P2808" t="str">
        <f t="shared" si="260"/>
        <v>WH-BLR</v>
      </c>
      <c r="Q2808" t="str">
        <f>VLOOKUP(C2808, Lookups!$A$2:$D$10, 2, FALSE())</f>
        <v>TechSupply Corp</v>
      </c>
      <c r="R2808" t="str">
        <f>_xlfn.XLOOKUP(D2808, Lookups!$A$12:$A$51, Lookups!$C$12:$C$51, "Unknown")</f>
        <v>Electronics</v>
      </c>
      <c r="S2808" t="str">
        <f>IF(ISBLANK(I2808), B2808+VLOOKUP(C2808, Lookups!$A$2:$D$10, 4, FALSE()), I2808)</f>
        <v>2026-08-18</v>
      </c>
      <c r="T2808">
        <f t="shared" si="261"/>
        <v>14</v>
      </c>
      <c r="U2808" t="str">
        <f t="shared" si="262"/>
        <v>On-Time</v>
      </c>
      <c r="V2808">
        <f t="shared" si="263"/>
        <v>0.12727272727272726</v>
      </c>
    </row>
    <row r="2809" spans="1:22" x14ac:dyDescent="0.45">
      <c r="A2809" t="s">
        <v>3666</v>
      </c>
      <c r="B2809" t="s">
        <v>1326</v>
      </c>
      <c r="C2809" t="s">
        <v>37</v>
      </c>
      <c r="D2809" t="s">
        <v>78</v>
      </c>
      <c r="E2809" t="s">
        <v>15</v>
      </c>
      <c r="F2809">
        <v>122</v>
      </c>
      <c r="G2809">
        <v>9423</v>
      </c>
      <c r="H2809">
        <v>1149606</v>
      </c>
      <c r="I2809" t="s">
        <v>192</v>
      </c>
      <c r="J2809" t="s">
        <v>434</v>
      </c>
      <c r="K2809">
        <v>122</v>
      </c>
      <c r="L2809">
        <v>0</v>
      </c>
      <c r="M2809" t="s">
        <v>115</v>
      </c>
      <c r="N2809" t="str">
        <f t="shared" si="258"/>
        <v>PO-102808</v>
      </c>
      <c r="O2809" t="str">
        <f t="shared" si="259"/>
        <v>Delivered</v>
      </c>
      <c r="P2809" t="str">
        <f t="shared" si="260"/>
        <v>WH-BOM</v>
      </c>
      <c r="Q2809" t="str">
        <f>VLOOKUP(C2809, Lookups!$A$2:$D$10, 2, FALSE())</f>
        <v>Premium Desks Ltd</v>
      </c>
      <c r="R2809" t="str">
        <f>_xlfn.XLOOKUP(D2809, Lookups!$A$12:$A$51, Lookups!$C$12:$C$51, "Unknown")</f>
        <v>Office Furniture</v>
      </c>
      <c r="S2809" t="str">
        <f>IF(ISBLANK(I2809), B2809+VLOOKUP(C2809, Lookups!$A$2:$D$10, 4, FALSE()), I2809)</f>
        <v>2025-08-04</v>
      </c>
      <c r="T2809">
        <f t="shared" si="261"/>
        <v>18</v>
      </c>
      <c r="U2809" t="str">
        <f t="shared" si="262"/>
        <v>Late</v>
      </c>
      <c r="V2809">
        <f t="shared" si="263"/>
        <v>0</v>
      </c>
    </row>
    <row r="2810" spans="1:22" x14ac:dyDescent="0.45">
      <c r="A2810" t="s">
        <v>3667</v>
      </c>
      <c r="B2810" t="s">
        <v>648</v>
      </c>
      <c r="C2810" t="s">
        <v>30</v>
      </c>
      <c r="D2810" t="s">
        <v>82</v>
      </c>
      <c r="E2810" t="s">
        <v>16</v>
      </c>
      <c r="F2810">
        <v>166</v>
      </c>
      <c r="G2810">
        <v>83427</v>
      </c>
      <c r="H2810">
        <v>13848882</v>
      </c>
      <c r="I2810" t="s">
        <v>716</v>
      </c>
      <c r="J2810" t="s">
        <v>716</v>
      </c>
      <c r="K2810">
        <v>166</v>
      </c>
      <c r="L2810">
        <v>0</v>
      </c>
      <c r="M2810" t="s">
        <v>115</v>
      </c>
      <c r="N2810" t="str">
        <f t="shared" si="258"/>
        <v>PO-102809</v>
      </c>
      <c r="O2810" t="str">
        <f t="shared" si="259"/>
        <v>Delivered</v>
      </c>
      <c r="P2810" t="str">
        <f t="shared" si="260"/>
        <v>WH-DEL</v>
      </c>
      <c r="Q2810" t="str">
        <f>VLOOKUP(C2810, Lookups!$A$2:$D$10, 2, FALSE())</f>
        <v>TechSupply Corp</v>
      </c>
      <c r="R2810" t="str">
        <f>_xlfn.XLOOKUP(D2810, Lookups!$A$12:$A$51, Lookups!$C$12:$C$51, "Unknown")</f>
        <v>Electronics</v>
      </c>
      <c r="S2810" t="str">
        <f>IF(ISBLANK(I2810), B2810+VLOOKUP(C2810, Lookups!$A$2:$D$10, 4, FALSE()), I2810)</f>
        <v>2025-08-11</v>
      </c>
      <c r="T2810">
        <f t="shared" si="261"/>
        <v>14</v>
      </c>
      <c r="U2810" t="str">
        <f t="shared" si="262"/>
        <v>On-Time</v>
      </c>
      <c r="V2810">
        <f t="shared" si="263"/>
        <v>0</v>
      </c>
    </row>
    <row r="2811" spans="1:22" x14ac:dyDescent="0.45">
      <c r="A2811" t="s">
        <v>3668</v>
      </c>
      <c r="B2811" t="s">
        <v>595</v>
      </c>
      <c r="C2811" t="s">
        <v>30</v>
      </c>
      <c r="D2811" t="s">
        <v>88</v>
      </c>
      <c r="E2811" t="s">
        <v>16</v>
      </c>
      <c r="F2811">
        <v>238</v>
      </c>
      <c r="G2811">
        <v>75512</v>
      </c>
      <c r="H2811">
        <v>17971856</v>
      </c>
      <c r="I2811" t="s">
        <v>396</v>
      </c>
      <c r="J2811" t="s">
        <v>477</v>
      </c>
      <c r="K2811">
        <v>238</v>
      </c>
      <c r="L2811">
        <v>0</v>
      </c>
      <c r="M2811" t="s">
        <v>115</v>
      </c>
      <c r="N2811" t="str">
        <f t="shared" si="258"/>
        <v>PO-102810</v>
      </c>
      <c r="O2811" t="str">
        <f t="shared" si="259"/>
        <v>Delivered</v>
      </c>
      <c r="P2811" t="str">
        <f t="shared" si="260"/>
        <v>WH-DEL</v>
      </c>
      <c r="Q2811" t="str">
        <f>VLOOKUP(C2811, Lookups!$A$2:$D$10, 2, FALSE())</f>
        <v>TechSupply Corp</v>
      </c>
      <c r="R2811" t="str">
        <f>_xlfn.XLOOKUP(D2811, Lookups!$A$12:$A$51, Lookups!$C$12:$C$51, "Unknown")</f>
        <v>Electronics</v>
      </c>
      <c r="S2811" t="str">
        <f>IF(ISBLANK(I2811), B2811+VLOOKUP(C2811, Lookups!$A$2:$D$10, 4, FALSE()), I2811)</f>
        <v>2025-03-27</v>
      </c>
      <c r="T2811">
        <f t="shared" si="261"/>
        <v>15</v>
      </c>
      <c r="U2811" t="str">
        <f t="shared" si="262"/>
        <v>Late</v>
      </c>
      <c r="V2811">
        <f t="shared" si="263"/>
        <v>0</v>
      </c>
    </row>
    <row r="2812" spans="1:22" x14ac:dyDescent="0.45">
      <c r="A2812" t="s">
        <v>3669</v>
      </c>
      <c r="B2812" t="s">
        <v>894</v>
      </c>
      <c r="C2812" t="s">
        <v>37</v>
      </c>
      <c r="D2812" t="s">
        <v>79</v>
      </c>
      <c r="E2812" t="s">
        <v>17</v>
      </c>
      <c r="F2812">
        <v>183</v>
      </c>
      <c r="G2812">
        <v>23054</v>
      </c>
      <c r="H2812">
        <v>4218882</v>
      </c>
      <c r="I2812" t="s">
        <v>272</v>
      </c>
      <c r="J2812" t="s">
        <v>272</v>
      </c>
      <c r="K2812">
        <v>183</v>
      </c>
      <c r="L2812">
        <v>0</v>
      </c>
      <c r="M2812" t="s">
        <v>115</v>
      </c>
      <c r="N2812" t="str">
        <f t="shared" si="258"/>
        <v>PO-102811</v>
      </c>
      <c r="O2812" t="str">
        <f t="shared" si="259"/>
        <v>Delivered</v>
      </c>
      <c r="P2812" t="str">
        <f t="shared" si="260"/>
        <v>WH-BLR</v>
      </c>
      <c r="Q2812" t="str">
        <f>VLOOKUP(C2812, Lookups!$A$2:$D$10, 2, FALSE())</f>
        <v>Premium Desks Ltd</v>
      </c>
      <c r="R2812" t="str">
        <f>_xlfn.XLOOKUP(D2812, Lookups!$A$12:$A$51, Lookups!$C$12:$C$51, "Unknown")</f>
        <v>Office Furniture</v>
      </c>
      <c r="S2812" t="str">
        <f>IF(ISBLANK(I2812), B2812+VLOOKUP(C2812, Lookups!$A$2:$D$10, 4, FALSE()), I2812)</f>
        <v>2025-08-13</v>
      </c>
      <c r="T2812">
        <f t="shared" si="261"/>
        <v>12</v>
      </c>
      <c r="U2812" t="str">
        <f t="shared" si="262"/>
        <v>On-Time</v>
      </c>
      <c r="V2812">
        <f t="shared" si="263"/>
        <v>0</v>
      </c>
    </row>
    <row r="2813" spans="1:22" x14ac:dyDescent="0.45">
      <c r="A2813" t="s">
        <v>3670</v>
      </c>
      <c r="B2813" t="s">
        <v>463</v>
      </c>
      <c r="C2813" t="s">
        <v>36</v>
      </c>
      <c r="D2813" t="s">
        <v>90</v>
      </c>
      <c r="E2813" t="s">
        <v>17</v>
      </c>
      <c r="F2813">
        <v>105</v>
      </c>
      <c r="G2813">
        <v>81434</v>
      </c>
      <c r="H2813">
        <v>8550570</v>
      </c>
      <c r="I2813" t="s">
        <v>778</v>
      </c>
      <c r="J2813" t="s">
        <v>778</v>
      </c>
      <c r="K2813">
        <v>105</v>
      </c>
      <c r="L2813">
        <v>0</v>
      </c>
      <c r="M2813" t="s">
        <v>115</v>
      </c>
      <c r="N2813" t="str">
        <f t="shared" si="258"/>
        <v>PO-102812</v>
      </c>
      <c r="O2813" t="str">
        <f t="shared" si="259"/>
        <v>Delivered</v>
      </c>
      <c r="P2813" t="str">
        <f t="shared" si="260"/>
        <v>WH-BLR</v>
      </c>
      <c r="Q2813" t="str">
        <f>VLOOKUP(C2813, Lookups!$A$2:$D$10, 2, FALSE())</f>
        <v>NextGen Hardware</v>
      </c>
      <c r="R2813" t="str">
        <f>_xlfn.XLOOKUP(D2813, Lookups!$A$12:$A$51, Lookups!$C$12:$C$51, "Unknown")</f>
        <v>Electronics</v>
      </c>
      <c r="S2813" t="str">
        <f>IF(ISBLANK(I2813), B2813+VLOOKUP(C2813, Lookups!$A$2:$D$10, 4, FALSE()), I2813)</f>
        <v>2025-12-13</v>
      </c>
      <c r="T2813">
        <f t="shared" si="261"/>
        <v>24</v>
      </c>
      <c r="U2813" t="str">
        <f t="shared" si="262"/>
        <v>On-Time</v>
      </c>
      <c r="V2813">
        <f t="shared" si="263"/>
        <v>0</v>
      </c>
    </row>
    <row r="2814" spans="1:22" x14ac:dyDescent="0.45">
      <c r="A2814" t="s">
        <v>3671</v>
      </c>
      <c r="B2814" t="s">
        <v>1615</v>
      </c>
      <c r="C2814" t="s">
        <v>35</v>
      </c>
      <c r="D2814" t="s">
        <v>72</v>
      </c>
      <c r="E2814" t="s">
        <v>15</v>
      </c>
      <c r="F2814">
        <v>244</v>
      </c>
      <c r="G2814">
        <v>7754</v>
      </c>
      <c r="H2814">
        <v>1891976</v>
      </c>
      <c r="I2814" t="s">
        <v>1271</v>
      </c>
      <c r="J2814" t="s">
        <v>1271</v>
      </c>
      <c r="K2814">
        <v>244</v>
      </c>
      <c r="L2814">
        <v>0</v>
      </c>
      <c r="M2814" t="s">
        <v>115</v>
      </c>
      <c r="N2814" t="str">
        <f t="shared" si="258"/>
        <v>PO-102813</v>
      </c>
      <c r="O2814" t="str">
        <f t="shared" si="259"/>
        <v>Delivered</v>
      </c>
      <c r="P2814" t="str">
        <f t="shared" si="260"/>
        <v>WH-BOM</v>
      </c>
      <c r="Q2814" t="str">
        <f>VLOOKUP(C2814, Lookups!$A$2:$D$10, 2, FALSE())</f>
        <v>Peripheral Source</v>
      </c>
      <c r="R2814" t="str">
        <f>_xlfn.XLOOKUP(D2814, Lookups!$A$12:$A$51, Lookups!$C$12:$C$51, "Unknown")</f>
        <v>Peripherals</v>
      </c>
      <c r="S2814" t="str">
        <f>IF(ISBLANK(I2814), B2814+VLOOKUP(C2814, Lookups!$A$2:$D$10, 4, FALSE()), I2814)</f>
        <v>2026-08-31</v>
      </c>
      <c r="T2814">
        <f t="shared" si="261"/>
        <v>10</v>
      </c>
      <c r="U2814" t="str">
        <f t="shared" si="262"/>
        <v>On-Time</v>
      </c>
      <c r="V2814">
        <f t="shared" si="263"/>
        <v>0</v>
      </c>
    </row>
    <row r="2815" spans="1:22" x14ac:dyDescent="0.45">
      <c r="A2815" t="s">
        <v>3672</v>
      </c>
      <c r="B2815" t="s">
        <v>582</v>
      </c>
      <c r="C2815" t="s">
        <v>30</v>
      </c>
      <c r="D2815" t="s">
        <v>86</v>
      </c>
      <c r="E2815" t="s">
        <v>18</v>
      </c>
      <c r="F2815">
        <v>168</v>
      </c>
      <c r="G2815">
        <v>74871</v>
      </c>
      <c r="H2815">
        <v>12578328</v>
      </c>
      <c r="I2815" t="s">
        <v>354</v>
      </c>
      <c r="J2815" t="s">
        <v>1191</v>
      </c>
      <c r="K2815">
        <v>168</v>
      </c>
      <c r="L2815">
        <v>0</v>
      </c>
      <c r="M2815" t="s">
        <v>115</v>
      </c>
      <c r="N2815" t="str">
        <f t="shared" si="258"/>
        <v>PO-102814</v>
      </c>
      <c r="O2815" t="str">
        <f t="shared" si="259"/>
        <v>Delivered</v>
      </c>
      <c r="P2815" t="str">
        <f t="shared" si="260"/>
        <v>WH-PUN</v>
      </c>
      <c r="Q2815" t="str">
        <f>VLOOKUP(C2815, Lookups!$A$2:$D$10, 2, FALSE())</f>
        <v>TechSupply Corp</v>
      </c>
      <c r="R2815" t="str">
        <f>_xlfn.XLOOKUP(D2815, Lookups!$A$12:$A$51, Lookups!$C$12:$C$51, "Unknown")</f>
        <v>Electronics</v>
      </c>
      <c r="S2815" t="str">
        <f>IF(ISBLANK(I2815), B2815+VLOOKUP(C2815, Lookups!$A$2:$D$10, 4, FALSE()), I2815)</f>
        <v>2025-05-05</v>
      </c>
      <c r="T2815">
        <f t="shared" si="261"/>
        <v>15</v>
      </c>
      <c r="U2815" t="str">
        <f t="shared" si="262"/>
        <v>Late</v>
      </c>
      <c r="V2815">
        <f t="shared" si="263"/>
        <v>0</v>
      </c>
    </row>
    <row r="2816" spans="1:22" x14ac:dyDescent="0.45">
      <c r="A2816" t="s">
        <v>3673</v>
      </c>
      <c r="B2816" t="s">
        <v>172</v>
      </c>
      <c r="C2816" t="s">
        <v>34</v>
      </c>
      <c r="D2816" t="s">
        <v>54</v>
      </c>
      <c r="E2816" t="s">
        <v>16</v>
      </c>
      <c r="F2816">
        <v>60</v>
      </c>
      <c r="G2816">
        <v>22314</v>
      </c>
      <c r="H2816">
        <v>1338840</v>
      </c>
      <c r="I2816" t="s">
        <v>1584</v>
      </c>
      <c r="J2816" t="s">
        <v>1129</v>
      </c>
      <c r="K2816">
        <v>60</v>
      </c>
      <c r="L2816">
        <v>0</v>
      </c>
      <c r="M2816" t="s">
        <v>115</v>
      </c>
      <c r="N2816" t="str">
        <f t="shared" si="258"/>
        <v>PO-102815</v>
      </c>
      <c r="O2816" t="str">
        <f t="shared" si="259"/>
        <v>Delivered</v>
      </c>
      <c r="P2816" t="str">
        <f t="shared" si="260"/>
        <v>WH-DEL</v>
      </c>
      <c r="Q2816" t="str">
        <f>VLOOKUP(C2816, Lookups!$A$2:$D$10, 2, FALSE())</f>
        <v>FastElectronics</v>
      </c>
      <c r="R2816" t="str">
        <f>_xlfn.XLOOKUP(D2816, Lookups!$A$12:$A$51, Lookups!$C$12:$C$51, "Unknown")</f>
        <v>Networking</v>
      </c>
      <c r="S2816" t="str">
        <f>IF(ISBLANK(I2816), B2816+VLOOKUP(C2816, Lookups!$A$2:$D$10, 4, FALSE()), I2816)</f>
        <v>2025-09-21</v>
      </c>
      <c r="T2816">
        <f t="shared" si="261"/>
        <v>22</v>
      </c>
      <c r="U2816" t="str">
        <f t="shared" si="262"/>
        <v>Late</v>
      </c>
      <c r="V2816">
        <f t="shared" si="263"/>
        <v>0</v>
      </c>
    </row>
    <row r="2817" spans="1:22" x14ac:dyDescent="0.45">
      <c r="A2817" t="s">
        <v>3674</v>
      </c>
      <c r="B2817" t="s">
        <v>171</v>
      </c>
      <c r="C2817" t="s">
        <v>31</v>
      </c>
      <c r="D2817" t="s">
        <v>85</v>
      </c>
      <c r="E2817" t="s">
        <v>16</v>
      </c>
      <c r="F2817">
        <v>36</v>
      </c>
      <c r="G2817">
        <v>16501</v>
      </c>
      <c r="H2817">
        <v>594036</v>
      </c>
      <c r="I2817" t="s">
        <v>173</v>
      </c>
      <c r="J2817" t="s">
        <v>1604</v>
      </c>
      <c r="K2817">
        <v>22</v>
      </c>
      <c r="L2817">
        <v>0</v>
      </c>
      <c r="M2817" t="s">
        <v>115</v>
      </c>
      <c r="N2817" t="str">
        <f t="shared" si="258"/>
        <v>PO-102816</v>
      </c>
      <c r="O2817" t="str">
        <f t="shared" si="259"/>
        <v>Delivered</v>
      </c>
      <c r="P2817" t="str">
        <f t="shared" si="260"/>
        <v>WH-DEL</v>
      </c>
      <c r="Q2817" t="str">
        <f>VLOOKUP(C2817, Lookups!$A$2:$D$10, 2, FALSE())</f>
        <v>Global Networks</v>
      </c>
      <c r="R2817" t="str">
        <f>_xlfn.XLOOKUP(D2817, Lookups!$A$12:$A$51, Lookups!$C$12:$C$51, "Unknown")</f>
        <v>Networking</v>
      </c>
      <c r="S2817" t="str">
        <f>IF(ISBLANK(I2817), B2817+VLOOKUP(C2817, Lookups!$A$2:$D$10, 4, FALSE()), I2817)</f>
        <v>2025-09-06</v>
      </c>
      <c r="T2817">
        <f t="shared" si="261"/>
        <v>22</v>
      </c>
      <c r="U2817" t="str">
        <f t="shared" si="262"/>
        <v>Late</v>
      </c>
      <c r="V2817">
        <f t="shared" si="263"/>
        <v>0</v>
      </c>
    </row>
    <row r="2818" spans="1:22" x14ac:dyDescent="0.45">
      <c r="A2818" t="s">
        <v>3675</v>
      </c>
      <c r="B2818" t="s">
        <v>494</v>
      </c>
      <c r="C2818" t="s">
        <v>30</v>
      </c>
      <c r="D2818" t="s">
        <v>61</v>
      </c>
      <c r="E2818" t="s">
        <v>18</v>
      </c>
      <c r="F2818">
        <v>14</v>
      </c>
      <c r="G2818">
        <v>111237</v>
      </c>
      <c r="H2818">
        <v>1557318</v>
      </c>
      <c r="I2818" t="s">
        <v>1338</v>
      </c>
      <c r="J2818" t="s">
        <v>1338</v>
      </c>
      <c r="K2818">
        <v>14</v>
      </c>
      <c r="L2818">
        <v>0</v>
      </c>
      <c r="M2818" t="s">
        <v>115</v>
      </c>
      <c r="N2818" t="str">
        <f t="shared" ref="N2818:N2881" si="264">TRIM(A2818)</f>
        <v>PO-102817</v>
      </c>
      <c r="O2818" t="str">
        <f t="shared" ref="O2818:O2881" si="265">PROPER(TRIM(M2818))</f>
        <v>Delivered</v>
      </c>
      <c r="P2818" t="str">
        <f t="shared" ref="P2818:P2881" si="266">TRIM(E2818)</f>
        <v>WH-PUN</v>
      </c>
      <c r="Q2818" t="str">
        <f>VLOOKUP(C2818, Lookups!$A$2:$D$10, 2, FALSE())</f>
        <v>TechSupply Corp</v>
      </c>
      <c r="R2818" t="str">
        <f>_xlfn.XLOOKUP(D2818, Lookups!$A$12:$A$51, Lookups!$C$12:$C$51, "Unknown")</f>
        <v>Electronics</v>
      </c>
      <c r="S2818" t="str">
        <f>IF(ISBLANK(I2818), B2818+VLOOKUP(C2818, Lookups!$A$2:$D$10, 4, FALSE()), I2818)</f>
        <v>2026-10-02</v>
      </c>
      <c r="T2818">
        <f t="shared" ref="T2818:T2881" si="267">IF(ISBLANK(J2818), "", J2818-B2818)</f>
        <v>14</v>
      </c>
      <c r="U2818" t="str">
        <f t="shared" ref="U2818:U2881" si="268">IF(O2818="Open", "Open", IF(J2818&gt;S2818, "Late", "On-Time"))</f>
        <v>On-Time</v>
      </c>
      <c r="V2818">
        <f t="shared" ref="V2818:V2881" si="269">IF(K2818&gt;0, L2818/K2818, 0)</f>
        <v>0</v>
      </c>
    </row>
    <row r="2819" spans="1:22" x14ac:dyDescent="0.45">
      <c r="A2819" t="s">
        <v>3676</v>
      </c>
      <c r="B2819" t="s">
        <v>514</v>
      </c>
      <c r="C2819" t="s">
        <v>37</v>
      </c>
      <c r="D2819" t="s">
        <v>79</v>
      </c>
      <c r="E2819" t="s">
        <v>18</v>
      </c>
      <c r="F2819">
        <v>119</v>
      </c>
      <c r="G2819">
        <v>23054</v>
      </c>
      <c r="H2819">
        <v>2743426</v>
      </c>
      <c r="I2819" t="s">
        <v>1066</v>
      </c>
      <c r="J2819" t="s">
        <v>131</v>
      </c>
      <c r="K2819">
        <v>90</v>
      </c>
      <c r="L2819">
        <v>0</v>
      </c>
      <c r="M2819" t="s">
        <v>115</v>
      </c>
      <c r="N2819" t="str">
        <f t="shared" si="264"/>
        <v>PO-102818</v>
      </c>
      <c r="O2819" t="str">
        <f t="shared" si="265"/>
        <v>Delivered</v>
      </c>
      <c r="P2819" t="str">
        <f t="shared" si="266"/>
        <v>WH-PUN</v>
      </c>
      <c r="Q2819" t="str">
        <f>VLOOKUP(C2819, Lookups!$A$2:$D$10, 2, FALSE())</f>
        <v>Premium Desks Ltd</v>
      </c>
      <c r="R2819" t="str">
        <f>_xlfn.XLOOKUP(D2819, Lookups!$A$12:$A$51, Lookups!$C$12:$C$51, "Unknown")</f>
        <v>Office Furniture</v>
      </c>
      <c r="S2819" t="str">
        <f>IF(ISBLANK(I2819), B2819+VLOOKUP(C2819, Lookups!$A$2:$D$10, 4, FALSE()), I2819)</f>
        <v>2026-07-26</v>
      </c>
      <c r="T2819">
        <f t="shared" si="267"/>
        <v>13</v>
      </c>
      <c r="U2819" t="str">
        <f t="shared" si="268"/>
        <v>Late</v>
      </c>
      <c r="V2819">
        <f t="shared" si="269"/>
        <v>0</v>
      </c>
    </row>
    <row r="2820" spans="1:22" x14ac:dyDescent="0.45">
      <c r="A2820" t="s">
        <v>3677</v>
      </c>
      <c r="B2820" t="s">
        <v>342</v>
      </c>
      <c r="C2820" t="s">
        <v>34</v>
      </c>
      <c r="D2820" t="s">
        <v>54</v>
      </c>
      <c r="E2820" t="s">
        <v>16</v>
      </c>
      <c r="F2820">
        <v>128</v>
      </c>
      <c r="G2820">
        <v>22314</v>
      </c>
      <c r="H2820">
        <v>2856192</v>
      </c>
      <c r="I2820" t="s">
        <v>1285</v>
      </c>
      <c r="J2820" t="s">
        <v>502</v>
      </c>
      <c r="K2820">
        <v>128</v>
      </c>
      <c r="L2820">
        <v>0</v>
      </c>
      <c r="M2820" t="s">
        <v>115</v>
      </c>
      <c r="N2820" t="str">
        <f t="shared" si="264"/>
        <v>PO-102819</v>
      </c>
      <c r="O2820" t="str">
        <f t="shared" si="265"/>
        <v>Delivered</v>
      </c>
      <c r="P2820" t="str">
        <f t="shared" si="266"/>
        <v>WH-DEL</v>
      </c>
      <c r="Q2820" t="str">
        <f>VLOOKUP(C2820, Lookups!$A$2:$D$10, 2, FALSE())</f>
        <v>FastElectronics</v>
      </c>
      <c r="R2820" t="str">
        <f>_xlfn.XLOOKUP(D2820, Lookups!$A$12:$A$51, Lookups!$C$12:$C$51, "Unknown")</f>
        <v>Networking</v>
      </c>
      <c r="S2820" t="str">
        <f>IF(ISBLANK(I2820), B2820+VLOOKUP(C2820, Lookups!$A$2:$D$10, 4, FALSE()), I2820)</f>
        <v>2026-02-21</v>
      </c>
      <c r="T2820">
        <f t="shared" si="267"/>
        <v>19</v>
      </c>
      <c r="U2820" t="str">
        <f t="shared" si="268"/>
        <v>Late</v>
      </c>
      <c r="V2820">
        <f t="shared" si="269"/>
        <v>0</v>
      </c>
    </row>
    <row r="2821" spans="1:22" x14ac:dyDescent="0.45">
      <c r="A2821" t="s">
        <v>3678</v>
      </c>
      <c r="B2821" t="s">
        <v>374</v>
      </c>
      <c r="C2821" t="s">
        <v>30</v>
      </c>
      <c r="D2821" t="s">
        <v>53</v>
      </c>
      <c r="E2821" t="s">
        <v>17</v>
      </c>
      <c r="F2821">
        <v>62</v>
      </c>
      <c r="G2821">
        <v>81048</v>
      </c>
      <c r="H2821">
        <v>5024976</v>
      </c>
      <c r="I2821" t="s">
        <v>391</v>
      </c>
      <c r="J2821" t="s">
        <v>842</v>
      </c>
      <c r="K2821">
        <v>62</v>
      </c>
      <c r="L2821">
        <v>9</v>
      </c>
      <c r="M2821" t="s">
        <v>115</v>
      </c>
      <c r="N2821" t="str">
        <f t="shared" si="264"/>
        <v>PO-102820</v>
      </c>
      <c r="O2821" t="str">
        <f t="shared" si="265"/>
        <v>Delivered</v>
      </c>
      <c r="P2821" t="str">
        <f t="shared" si="266"/>
        <v>WH-BLR</v>
      </c>
      <c r="Q2821" t="str">
        <f>VLOOKUP(C2821, Lookups!$A$2:$D$10, 2, FALSE())</f>
        <v>TechSupply Corp</v>
      </c>
      <c r="R2821" t="str">
        <f>_xlfn.XLOOKUP(D2821, Lookups!$A$12:$A$51, Lookups!$C$12:$C$51, "Unknown")</f>
        <v>Electronics</v>
      </c>
      <c r="S2821" t="str">
        <f>IF(ISBLANK(I2821), B2821+VLOOKUP(C2821, Lookups!$A$2:$D$10, 4, FALSE()), I2821)</f>
        <v>2026-06-14</v>
      </c>
      <c r="T2821">
        <f t="shared" si="267"/>
        <v>15</v>
      </c>
      <c r="U2821" t="str">
        <f t="shared" si="268"/>
        <v>Late</v>
      </c>
      <c r="V2821">
        <f t="shared" si="269"/>
        <v>0.14516129032258066</v>
      </c>
    </row>
    <row r="2822" spans="1:22" x14ac:dyDescent="0.45">
      <c r="A2822" t="s">
        <v>3679</v>
      </c>
      <c r="B2822" t="s">
        <v>304</v>
      </c>
      <c r="C2822" t="s">
        <v>30</v>
      </c>
      <c r="D2822" t="s">
        <v>61</v>
      </c>
      <c r="E2822" t="s">
        <v>16</v>
      </c>
      <c r="F2822">
        <v>58</v>
      </c>
      <c r="G2822">
        <v>111237</v>
      </c>
      <c r="H2822">
        <v>6451746</v>
      </c>
      <c r="I2822" t="s">
        <v>527</v>
      </c>
      <c r="J2822" t="s">
        <v>527</v>
      </c>
      <c r="K2822">
        <v>58</v>
      </c>
      <c r="L2822">
        <v>3</v>
      </c>
      <c r="M2822" t="s">
        <v>115</v>
      </c>
      <c r="N2822" t="str">
        <f t="shared" si="264"/>
        <v>PO-102821</v>
      </c>
      <c r="O2822" t="str">
        <f t="shared" si="265"/>
        <v>Delivered</v>
      </c>
      <c r="P2822" t="str">
        <f t="shared" si="266"/>
        <v>WH-DEL</v>
      </c>
      <c r="Q2822" t="str">
        <f>VLOOKUP(C2822, Lookups!$A$2:$D$10, 2, FALSE())</f>
        <v>TechSupply Corp</v>
      </c>
      <c r="R2822" t="str">
        <f>_xlfn.XLOOKUP(D2822, Lookups!$A$12:$A$51, Lookups!$C$12:$C$51, "Unknown")</f>
        <v>Electronics</v>
      </c>
      <c r="S2822" t="str">
        <f>IF(ISBLANK(I2822), B2822+VLOOKUP(C2822, Lookups!$A$2:$D$10, 4, FALSE()), I2822)</f>
        <v>2026-07-07</v>
      </c>
      <c r="T2822">
        <f t="shared" si="267"/>
        <v>14</v>
      </c>
      <c r="U2822" t="str">
        <f t="shared" si="268"/>
        <v>On-Time</v>
      </c>
      <c r="V2822">
        <f t="shared" si="269"/>
        <v>5.1724137931034482E-2</v>
      </c>
    </row>
    <row r="2823" spans="1:22" x14ac:dyDescent="0.45">
      <c r="A2823" t="s">
        <v>3680</v>
      </c>
      <c r="B2823" t="s">
        <v>988</v>
      </c>
      <c r="C2823" t="s">
        <v>34</v>
      </c>
      <c r="D2823" t="s">
        <v>81</v>
      </c>
      <c r="E2823" t="s">
        <v>18</v>
      </c>
      <c r="F2823">
        <v>22</v>
      </c>
      <c r="G2823">
        <v>55328</v>
      </c>
      <c r="H2823">
        <v>1217216</v>
      </c>
      <c r="I2823" t="s">
        <v>1006</v>
      </c>
      <c r="J2823" t="s">
        <v>1596</v>
      </c>
      <c r="K2823">
        <v>22</v>
      </c>
      <c r="L2823">
        <v>0</v>
      </c>
      <c r="M2823" t="s">
        <v>115</v>
      </c>
      <c r="N2823" t="str">
        <f t="shared" si="264"/>
        <v>PO-102822</v>
      </c>
      <c r="O2823" t="str">
        <f t="shared" si="265"/>
        <v>Delivered</v>
      </c>
      <c r="P2823" t="str">
        <f t="shared" si="266"/>
        <v>WH-PUN</v>
      </c>
      <c r="Q2823" t="str">
        <f>VLOOKUP(C2823, Lookups!$A$2:$D$10, 2, FALSE())</f>
        <v>FastElectronics</v>
      </c>
      <c r="R2823" t="str">
        <f>_xlfn.XLOOKUP(D2823, Lookups!$A$12:$A$51, Lookups!$C$12:$C$51, "Unknown")</f>
        <v>Electronics</v>
      </c>
      <c r="S2823" t="str">
        <f>IF(ISBLANK(I2823), B2823+VLOOKUP(C2823, Lookups!$A$2:$D$10, 4, FALSE()), I2823)</f>
        <v>2025-11-16</v>
      </c>
      <c r="T2823">
        <f t="shared" si="267"/>
        <v>19</v>
      </c>
      <c r="U2823" t="str">
        <f t="shared" si="268"/>
        <v>Late</v>
      </c>
      <c r="V2823">
        <f t="shared" si="269"/>
        <v>0</v>
      </c>
    </row>
    <row r="2824" spans="1:22" x14ac:dyDescent="0.45">
      <c r="A2824" t="s">
        <v>3681</v>
      </c>
      <c r="B2824" t="s">
        <v>617</v>
      </c>
      <c r="C2824" t="s">
        <v>35</v>
      </c>
      <c r="D2824" t="s">
        <v>60</v>
      </c>
      <c r="E2824" t="s">
        <v>15</v>
      </c>
      <c r="F2824">
        <v>10</v>
      </c>
      <c r="G2824">
        <v>3291</v>
      </c>
      <c r="H2824">
        <v>32910</v>
      </c>
      <c r="I2824" t="s">
        <v>839</v>
      </c>
      <c r="J2824" t="s">
        <v>1285</v>
      </c>
      <c r="K2824">
        <v>10</v>
      </c>
      <c r="L2824">
        <v>0</v>
      </c>
      <c r="M2824" t="s">
        <v>115</v>
      </c>
      <c r="N2824" t="str">
        <f t="shared" si="264"/>
        <v>PO-102823</v>
      </c>
      <c r="O2824" t="str">
        <f t="shared" si="265"/>
        <v>Delivered</v>
      </c>
      <c r="P2824" t="str">
        <f t="shared" si="266"/>
        <v>WH-BOM</v>
      </c>
      <c r="Q2824" t="str">
        <f>VLOOKUP(C2824, Lookups!$A$2:$D$10, 2, FALSE())</f>
        <v>Peripheral Source</v>
      </c>
      <c r="R2824" t="str">
        <f>_xlfn.XLOOKUP(D2824, Lookups!$A$12:$A$51, Lookups!$C$12:$C$51, "Unknown")</f>
        <v>Peripherals</v>
      </c>
      <c r="S2824" t="str">
        <f>IF(ISBLANK(I2824), B2824+VLOOKUP(C2824, Lookups!$A$2:$D$10, 4, FALSE()), I2824)</f>
        <v>2026-02-20</v>
      </c>
      <c r="T2824">
        <f t="shared" si="267"/>
        <v>11</v>
      </c>
      <c r="U2824" t="str">
        <f t="shared" si="268"/>
        <v>Late</v>
      </c>
      <c r="V2824">
        <f t="shared" si="269"/>
        <v>0</v>
      </c>
    </row>
    <row r="2825" spans="1:22" x14ac:dyDescent="0.45">
      <c r="A2825" t="s">
        <v>3682</v>
      </c>
      <c r="B2825" t="s">
        <v>484</v>
      </c>
      <c r="C2825" t="s">
        <v>36</v>
      </c>
      <c r="D2825" t="s">
        <v>63</v>
      </c>
      <c r="E2825" t="s">
        <v>15</v>
      </c>
      <c r="F2825">
        <v>235</v>
      </c>
      <c r="G2825">
        <v>71062</v>
      </c>
      <c r="H2825">
        <v>16699570</v>
      </c>
      <c r="I2825" t="s">
        <v>2065</v>
      </c>
      <c r="J2825" t="s">
        <v>679</v>
      </c>
      <c r="K2825">
        <v>165</v>
      </c>
      <c r="L2825">
        <v>0</v>
      </c>
      <c r="M2825" t="s">
        <v>115</v>
      </c>
      <c r="N2825" t="str">
        <f t="shared" si="264"/>
        <v>PO-102824</v>
      </c>
      <c r="O2825" t="str">
        <f t="shared" si="265"/>
        <v>Delivered</v>
      </c>
      <c r="P2825" t="str">
        <f t="shared" si="266"/>
        <v>WH-BOM</v>
      </c>
      <c r="Q2825" t="str">
        <f>VLOOKUP(C2825, Lookups!$A$2:$D$10, 2, FALSE())</f>
        <v>NextGen Hardware</v>
      </c>
      <c r="R2825" t="str">
        <f>_xlfn.XLOOKUP(D2825, Lookups!$A$12:$A$51, Lookups!$C$12:$C$51, "Unknown")</f>
        <v>Electronics</v>
      </c>
      <c r="S2825" t="str">
        <f>IF(ISBLANK(I2825), B2825+VLOOKUP(C2825, Lookups!$A$2:$D$10, 4, FALSE()), I2825)</f>
        <v>2026-07-19</v>
      </c>
      <c r="T2825">
        <f t="shared" si="267"/>
        <v>25</v>
      </c>
      <c r="U2825" t="str">
        <f t="shared" si="268"/>
        <v>Late</v>
      </c>
      <c r="V2825">
        <f t="shared" si="269"/>
        <v>0</v>
      </c>
    </row>
    <row r="2826" spans="1:22" x14ac:dyDescent="0.45">
      <c r="A2826" t="s">
        <v>3683</v>
      </c>
      <c r="B2826" t="s">
        <v>815</v>
      </c>
      <c r="C2826" t="s">
        <v>32</v>
      </c>
      <c r="D2826" t="s">
        <v>84</v>
      </c>
      <c r="E2826" t="s">
        <v>15</v>
      </c>
      <c r="F2826">
        <v>234</v>
      </c>
      <c r="G2826">
        <v>7271</v>
      </c>
      <c r="H2826">
        <v>1701414</v>
      </c>
      <c r="I2826" t="s">
        <v>839</v>
      </c>
      <c r="J2826" t="s">
        <v>1285</v>
      </c>
      <c r="K2826">
        <v>234</v>
      </c>
      <c r="L2826">
        <v>0</v>
      </c>
      <c r="M2826" t="s">
        <v>115</v>
      </c>
      <c r="N2826" t="str">
        <f t="shared" si="264"/>
        <v>PO-102825</v>
      </c>
      <c r="O2826" t="str">
        <f t="shared" si="265"/>
        <v>Delivered</v>
      </c>
      <c r="P2826" t="str">
        <f t="shared" si="266"/>
        <v>WH-BOM</v>
      </c>
      <c r="Q2826" t="str">
        <f>VLOOKUP(C2826, Lookups!$A$2:$D$10, 2, FALSE())</f>
        <v>OfficeDepot Pro</v>
      </c>
      <c r="R2826" t="str">
        <f>_xlfn.XLOOKUP(D2826, Lookups!$A$12:$A$51, Lookups!$C$12:$C$51, "Unknown")</f>
        <v>Peripherals</v>
      </c>
      <c r="S2826" t="str">
        <f>IF(ISBLANK(I2826), B2826+VLOOKUP(C2826, Lookups!$A$2:$D$10, 4, FALSE()), I2826)</f>
        <v>2026-02-20</v>
      </c>
      <c r="T2826">
        <f t="shared" si="267"/>
        <v>8</v>
      </c>
      <c r="U2826" t="str">
        <f t="shared" si="268"/>
        <v>Late</v>
      </c>
      <c r="V2826">
        <f t="shared" si="269"/>
        <v>0</v>
      </c>
    </row>
    <row r="2827" spans="1:22" x14ac:dyDescent="0.45">
      <c r="A2827" t="s">
        <v>3684</v>
      </c>
      <c r="B2827" t="s">
        <v>213</v>
      </c>
      <c r="C2827" t="s">
        <v>35</v>
      </c>
      <c r="D2827" t="s">
        <v>75</v>
      </c>
      <c r="E2827" t="s">
        <v>16</v>
      </c>
      <c r="F2827">
        <v>149</v>
      </c>
      <c r="G2827">
        <v>4440</v>
      </c>
      <c r="H2827">
        <v>661560</v>
      </c>
      <c r="I2827" t="s">
        <v>214</v>
      </c>
      <c r="J2827" t="s">
        <v>215</v>
      </c>
      <c r="K2827">
        <v>149</v>
      </c>
      <c r="L2827">
        <v>0</v>
      </c>
      <c r="M2827" t="s">
        <v>115</v>
      </c>
      <c r="N2827" t="str">
        <f t="shared" si="264"/>
        <v>PO-102826</v>
      </c>
      <c r="O2827" t="str">
        <f t="shared" si="265"/>
        <v>Delivered</v>
      </c>
      <c r="P2827" t="str">
        <f t="shared" si="266"/>
        <v>WH-DEL</v>
      </c>
      <c r="Q2827" t="str">
        <f>VLOOKUP(C2827, Lookups!$A$2:$D$10, 2, FALSE())</f>
        <v>Peripheral Source</v>
      </c>
      <c r="R2827" t="str">
        <f>_xlfn.XLOOKUP(D2827, Lookups!$A$12:$A$51, Lookups!$C$12:$C$51, "Unknown")</f>
        <v>Peripherals</v>
      </c>
      <c r="S2827" t="str">
        <f>IF(ISBLANK(I2827), B2827+VLOOKUP(C2827, Lookups!$A$2:$D$10, 4, FALSE()), I2827)</f>
        <v>2025-06-27</v>
      </c>
      <c r="T2827">
        <f t="shared" si="267"/>
        <v>11</v>
      </c>
      <c r="U2827" t="str">
        <f t="shared" si="268"/>
        <v>Late</v>
      </c>
      <c r="V2827">
        <f t="shared" si="269"/>
        <v>0</v>
      </c>
    </row>
    <row r="2828" spans="1:22" x14ac:dyDescent="0.45">
      <c r="A2828" t="s">
        <v>3685</v>
      </c>
      <c r="B2828" t="s">
        <v>1395</v>
      </c>
      <c r="C2828" t="s">
        <v>30</v>
      </c>
      <c r="D2828" t="s">
        <v>86</v>
      </c>
      <c r="E2828" t="s">
        <v>15</v>
      </c>
      <c r="F2828">
        <v>183</v>
      </c>
      <c r="G2828">
        <v>74871</v>
      </c>
      <c r="H2828">
        <v>13701393</v>
      </c>
      <c r="I2828" t="s">
        <v>887</v>
      </c>
      <c r="J2828" t="s">
        <v>887</v>
      </c>
      <c r="K2828">
        <v>183</v>
      </c>
      <c r="L2828">
        <v>0</v>
      </c>
      <c r="M2828" t="s">
        <v>115</v>
      </c>
      <c r="N2828" t="str">
        <f t="shared" si="264"/>
        <v>PO-102827</v>
      </c>
      <c r="O2828" t="str">
        <f t="shared" si="265"/>
        <v>Delivered</v>
      </c>
      <c r="P2828" t="str">
        <f t="shared" si="266"/>
        <v>WH-BOM</v>
      </c>
      <c r="Q2828" t="str">
        <f>VLOOKUP(C2828, Lookups!$A$2:$D$10, 2, FALSE())</f>
        <v>TechSupply Corp</v>
      </c>
      <c r="R2828" t="str">
        <f>_xlfn.XLOOKUP(D2828, Lookups!$A$12:$A$51, Lookups!$C$12:$C$51, "Unknown")</f>
        <v>Electronics</v>
      </c>
      <c r="S2828" t="str">
        <f>IF(ISBLANK(I2828), B2828+VLOOKUP(C2828, Lookups!$A$2:$D$10, 4, FALSE()), I2828)</f>
        <v>2026-03-23</v>
      </c>
      <c r="T2828">
        <f t="shared" si="267"/>
        <v>14</v>
      </c>
      <c r="U2828" t="str">
        <f t="shared" si="268"/>
        <v>On-Time</v>
      </c>
      <c r="V2828">
        <f t="shared" si="269"/>
        <v>0</v>
      </c>
    </row>
    <row r="2829" spans="1:22" x14ac:dyDescent="0.45">
      <c r="A2829" t="s">
        <v>3686</v>
      </c>
      <c r="B2829" t="s">
        <v>671</v>
      </c>
      <c r="C2829" t="s">
        <v>35</v>
      </c>
      <c r="D2829" t="s">
        <v>91</v>
      </c>
      <c r="E2829" t="s">
        <v>532</v>
      </c>
      <c r="F2829">
        <v>164</v>
      </c>
      <c r="G2829">
        <v>6707</v>
      </c>
      <c r="H2829">
        <v>1099948</v>
      </c>
      <c r="I2829" t="s">
        <v>694</v>
      </c>
      <c r="J2829" t="s">
        <v>694</v>
      </c>
      <c r="K2829">
        <v>164</v>
      </c>
      <c r="L2829">
        <v>0</v>
      </c>
      <c r="M2829" t="s">
        <v>115</v>
      </c>
      <c r="N2829" t="str">
        <f t="shared" si="264"/>
        <v>PO-102828</v>
      </c>
      <c r="O2829" t="str">
        <f t="shared" si="265"/>
        <v>Delivered</v>
      </c>
      <c r="P2829" t="str">
        <f t="shared" si="266"/>
        <v>WH-PUN</v>
      </c>
      <c r="Q2829" t="str">
        <f>VLOOKUP(C2829, Lookups!$A$2:$D$10, 2, FALSE())</f>
        <v>Peripheral Source</v>
      </c>
      <c r="R2829" t="str">
        <f>_xlfn.XLOOKUP(D2829, Lookups!$A$12:$A$51, Lookups!$C$12:$C$51, "Unknown")</f>
        <v>Peripherals</v>
      </c>
      <c r="S2829" t="str">
        <f>IF(ISBLANK(I2829), B2829+VLOOKUP(C2829, Lookups!$A$2:$D$10, 4, FALSE()), I2829)</f>
        <v>2026-11-23</v>
      </c>
      <c r="T2829">
        <f t="shared" si="267"/>
        <v>10</v>
      </c>
      <c r="U2829" t="str">
        <f t="shared" si="268"/>
        <v>On-Time</v>
      </c>
      <c r="V2829">
        <f t="shared" si="269"/>
        <v>0</v>
      </c>
    </row>
    <row r="2830" spans="1:22" x14ac:dyDescent="0.45">
      <c r="A2830" t="s">
        <v>3687</v>
      </c>
      <c r="B2830" t="s">
        <v>305</v>
      </c>
      <c r="C2830" t="s">
        <v>35</v>
      </c>
      <c r="D2830" t="s">
        <v>65</v>
      </c>
      <c r="E2830" t="s">
        <v>326</v>
      </c>
      <c r="F2830">
        <v>153</v>
      </c>
      <c r="G2830">
        <v>4936</v>
      </c>
      <c r="H2830">
        <v>755208</v>
      </c>
      <c r="I2830" t="s">
        <v>623</v>
      </c>
      <c r="J2830" t="s">
        <v>289</v>
      </c>
      <c r="K2830">
        <v>153</v>
      </c>
      <c r="L2830">
        <v>0</v>
      </c>
      <c r="M2830" t="s">
        <v>927</v>
      </c>
      <c r="N2830" t="str">
        <f t="shared" si="264"/>
        <v>PO-102829</v>
      </c>
      <c r="O2830" t="str">
        <f t="shared" si="265"/>
        <v>Delivered</v>
      </c>
      <c r="P2830" t="str">
        <f t="shared" si="266"/>
        <v>WH-BLR</v>
      </c>
      <c r="Q2830" t="str">
        <f>VLOOKUP(C2830, Lookups!$A$2:$D$10, 2, FALSE())</f>
        <v>Peripheral Source</v>
      </c>
      <c r="R2830" t="str">
        <f>_xlfn.XLOOKUP(D2830, Lookups!$A$12:$A$51, Lookups!$C$12:$C$51, "Unknown")</f>
        <v>Peripherals</v>
      </c>
      <c r="S2830" t="str">
        <f>IF(ISBLANK(I2830), B2830+VLOOKUP(C2830, Lookups!$A$2:$D$10, 4, FALSE()), I2830)</f>
        <v>2026-07-08</v>
      </c>
      <c r="T2830">
        <f t="shared" si="267"/>
        <v>11</v>
      </c>
      <c r="U2830" t="str">
        <f t="shared" si="268"/>
        <v>Late</v>
      </c>
      <c r="V2830">
        <f t="shared" si="269"/>
        <v>0</v>
      </c>
    </row>
    <row r="2831" spans="1:22" x14ac:dyDescent="0.45">
      <c r="A2831" t="s">
        <v>3688</v>
      </c>
      <c r="B2831" t="s">
        <v>305</v>
      </c>
      <c r="C2831" t="s">
        <v>34</v>
      </c>
      <c r="D2831" t="s">
        <v>81</v>
      </c>
      <c r="E2831" t="s">
        <v>15</v>
      </c>
      <c r="F2831">
        <v>219</v>
      </c>
      <c r="G2831">
        <v>55328</v>
      </c>
      <c r="H2831">
        <v>12116832</v>
      </c>
      <c r="I2831" t="s">
        <v>991</v>
      </c>
      <c r="J2831" t="s">
        <v>428</v>
      </c>
      <c r="K2831">
        <v>219</v>
      </c>
      <c r="L2831">
        <v>0</v>
      </c>
      <c r="M2831" t="s">
        <v>115</v>
      </c>
      <c r="N2831" t="str">
        <f t="shared" si="264"/>
        <v>PO-102830</v>
      </c>
      <c r="O2831" t="str">
        <f t="shared" si="265"/>
        <v>Delivered</v>
      </c>
      <c r="P2831" t="str">
        <f t="shared" si="266"/>
        <v>WH-BOM</v>
      </c>
      <c r="Q2831" t="str">
        <f>VLOOKUP(C2831, Lookups!$A$2:$D$10, 2, FALSE())</f>
        <v>FastElectronics</v>
      </c>
      <c r="R2831" t="str">
        <f>_xlfn.XLOOKUP(D2831, Lookups!$A$12:$A$51, Lookups!$C$12:$C$51, "Unknown")</f>
        <v>Electronics</v>
      </c>
      <c r="S2831" t="str">
        <f>IF(ISBLANK(I2831), B2831+VLOOKUP(C2831, Lookups!$A$2:$D$10, 4, FALSE()), I2831)</f>
        <v>2026-07-16</v>
      </c>
      <c r="T2831">
        <f t="shared" si="267"/>
        <v>19</v>
      </c>
      <c r="U2831" t="str">
        <f t="shared" si="268"/>
        <v>Late</v>
      </c>
      <c r="V2831">
        <f t="shared" si="269"/>
        <v>0</v>
      </c>
    </row>
    <row r="2832" spans="1:22" x14ac:dyDescent="0.45">
      <c r="A2832" t="s">
        <v>3689</v>
      </c>
      <c r="B2832" t="s">
        <v>1549</v>
      </c>
      <c r="C2832" t="s">
        <v>34</v>
      </c>
      <c r="D2832" t="s">
        <v>68</v>
      </c>
      <c r="E2832" t="s">
        <v>18</v>
      </c>
      <c r="F2832">
        <v>240</v>
      </c>
      <c r="G2832">
        <v>41405</v>
      </c>
      <c r="H2832">
        <v>9937200</v>
      </c>
      <c r="I2832" t="s">
        <v>192</v>
      </c>
      <c r="J2832" t="s">
        <v>1300</v>
      </c>
      <c r="K2832">
        <v>240</v>
      </c>
      <c r="L2832">
        <v>0</v>
      </c>
      <c r="M2832" t="s">
        <v>115</v>
      </c>
      <c r="N2832" t="str">
        <f t="shared" si="264"/>
        <v>PO-102831</v>
      </c>
      <c r="O2832" t="str">
        <f t="shared" si="265"/>
        <v>Delivered</v>
      </c>
      <c r="P2832" t="str">
        <f t="shared" si="266"/>
        <v>WH-PUN</v>
      </c>
      <c r="Q2832" t="str">
        <f>VLOOKUP(C2832, Lookups!$A$2:$D$10, 2, FALSE())</f>
        <v>FastElectronics</v>
      </c>
      <c r="R2832" t="str">
        <f>_xlfn.XLOOKUP(D2832, Lookups!$A$12:$A$51, Lookups!$C$12:$C$51, "Unknown")</f>
        <v>Networking</v>
      </c>
      <c r="S2832" t="str">
        <f>IF(ISBLANK(I2832), B2832+VLOOKUP(C2832, Lookups!$A$2:$D$10, 4, FALSE()), I2832)</f>
        <v>2025-08-04</v>
      </c>
      <c r="T2832">
        <f t="shared" si="267"/>
        <v>19</v>
      </c>
      <c r="U2832" t="str">
        <f t="shared" si="268"/>
        <v>Late</v>
      </c>
      <c r="V2832">
        <f t="shared" si="269"/>
        <v>0</v>
      </c>
    </row>
    <row r="2833" spans="1:22" x14ac:dyDescent="0.45">
      <c r="A2833" t="s">
        <v>3690</v>
      </c>
      <c r="B2833" t="s">
        <v>980</v>
      </c>
      <c r="C2833" t="s">
        <v>35</v>
      </c>
      <c r="D2833" t="s">
        <v>60</v>
      </c>
      <c r="E2833" t="s">
        <v>18</v>
      </c>
      <c r="F2833">
        <v>25</v>
      </c>
      <c r="G2833">
        <v>3291</v>
      </c>
      <c r="H2833">
        <v>82275</v>
      </c>
      <c r="I2833" t="s">
        <v>157</v>
      </c>
      <c r="J2833" t="s">
        <v>181</v>
      </c>
      <c r="K2833">
        <v>20</v>
      </c>
      <c r="L2833">
        <v>0</v>
      </c>
      <c r="M2833" t="s">
        <v>115</v>
      </c>
      <c r="N2833" t="str">
        <f t="shared" si="264"/>
        <v>PO-102832</v>
      </c>
      <c r="O2833" t="str">
        <f t="shared" si="265"/>
        <v>Delivered</v>
      </c>
      <c r="P2833" t="str">
        <f t="shared" si="266"/>
        <v>WH-PUN</v>
      </c>
      <c r="Q2833" t="str">
        <f>VLOOKUP(C2833, Lookups!$A$2:$D$10, 2, FALSE())</f>
        <v>Peripheral Source</v>
      </c>
      <c r="R2833" t="str">
        <f>_xlfn.XLOOKUP(D2833, Lookups!$A$12:$A$51, Lookups!$C$12:$C$51, "Unknown")</f>
        <v>Peripherals</v>
      </c>
      <c r="S2833" t="str">
        <f>IF(ISBLANK(I2833), B2833+VLOOKUP(C2833, Lookups!$A$2:$D$10, 4, FALSE()), I2833)</f>
        <v>2026-10-22</v>
      </c>
      <c r="T2833">
        <f t="shared" si="267"/>
        <v>7</v>
      </c>
      <c r="U2833" t="str">
        <f t="shared" si="268"/>
        <v>On-Time</v>
      </c>
      <c r="V2833">
        <f t="shared" si="269"/>
        <v>0</v>
      </c>
    </row>
    <row r="2834" spans="1:22" x14ac:dyDescent="0.45">
      <c r="A2834" t="s">
        <v>3691</v>
      </c>
      <c r="B2834" t="s">
        <v>1395</v>
      </c>
      <c r="C2834" t="s">
        <v>37</v>
      </c>
      <c r="D2834" t="s">
        <v>79</v>
      </c>
      <c r="E2834" t="s">
        <v>18</v>
      </c>
      <c r="F2834">
        <v>86</v>
      </c>
      <c r="G2834">
        <v>23054</v>
      </c>
      <c r="H2834">
        <v>1982644</v>
      </c>
      <c r="I2834" t="s">
        <v>1497</v>
      </c>
      <c r="J2834" t="s">
        <v>363</v>
      </c>
      <c r="K2834">
        <v>86</v>
      </c>
      <c r="L2834">
        <v>0</v>
      </c>
      <c r="M2834" t="s">
        <v>115</v>
      </c>
      <c r="N2834" t="str">
        <f t="shared" si="264"/>
        <v>PO-102833</v>
      </c>
      <c r="O2834" t="str">
        <f t="shared" si="265"/>
        <v>Delivered</v>
      </c>
      <c r="P2834" t="str">
        <f t="shared" si="266"/>
        <v>WH-PUN</v>
      </c>
      <c r="Q2834" t="str">
        <f>VLOOKUP(C2834, Lookups!$A$2:$D$10, 2, FALSE())</f>
        <v>Premium Desks Ltd</v>
      </c>
      <c r="R2834" t="str">
        <f>_xlfn.XLOOKUP(D2834, Lookups!$A$12:$A$51, Lookups!$C$12:$C$51, "Unknown")</f>
        <v>Office Furniture</v>
      </c>
      <c r="S2834" t="str">
        <f>IF(ISBLANK(I2834), B2834+VLOOKUP(C2834, Lookups!$A$2:$D$10, 4, FALSE()), I2834)</f>
        <v>2026-03-21</v>
      </c>
      <c r="T2834">
        <f t="shared" si="267"/>
        <v>24</v>
      </c>
      <c r="U2834" t="str">
        <f t="shared" si="268"/>
        <v>Late</v>
      </c>
      <c r="V2834">
        <f t="shared" si="269"/>
        <v>0</v>
      </c>
    </row>
    <row r="2835" spans="1:22" x14ac:dyDescent="0.45">
      <c r="A2835" t="s">
        <v>3692</v>
      </c>
      <c r="B2835" t="s">
        <v>981</v>
      </c>
      <c r="C2835" t="s">
        <v>36</v>
      </c>
      <c r="D2835" t="s">
        <v>71</v>
      </c>
      <c r="E2835" t="s">
        <v>16</v>
      </c>
      <c r="F2835">
        <v>173</v>
      </c>
      <c r="G2835">
        <v>65379</v>
      </c>
      <c r="H2835">
        <v>11310567</v>
      </c>
      <c r="I2835" t="s">
        <v>734</v>
      </c>
      <c r="J2835" t="s">
        <v>743</v>
      </c>
      <c r="K2835">
        <v>173</v>
      </c>
      <c r="L2835">
        <v>23</v>
      </c>
      <c r="M2835" t="s">
        <v>115</v>
      </c>
      <c r="N2835" t="str">
        <f t="shared" si="264"/>
        <v>PO-102834</v>
      </c>
      <c r="O2835" t="str">
        <f t="shared" si="265"/>
        <v>Delivered</v>
      </c>
      <c r="P2835" t="str">
        <f t="shared" si="266"/>
        <v>WH-DEL</v>
      </c>
      <c r="Q2835" t="str">
        <f>VLOOKUP(C2835, Lookups!$A$2:$D$10, 2, FALSE())</f>
        <v>NextGen Hardware</v>
      </c>
      <c r="R2835" t="str">
        <f>_xlfn.XLOOKUP(D2835, Lookups!$A$12:$A$51, Lookups!$C$12:$C$51, "Unknown")</f>
        <v>Electronics</v>
      </c>
      <c r="S2835" t="str">
        <f>IF(ISBLANK(I2835), B2835+VLOOKUP(C2835, Lookups!$A$2:$D$10, 4, FALSE()), I2835)</f>
        <v>2026-11-06</v>
      </c>
      <c r="T2835">
        <f t="shared" si="267"/>
        <v>33</v>
      </c>
      <c r="U2835" t="str">
        <f t="shared" si="268"/>
        <v>Late</v>
      </c>
      <c r="V2835">
        <f t="shared" si="269"/>
        <v>0.13294797687861271</v>
      </c>
    </row>
    <row r="2836" spans="1:22" x14ac:dyDescent="0.45">
      <c r="A2836" t="s">
        <v>3693</v>
      </c>
      <c r="B2836" t="s">
        <v>1300</v>
      </c>
      <c r="C2836" t="s">
        <v>34</v>
      </c>
      <c r="D2836" t="s">
        <v>80</v>
      </c>
      <c r="E2836" t="s">
        <v>16</v>
      </c>
      <c r="F2836">
        <v>246</v>
      </c>
      <c r="G2836">
        <v>19090</v>
      </c>
      <c r="H2836">
        <v>4696140</v>
      </c>
      <c r="I2836" t="s">
        <v>1236</v>
      </c>
      <c r="J2836" t="s">
        <v>1104</v>
      </c>
      <c r="K2836">
        <v>246</v>
      </c>
      <c r="L2836">
        <v>0</v>
      </c>
      <c r="M2836" t="s">
        <v>115</v>
      </c>
      <c r="N2836" t="str">
        <f t="shared" si="264"/>
        <v>PO-102835</v>
      </c>
      <c r="O2836" t="str">
        <f t="shared" si="265"/>
        <v>Delivered</v>
      </c>
      <c r="P2836" t="str">
        <f t="shared" si="266"/>
        <v>WH-DEL</v>
      </c>
      <c r="Q2836" t="str">
        <f>VLOOKUP(C2836, Lookups!$A$2:$D$10, 2, FALSE())</f>
        <v>FastElectronics</v>
      </c>
      <c r="R2836" t="str">
        <f>_xlfn.XLOOKUP(D2836, Lookups!$A$12:$A$51, Lookups!$C$12:$C$51, "Unknown")</f>
        <v>Networking</v>
      </c>
      <c r="S2836" t="str">
        <f>IF(ISBLANK(I2836), B2836+VLOOKUP(C2836, Lookups!$A$2:$D$10, 4, FALSE()), I2836)</f>
        <v>2025-08-23</v>
      </c>
      <c r="T2836">
        <f t="shared" si="267"/>
        <v>19</v>
      </c>
      <c r="U2836" t="str">
        <f t="shared" si="268"/>
        <v>Late</v>
      </c>
      <c r="V2836">
        <f t="shared" si="269"/>
        <v>0</v>
      </c>
    </row>
    <row r="2837" spans="1:22" x14ac:dyDescent="0.45">
      <c r="A2837" t="s">
        <v>3694</v>
      </c>
      <c r="B2837" t="s">
        <v>512</v>
      </c>
      <c r="C2837" t="s">
        <v>34</v>
      </c>
      <c r="D2837" t="s">
        <v>58</v>
      </c>
      <c r="E2837" t="s">
        <v>16</v>
      </c>
      <c r="F2837">
        <v>117</v>
      </c>
      <c r="G2837">
        <v>100302</v>
      </c>
      <c r="H2837">
        <v>11735334</v>
      </c>
      <c r="I2837" t="s">
        <v>150</v>
      </c>
      <c r="J2837" t="s">
        <v>151</v>
      </c>
      <c r="K2837">
        <v>115</v>
      </c>
      <c r="L2837">
        <v>0</v>
      </c>
      <c r="M2837" t="s">
        <v>115</v>
      </c>
      <c r="N2837" t="str">
        <f t="shared" si="264"/>
        <v>PO-102836</v>
      </c>
      <c r="O2837" t="str">
        <f t="shared" si="265"/>
        <v>Delivered</v>
      </c>
      <c r="P2837" t="str">
        <f t="shared" si="266"/>
        <v>WH-DEL</v>
      </c>
      <c r="Q2837" t="str">
        <f>VLOOKUP(C2837, Lookups!$A$2:$D$10, 2, FALSE())</f>
        <v>FastElectronics</v>
      </c>
      <c r="R2837" t="str">
        <f>_xlfn.XLOOKUP(D2837, Lookups!$A$12:$A$51, Lookups!$C$12:$C$51, "Unknown")</f>
        <v>Electronics</v>
      </c>
      <c r="S2837" t="str">
        <f>IF(ISBLANK(I2837), B2837+VLOOKUP(C2837, Lookups!$A$2:$D$10, 4, FALSE()), I2837)</f>
        <v>2026-04-13</v>
      </c>
      <c r="T2837">
        <f t="shared" si="267"/>
        <v>19</v>
      </c>
      <c r="U2837" t="str">
        <f t="shared" si="268"/>
        <v>Late</v>
      </c>
      <c r="V2837">
        <f t="shared" si="269"/>
        <v>0</v>
      </c>
    </row>
    <row r="2838" spans="1:22" x14ac:dyDescent="0.45">
      <c r="A2838" t="s">
        <v>3695</v>
      </c>
      <c r="B2838" t="s">
        <v>755</v>
      </c>
      <c r="C2838" t="s">
        <v>37</v>
      </c>
      <c r="D2838" t="s">
        <v>83</v>
      </c>
      <c r="E2838" t="s">
        <v>15</v>
      </c>
      <c r="F2838">
        <v>70</v>
      </c>
      <c r="G2838">
        <v>19850</v>
      </c>
      <c r="H2838">
        <v>1389500</v>
      </c>
      <c r="I2838" t="s">
        <v>947</v>
      </c>
      <c r="J2838" t="s">
        <v>206</v>
      </c>
      <c r="K2838">
        <v>70</v>
      </c>
      <c r="L2838">
        <v>3</v>
      </c>
      <c r="M2838" t="s">
        <v>115</v>
      </c>
      <c r="N2838" t="str">
        <f t="shared" si="264"/>
        <v>PO-102837</v>
      </c>
      <c r="O2838" t="str">
        <f t="shared" si="265"/>
        <v>Delivered</v>
      </c>
      <c r="P2838" t="str">
        <f t="shared" si="266"/>
        <v>WH-BOM</v>
      </c>
      <c r="Q2838" t="str">
        <f>VLOOKUP(C2838, Lookups!$A$2:$D$10, 2, FALSE())</f>
        <v>Premium Desks Ltd</v>
      </c>
      <c r="R2838" t="str">
        <f>_xlfn.XLOOKUP(D2838, Lookups!$A$12:$A$51, Lookups!$C$12:$C$51, "Unknown")</f>
        <v>Office Furniture</v>
      </c>
      <c r="S2838" t="str">
        <f>IF(ISBLANK(I2838), B2838+VLOOKUP(C2838, Lookups!$A$2:$D$10, 4, FALSE()), I2838)</f>
        <v>2025-12-06</v>
      </c>
      <c r="T2838">
        <f t="shared" si="267"/>
        <v>13</v>
      </c>
      <c r="U2838" t="str">
        <f t="shared" si="268"/>
        <v>Late</v>
      </c>
      <c r="V2838">
        <f t="shared" si="269"/>
        <v>4.2857142857142858E-2</v>
      </c>
    </row>
    <row r="2839" spans="1:22" x14ac:dyDescent="0.45">
      <c r="A2839" t="s">
        <v>3696</v>
      </c>
      <c r="B2839" t="s">
        <v>961</v>
      </c>
      <c r="C2839" t="s">
        <v>30</v>
      </c>
      <c r="D2839" t="s">
        <v>82</v>
      </c>
      <c r="E2839" t="s">
        <v>17</v>
      </c>
      <c r="F2839">
        <v>109</v>
      </c>
      <c r="G2839">
        <v>83427</v>
      </c>
      <c r="H2839">
        <v>9093543</v>
      </c>
      <c r="I2839" t="s">
        <v>2179</v>
      </c>
      <c r="J2839" t="s">
        <v>1551</v>
      </c>
      <c r="K2839">
        <v>109</v>
      </c>
      <c r="L2839">
        <v>0</v>
      </c>
      <c r="M2839" t="s">
        <v>115</v>
      </c>
      <c r="N2839" t="str">
        <f t="shared" si="264"/>
        <v>PO-102838</v>
      </c>
      <c r="O2839" t="str">
        <f t="shared" si="265"/>
        <v>Delivered</v>
      </c>
      <c r="P2839" t="str">
        <f t="shared" si="266"/>
        <v>WH-BLR</v>
      </c>
      <c r="Q2839" t="str">
        <f>VLOOKUP(C2839, Lookups!$A$2:$D$10, 2, FALSE())</f>
        <v>TechSupply Corp</v>
      </c>
      <c r="R2839" t="str">
        <f>_xlfn.XLOOKUP(D2839, Lookups!$A$12:$A$51, Lookups!$C$12:$C$51, "Unknown")</f>
        <v>Electronics</v>
      </c>
      <c r="S2839" t="str">
        <f>IF(ISBLANK(I2839), B2839+VLOOKUP(C2839, Lookups!$A$2:$D$10, 4, FALSE()), I2839)</f>
        <v>2025-05-17</v>
      </c>
      <c r="T2839">
        <f t="shared" si="267"/>
        <v>15</v>
      </c>
      <c r="U2839" t="str">
        <f t="shared" si="268"/>
        <v>Late</v>
      </c>
      <c r="V2839">
        <f t="shared" si="269"/>
        <v>0</v>
      </c>
    </row>
    <row r="2840" spans="1:22" x14ac:dyDescent="0.45">
      <c r="A2840" t="s">
        <v>3697</v>
      </c>
      <c r="B2840" t="s">
        <v>394</v>
      </c>
      <c r="C2840" t="s">
        <v>32</v>
      </c>
      <c r="D2840" t="s">
        <v>67</v>
      </c>
      <c r="E2840" t="s">
        <v>16</v>
      </c>
      <c r="F2840">
        <v>223</v>
      </c>
      <c r="G2840">
        <v>1553</v>
      </c>
      <c r="H2840">
        <v>346319</v>
      </c>
      <c r="I2840" t="s">
        <v>318</v>
      </c>
      <c r="J2840" t="s">
        <v>600</v>
      </c>
      <c r="K2840">
        <v>223</v>
      </c>
      <c r="L2840">
        <v>0</v>
      </c>
      <c r="M2840" t="s">
        <v>115</v>
      </c>
      <c r="N2840" t="str">
        <f t="shared" si="264"/>
        <v>PO-102839</v>
      </c>
      <c r="O2840" t="str">
        <f t="shared" si="265"/>
        <v>Delivered</v>
      </c>
      <c r="P2840" t="str">
        <f t="shared" si="266"/>
        <v>WH-DEL</v>
      </c>
      <c r="Q2840" t="str">
        <f>VLOOKUP(C2840, Lookups!$A$2:$D$10, 2, FALSE())</f>
        <v>OfficeDepot Pro</v>
      </c>
      <c r="R2840" t="str">
        <f>_xlfn.XLOOKUP(D2840, Lookups!$A$12:$A$51, Lookups!$C$12:$C$51, "Unknown")</f>
        <v>Peripherals</v>
      </c>
      <c r="S2840" t="str">
        <f>IF(ISBLANK(I2840), B2840+VLOOKUP(C2840, Lookups!$A$2:$D$10, 4, FALSE()), I2840)</f>
        <v>2025-09-23</v>
      </c>
      <c r="T2840">
        <f t="shared" si="267"/>
        <v>17</v>
      </c>
      <c r="U2840" t="str">
        <f t="shared" si="268"/>
        <v>Late</v>
      </c>
      <c r="V2840">
        <f t="shared" si="269"/>
        <v>0</v>
      </c>
    </row>
    <row r="2841" spans="1:22" x14ac:dyDescent="0.45">
      <c r="A2841" t="s">
        <v>3698</v>
      </c>
      <c r="B2841" t="s">
        <v>711</v>
      </c>
      <c r="C2841" t="s">
        <v>34</v>
      </c>
      <c r="D2841" t="s">
        <v>74</v>
      </c>
      <c r="E2841" t="s">
        <v>18</v>
      </c>
      <c r="F2841">
        <v>114</v>
      </c>
      <c r="G2841">
        <v>94797</v>
      </c>
      <c r="H2841">
        <v>10806858</v>
      </c>
      <c r="I2841" t="s">
        <v>299</v>
      </c>
      <c r="J2841" t="s">
        <v>299</v>
      </c>
      <c r="K2841">
        <v>114</v>
      </c>
      <c r="L2841">
        <v>0</v>
      </c>
      <c r="M2841" t="s">
        <v>115</v>
      </c>
      <c r="N2841" t="str">
        <f t="shared" si="264"/>
        <v>PO-102840</v>
      </c>
      <c r="O2841" t="str">
        <f t="shared" si="265"/>
        <v>Delivered</v>
      </c>
      <c r="P2841" t="str">
        <f t="shared" si="266"/>
        <v>WH-PUN</v>
      </c>
      <c r="Q2841" t="str">
        <f>VLOOKUP(C2841, Lookups!$A$2:$D$10, 2, FALSE())</f>
        <v>FastElectronics</v>
      </c>
      <c r="R2841" t="str">
        <f>_xlfn.XLOOKUP(D2841, Lookups!$A$12:$A$51, Lookups!$C$12:$C$51, "Unknown")</f>
        <v>Electronics</v>
      </c>
      <c r="S2841" t="str">
        <f>IF(ISBLANK(I2841), B2841+VLOOKUP(C2841, Lookups!$A$2:$D$10, 4, FALSE()), I2841)</f>
        <v>2025-02-27</v>
      </c>
      <c r="T2841">
        <f t="shared" si="267"/>
        <v>18</v>
      </c>
      <c r="U2841" t="str">
        <f t="shared" si="268"/>
        <v>On-Time</v>
      </c>
      <c r="V2841">
        <f t="shared" si="269"/>
        <v>0</v>
      </c>
    </row>
    <row r="2842" spans="1:22" x14ac:dyDescent="0.45">
      <c r="A2842" t="s">
        <v>3699</v>
      </c>
      <c r="B2842" t="s">
        <v>1671</v>
      </c>
      <c r="C2842" t="s">
        <v>31</v>
      </c>
      <c r="D2842" t="s">
        <v>85</v>
      </c>
      <c r="E2842" t="s">
        <v>17</v>
      </c>
      <c r="F2842">
        <v>193</v>
      </c>
      <c r="G2842">
        <v>16501</v>
      </c>
      <c r="H2842">
        <v>3184693</v>
      </c>
      <c r="I2842" t="s">
        <v>558</v>
      </c>
      <c r="J2842" t="s">
        <v>559</v>
      </c>
      <c r="K2842">
        <v>193</v>
      </c>
      <c r="L2842">
        <v>0</v>
      </c>
      <c r="M2842" t="s">
        <v>115</v>
      </c>
      <c r="N2842" t="str">
        <f t="shared" si="264"/>
        <v>PO-102841</v>
      </c>
      <c r="O2842" t="str">
        <f t="shared" si="265"/>
        <v>Delivered</v>
      </c>
      <c r="P2842" t="str">
        <f t="shared" si="266"/>
        <v>WH-BLR</v>
      </c>
      <c r="Q2842" t="str">
        <f>VLOOKUP(C2842, Lookups!$A$2:$D$10, 2, FALSE())</f>
        <v>Global Networks</v>
      </c>
      <c r="R2842" t="str">
        <f>_xlfn.XLOOKUP(D2842, Lookups!$A$12:$A$51, Lookups!$C$12:$C$51, "Unknown")</f>
        <v>Networking</v>
      </c>
      <c r="S2842" t="str">
        <f>IF(ISBLANK(I2842), B2842+VLOOKUP(C2842, Lookups!$A$2:$D$10, 4, FALSE()), I2842)</f>
        <v>2026-04-18</v>
      </c>
      <c r="T2842">
        <f t="shared" si="267"/>
        <v>22</v>
      </c>
      <c r="U2842" t="str">
        <f t="shared" si="268"/>
        <v>Late</v>
      </c>
      <c r="V2842">
        <f t="shared" si="269"/>
        <v>0</v>
      </c>
    </row>
    <row r="2843" spans="1:22" x14ac:dyDescent="0.45">
      <c r="A2843" t="s">
        <v>3700</v>
      </c>
      <c r="B2843" t="s">
        <v>206</v>
      </c>
      <c r="C2843" t="s">
        <v>34</v>
      </c>
      <c r="D2843" t="s">
        <v>80</v>
      </c>
      <c r="E2843" t="s">
        <v>18</v>
      </c>
      <c r="F2843">
        <v>85</v>
      </c>
      <c r="G2843">
        <v>19090</v>
      </c>
      <c r="H2843">
        <v>1622650</v>
      </c>
      <c r="I2843" t="s">
        <v>547</v>
      </c>
      <c r="J2843" t="s">
        <v>640</v>
      </c>
      <c r="K2843">
        <v>85</v>
      </c>
      <c r="L2843">
        <v>0</v>
      </c>
      <c r="M2843" t="s">
        <v>115</v>
      </c>
      <c r="N2843" t="str">
        <f t="shared" si="264"/>
        <v>PO-102842</v>
      </c>
      <c r="O2843" t="str">
        <f t="shared" si="265"/>
        <v>Delivered</v>
      </c>
      <c r="P2843" t="str">
        <f t="shared" si="266"/>
        <v>WH-PUN</v>
      </c>
      <c r="Q2843" t="str">
        <f>VLOOKUP(C2843, Lookups!$A$2:$D$10, 2, FALSE())</f>
        <v>FastElectronics</v>
      </c>
      <c r="R2843" t="str">
        <f>_xlfn.XLOOKUP(D2843, Lookups!$A$12:$A$51, Lookups!$C$12:$C$51, "Unknown")</f>
        <v>Networking</v>
      </c>
      <c r="S2843" t="str">
        <f>IF(ISBLANK(I2843), B2843+VLOOKUP(C2843, Lookups!$A$2:$D$10, 4, FALSE()), I2843)</f>
        <v>2025-12-25</v>
      </c>
      <c r="T2843">
        <f t="shared" si="267"/>
        <v>19</v>
      </c>
      <c r="U2843" t="str">
        <f t="shared" si="268"/>
        <v>Late</v>
      </c>
      <c r="V2843">
        <f t="shared" si="269"/>
        <v>0</v>
      </c>
    </row>
    <row r="2844" spans="1:22" x14ac:dyDescent="0.45">
      <c r="A2844" t="s">
        <v>3701</v>
      </c>
      <c r="B2844" t="s">
        <v>1780</v>
      </c>
      <c r="C2844" t="s">
        <v>32</v>
      </c>
      <c r="D2844" t="s">
        <v>84</v>
      </c>
      <c r="E2844" t="s">
        <v>17</v>
      </c>
      <c r="F2844">
        <v>225</v>
      </c>
      <c r="G2844">
        <v>7271</v>
      </c>
      <c r="H2844">
        <v>1635975</v>
      </c>
      <c r="I2844" t="s">
        <v>529</v>
      </c>
      <c r="J2844" t="s">
        <v>529</v>
      </c>
      <c r="K2844">
        <v>225</v>
      </c>
      <c r="L2844">
        <v>0</v>
      </c>
      <c r="M2844" t="s">
        <v>115</v>
      </c>
      <c r="N2844" t="str">
        <f t="shared" si="264"/>
        <v>PO-102843</v>
      </c>
      <c r="O2844" t="str">
        <f t="shared" si="265"/>
        <v>Delivered</v>
      </c>
      <c r="P2844" t="str">
        <f t="shared" si="266"/>
        <v>WH-BLR</v>
      </c>
      <c r="Q2844" t="str">
        <f>VLOOKUP(C2844, Lookups!$A$2:$D$10, 2, FALSE())</f>
        <v>OfficeDepot Pro</v>
      </c>
      <c r="R2844" t="str">
        <f>_xlfn.XLOOKUP(D2844, Lookups!$A$12:$A$51, Lookups!$C$12:$C$51, "Unknown")</f>
        <v>Peripherals</v>
      </c>
      <c r="S2844" t="str">
        <f>IF(ISBLANK(I2844), B2844+VLOOKUP(C2844, Lookups!$A$2:$D$10, 4, FALSE()), I2844)</f>
        <v>2026-05-20</v>
      </c>
      <c r="T2844">
        <f t="shared" si="267"/>
        <v>7</v>
      </c>
      <c r="U2844" t="str">
        <f t="shared" si="268"/>
        <v>On-Time</v>
      </c>
      <c r="V2844">
        <f t="shared" si="269"/>
        <v>0</v>
      </c>
    </row>
    <row r="2845" spans="1:22" x14ac:dyDescent="0.45">
      <c r="A2845" t="s">
        <v>3702</v>
      </c>
      <c r="B2845" t="s">
        <v>551</v>
      </c>
      <c r="C2845" t="s">
        <v>30</v>
      </c>
      <c r="D2845" t="s">
        <v>61</v>
      </c>
      <c r="E2845" t="s">
        <v>17</v>
      </c>
      <c r="F2845">
        <v>95</v>
      </c>
      <c r="G2845">
        <v>111237</v>
      </c>
      <c r="H2845">
        <v>10567515</v>
      </c>
      <c r="I2845" t="s">
        <v>255</v>
      </c>
      <c r="J2845" t="s">
        <v>463</v>
      </c>
      <c r="K2845">
        <v>95</v>
      </c>
      <c r="L2845">
        <v>0</v>
      </c>
      <c r="M2845" t="s">
        <v>115</v>
      </c>
      <c r="N2845" t="str">
        <f t="shared" si="264"/>
        <v>PO-102844</v>
      </c>
      <c r="O2845" t="str">
        <f t="shared" si="265"/>
        <v>Delivered</v>
      </c>
      <c r="P2845" t="str">
        <f t="shared" si="266"/>
        <v>WH-BLR</v>
      </c>
      <c r="Q2845" t="str">
        <f>VLOOKUP(C2845, Lookups!$A$2:$D$10, 2, FALSE())</f>
        <v>TechSupply Corp</v>
      </c>
      <c r="R2845" t="str">
        <f>_xlfn.XLOOKUP(D2845, Lookups!$A$12:$A$51, Lookups!$C$12:$C$51, "Unknown")</f>
        <v>Electronics</v>
      </c>
      <c r="S2845" t="str">
        <f>IF(ISBLANK(I2845), B2845+VLOOKUP(C2845, Lookups!$A$2:$D$10, 4, FALSE()), I2845)</f>
        <v>2025-11-18</v>
      </c>
      <c r="T2845">
        <f t="shared" si="267"/>
        <v>15</v>
      </c>
      <c r="U2845" t="str">
        <f t="shared" si="268"/>
        <v>Late</v>
      </c>
      <c r="V2845">
        <f t="shared" si="269"/>
        <v>0</v>
      </c>
    </row>
    <row r="2846" spans="1:22" x14ac:dyDescent="0.45">
      <c r="A2846" t="s">
        <v>3703</v>
      </c>
      <c r="B2846" t="s">
        <v>1442</v>
      </c>
      <c r="C2846" t="s">
        <v>30</v>
      </c>
      <c r="D2846" t="s">
        <v>88</v>
      </c>
      <c r="E2846" t="s">
        <v>15</v>
      </c>
      <c r="F2846">
        <v>128</v>
      </c>
      <c r="G2846">
        <v>75512</v>
      </c>
      <c r="H2846">
        <v>9665536</v>
      </c>
      <c r="I2846" t="s">
        <v>491</v>
      </c>
      <c r="J2846" t="s">
        <v>739</v>
      </c>
      <c r="K2846">
        <v>128</v>
      </c>
      <c r="L2846">
        <v>0</v>
      </c>
      <c r="M2846" t="s">
        <v>115</v>
      </c>
      <c r="N2846" t="str">
        <f t="shared" si="264"/>
        <v>PO-102845</v>
      </c>
      <c r="O2846" t="str">
        <f t="shared" si="265"/>
        <v>Delivered</v>
      </c>
      <c r="P2846" t="str">
        <f t="shared" si="266"/>
        <v>WH-BOM</v>
      </c>
      <c r="Q2846" t="str">
        <f>VLOOKUP(C2846, Lookups!$A$2:$D$10, 2, FALSE())</f>
        <v>TechSupply Corp</v>
      </c>
      <c r="R2846" t="str">
        <f>_xlfn.XLOOKUP(D2846, Lookups!$A$12:$A$51, Lookups!$C$12:$C$51, "Unknown")</f>
        <v>Electronics</v>
      </c>
      <c r="S2846" t="str">
        <f>IF(ISBLANK(I2846), B2846+VLOOKUP(C2846, Lookups!$A$2:$D$10, 4, FALSE()), I2846)</f>
        <v>2025-07-16</v>
      </c>
      <c r="T2846">
        <f t="shared" si="267"/>
        <v>27</v>
      </c>
      <c r="U2846" t="str">
        <f t="shared" si="268"/>
        <v>Late</v>
      </c>
      <c r="V2846">
        <f t="shared" si="269"/>
        <v>0</v>
      </c>
    </row>
    <row r="2847" spans="1:22" x14ac:dyDescent="0.45">
      <c r="A2847" t="s">
        <v>3704</v>
      </c>
      <c r="B2847" t="s">
        <v>265</v>
      </c>
      <c r="C2847" t="s">
        <v>37</v>
      </c>
      <c r="D2847" t="s">
        <v>79</v>
      </c>
      <c r="E2847" t="s">
        <v>15</v>
      </c>
      <c r="F2847">
        <v>35</v>
      </c>
      <c r="G2847">
        <v>23054</v>
      </c>
      <c r="H2847">
        <v>806890</v>
      </c>
      <c r="I2847" t="s">
        <v>185</v>
      </c>
      <c r="J2847" t="s">
        <v>299</v>
      </c>
      <c r="K2847">
        <v>35</v>
      </c>
      <c r="L2847">
        <v>0</v>
      </c>
      <c r="M2847" t="s">
        <v>927</v>
      </c>
      <c r="N2847" t="str">
        <f t="shared" si="264"/>
        <v>PO-102846</v>
      </c>
      <c r="O2847" t="str">
        <f t="shared" si="265"/>
        <v>Delivered</v>
      </c>
      <c r="P2847" t="str">
        <f t="shared" si="266"/>
        <v>WH-BOM</v>
      </c>
      <c r="Q2847" t="str">
        <f>VLOOKUP(C2847, Lookups!$A$2:$D$10, 2, FALSE())</f>
        <v>Premium Desks Ltd</v>
      </c>
      <c r="R2847" t="str">
        <f>_xlfn.XLOOKUP(D2847, Lookups!$A$12:$A$51, Lookups!$C$12:$C$51, "Unknown")</f>
        <v>Office Furniture</v>
      </c>
      <c r="S2847" t="str">
        <f>IF(ISBLANK(I2847), B2847+VLOOKUP(C2847, Lookups!$A$2:$D$10, 4, FALSE()), I2847)</f>
        <v>2025-02-26</v>
      </c>
      <c r="T2847">
        <f t="shared" si="267"/>
        <v>13</v>
      </c>
      <c r="U2847" t="str">
        <f t="shared" si="268"/>
        <v>Late</v>
      </c>
      <c r="V2847">
        <f t="shared" si="269"/>
        <v>0</v>
      </c>
    </row>
    <row r="2848" spans="1:22" x14ac:dyDescent="0.45">
      <c r="A2848" t="s">
        <v>3705</v>
      </c>
      <c r="B2848" t="s">
        <v>388</v>
      </c>
      <c r="C2848" t="s">
        <v>31</v>
      </c>
      <c r="D2848" t="s">
        <v>66</v>
      </c>
      <c r="E2848" t="s">
        <v>18</v>
      </c>
      <c r="F2848">
        <v>181</v>
      </c>
      <c r="G2848">
        <v>29719</v>
      </c>
      <c r="H2848">
        <v>5379139</v>
      </c>
      <c r="I2848" t="s">
        <v>367</v>
      </c>
      <c r="J2848" t="s">
        <v>367</v>
      </c>
      <c r="K2848">
        <v>181</v>
      </c>
      <c r="L2848">
        <v>0</v>
      </c>
      <c r="M2848" t="s">
        <v>115</v>
      </c>
      <c r="N2848" t="str">
        <f t="shared" si="264"/>
        <v>PO-102847</v>
      </c>
      <c r="O2848" t="str">
        <f t="shared" si="265"/>
        <v>Delivered</v>
      </c>
      <c r="P2848" t="str">
        <f t="shared" si="266"/>
        <v>WH-PUN</v>
      </c>
      <c r="Q2848" t="str">
        <f>VLOOKUP(C2848, Lookups!$A$2:$D$10, 2, FALSE())</f>
        <v>Global Networks</v>
      </c>
      <c r="R2848" t="str">
        <f>_xlfn.XLOOKUP(D2848, Lookups!$A$12:$A$51, Lookups!$C$12:$C$51, "Unknown")</f>
        <v>Networking</v>
      </c>
      <c r="S2848" t="str">
        <f>IF(ISBLANK(I2848), B2848+VLOOKUP(C2848, Lookups!$A$2:$D$10, 4, FALSE()), I2848)</f>
        <v>2026-04-15</v>
      </c>
      <c r="T2848">
        <f t="shared" si="267"/>
        <v>21</v>
      </c>
      <c r="U2848" t="str">
        <f t="shared" si="268"/>
        <v>On-Time</v>
      </c>
      <c r="V2848">
        <f t="shared" si="269"/>
        <v>0</v>
      </c>
    </row>
    <row r="2849" spans="1:22" x14ac:dyDescent="0.45">
      <c r="A2849" t="s">
        <v>3706</v>
      </c>
      <c r="B2849" t="s">
        <v>426</v>
      </c>
      <c r="C2849" t="s">
        <v>30</v>
      </c>
      <c r="D2849" t="s">
        <v>86</v>
      </c>
      <c r="E2849" t="s">
        <v>18</v>
      </c>
      <c r="F2849">
        <v>45</v>
      </c>
      <c r="G2849">
        <v>74871</v>
      </c>
      <c r="H2849">
        <v>3369195</v>
      </c>
      <c r="I2849" t="s">
        <v>434</v>
      </c>
      <c r="J2849" t="s">
        <v>995</v>
      </c>
      <c r="K2849">
        <v>45</v>
      </c>
      <c r="L2849">
        <v>0</v>
      </c>
      <c r="M2849" t="s">
        <v>115</v>
      </c>
      <c r="N2849" t="str">
        <f t="shared" si="264"/>
        <v>PO-102848</v>
      </c>
      <c r="O2849" t="str">
        <f t="shared" si="265"/>
        <v>Delivered</v>
      </c>
      <c r="P2849" t="str">
        <f t="shared" si="266"/>
        <v>WH-PUN</v>
      </c>
      <c r="Q2849" t="str">
        <f>VLOOKUP(C2849, Lookups!$A$2:$D$10, 2, FALSE())</f>
        <v>TechSupply Corp</v>
      </c>
      <c r="R2849" t="str">
        <f>_xlfn.XLOOKUP(D2849, Lookups!$A$12:$A$51, Lookups!$C$12:$C$51, "Unknown")</f>
        <v>Electronics</v>
      </c>
      <c r="S2849" t="str">
        <f>IF(ISBLANK(I2849), B2849+VLOOKUP(C2849, Lookups!$A$2:$D$10, 4, FALSE()), I2849)</f>
        <v>2025-08-10</v>
      </c>
      <c r="T2849">
        <f t="shared" si="267"/>
        <v>26</v>
      </c>
      <c r="U2849" t="str">
        <f t="shared" si="268"/>
        <v>Late</v>
      </c>
      <c r="V2849">
        <f t="shared" si="269"/>
        <v>0</v>
      </c>
    </row>
    <row r="2850" spans="1:22" x14ac:dyDescent="0.45">
      <c r="A2850" t="s">
        <v>3707</v>
      </c>
      <c r="B2850" t="s">
        <v>416</v>
      </c>
      <c r="C2850" t="s">
        <v>37</v>
      </c>
      <c r="D2850" t="s">
        <v>78</v>
      </c>
      <c r="E2850" t="s">
        <v>16</v>
      </c>
      <c r="F2850">
        <v>154</v>
      </c>
      <c r="G2850">
        <v>9423</v>
      </c>
      <c r="H2850">
        <v>1451142</v>
      </c>
      <c r="I2850" t="s">
        <v>375</v>
      </c>
      <c r="J2850" t="s">
        <v>1177</v>
      </c>
      <c r="K2850">
        <v>154</v>
      </c>
      <c r="L2850">
        <v>12</v>
      </c>
      <c r="M2850" t="s">
        <v>115</v>
      </c>
      <c r="N2850" t="str">
        <f t="shared" si="264"/>
        <v>PO-102849</v>
      </c>
      <c r="O2850" t="str">
        <f t="shared" si="265"/>
        <v>Delivered</v>
      </c>
      <c r="P2850" t="str">
        <f t="shared" si="266"/>
        <v>WH-DEL</v>
      </c>
      <c r="Q2850" t="str">
        <f>VLOOKUP(C2850, Lookups!$A$2:$D$10, 2, FALSE())</f>
        <v>Premium Desks Ltd</v>
      </c>
      <c r="R2850" t="str">
        <f>_xlfn.XLOOKUP(D2850, Lookups!$A$12:$A$51, Lookups!$C$12:$C$51, "Unknown")</f>
        <v>Office Furniture</v>
      </c>
      <c r="S2850" t="str">
        <f>IF(ISBLANK(I2850), B2850+VLOOKUP(C2850, Lookups!$A$2:$D$10, 4, FALSE()), I2850)</f>
        <v>2026-06-10</v>
      </c>
      <c r="T2850">
        <f t="shared" si="267"/>
        <v>13</v>
      </c>
      <c r="U2850" t="str">
        <f t="shared" si="268"/>
        <v>Late</v>
      </c>
      <c r="V2850">
        <f t="shared" si="269"/>
        <v>7.792207792207792E-2</v>
      </c>
    </row>
    <row r="2851" spans="1:22" x14ac:dyDescent="0.45">
      <c r="A2851" t="s">
        <v>3708</v>
      </c>
      <c r="B2851" t="s">
        <v>128</v>
      </c>
      <c r="C2851" t="s">
        <v>35</v>
      </c>
      <c r="D2851" t="s">
        <v>75</v>
      </c>
      <c r="E2851" t="s">
        <v>18</v>
      </c>
      <c r="F2851">
        <v>78</v>
      </c>
      <c r="G2851">
        <v>4440</v>
      </c>
      <c r="H2851">
        <v>346320</v>
      </c>
      <c r="I2851" t="s">
        <v>705</v>
      </c>
      <c r="J2851" t="s">
        <v>705</v>
      </c>
      <c r="K2851">
        <v>78</v>
      </c>
      <c r="L2851">
        <v>0</v>
      </c>
      <c r="M2851" t="s">
        <v>115</v>
      </c>
      <c r="N2851" t="str">
        <f t="shared" si="264"/>
        <v>PO-102850</v>
      </c>
      <c r="O2851" t="str">
        <f t="shared" si="265"/>
        <v>Delivered</v>
      </c>
      <c r="P2851" t="str">
        <f t="shared" si="266"/>
        <v>WH-PUN</v>
      </c>
      <c r="Q2851" t="str">
        <f>VLOOKUP(C2851, Lookups!$A$2:$D$10, 2, FALSE())</f>
        <v>Peripheral Source</v>
      </c>
      <c r="R2851" t="str">
        <f>_xlfn.XLOOKUP(D2851, Lookups!$A$12:$A$51, Lookups!$C$12:$C$51, "Unknown")</f>
        <v>Peripherals</v>
      </c>
      <c r="S2851" t="str">
        <f>IF(ISBLANK(I2851), B2851+VLOOKUP(C2851, Lookups!$A$2:$D$10, 4, FALSE()), I2851)</f>
        <v>2026-02-26</v>
      </c>
      <c r="T2851">
        <f t="shared" si="267"/>
        <v>10</v>
      </c>
      <c r="U2851" t="str">
        <f t="shared" si="268"/>
        <v>On-Time</v>
      </c>
      <c r="V2851">
        <f t="shared" si="269"/>
        <v>0</v>
      </c>
    </row>
    <row r="2852" spans="1:22" x14ac:dyDescent="0.45">
      <c r="A2852" t="s">
        <v>3709</v>
      </c>
      <c r="B2852" t="s">
        <v>1459</v>
      </c>
      <c r="C2852" t="s">
        <v>35</v>
      </c>
      <c r="D2852" t="s">
        <v>57</v>
      </c>
      <c r="E2852" t="s">
        <v>17</v>
      </c>
      <c r="F2852">
        <v>223</v>
      </c>
      <c r="G2852">
        <v>2212</v>
      </c>
      <c r="H2852">
        <v>493276</v>
      </c>
      <c r="I2852" t="s">
        <v>1314</v>
      </c>
      <c r="J2852" t="s">
        <v>1314</v>
      </c>
      <c r="K2852">
        <v>223</v>
      </c>
      <c r="L2852">
        <v>0</v>
      </c>
      <c r="M2852" t="s">
        <v>115</v>
      </c>
      <c r="N2852" t="str">
        <f t="shared" si="264"/>
        <v>PO-102851</v>
      </c>
      <c r="O2852" t="str">
        <f t="shared" si="265"/>
        <v>Delivered</v>
      </c>
      <c r="P2852" t="str">
        <f t="shared" si="266"/>
        <v>WH-BLR</v>
      </c>
      <c r="Q2852" t="str">
        <f>VLOOKUP(C2852, Lookups!$A$2:$D$10, 2, FALSE())</f>
        <v>Peripheral Source</v>
      </c>
      <c r="R2852" t="str">
        <f>_xlfn.XLOOKUP(D2852, Lookups!$A$12:$A$51, Lookups!$C$12:$C$51, "Unknown")</f>
        <v>Peripherals</v>
      </c>
      <c r="S2852" t="str">
        <f>IF(ISBLANK(I2852), B2852+VLOOKUP(C2852, Lookups!$A$2:$D$10, 4, FALSE()), I2852)</f>
        <v>2026-05-28</v>
      </c>
      <c r="T2852">
        <f t="shared" si="267"/>
        <v>10</v>
      </c>
      <c r="U2852" t="str">
        <f t="shared" si="268"/>
        <v>On-Time</v>
      </c>
      <c r="V2852">
        <f t="shared" si="269"/>
        <v>0</v>
      </c>
    </row>
    <row r="2853" spans="1:22" x14ac:dyDescent="0.45">
      <c r="A2853" t="s">
        <v>3710</v>
      </c>
      <c r="B2853" t="s">
        <v>451</v>
      </c>
      <c r="C2853" t="s">
        <v>35</v>
      </c>
      <c r="D2853" t="s">
        <v>75</v>
      </c>
      <c r="E2853" t="s">
        <v>15</v>
      </c>
      <c r="F2853">
        <v>175</v>
      </c>
      <c r="G2853">
        <v>4440</v>
      </c>
      <c r="H2853">
        <v>777000</v>
      </c>
      <c r="I2853" t="s">
        <v>1111</v>
      </c>
      <c r="J2853" t="s">
        <v>1111</v>
      </c>
      <c r="K2853">
        <v>175</v>
      </c>
      <c r="L2853">
        <v>0</v>
      </c>
      <c r="M2853" t="s">
        <v>115</v>
      </c>
      <c r="N2853" t="str">
        <f t="shared" si="264"/>
        <v>PO-102852</v>
      </c>
      <c r="O2853" t="str">
        <f t="shared" si="265"/>
        <v>Delivered</v>
      </c>
      <c r="P2853" t="str">
        <f t="shared" si="266"/>
        <v>WH-BOM</v>
      </c>
      <c r="Q2853" t="str">
        <f>VLOOKUP(C2853, Lookups!$A$2:$D$10, 2, FALSE())</f>
        <v>Peripheral Source</v>
      </c>
      <c r="R2853" t="str">
        <f>_xlfn.XLOOKUP(D2853, Lookups!$A$12:$A$51, Lookups!$C$12:$C$51, "Unknown")</f>
        <v>Peripherals</v>
      </c>
      <c r="S2853" t="str">
        <f>IF(ISBLANK(I2853), B2853+VLOOKUP(C2853, Lookups!$A$2:$D$10, 4, FALSE()), I2853)</f>
        <v>2026-10-14</v>
      </c>
      <c r="T2853">
        <f t="shared" si="267"/>
        <v>10</v>
      </c>
      <c r="U2853" t="str">
        <f t="shared" si="268"/>
        <v>On-Time</v>
      </c>
      <c r="V2853">
        <f t="shared" si="269"/>
        <v>0</v>
      </c>
    </row>
    <row r="2854" spans="1:22" x14ac:dyDescent="0.45">
      <c r="A2854" t="s">
        <v>3711</v>
      </c>
      <c r="B2854" t="s">
        <v>625</v>
      </c>
      <c r="C2854" t="s">
        <v>37</v>
      </c>
      <c r="D2854" t="s">
        <v>78</v>
      </c>
      <c r="E2854" t="s">
        <v>17</v>
      </c>
      <c r="F2854">
        <v>228</v>
      </c>
      <c r="G2854">
        <v>9423</v>
      </c>
      <c r="H2854">
        <v>2148444</v>
      </c>
      <c r="I2854" t="s">
        <v>202</v>
      </c>
      <c r="J2854" t="s">
        <v>202</v>
      </c>
      <c r="K2854">
        <v>228</v>
      </c>
      <c r="L2854">
        <v>0</v>
      </c>
      <c r="M2854" t="s">
        <v>115</v>
      </c>
      <c r="N2854" t="str">
        <f t="shared" si="264"/>
        <v>PO-102853</v>
      </c>
      <c r="O2854" t="str">
        <f t="shared" si="265"/>
        <v>Delivered</v>
      </c>
      <c r="P2854" t="str">
        <f t="shared" si="266"/>
        <v>WH-BLR</v>
      </c>
      <c r="Q2854" t="str">
        <f>VLOOKUP(C2854, Lookups!$A$2:$D$10, 2, FALSE())</f>
        <v>Premium Desks Ltd</v>
      </c>
      <c r="R2854" t="str">
        <f>_xlfn.XLOOKUP(D2854, Lookups!$A$12:$A$51, Lookups!$C$12:$C$51, "Unknown")</f>
        <v>Office Furniture</v>
      </c>
      <c r="S2854" t="str">
        <f>IF(ISBLANK(I2854), B2854+VLOOKUP(C2854, Lookups!$A$2:$D$10, 4, FALSE()), I2854)</f>
        <v>2026-03-27</v>
      </c>
      <c r="T2854">
        <f t="shared" si="267"/>
        <v>12</v>
      </c>
      <c r="U2854" t="str">
        <f t="shared" si="268"/>
        <v>On-Time</v>
      </c>
      <c r="V2854">
        <f t="shared" si="269"/>
        <v>0</v>
      </c>
    </row>
    <row r="2855" spans="1:22" x14ac:dyDescent="0.45">
      <c r="A2855" t="s">
        <v>3712</v>
      </c>
      <c r="B2855" t="s">
        <v>889</v>
      </c>
      <c r="C2855" t="s">
        <v>36</v>
      </c>
      <c r="D2855" t="s">
        <v>90</v>
      </c>
      <c r="E2855" t="s">
        <v>15</v>
      </c>
      <c r="F2855">
        <v>155</v>
      </c>
      <c r="G2855">
        <v>81434</v>
      </c>
      <c r="H2855">
        <v>12622270</v>
      </c>
      <c r="I2855" t="s">
        <v>651</v>
      </c>
      <c r="J2855" t="s">
        <v>651</v>
      </c>
      <c r="K2855">
        <v>153</v>
      </c>
      <c r="L2855">
        <v>0</v>
      </c>
      <c r="M2855" t="s">
        <v>115</v>
      </c>
      <c r="N2855" t="str">
        <f t="shared" si="264"/>
        <v>PO-102854</v>
      </c>
      <c r="O2855" t="str">
        <f t="shared" si="265"/>
        <v>Delivered</v>
      </c>
      <c r="P2855" t="str">
        <f t="shared" si="266"/>
        <v>WH-BOM</v>
      </c>
      <c r="Q2855" t="str">
        <f>VLOOKUP(C2855, Lookups!$A$2:$D$10, 2, FALSE())</f>
        <v>NextGen Hardware</v>
      </c>
      <c r="R2855" t="str">
        <f>_xlfn.XLOOKUP(D2855, Lookups!$A$12:$A$51, Lookups!$C$12:$C$51, "Unknown")</f>
        <v>Electronics</v>
      </c>
      <c r="S2855" t="str">
        <f>IF(ISBLANK(I2855), B2855+VLOOKUP(C2855, Lookups!$A$2:$D$10, 4, FALSE()), I2855)</f>
        <v>2025-11-12</v>
      </c>
      <c r="T2855">
        <f t="shared" si="267"/>
        <v>24</v>
      </c>
      <c r="U2855" t="str">
        <f t="shared" si="268"/>
        <v>On-Time</v>
      </c>
      <c r="V2855">
        <f t="shared" si="269"/>
        <v>0</v>
      </c>
    </row>
    <row r="2856" spans="1:22" x14ac:dyDescent="0.45">
      <c r="A2856" t="s">
        <v>3713</v>
      </c>
      <c r="B2856" t="s">
        <v>861</v>
      </c>
      <c r="C2856" t="s">
        <v>34</v>
      </c>
      <c r="D2856" t="s">
        <v>74</v>
      </c>
      <c r="E2856" t="s">
        <v>17</v>
      </c>
      <c r="F2856">
        <v>89</v>
      </c>
      <c r="G2856">
        <v>94797</v>
      </c>
      <c r="H2856">
        <v>8436933</v>
      </c>
      <c r="I2856" t="s">
        <v>1216</v>
      </c>
      <c r="J2856" t="s">
        <v>1767</v>
      </c>
      <c r="K2856">
        <v>89</v>
      </c>
      <c r="L2856">
        <v>0</v>
      </c>
      <c r="M2856" t="s">
        <v>301</v>
      </c>
      <c r="N2856" t="str">
        <f t="shared" si="264"/>
        <v>PO-102855</v>
      </c>
      <c r="O2856" t="str">
        <f t="shared" si="265"/>
        <v>Delivered</v>
      </c>
      <c r="P2856" t="str">
        <f t="shared" si="266"/>
        <v>WH-BLR</v>
      </c>
      <c r="Q2856" t="str">
        <f>VLOOKUP(C2856, Lookups!$A$2:$D$10, 2, FALSE())</f>
        <v>FastElectronics</v>
      </c>
      <c r="R2856" t="str">
        <f>_xlfn.XLOOKUP(D2856, Lookups!$A$12:$A$51, Lookups!$C$12:$C$51, "Unknown")</f>
        <v>Electronics</v>
      </c>
      <c r="S2856" t="str">
        <f>IF(ISBLANK(I2856), B2856+VLOOKUP(C2856, Lookups!$A$2:$D$10, 4, FALSE()), I2856)</f>
        <v>2026-02-24</v>
      </c>
      <c r="T2856">
        <f t="shared" si="267"/>
        <v>19</v>
      </c>
      <c r="U2856" t="str">
        <f t="shared" si="268"/>
        <v>Late</v>
      </c>
      <c r="V2856">
        <f t="shared" si="269"/>
        <v>0</v>
      </c>
    </row>
    <row r="2857" spans="1:22" x14ac:dyDescent="0.45">
      <c r="A2857" t="s">
        <v>3714</v>
      </c>
      <c r="B2857" t="s">
        <v>188</v>
      </c>
      <c r="C2857" t="s">
        <v>34</v>
      </c>
      <c r="D2857" t="s">
        <v>58</v>
      </c>
      <c r="E2857" t="s">
        <v>18</v>
      </c>
      <c r="F2857">
        <v>236</v>
      </c>
      <c r="G2857">
        <v>100302</v>
      </c>
      <c r="H2857">
        <v>23671272</v>
      </c>
      <c r="I2857" t="s">
        <v>1090</v>
      </c>
      <c r="J2857" t="s">
        <v>431</v>
      </c>
      <c r="K2857">
        <v>236</v>
      </c>
      <c r="L2857">
        <v>0</v>
      </c>
      <c r="M2857" t="s">
        <v>115</v>
      </c>
      <c r="N2857" t="str">
        <f t="shared" si="264"/>
        <v>PO-102856</v>
      </c>
      <c r="O2857" t="str">
        <f t="shared" si="265"/>
        <v>Delivered</v>
      </c>
      <c r="P2857" t="str">
        <f t="shared" si="266"/>
        <v>WH-PUN</v>
      </c>
      <c r="Q2857" t="str">
        <f>VLOOKUP(C2857, Lookups!$A$2:$D$10, 2, FALSE())</f>
        <v>FastElectronics</v>
      </c>
      <c r="R2857" t="str">
        <f>_xlfn.XLOOKUP(D2857, Lookups!$A$12:$A$51, Lookups!$C$12:$C$51, "Unknown")</f>
        <v>Electronics</v>
      </c>
      <c r="S2857" t="str">
        <f>IF(ISBLANK(I2857), B2857+VLOOKUP(C2857, Lookups!$A$2:$D$10, 4, FALSE()), I2857)</f>
        <v>2025-03-15</v>
      </c>
      <c r="T2857">
        <f t="shared" si="267"/>
        <v>19</v>
      </c>
      <c r="U2857" t="str">
        <f t="shared" si="268"/>
        <v>Late</v>
      </c>
      <c r="V2857">
        <f t="shared" si="269"/>
        <v>0</v>
      </c>
    </row>
    <row r="2858" spans="1:22" x14ac:dyDescent="0.45">
      <c r="A2858" t="s">
        <v>3715</v>
      </c>
      <c r="B2858" t="s">
        <v>1459</v>
      </c>
      <c r="C2858" t="s">
        <v>36</v>
      </c>
      <c r="D2858" t="s">
        <v>71</v>
      </c>
      <c r="E2858" t="s">
        <v>16</v>
      </c>
      <c r="F2858">
        <v>215</v>
      </c>
      <c r="G2858">
        <v>65379</v>
      </c>
      <c r="H2858">
        <v>14056485</v>
      </c>
      <c r="I2858" t="s">
        <v>1177</v>
      </c>
      <c r="J2858" t="s">
        <v>124</v>
      </c>
      <c r="K2858">
        <v>215</v>
      </c>
      <c r="L2858">
        <v>0</v>
      </c>
      <c r="M2858" t="s">
        <v>115</v>
      </c>
      <c r="N2858" t="str">
        <f t="shared" si="264"/>
        <v>PO-102857</v>
      </c>
      <c r="O2858" t="str">
        <f t="shared" si="265"/>
        <v>Delivered</v>
      </c>
      <c r="P2858" t="str">
        <f t="shared" si="266"/>
        <v>WH-DEL</v>
      </c>
      <c r="Q2858" t="str">
        <f>VLOOKUP(C2858, Lookups!$A$2:$D$10, 2, FALSE())</f>
        <v>NextGen Hardware</v>
      </c>
      <c r="R2858" t="str">
        <f>_xlfn.XLOOKUP(D2858, Lookups!$A$12:$A$51, Lookups!$C$12:$C$51, "Unknown")</f>
        <v>Electronics</v>
      </c>
      <c r="S2858" t="str">
        <f>IF(ISBLANK(I2858), B2858+VLOOKUP(C2858, Lookups!$A$2:$D$10, 4, FALSE()), I2858)</f>
        <v>2026-06-11</v>
      </c>
      <c r="T2858">
        <f t="shared" si="267"/>
        <v>25</v>
      </c>
      <c r="U2858" t="str">
        <f t="shared" si="268"/>
        <v>Late</v>
      </c>
      <c r="V2858">
        <f t="shared" si="269"/>
        <v>0</v>
      </c>
    </row>
    <row r="2859" spans="1:22" x14ac:dyDescent="0.45">
      <c r="A2859" t="s">
        <v>3716</v>
      </c>
      <c r="B2859" t="s">
        <v>885</v>
      </c>
      <c r="C2859" t="s">
        <v>36</v>
      </c>
      <c r="D2859" t="s">
        <v>87</v>
      </c>
      <c r="E2859" t="s">
        <v>18</v>
      </c>
      <c r="F2859">
        <v>185</v>
      </c>
      <c r="G2859">
        <v>82930</v>
      </c>
      <c r="H2859">
        <v>15342050</v>
      </c>
      <c r="I2859" t="s">
        <v>548</v>
      </c>
      <c r="J2859" t="s">
        <v>548</v>
      </c>
      <c r="K2859">
        <v>117</v>
      </c>
      <c r="L2859">
        <v>0</v>
      </c>
      <c r="M2859" t="s">
        <v>115</v>
      </c>
      <c r="N2859" t="str">
        <f t="shared" si="264"/>
        <v>PO-102858</v>
      </c>
      <c r="O2859" t="str">
        <f t="shared" si="265"/>
        <v>Delivered</v>
      </c>
      <c r="P2859" t="str">
        <f t="shared" si="266"/>
        <v>WH-PUN</v>
      </c>
      <c r="Q2859" t="str">
        <f>VLOOKUP(C2859, Lookups!$A$2:$D$10, 2, FALSE())</f>
        <v>NextGen Hardware</v>
      </c>
      <c r="R2859" t="str">
        <f>_xlfn.XLOOKUP(D2859, Lookups!$A$12:$A$51, Lookups!$C$12:$C$51, "Unknown")</f>
        <v>Electronics</v>
      </c>
      <c r="S2859" t="str">
        <f>IF(ISBLANK(I2859), B2859+VLOOKUP(C2859, Lookups!$A$2:$D$10, 4, FALSE()), I2859)</f>
        <v>2026-01-08</v>
      </c>
      <c r="T2859">
        <f t="shared" si="267"/>
        <v>24</v>
      </c>
      <c r="U2859" t="str">
        <f t="shared" si="268"/>
        <v>On-Time</v>
      </c>
      <c r="V2859">
        <f t="shared" si="269"/>
        <v>0</v>
      </c>
    </row>
    <row r="2860" spans="1:22" x14ac:dyDescent="0.45">
      <c r="A2860" t="s">
        <v>3717</v>
      </c>
      <c r="B2860" t="s">
        <v>705</v>
      </c>
      <c r="C2860" t="s">
        <v>31</v>
      </c>
      <c r="D2860" t="s">
        <v>77</v>
      </c>
      <c r="E2860" t="s">
        <v>17</v>
      </c>
      <c r="F2860">
        <v>220</v>
      </c>
      <c r="G2860">
        <v>23667</v>
      </c>
      <c r="H2860">
        <v>5206740</v>
      </c>
      <c r="I2860" t="s">
        <v>619</v>
      </c>
      <c r="J2860" t="s">
        <v>1084</v>
      </c>
      <c r="K2860">
        <v>220</v>
      </c>
      <c r="L2860">
        <v>0</v>
      </c>
      <c r="M2860" t="s">
        <v>115</v>
      </c>
      <c r="N2860" t="str">
        <f t="shared" si="264"/>
        <v>PO-102859</v>
      </c>
      <c r="O2860" t="str">
        <f t="shared" si="265"/>
        <v>Delivered</v>
      </c>
      <c r="P2860" t="str">
        <f t="shared" si="266"/>
        <v>WH-BLR</v>
      </c>
      <c r="Q2860" t="str">
        <f>VLOOKUP(C2860, Lookups!$A$2:$D$10, 2, FALSE())</f>
        <v>Global Networks</v>
      </c>
      <c r="R2860" t="str">
        <f>_xlfn.XLOOKUP(D2860, Lookups!$A$12:$A$51, Lookups!$C$12:$C$51, "Unknown")</f>
        <v>Networking</v>
      </c>
      <c r="S2860" t="str">
        <f>IF(ISBLANK(I2860), B2860+VLOOKUP(C2860, Lookups!$A$2:$D$10, 4, FALSE()), I2860)</f>
        <v>2026-03-19</v>
      </c>
      <c r="T2860">
        <f t="shared" si="267"/>
        <v>22</v>
      </c>
      <c r="U2860" t="str">
        <f t="shared" si="268"/>
        <v>Late</v>
      </c>
      <c r="V2860">
        <f t="shared" si="269"/>
        <v>0</v>
      </c>
    </row>
    <row r="2861" spans="1:22" x14ac:dyDescent="0.45">
      <c r="A2861" t="s">
        <v>3718</v>
      </c>
      <c r="B2861" t="s">
        <v>323</v>
      </c>
      <c r="C2861" t="s">
        <v>36</v>
      </c>
      <c r="D2861" t="s">
        <v>55</v>
      </c>
      <c r="E2861" t="s">
        <v>18</v>
      </c>
      <c r="F2861">
        <v>202</v>
      </c>
      <c r="G2861">
        <v>58434</v>
      </c>
      <c r="H2861">
        <v>11803668</v>
      </c>
      <c r="I2861" t="s">
        <v>2277</v>
      </c>
      <c r="J2861" t="s">
        <v>2277</v>
      </c>
      <c r="K2861">
        <v>202</v>
      </c>
      <c r="L2861">
        <v>0</v>
      </c>
      <c r="M2861" t="s">
        <v>115</v>
      </c>
      <c r="N2861" t="str">
        <f t="shared" si="264"/>
        <v>PO-102860</v>
      </c>
      <c r="O2861" t="str">
        <f t="shared" si="265"/>
        <v>Delivered</v>
      </c>
      <c r="P2861" t="str">
        <f t="shared" si="266"/>
        <v>WH-PUN</v>
      </c>
      <c r="Q2861" t="str">
        <f>VLOOKUP(C2861, Lookups!$A$2:$D$10, 2, FALSE())</f>
        <v>NextGen Hardware</v>
      </c>
      <c r="R2861" t="str">
        <f>_xlfn.XLOOKUP(D2861, Lookups!$A$12:$A$51, Lookups!$C$12:$C$51, "Unknown")</f>
        <v>Electronics</v>
      </c>
      <c r="S2861" t="str">
        <f>IF(ISBLANK(I2861), B2861+VLOOKUP(C2861, Lookups!$A$2:$D$10, 4, FALSE()), I2861)</f>
        <v>2026-04-28</v>
      </c>
      <c r="T2861">
        <f t="shared" si="267"/>
        <v>24</v>
      </c>
      <c r="U2861" t="str">
        <f t="shared" si="268"/>
        <v>On-Time</v>
      </c>
      <c r="V2861">
        <f t="shared" si="269"/>
        <v>0</v>
      </c>
    </row>
    <row r="2862" spans="1:22" x14ac:dyDescent="0.45">
      <c r="A2862" t="s">
        <v>3719</v>
      </c>
      <c r="B2862" t="s">
        <v>1024</v>
      </c>
      <c r="C2862" t="s">
        <v>34</v>
      </c>
      <c r="D2862" t="s">
        <v>68</v>
      </c>
      <c r="E2862" t="s">
        <v>15</v>
      </c>
      <c r="F2862">
        <v>173</v>
      </c>
      <c r="G2862">
        <v>41405</v>
      </c>
      <c r="H2862">
        <v>7163065</v>
      </c>
      <c r="I2862" t="s">
        <v>1102</v>
      </c>
      <c r="J2862" t="s">
        <v>824</v>
      </c>
      <c r="K2862">
        <v>173</v>
      </c>
      <c r="L2862">
        <v>0</v>
      </c>
      <c r="M2862" t="s">
        <v>115</v>
      </c>
      <c r="N2862" t="str">
        <f t="shared" si="264"/>
        <v>PO-102861</v>
      </c>
      <c r="O2862" t="str">
        <f t="shared" si="265"/>
        <v>Delivered</v>
      </c>
      <c r="P2862" t="str">
        <f t="shared" si="266"/>
        <v>WH-BOM</v>
      </c>
      <c r="Q2862" t="str">
        <f>VLOOKUP(C2862, Lookups!$A$2:$D$10, 2, FALSE())</f>
        <v>FastElectronics</v>
      </c>
      <c r="R2862" t="str">
        <f>_xlfn.XLOOKUP(D2862, Lookups!$A$12:$A$51, Lookups!$C$12:$C$51, "Unknown")</f>
        <v>Networking</v>
      </c>
      <c r="S2862" t="str">
        <f>IF(ISBLANK(I2862), B2862+VLOOKUP(C2862, Lookups!$A$2:$D$10, 4, FALSE()), I2862)</f>
        <v>2026-12-05</v>
      </c>
      <c r="T2862">
        <f t="shared" si="267"/>
        <v>20</v>
      </c>
      <c r="U2862" t="str">
        <f t="shared" si="268"/>
        <v>Late</v>
      </c>
      <c r="V2862">
        <f t="shared" si="269"/>
        <v>0</v>
      </c>
    </row>
    <row r="2863" spans="1:22" x14ac:dyDescent="0.45">
      <c r="A2863" t="s">
        <v>3720</v>
      </c>
      <c r="B2863" t="s">
        <v>636</v>
      </c>
      <c r="C2863" t="s">
        <v>30</v>
      </c>
      <c r="D2863" t="s">
        <v>61</v>
      </c>
      <c r="E2863" t="s">
        <v>18</v>
      </c>
      <c r="F2863">
        <v>117</v>
      </c>
      <c r="G2863">
        <v>111237</v>
      </c>
      <c r="H2863">
        <v>13014729</v>
      </c>
      <c r="I2863" t="s">
        <v>458</v>
      </c>
      <c r="J2863" t="s">
        <v>469</v>
      </c>
      <c r="K2863">
        <v>117</v>
      </c>
      <c r="L2863">
        <v>0</v>
      </c>
      <c r="M2863" t="s">
        <v>115</v>
      </c>
      <c r="N2863" t="str">
        <f t="shared" si="264"/>
        <v>PO-102862</v>
      </c>
      <c r="O2863" t="str">
        <f t="shared" si="265"/>
        <v>Delivered</v>
      </c>
      <c r="P2863" t="str">
        <f t="shared" si="266"/>
        <v>WH-PUN</v>
      </c>
      <c r="Q2863" t="str">
        <f>VLOOKUP(C2863, Lookups!$A$2:$D$10, 2, FALSE())</f>
        <v>TechSupply Corp</v>
      </c>
      <c r="R2863" t="str">
        <f>_xlfn.XLOOKUP(D2863, Lookups!$A$12:$A$51, Lookups!$C$12:$C$51, "Unknown")</f>
        <v>Electronics</v>
      </c>
      <c r="S2863" t="str">
        <f>IF(ISBLANK(I2863), B2863+VLOOKUP(C2863, Lookups!$A$2:$D$10, 4, FALSE()), I2863)</f>
        <v>2025-07-14</v>
      </c>
      <c r="T2863">
        <f t="shared" si="267"/>
        <v>15</v>
      </c>
      <c r="U2863" t="str">
        <f t="shared" si="268"/>
        <v>Late</v>
      </c>
      <c r="V2863">
        <f t="shared" si="269"/>
        <v>0</v>
      </c>
    </row>
    <row r="2864" spans="1:22" x14ac:dyDescent="0.45">
      <c r="A2864" t="s">
        <v>3721</v>
      </c>
      <c r="B2864" t="s">
        <v>1401</v>
      </c>
      <c r="C2864" t="s">
        <v>36</v>
      </c>
      <c r="D2864" t="s">
        <v>71</v>
      </c>
      <c r="E2864" t="s">
        <v>18</v>
      </c>
      <c r="F2864">
        <v>96</v>
      </c>
      <c r="G2864">
        <v>65379</v>
      </c>
      <c r="H2864">
        <v>6276384</v>
      </c>
      <c r="I2864" t="s">
        <v>1024</v>
      </c>
      <c r="J2864" t="s">
        <v>744</v>
      </c>
      <c r="K2864">
        <v>96</v>
      </c>
      <c r="L2864">
        <v>0</v>
      </c>
      <c r="M2864" t="s">
        <v>115</v>
      </c>
      <c r="N2864" t="str">
        <f t="shared" si="264"/>
        <v>PO-102863</v>
      </c>
      <c r="O2864" t="str">
        <f t="shared" si="265"/>
        <v>Delivered</v>
      </c>
      <c r="P2864" t="str">
        <f t="shared" si="266"/>
        <v>WH-PUN</v>
      </c>
      <c r="Q2864" t="str">
        <f>VLOOKUP(C2864, Lookups!$A$2:$D$10, 2, FALSE())</f>
        <v>NextGen Hardware</v>
      </c>
      <c r="R2864" t="str">
        <f>_xlfn.XLOOKUP(D2864, Lookups!$A$12:$A$51, Lookups!$C$12:$C$51, "Unknown")</f>
        <v>Electronics</v>
      </c>
      <c r="S2864" t="str">
        <f>IF(ISBLANK(I2864), B2864+VLOOKUP(C2864, Lookups!$A$2:$D$10, 4, FALSE()), I2864)</f>
        <v>2026-11-17</v>
      </c>
      <c r="T2864">
        <f t="shared" si="267"/>
        <v>32</v>
      </c>
      <c r="U2864" t="str">
        <f t="shared" si="268"/>
        <v>Late</v>
      </c>
      <c r="V2864">
        <f t="shared" si="269"/>
        <v>0</v>
      </c>
    </row>
    <row r="2865" spans="1:22" x14ac:dyDescent="0.45">
      <c r="A2865" t="s">
        <v>3722</v>
      </c>
      <c r="B2865" t="s">
        <v>430</v>
      </c>
      <c r="C2865" t="s">
        <v>35</v>
      </c>
      <c r="D2865" t="s">
        <v>72</v>
      </c>
      <c r="E2865" t="s">
        <v>16</v>
      </c>
      <c r="F2865">
        <v>82</v>
      </c>
      <c r="G2865">
        <v>7754</v>
      </c>
      <c r="H2865">
        <v>635828</v>
      </c>
      <c r="I2865" t="s">
        <v>1331</v>
      </c>
      <c r="J2865" t="s">
        <v>1090</v>
      </c>
      <c r="K2865">
        <v>82</v>
      </c>
      <c r="L2865">
        <v>0</v>
      </c>
      <c r="M2865" t="s">
        <v>115</v>
      </c>
      <c r="N2865" t="str">
        <f t="shared" si="264"/>
        <v>PO-102864</v>
      </c>
      <c r="O2865" t="str">
        <f t="shared" si="265"/>
        <v>Delivered</v>
      </c>
      <c r="P2865" t="str">
        <f t="shared" si="266"/>
        <v>WH-DEL</v>
      </c>
      <c r="Q2865" t="str">
        <f>VLOOKUP(C2865, Lookups!$A$2:$D$10, 2, FALSE())</f>
        <v>Peripheral Source</v>
      </c>
      <c r="R2865" t="str">
        <f>_xlfn.XLOOKUP(D2865, Lookups!$A$12:$A$51, Lookups!$C$12:$C$51, "Unknown")</f>
        <v>Peripherals</v>
      </c>
      <c r="S2865" t="str">
        <f>IF(ISBLANK(I2865), B2865+VLOOKUP(C2865, Lookups!$A$2:$D$10, 4, FALSE()), I2865)</f>
        <v>2025-03-14</v>
      </c>
      <c r="T2865">
        <f t="shared" si="267"/>
        <v>11</v>
      </c>
      <c r="U2865" t="str">
        <f t="shared" si="268"/>
        <v>Late</v>
      </c>
      <c r="V2865">
        <f t="shared" si="269"/>
        <v>0</v>
      </c>
    </row>
    <row r="2866" spans="1:22" x14ac:dyDescent="0.45">
      <c r="A2866" t="s">
        <v>3723</v>
      </c>
      <c r="B2866" t="s">
        <v>432</v>
      </c>
      <c r="C2866" t="s">
        <v>37</v>
      </c>
      <c r="D2866" t="s">
        <v>78</v>
      </c>
      <c r="E2866" t="s">
        <v>15</v>
      </c>
      <c r="F2866">
        <v>50</v>
      </c>
      <c r="G2866">
        <v>9423</v>
      </c>
      <c r="H2866">
        <v>471150</v>
      </c>
      <c r="I2866" t="s">
        <v>397</v>
      </c>
      <c r="J2866" t="s">
        <v>1265</v>
      </c>
      <c r="K2866">
        <v>50</v>
      </c>
      <c r="L2866">
        <v>0</v>
      </c>
      <c r="M2866" t="s">
        <v>115</v>
      </c>
      <c r="N2866" t="str">
        <f t="shared" si="264"/>
        <v>PO-102865</v>
      </c>
      <c r="O2866" t="str">
        <f t="shared" si="265"/>
        <v>Delivered</v>
      </c>
      <c r="P2866" t="str">
        <f t="shared" si="266"/>
        <v>WH-BOM</v>
      </c>
      <c r="Q2866" t="str">
        <f>VLOOKUP(C2866, Lookups!$A$2:$D$10, 2, FALSE())</f>
        <v>Premium Desks Ltd</v>
      </c>
      <c r="R2866" t="str">
        <f>_xlfn.XLOOKUP(D2866, Lookups!$A$12:$A$51, Lookups!$C$12:$C$51, "Unknown")</f>
        <v>Office Furniture</v>
      </c>
      <c r="S2866" t="str">
        <f>IF(ISBLANK(I2866), B2866+VLOOKUP(C2866, Lookups!$A$2:$D$10, 4, FALSE()), I2866)</f>
        <v>2025-04-06</v>
      </c>
      <c r="T2866">
        <f t="shared" si="267"/>
        <v>13</v>
      </c>
      <c r="U2866" t="str">
        <f t="shared" si="268"/>
        <v>Late</v>
      </c>
      <c r="V2866">
        <f t="shared" si="269"/>
        <v>0</v>
      </c>
    </row>
    <row r="2867" spans="1:22" x14ac:dyDescent="0.45">
      <c r="A2867" t="s">
        <v>3724</v>
      </c>
      <c r="B2867" t="s">
        <v>428</v>
      </c>
      <c r="C2867" t="s">
        <v>30</v>
      </c>
      <c r="D2867" t="s">
        <v>86</v>
      </c>
      <c r="E2867" t="s">
        <v>18</v>
      </c>
      <c r="F2867">
        <v>97</v>
      </c>
      <c r="G2867">
        <v>74871</v>
      </c>
      <c r="H2867">
        <v>7262487</v>
      </c>
      <c r="I2867" t="s">
        <v>225</v>
      </c>
      <c r="J2867" t="s">
        <v>226</v>
      </c>
      <c r="K2867">
        <v>97</v>
      </c>
      <c r="L2867">
        <v>0</v>
      </c>
      <c r="M2867" t="s">
        <v>115</v>
      </c>
      <c r="N2867" t="str">
        <f t="shared" si="264"/>
        <v>PO-102866</v>
      </c>
      <c r="O2867" t="str">
        <f t="shared" si="265"/>
        <v>Delivered</v>
      </c>
      <c r="P2867" t="str">
        <f t="shared" si="266"/>
        <v>WH-PUN</v>
      </c>
      <c r="Q2867" t="str">
        <f>VLOOKUP(C2867, Lookups!$A$2:$D$10, 2, FALSE())</f>
        <v>TechSupply Corp</v>
      </c>
      <c r="R2867" t="str">
        <f>_xlfn.XLOOKUP(D2867, Lookups!$A$12:$A$51, Lookups!$C$12:$C$51, "Unknown")</f>
        <v>Electronics</v>
      </c>
      <c r="S2867" t="str">
        <f>IF(ISBLANK(I2867), B2867+VLOOKUP(C2867, Lookups!$A$2:$D$10, 4, FALSE()), I2867)</f>
        <v>2026-07-31</v>
      </c>
      <c r="T2867">
        <f t="shared" si="267"/>
        <v>15</v>
      </c>
      <c r="U2867" t="str">
        <f t="shared" si="268"/>
        <v>Late</v>
      </c>
      <c r="V2867">
        <f t="shared" si="269"/>
        <v>0</v>
      </c>
    </row>
    <row r="2868" spans="1:22" x14ac:dyDescent="0.45">
      <c r="A2868" t="s">
        <v>3725</v>
      </c>
      <c r="B2868" t="s">
        <v>1145</v>
      </c>
      <c r="C2868" t="s">
        <v>36</v>
      </c>
      <c r="D2868" t="s">
        <v>55</v>
      </c>
      <c r="E2868" t="s">
        <v>17</v>
      </c>
      <c r="F2868">
        <v>195</v>
      </c>
      <c r="G2868">
        <v>58434</v>
      </c>
      <c r="H2868">
        <v>11394630</v>
      </c>
      <c r="I2868" t="s">
        <v>192</v>
      </c>
      <c r="J2868" t="s">
        <v>716</v>
      </c>
      <c r="K2868">
        <v>195</v>
      </c>
      <c r="L2868">
        <v>0</v>
      </c>
      <c r="M2868" t="s">
        <v>115</v>
      </c>
      <c r="N2868" t="str">
        <f t="shared" si="264"/>
        <v>PO-102867</v>
      </c>
      <c r="O2868" t="str">
        <f t="shared" si="265"/>
        <v>Delivered</v>
      </c>
      <c r="P2868" t="str">
        <f t="shared" si="266"/>
        <v>WH-BLR</v>
      </c>
      <c r="Q2868" t="str">
        <f>VLOOKUP(C2868, Lookups!$A$2:$D$10, 2, FALSE())</f>
        <v>NextGen Hardware</v>
      </c>
      <c r="R2868" t="str">
        <f>_xlfn.XLOOKUP(D2868, Lookups!$A$12:$A$51, Lookups!$C$12:$C$51, "Unknown")</f>
        <v>Electronics</v>
      </c>
      <c r="S2868" t="str">
        <f>IF(ISBLANK(I2868), B2868+VLOOKUP(C2868, Lookups!$A$2:$D$10, 4, FALSE()), I2868)</f>
        <v>2025-08-04</v>
      </c>
      <c r="T2868">
        <f t="shared" si="267"/>
        <v>31</v>
      </c>
      <c r="U2868" t="str">
        <f t="shared" si="268"/>
        <v>Late</v>
      </c>
      <c r="V2868">
        <f t="shared" si="269"/>
        <v>0</v>
      </c>
    </row>
    <row r="2869" spans="1:22" x14ac:dyDescent="0.45">
      <c r="A2869" t="s">
        <v>3726</v>
      </c>
      <c r="B2869" t="s">
        <v>631</v>
      </c>
      <c r="C2869" t="s">
        <v>36</v>
      </c>
      <c r="D2869" t="s">
        <v>62</v>
      </c>
      <c r="E2869" t="s">
        <v>16</v>
      </c>
      <c r="F2869">
        <v>22</v>
      </c>
      <c r="G2869">
        <v>48478</v>
      </c>
      <c r="H2869">
        <v>1066516</v>
      </c>
      <c r="I2869" t="s">
        <v>419</v>
      </c>
      <c r="J2869" t="s">
        <v>419</v>
      </c>
      <c r="K2869">
        <v>22</v>
      </c>
      <c r="L2869">
        <v>0</v>
      </c>
      <c r="M2869" t="s">
        <v>115</v>
      </c>
      <c r="N2869" t="str">
        <f t="shared" si="264"/>
        <v>PO-102868</v>
      </c>
      <c r="O2869" t="str">
        <f t="shared" si="265"/>
        <v>Delivered</v>
      </c>
      <c r="P2869" t="str">
        <f t="shared" si="266"/>
        <v>WH-DEL</v>
      </c>
      <c r="Q2869" t="str">
        <f>VLOOKUP(C2869, Lookups!$A$2:$D$10, 2, FALSE())</f>
        <v>NextGen Hardware</v>
      </c>
      <c r="R2869" t="str">
        <f>_xlfn.XLOOKUP(D2869, Lookups!$A$12:$A$51, Lookups!$C$12:$C$51, "Unknown")</f>
        <v>Electronics</v>
      </c>
      <c r="S2869" t="str">
        <f>IF(ISBLANK(I2869), B2869+VLOOKUP(C2869, Lookups!$A$2:$D$10, 4, FALSE()), I2869)</f>
        <v>2026-07-21</v>
      </c>
      <c r="T2869">
        <f t="shared" si="267"/>
        <v>24</v>
      </c>
      <c r="U2869" t="str">
        <f t="shared" si="268"/>
        <v>On-Time</v>
      </c>
      <c r="V2869">
        <f t="shared" si="269"/>
        <v>0</v>
      </c>
    </row>
    <row r="2870" spans="1:22" x14ac:dyDescent="0.45">
      <c r="A2870" t="s">
        <v>3727</v>
      </c>
      <c r="B2870" t="s">
        <v>895</v>
      </c>
      <c r="C2870" t="s">
        <v>30</v>
      </c>
      <c r="D2870" t="s">
        <v>53</v>
      </c>
      <c r="E2870" t="s">
        <v>16</v>
      </c>
      <c r="F2870">
        <v>170</v>
      </c>
      <c r="G2870">
        <v>81048</v>
      </c>
      <c r="H2870">
        <v>13778160</v>
      </c>
      <c r="I2870" t="s">
        <v>137</v>
      </c>
      <c r="J2870" t="s">
        <v>137</v>
      </c>
      <c r="K2870">
        <v>170</v>
      </c>
      <c r="L2870">
        <v>0</v>
      </c>
      <c r="M2870" t="s">
        <v>115</v>
      </c>
      <c r="N2870" t="str">
        <f t="shared" si="264"/>
        <v>PO-102869</v>
      </c>
      <c r="O2870" t="str">
        <f t="shared" si="265"/>
        <v>Delivered</v>
      </c>
      <c r="P2870" t="str">
        <f t="shared" si="266"/>
        <v>WH-DEL</v>
      </c>
      <c r="Q2870" t="str">
        <f>VLOOKUP(C2870, Lookups!$A$2:$D$10, 2, FALSE())</f>
        <v>TechSupply Corp</v>
      </c>
      <c r="R2870" t="str">
        <f>_xlfn.XLOOKUP(D2870, Lookups!$A$12:$A$51, Lookups!$C$12:$C$51, "Unknown")</f>
        <v>Electronics</v>
      </c>
      <c r="S2870" t="str">
        <f>IF(ISBLANK(I2870), B2870+VLOOKUP(C2870, Lookups!$A$2:$D$10, 4, FALSE()), I2870)</f>
        <v>2025-09-08</v>
      </c>
      <c r="T2870">
        <f t="shared" si="267"/>
        <v>14</v>
      </c>
      <c r="U2870" t="str">
        <f t="shared" si="268"/>
        <v>On-Time</v>
      </c>
      <c r="V2870">
        <f t="shared" si="269"/>
        <v>0</v>
      </c>
    </row>
    <row r="2871" spans="1:22" x14ac:dyDescent="0.45">
      <c r="A2871" t="s">
        <v>3728</v>
      </c>
      <c r="B2871" t="s">
        <v>2110</v>
      </c>
      <c r="C2871" t="s">
        <v>35</v>
      </c>
      <c r="D2871" t="s">
        <v>70</v>
      </c>
      <c r="E2871" t="s">
        <v>17</v>
      </c>
      <c r="F2871">
        <v>68</v>
      </c>
      <c r="G2871">
        <v>4287</v>
      </c>
      <c r="H2871">
        <v>291516</v>
      </c>
      <c r="I2871" t="s">
        <v>1046</v>
      </c>
      <c r="J2871" t="s">
        <v>642</v>
      </c>
      <c r="K2871">
        <v>68</v>
      </c>
      <c r="L2871">
        <v>0</v>
      </c>
      <c r="M2871" t="s">
        <v>115</v>
      </c>
      <c r="N2871" t="str">
        <f t="shared" si="264"/>
        <v>PO-102870</v>
      </c>
      <c r="O2871" t="str">
        <f t="shared" si="265"/>
        <v>Delivered</v>
      </c>
      <c r="P2871" t="str">
        <f t="shared" si="266"/>
        <v>WH-BLR</v>
      </c>
      <c r="Q2871" t="str">
        <f>VLOOKUP(C2871, Lookups!$A$2:$D$10, 2, FALSE())</f>
        <v>Peripheral Source</v>
      </c>
      <c r="R2871" t="str">
        <f>_xlfn.XLOOKUP(D2871, Lookups!$A$12:$A$51, Lookups!$C$12:$C$51, "Unknown")</f>
        <v>Peripherals</v>
      </c>
      <c r="S2871" t="str">
        <f>IF(ISBLANK(I2871), B2871+VLOOKUP(C2871, Lookups!$A$2:$D$10, 4, FALSE()), I2871)</f>
        <v>2025-10-23</v>
      </c>
      <c r="T2871">
        <f t="shared" si="267"/>
        <v>7</v>
      </c>
      <c r="U2871" t="str">
        <f t="shared" si="268"/>
        <v>On-Time</v>
      </c>
      <c r="V2871">
        <f t="shared" si="269"/>
        <v>0</v>
      </c>
    </row>
    <row r="2872" spans="1:22" x14ac:dyDescent="0.45">
      <c r="A2872" t="s">
        <v>3729</v>
      </c>
      <c r="B2872" t="s">
        <v>811</v>
      </c>
      <c r="C2872" t="s">
        <v>34</v>
      </c>
      <c r="D2872" t="s">
        <v>81</v>
      </c>
      <c r="E2872" t="s">
        <v>18</v>
      </c>
      <c r="F2872">
        <v>245</v>
      </c>
      <c r="G2872">
        <v>55328</v>
      </c>
      <c r="H2872">
        <v>13555360</v>
      </c>
      <c r="I2872" t="s">
        <v>1697</v>
      </c>
      <c r="J2872" t="s">
        <v>955</v>
      </c>
      <c r="K2872">
        <v>231</v>
      </c>
      <c r="L2872">
        <v>0</v>
      </c>
      <c r="M2872" t="s">
        <v>115</v>
      </c>
      <c r="N2872" t="str">
        <f t="shared" si="264"/>
        <v>PO-102871</v>
      </c>
      <c r="O2872" t="str">
        <f t="shared" si="265"/>
        <v>Delivered</v>
      </c>
      <c r="P2872" t="str">
        <f t="shared" si="266"/>
        <v>WH-PUN</v>
      </c>
      <c r="Q2872" t="str">
        <f>VLOOKUP(C2872, Lookups!$A$2:$D$10, 2, FALSE())</f>
        <v>FastElectronics</v>
      </c>
      <c r="R2872" t="str">
        <f>_xlfn.XLOOKUP(D2872, Lookups!$A$12:$A$51, Lookups!$C$12:$C$51, "Unknown")</f>
        <v>Electronics</v>
      </c>
      <c r="S2872" t="str">
        <f>IF(ISBLANK(I2872), B2872+VLOOKUP(C2872, Lookups!$A$2:$D$10, 4, FALSE()), I2872)</f>
        <v>2026-12-15</v>
      </c>
      <c r="T2872">
        <f t="shared" si="267"/>
        <v>19</v>
      </c>
      <c r="U2872" t="str">
        <f t="shared" si="268"/>
        <v>Late</v>
      </c>
      <c r="V2872">
        <f t="shared" si="269"/>
        <v>0</v>
      </c>
    </row>
    <row r="2873" spans="1:22" x14ac:dyDescent="0.45">
      <c r="A2873" t="s">
        <v>3730</v>
      </c>
      <c r="B2873" t="s">
        <v>587</v>
      </c>
      <c r="C2873" t="s">
        <v>35</v>
      </c>
      <c r="D2873" t="s">
        <v>60</v>
      </c>
      <c r="E2873" t="s">
        <v>17</v>
      </c>
      <c r="F2873">
        <v>172</v>
      </c>
      <c r="G2873">
        <v>3291</v>
      </c>
      <c r="H2873">
        <v>566052</v>
      </c>
      <c r="I2873" t="s">
        <v>963</v>
      </c>
      <c r="J2873" t="s">
        <v>1221</v>
      </c>
      <c r="K2873">
        <v>172</v>
      </c>
      <c r="L2873">
        <v>0</v>
      </c>
      <c r="M2873" t="s">
        <v>115</v>
      </c>
      <c r="N2873" t="str">
        <f t="shared" si="264"/>
        <v>PO-102872</v>
      </c>
      <c r="O2873" t="str">
        <f t="shared" si="265"/>
        <v>Delivered</v>
      </c>
      <c r="P2873" t="str">
        <f t="shared" si="266"/>
        <v>WH-BLR</v>
      </c>
      <c r="Q2873" t="str">
        <f>VLOOKUP(C2873, Lookups!$A$2:$D$10, 2, FALSE())</f>
        <v>Peripheral Source</v>
      </c>
      <c r="R2873" t="str">
        <f>_xlfn.XLOOKUP(D2873, Lookups!$A$12:$A$51, Lookups!$C$12:$C$51, "Unknown")</f>
        <v>Peripherals</v>
      </c>
      <c r="S2873" t="str">
        <f>IF(ISBLANK(I2873), B2873+VLOOKUP(C2873, Lookups!$A$2:$D$10, 4, FALSE()), I2873)</f>
        <v>2026-04-21</v>
      </c>
      <c r="T2873">
        <f t="shared" si="267"/>
        <v>11</v>
      </c>
      <c r="U2873" t="str">
        <f t="shared" si="268"/>
        <v>Late</v>
      </c>
      <c r="V2873">
        <f t="shared" si="269"/>
        <v>0</v>
      </c>
    </row>
    <row r="2874" spans="1:22" x14ac:dyDescent="0.45">
      <c r="A2874" t="s">
        <v>3731</v>
      </c>
      <c r="B2874" t="s">
        <v>535</v>
      </c>
      <c r="C2874" t="s">
        <v>30</v>
      </c>
      <c r="D2874" t="s">
        <v>61</v>
      </c>
      <c r="E2874" t="s">
        <v>16</v>
      </c>
      <c r="F2874">
        <v>179</v>
      </c>
      <c r="G2874">
        <v>111237</v>
      </c>
      <c r="H2874">
        <v>19911423</v>
      </c>
      <c r="I2874" t="s">
        <v>123</v>
      </c>
      <c r="J2874" t="s">
        <v>123</v>
      </c>
      <c r="K2874">
        <v>179</v>
      </c>
      <c r="L2874">
        <v>15</v>
      </c>
      <c r="M2874" t="s">
        <v>115</v>
      </c>
      <c r="N2874" t="str">
        <f t="shared" si="264"/>
        <v>PO-102873</v>
      </c>
      <c r="O2874" t="str">
        <f t="shared" si="265"/>
        <v>Delivered</v>
      </c>
      <c r="P2874" t="str">
        <f t="shared" si="266"/>
        <v>WH-DEL</v>
      </c>
      <c r="Q2874" t="str">
        <f>VLOOKUP(C2874, Lookups!$A$2:$D$10, 2, FALSE())</f>
        <v>TechSupply Corp</v>
      </c>
      <c r="R2874" t="str">
        <f>_xlfn.XLOOKUP(D2874, Lookups!$A$12:$A$51, Lookups!$C$12:$C$51, "Unknown")</f>
        <v>Electronics</v>
      </c>
      <c r="S2874" t="str">
        <f>IF(ISBLANK(I2874), B2874+VLOOKUP(C2874, Lookups!$A$2:$D$10, 4, FALSE()), I2874)</f>
        <v>2026-05-22</v>
      </c>
      <c r="T2874">
        <f t="shared" si="267"/>
        <v>14</v>
      </c>
      <c r="U2874" t="str">
        <f t="shared" si="268"/>
        <v>On-Time</v>
      </c>
      <c r="V2874">
        <f t="shared" si="269"/>
        <v>8.3798882681564241E-2</v>
      </c>
    </row>
    <row r="2875" spans="1:22" x14ac:dyDescent="0.45">
      <c r="A2875" t="s">
        <v>3732</v>
      </c>
      <c r="B2875" t="s">
        <v>662</v>
      </c>
      <c r="C2875" t="s">
        <v>31</v>
      </c>
      <c r="D2875" t="s">
        <v>56</v>
      </c>
      <c r="E2875" t="s">
        <v>15</v>
      </c>
      <c r="F2875">
        <v>18</v>
      </c>
      <c r="G2875">
        <v>39270</v>
      </c>
      <c r="H2875">
        <v>706860</v>
      </c>
      <c r="I2875" t="s">
        <v>281</v>
      </c>
      <c r="J2875" t="s">
        <v>282</v>
      </c>
      <c r="K2875">
        <v>18</v>
      </c>
      <c r="L2875">
        <v>0</v>
      </c>
      <c r="M2875" t="s">
        <v>115</v>
      </c>
      <c r="N2875" t="str">
        <f t="shared" si="264"/>
        <v>PO-102874</v>
      </c>
      <c r="O2875" t="str">
        <f t="shared" si="265"/>
        <v>Delivered</v>
      </c>
      <c r="P2875" t="str">
        <f t="shared" si="266"/>
        <v>WH-BOM</v>
      </c>
      <c r="Q2875" t="str">
        <f>VLOOKUP(C2875, Lookups!$A$2:$D$10, 2, FALSE())</f>
        <v>Global Networks</v>
      </c>
      <c r="R2875" t="str">
        <f>_xlfn.XLOOKUP(D2875, Lookups!$A$12:$A$51, Lookups!$C$12:$C$51, "Unknown")</f>
        <v>Networking</v>
      </c>
      <c r="S2875" t="str">
        <f>IF(ISBLANK(I2875), B2875+VLOOKUP(C2875, Lookups!$A$2:$D$10, 4, FALSE()), I2875)</f>
        <v>2026-10-26</v>
      </c>
      <c r="T2875">
        <f t="shared" si="267"/>
        <v>22</v>
      </c>
      <c r="U2875" t="str">
        <f t="shared" si="268"/>
        <v>Late</v>
      </c>
      <c r="V2875">
        <f t="shared" si="269"/>
        <v>0</v>
      </c>
    </row>
    <row r="2876" spans="1:22" x14ac:dyDescent="0.45">
      <c r="A2876" t="s">
        <v>3733</v>
      </c>
      <c r="B2876" t="s">
        <v>214</v>
      </c>
      <c r="C2876" t="s">
        <v>35</v>
      </c>
      <c r="D2876" t="s">
        <v>91</v>
      </c>
      <c r="E2876" t="s">
        <v>16</v>
      </c>
      <c r="F2876">
        <v>158</v>
      </c>
      <c r="G2876">
        <v>6707</v>
      </c>
      <c r="H2876">
        <v>1059706</v>
      </c>
      <c r="I2876" t="s">
        <v>629</v>
      </c>
      <c r="J2876" t="s">
        <v>629</v>
      </c>
      <c r="K2876">
        <v>158</v>
      </c>
      <c r="L2876">
        <v>0</v>
      </c>
      <c r="M2876" t="s">
        <v>115</v>
      </c>
      <c r="N2876" t="str">
        <f t="shared" si="264"/>
        <v>PO-102875</v>
      </c>
      <c r="O2876" t="str">
        <f t="shared" si="265"/>
        <v>Delivered</v>
      </c>
      <c r="P2876" t="str">
        <f t="shared" si="266"/>
        <v>WH-DEL</v>
      </c>
      <c r="Q2876" t="str">
        <f>VLOOKUP(C2876, Lookups!$A$2:$D$10, 2, FALSE())</f>
        <v>Peripheral Source</v>
      </c>
      <c r="R2876" t="str">
        <f>_xlfn.XLOOKUP(D2876, Lookups!$A$12:$A$51, Lookups!$C$12:$C$51, "Unknown")</f>
        <v>Peripherals</v>
      </c>
      <c r="S2876" t="str">
        <f>IF(ISBLANK(I2876), B2876+VLOOKUP(C2876, Lookups!$A$2:$D$10, 4, FALSE()), I2876)</f>
        <v>2025-07-07</v>
      </c>
      <c r="T2876">
        <f t="shared" si="267"/>
        <v>10</v>
      </c>
      <c r="U2876" t="str">
        <f t="shared" si="268"/>
        <v>On-Time</v>
      </c>
      <c r="V2876">
        <f t="shared" si="269"/>
        <v>0</v>
      </c>
    </row>
    <row r="2877" spans="1:22" x14ac:dyDescent="0.45">
      <c r="A2877" t="s">
        <v>3734</v>
      </c>
      <c r="B2877" t="s">
        <v>354</v>
      </c>
      <c r="C2877" t="s">
        <v>35</v>
      </c>
      <c r="D2877" t="s">
        <v>60</v>
      </c>
      <c r="E2877" t="s">
        <v>16</v>
      </c>
      <c r="F2877">
        <v>118</v>
      </c>
      <c r="G2877">
        <v>3291</v>
      </c>
      <c r="H2877">
        <v>388338</v>
      </c>
      <c r="I2877" t="s">
        <v>523</v>
      </c>
      <c r="J2877" t="s">
        <v>1451</v>
      </c>
      <c r="K2877">
        <v>118</v>
      </c>
      <c r="L2877">
        <v>0</v>
      </c>
      <c r="M2877" t="s">
        <v>115</v>
      </c>
      <c r="N2877" t="str">
        <f t="shared" si="264"/>
        <v>PO-102876</v>
      </c>
      <c r="O2877" t="str">
        <f t="shared" si="265"/>
        <v>Delivered</v>
      </c>
      <c r="P2877" t="str">
        <f t="shared" si="266"/>
        <v>WH-DEL</v>
      </c>
      <c r="Q2877" t="str">
        <f>VLOOKUP(C2877, Lookups!$A$2:$D$10, 2, FALSE())</f>
        <v>Peripheral Source</v>
      </c>
      <c r="R2877" t="str">
        <f>_xlfn.XLOOKUP(D2877, Lookups!$A$12:$A$51, Lookups!$C$12:$C$51, "Unknown")</f>
        <v>Peripherals</v>
      </c>
      <c r="S2877" t="str">
        <f>IF(ISBLANK(I2877), B2877+VLOOKUP(C2877, Lookups!$A$2:$D$10, 4, FALSE()), I2877)</f>
        <v>2025-05-15</v>
      </c>
      <c r="T2877">
        <f t="shared" si="267"/>
        <v>11</v>
      </c>
      <c r="U2877" t="str">
        <f t="shared" si="268"/>
        <v>Late</v>
      </c>
      <c r="V2877">
        <f t="shared" si="269"/>
        <v>0</v>
      </c>
    </row>
    <row r="2878" spans="1:22" x14ac:dyDescent="0.45">
      <c r="A2878" t="s">
        <v>3735</v>
      </c>
      <c r="B2878" t="s">
        <v>1484</v>
      </c>
      <c r="C2878" t="s">
        <v>36</v>
      </c>
      <c r="D2878" t="s">
        <v>63</v>
      </c>
      <c r="E2878" t="s">
        <v>17</v>
      </c>
      <c r="F2878">
        <v>142</v>
      </c>
      <c r="G2878">
        <v>71062</v>
      </c>
      <c r="H2878">
        <v>10090804</v>
      </c>
      <c r="I2878" t="s">
        <v>813</v>
      </c>
      <c r="J2878" t="s">
        <v>813</v>
      </c>
      <c r="K2878">
        <v>142</v>
      </c>
      <c r="L2878">
        <v>0</v>
      </c>
      <c r="M2878" t="s">
        <v>115</v>
      </c>
      <c r="N2878" t="str">
        <f t="shared" si="264"/>
        <v>PO-102877</v>
      </c>
      <c r="O2878" t="str">
        <f t="shared" si="265"/>
        <v>Delivered</v>
      </c>
      <c r="P2878" t="str">
        <f t="shared" si="266"/>
        <v>WH-BLR</v>
      </c>
      <c r="Q2878" t="str">
        <f>VLOOKUP(C2878, Lookups!$A$2:$D$10, 2, FALSE())</f>
        <v>NextGen Hardware</v>
      </c>
      <c r="R2878" t="str">
        <f>_xlfn.XLOOKUP(D2878, Lookups!$A$12:$A$51, Lookups!$C$12:$C$51, "Unknown")</f>
        <v>Electronics</v>
      </c>
      <c r="S2878" t="str">
        <f>IF(ISBLANK(I2878), B2878+VLOOKUP(C2878, Lookups!$A$2:$D$10, 4, FALSE()), I2878)</f>
        <v>2025-03-17</v>
      </c>
      <c r="T2878">
        <f t="shared" si="267"/>
        <v>24</v>
      </c>
      <c r="U2878" t="str">
        <f t="shared" si="268"/>
        <v>On-Time</v>
      </c>
      <c r="V2878">
        <f t="shared" si="269"/>
        <v>0</v>
      </c>
    </row>
    <row r="2879" spans="1:22" x14ac:dyDescent="0.45">
      <c r="A2879" t="s">
        <v>3736</v>
      </c>
      <c r="B2879" t="s">
        <v>226</v>
      </c>
      <c r="C2879" t="s">
        <v>30</v>
      </c>
      <c r="D2879" t="s">
        <v>88</v>
      </c>
      <c r="E2879" t="s">
        <v>15</v>
      </c>
      <c r="F2879">
        <v>102</v>
      </c>
      <c r="G2879">
        <v>75512</v>
      </c>
      <c r="H2879">
        <v>7702224</v>
      </c>
      <c r="I2879" t="s">
        <v>334</v>
      </c>
      <c r="J2879" t="s">
        <v>803</v>
      </c>
      <c r="K2879">
        <v>102</v>
      </c>
      <c r="L2879">
        <v>0</v>
      </c>
      <c r="M2879" t="s">
        <v>115</v>
      </c>
      <c r="N2879" t="str">
        <f t="shared" si="264"/>
        <v>PO-102878</v>
      </c>
      <c r="O2879" t="str">
        <f t="shared" si="265"/>
        <v>Delivered</v>
      </c>
      <c r="P2879" t="str">
        <f t="shared" si="266"/>
        <v>WH-BOM</v>
      </c>
      <c r="Q2879" t="str">
        <f>VLOOKUP(C2879, Lookups!$A$2:$D$10, 2, FALSE())</f>
        <v>TechSupply Corp</v>
      </c>
      <c r="R2879" t="str">
        <f>_xlfn.XLOOKUP(D2879, Lookups!$A$12:$A$51, Lookups!$C$12:$C$51, "Unknown")</f>
        <v>Electronics</v>
      </c>
      <c r="S2879" t="str">
        <f>IF(ISBLANK(I2879), B2879+VLOOKUP(C2879, Lookups!$A$2:$D$10, 4, FALSE()), I2879)</f>
        <v>2026-08-15</v>
      </c>
      <c r="T2879">
        <f t="shared" si="267"/>
        <v>15</v>
      </c>
      <c r="U2879" t="str">
        <f t="shared" si="268"/>
        <v>Late</v>
      </c>
      <c r="V2879">
        <f t="shared" si="269"/>
        <v>0</v>
      </c>
    </row>
    <row r="2880" spans="1:22" x14ac:dyDescent="0.45">
      <c r="A2880" t="s">
        <v>3737</v>
      </c>
      <c r="B2880" t="s">
        <v>640</v>
      </c>
      <c r="C2880" t="s">
        <v>34</v>
      </c>
      <c r="D2880" t="s">
        <v>76</v>
      </c>
      <c r="E2880" t="s">
        <v>17</v>
      </c>
      <c r="F2880">
        <v>39</v>
      </c>
      <c r="G2880">
        <v>26270</v>
      </c>
      <c r="H2880">
        <v>1024530</v>
      </c>
      <c r="I2880" t="s">
        <v>341</v>
      </c>
      <c r="J2880" t="s">
        <v>341</v>
      </c>
      <c r="K2880">
        <v>39</v>
      </c>
      <c r="L2880">
        <v>0</v>
      </c>
      <c r="M2880" t="s">
        <v>115</v>
      </c>
      <c r="N2880" t="str">
        <f t="shared" si="264"/>
        <v>PO-102879</v>
      </c>
      <c r="O2880" t="str">
        <f t="shared" si="265"/>
        <v>Delivered</v>
      </c>
      <c r="P2880" t="str">
        <f t="shared" si="266"/>
        <v>WH-BLR</v>
      </c>
      <c r="Q2880" t="str">
        <f>VLOOKUP(C2880, Lookups!$A$2:$D$10, 2, FALSE())</f>
        <v>FastElectronics</v>
      </c>
      <c r="R2880" t="str">
        <f>_xlfn.XLOOKUP(D2880, Lookups!$A$12:$A$51, Lookups!$C$12:$C$51, "Unknown")</f>
        <v>Networking</v>
      </c>
      <c r="S2880" t="str">
        <f>IF(ISBLANK(I2880), B2880+VLOOKUP(C2880, Lookups!$A$2:$D$10, 4, FALSE()), I2880)</f>
        <v>2026-01-13</v>
      </c>
      <c r="T2880">
        <f t="shared" si="267"/>
        <v>18</v>
      </c>
      <c r="U2880" t="str">
        <f t="shared" si="268"/>
        <v>On-Time</v>
      </c>
      <c r="V2880">
        <f t="shared" si="269"/>
        <v>0</v>
      </c>
    </row>
    <row r="2881" spans="1:22" x14ac:dyDescent="0.45">
      <c r="A2881" t="s">
        <v>3738</v>
      </c>
      <c r="B2881" t="s">
        <v>460</v>
      </c>
      <c r="C2881" t="s">
        <v>36</v>
      </c>
      <c r="D2881" t="s">
        <v>55</v>
      </c>
      <c r="E2881" t="s">
        <v>18</v>
      </c>
      <c r="F2881">
        <v>187</v>
      </c>
      <c r="G2881">
        <v>58434</v>
      </c>
      <c r="H2881">
        <v>10927158</v>
      </c>
      <c r="I2881" t="s">
        <v>247</v>
      </c>
      <c r="J2881" t="s">
        <v>1006</v>
      </c>
      <c r="K2881">
        <v>176</v>
      </c>
      <c r="L2881">
        <v>0</v>
      </c>
      <c r="M2881" t="s">
        <v>115</v>
      </c>
      <c r="N2881" t="str">
        <f t="shared" si="264"/>
        <v>PO-102880</v>
      </c>
      <c r="O2881" t="str">
        <f t="shared" si="265"/>
        <v>Delivered</v>
      </c>
      <c r="P2881" t="str">
        <f t="shared" si="266"/>
        <v>WH-PUN</v>
      </c>
      <c r="Q2881" t="str">
        <f>VLOOKUP(C2881, Lookups!$A$2:$D$10, 2, FALSE())</f>
        <v>NextGen Hardware</v>
      </c>
      <c r="R2881" t="str">
        <f>_xlfn.XLOOKUP(D2881, Lookups!$A$12:$A$51, Lookups!$C$12:$C$51, "Unknown")</f>
        <v>Electronics</v>
      </c>
      <c r="S2881" t="str">
        <f>IF(ISBLANK(I2881), B2881+VLOOKUP(C2881, Lookups!$A$2:$D$10, 4, FALSE()), I2881)</f>
        <v>2025-11-02</v>
      </c>
      <c r="T2881">
        <f t="shared" si="267"/>
        <v>38</v>
      </c>
      <c r="U2881" t="str">
        <f t="shared" si="268"/>
        <v>Late</v>
      </c>
      <c r="V2881">
        <f t="shared" si="269"/>
        <v>0</v>
      </c>
    </row>
    <row r="2882" spans="1:22" x14ac:dyDescent="0.45">
      <c r="A2882" t="s">
        <v>3739</v>
      </c>
      <c r="B2882" t="s">
        <v>172</v>
      </c>
      <c r="C2882" t="s">
        <v>33</v>
      </c>
      <c r="D2882" t="s">
        <v>89</v>
      </c>
      <c r="E2882" t="s">
        <v>17</v>
      </c>
      <c r="F2882">
        <v>166</v>
      </c>
      <c r="G2882">
        <v>11309</v>
      </c>
      <c r="H2882">
        <v>1877294</v>
      </c>
      <c r="I2882" t="s">
        <v>600</v>
      </c>
      <c r="J2882" t="s">
        <v>600</v>
      </c>
      <c r="K2882">
        <v>166</v>
      </c>
      <c r="L2882">
        <v>0</v>
      </c>
      <c r="M2882" t="s">
        <v>115</v>
      </c>
      <c r="N2882" t="str">
        <f t="shared" ref="N2882:N2945" si="270">TRIM(A2882)</f>
        <v>PO-102881</v>
      </c>
      <c r="O2882" t="str">
        <f t="shared" ref="O2882:O2945" si="271">PROPER(TRIM(M2882))</f>
        <v>Delivered</v>
      </c>
      <c r="P2882" t="str">
        <f t="shared" ref="P2882:P2945" si="272">TRIM(E2882)</f>
        <v>WH-BLR</v>
      </c>
      <c r="Q2882" t="str">
        <f>VLOOKUP(C2882, Lookups!$A$2:$D$10, 2, FALSE())</f>
        <v>MegaFurnish</v>
      </c>
      <c r="R2882" t="str">
        <f>_xlfn.XLOOKUP(D2882, Lookups!$A$12:$A$51, Lookups!$C$12:$C$51, "Unknown")</f>
        <v>Office Furniture</v>
      </c>
      <c r="S2882" t="str">
        <f>IF(ISBLANK(I2882), B2882+VLOOKUP(C2882, Lookups!$A$2:$D$10, 4, FALSE()), I2882)</f>
        <v>2025-10-03</v>
      </c>
      <c r="T2882">
        <f t="shared" ref="T2882:T2945" si="273">IF(ISBLANK(J2882), "", J2882-B2882)</f>
        <v>30</v>
      </c>
      <c r="U2882" t="str">
        <f t="shared" ref="U2882:U2945" si="274">IF(O2882="Open", "Open", IF(J2882&gt;S2882, "Late", "On-Time"))</f>
        <v>On-Time</v>
      </c>
      <c r="V2882">
        <f t="shared" ref="V2882:V2945" si="275">IF(K2882&gt;0, L2882/K2882, 0)</f>
        <v>0</v>
      </c>
    </row>
    <row r="2883" spans="1:22" x14ac:dyDescent="0.45">
      <c r="A2883" t="s">
        <v>3740</v>
      </c>
      <c r="B2883" t="s">
        <v>1822</v>
      </c>
      <c r="C2883" t="s">
        <v>37</v>
      </c>
      <c r="D2883" t="s">
        <v>69</v>
      </c>
      <c r="E2883" t="s">
        <v>17</v>
      </c>
      <c r="F2883">
        <v>168</v>
      </c>
      <c r="G2883">
        <v>13231</v>
      </c>
      <c r="H2883">
        <v>2222808</v>
      </c>
      <c r="I2883" t="s">
        <v>743</v>
      </c>
      <c r="J2883" t="s">
        <v>296</v>
      </c>
      <c r="K2883">
        <v>168</v>
      </c>
      <c r="L2883">
        <v>0</v>
      </c>
      <c r="M2883" t="s">
        <v>115</v>
      </c>
      <c r="N2883" t="str">
        <f t="shared" si="270"/>
        <v>PO-102882</v>
      </c>
      <c r="O2883" t="str">
        <f t="shared" si="271"/>
        <v>Delivered</v>
      </c>
      <c r="P2883" t="str">
        <f t="shared" si="272"/>
        <v>WH-BLR</v>
      </c>
      <c r="Q2883" t="str">
        <f>VLOOKUP(C2883, Lookups!$A$2:$D$10, 2, FALSE())</f>
        <v>Premium Desks Ltd</v>
      </c>
      <c r="R2883" t="str">
        <f>_xlfn.XLOOKUP(D2883, Lookups!$A$12:$A$51, Lookups!$C$12:$C$51, "Unknown")</f>
        <v>Office Furniture</v>
      </c>
      <c r="S2883" t="str">
        <f>IF(ISBLANK(I2883), B2883+VLOOKUP(C2883, Lookups!$A$2:$D$10, 4, FALSE()), I2883)</f>
        <v>2026-11-15</v>
      </c>
      <c r="T2883">
        <f t="shared" si="273"/>
        <v>21</v>
      </c>
      <c r="U2883" t="str">
        <f t="shared" si="274"/>
        <v>Late</v>
      </c>
      <c r="V2883">
        <f t="shared" si="275"/>
        <v>0</v>
      </c>
    </row>
    <row r="2884" spans="1:22" x14ac:dyDescent="0.45">
      <c r="A2884" t="s">
        <v>3741</v>
      </c>
      <c r="B2884" t="s">
        <v>481</v>
      </c>
      <c r="C2884" t="s">
        <v>30</v>
      </c>
      <c r="D2884" t="s">
        <v>61</v>
      </c>
      <c r="E2884" t="s">
        <v>16</v>
      </c>
      <c r="F2884">
        <v>28</v>
      </c>
      <c r="G2884">
        <v>111237</v>
      </c>
      <c r="H2884">
        <v>3114636</v>
      </c>
      <c r="I2884" t="s">
        <v>831</v>
      </c>
      <c r="J2884" t="s">
        <v>831</v>
      </c>
      <c r="K2884">
        <v>28</v>
      </c>
      <c r="L2884">
        <v>0</v>
      </c>
      <c r="M2884" t="s">
        <v>115</v>
      </c>
      <c r="N2884" t="str">
        <f t="shared" si="270"/>
        <v>PO-102883</v>
      </c>
      <c r="O2884" t="str">
        <f t="shared" si="271"/>
        <v>Delivered</v>
      </c>
      <c r="P2884" t="str">
        <f t="shared" si="272"/>
        <v>WH-DEL</v>
      </c>
      <c r="Q2884" t="str">
        <f>VLOOKUP(C2884, Lookups!$A$2:$D$10, 2, FALSE())</f>
        <v>TechSupply Corp</v>
      </c>
      <c r="R2884" t="str">
        <f>_xlfn.XLOOKUP(D2884, Lookups!$A$12:$A$51, Lookups!$C$12:$C$51, "Unknown")</f>
        <v>Electronics</v>
      </c>
      <c r="S2884" t="str">
        <f>IF(ISBLANK(I2884), B2884+VLOOKUP(C2884, Lookups!$A$2:$D$10, 4, FALSE()), I2884)</f>
        <v>2025-05-21</v>
      </c>
      <c r="T2884">
        <f t="shared" si="273"/>
        <v>14</v>
      </c>
      <c r="U2884" t="str">
        <f t="shared" si="274"/>
        <v>On-Time</v>
      </c>
      <c r="V2884">
        <f t="shared" si="275"/>
        <v>0</v>
      </c>
    </row>
    <row r="2885" spans="1:22" x14ac:dyDescent="0.45">
      <c r="A2885" t="s">
        <v>3742</v>
      </c>
      <c r="B2885" t="s">
        <v>327</v>
      </c>
      <c r="C2885" t="s">
        <v>34</v>
      </c>
      <c r="D2885" t="s">
        <v>58</v>
      </c>
      <c r="E2885" t="s">
        <v>15</v>
      </c>
      <c r="F2885">
        <v>91</v>
      </c>
      <c r="G2885">
        <v>100302</v>
      </c>
      <c r="H2885">
        <v>9127482</v>
      </c>
      <c r="I2885" t="s">
        <v>635</v>
      </c>
      <c r="J2885" t="s">
        <v>474</v>
      </c>
      <c r="K2885">
        <v>91</v>
      </c>
      <c r="L2885">
        <v>0</v>
      </c>
      <c r="M2885" t="s">
        <v>115</v>
      </c>
      <c r="N2885" t="str">
        <f t="shared" si="270"/>
        <v>PO-102884</v>
      </c>
      <c r="O2885" t="str">
        <f t="shared" si="271"/>
        <v>Delivered</v>
      </c>
      <c r="P2885" t="str">
        <f t="shared" si="272"/>
        <v>WH-BOM</v>
      </c>
      <c r="Q2885" t="str">
        <f>VLOOKUP(C2885, Lookups!$A$2:$D$10, 2, FALSE())</f>
        <v>FastElectronics</v>
      </c>
      <c r="R2885" t="str">
        <f>_xlfn.XLOOKUP(D2885, Lookups!$A$12:$A$51, Lookups!$C$12:$C$51, "Unknown")</f>
        <v>Electronics</v>
      </c>
      <c r="S2885" t="str">
        <f>IF(ISBLANK(I2885), B2885+VLOOKUP(C2885, Lookups!$A$2:$D$10, 4, FALSE()), I2885)</f>
        <v>2025-06-23</v>
      </c>
      <c r="T2885">
        <f t="shared" si="273"/>
        <v>19</v>
      </c>
      <c r="U2885" t="str">
        <f t="shared" si="274"/>
        <v>Late</v>
      </c>
      <c r="V2885">
        <f t="shared" si="275"/>
        <v>0</v>
      </c>
    </row>
    <row r="2886" spans="1:22" x14ac:dyDescent="0.45">
      <c r="A2886" t="s">
        <v>3743</v>
      </c>
      <c r="B2886" t="s">
        <v>716</v>
      </c>
      <c r="C2886" t="s">
        <v>34</v>
      </c>
      <c r="D2886" t="s">
        <v>81</v>
      </c>
      <c r="E2886" t="s">
        <v>18</v>
      </c>
      <c r="F2886">
        <v>23</v>
      </c>
      <c r="G2886">
        <v>55328</v>
      </c>
      <c r="H2886">
        <v>1272544</v>
      </c>
      <c r="I2886" t="s">
        <v>393</v>
      </c>
      <c r="J2886" t="s">
        <v>274</v>
      </c>
      <c r="K2886">
        <v>23</v>
      </c>
      <c r="L2886">
        <v>0</v>
      </c>
      <c r="M2886" t="s">
        <v>115</v>
      </c>
      <c r="N2886" t="str">
        <f t="shared" si="270"/>
        <v>PO-102885</v>
      </c>
      <c r="O2886" t="str">
        <f t="shared" si="271"/>
        <v>Delivered</v>
      </c>
      <c r="P2886" t="str">
        <f t="shared" si="272"/>
        <v>WH-PUN</v>
      </c>
      <c r="Q2886" t="str">
        <f>VLOOKUP(C2886, Lookups!$A$2:$D$10, 2, FALSE())</f>
        <v>FastElectronics</v>
      </c>
      <c r="R2886" t="str">
        <f>_xlfn.XLOOKUP(D2886, Lookups!$A$12:$A$51, Lookups!$C$12:$C$51, "Unknown")</f>
        <v>Electronics</v>
      </c>
      <c r="S2886" t="str">
        <f>IF(ISBLANK(I2886), B2886+VLOOKUP(C2886, Lookups!$A$2:$D$10, 4, FALSE()), I2886)</f>
        <v>2025-08-29</v>
      </c>
      <c r="T2886">
        <f t="shared" si="273"/>
        <v>19</v>
      </c>
      <c r="U2886" t="str">
        <f t="shared" si="274"/>
        <v>Late</v>
      </c>
      <c r="V2886">
        <f t="shared" si="275"/>
        <v>0</v>
      </c>
    </row>
    <row r="2887" spans="1:22" x14ac:dyDescent="0.45">
      <c r="A2887" t="s">
        <v>3744</v>
      </c>
      <c r="B2887" t="s">
        <v>1211</v>
      </c>
      <c r="C2887" t="s">
        <v>35</v>
      </c>
      <c r="D2887" t="s">
        <v>75</v>
      </c>
      <c r="E2887" t="s">
        <v>15</v>
      </c>
      <c r="F2887">
        <v>173</v>
      </c>
      <c r="G2887">
        <v>4440</v>
      </c>
      <c r="H2887">
        <v>768120</v>
      </c>
      <c r="I2887" t="s">
        <v>180</v>
      </c>
      <c r="J2887" t="s">
        <v>180</v>
      </c>
      <c r="K2887">
        <v>173</v>
      </c>
      <c r="L2887">
        <v>0</v>
      </c>
      <c r="M2887" t="s">
        <v>115</v>
      </c>
      <c r="N2887" t="str">
        <f t="shared" si="270"/>
        <v>PO-102886</v>
      </c>
      <c r="O2887" t="str">
        <f t="shared" si="271"/>
        <v>Delivered</v>
      </c>
      <c r="P2887" t="str">
        <f t="shared" si="272"/>
        <v>WH-BOM</v>
      </c>
      <c r="Q2887" t="str">
        <f>VLOOKUP(C2887, Lookups!$A$2:$D$10, 2, FALSE())</f>
        <v>Peripheral Source</v>
      </c>
      <c r="R2887" t="str">
        <f>_xlfn.XLOOKUP(D2887, Lookups!$A$12:$A$51, Lookups!$C$12:$C$51, "Unknown")</f>
        <v>Peripherals</v>
      </c>
      <c r="S2887" t="str">
        <f>IF(ISBLANK(I2887), B2887+VLOOKUP(C2887, Lookups!$A$2:$D$10, 4, FALSE()), I2887)</f>
        <v>2026-10-09</v>
      </c>
      <c r="T2887">
        <f t="shared" si="273"/>
        <v>10</v>
      </c>
      <c r="U2887" t="str">
        <f t="shared" si="274"/>
        <v>On-Time</v>
      </c>
      <c r="V2887">
        <f t="shared" si="275"/>
        <v>0</v>
      </c>
    </row>
    <row r="2888" spans="1:22" x14ac:dyDescent="0.45">
      <c r="A2888" t="s">
        <v>3745</v>
      </c>
      <c r="B2888" t="s">
        <v>443</v>
      </c>
      <c r="C2888" t="s">
        <v>31</v>
      </c>
      <c r="D2888" t="s">
        <v>77</v>
      </c>
      <c r="E2888" t="s">
        <v>16</v>
      </c>
      <c r="F2888">
        <v>248</v>
      </c>
      <c r="G2888">
        <v>23667</v>
      </c>
      <c r="H2888">
        <v>5869416</v>
      </c>
      <c r="I2888" t="s">
        <v>963</v>
      </c>
      <c r="J2888" t="s">
        <v>963</v>
      </c>
      <c r="K2888">
        <v>248</v>
      </c>
      <c r="L2888">
        <v>0</v>
      </c>
      <c r="M2888" t="s">
        <v>301</v>
      </c>
      <c r="N2888" t="str">
        <f t="shared" si="270"/>
        <v>PO-102887</v>
      </c>
      <c r="O2888" t="str">
        <f t="shared" si="271"/>
        <v>Delivered</v>
      </c>
      <c r="P2888" t="str">
        <f t="shared" si="272"/>
        <v>WH-DEL</v>
      </c>
      <c r="Q2888" t="str">
        <f>VLOOKUP(C2888, Lookups!$A$2:$D$10, 2, FALSE())</f>
        <v>Global Networks</v>
      </c>
      <c r="R2888" t="str">
        <f>_xlfn.XLOOKUP(D2888, Lookups!$A$12:$A$51, Lookups!$C$12:$C$51, "Unknown")</f>
        <v>Networking</v>
      </c>
      <c r="S2888" t="str">
        <f>IF(ISBLANK(I2888), B2888+VLOOKUP(C2888, Lookups!$A$2:$D$10, 4, FALSE()), I2888)</f>
        <v>2026-04-21</v>
      </c>
      <c r="T2888">
        <f t="shared" si="273"/>
        <v>21</v>
      </c>
      <c r="U2888" t="str">
        <f t="shared" si="274"/>
        <v>On-Time</v>
      </c>
      <c r="V2888">
        <f t="shared" si="275"/>
        <v>0</v>
      </c>
    </row>
    <row r="2889" spans="1:22" x14ac:dyDescent="0.45">
      <c r="A2889" t="s">
        <v>3746</v>
      </c>
      <c r="B2889" t="s">
        <v>328</v>
      </c>
      <c r="C2889" t="s">
        <v>30</v>
      </c>
      <c r="D2889" t="s">
        <v>52</v>
      </c>
      <c r="E2889" t="s">
        <v>18</v>
      </c>
      <c r="F2889">
        <v>165</v>
      </c>
      <c r="G2889">
        <v>59592</v>
      </c>
      <c r="H2889">
        <v>9832680</v>
      </c>
      <c r="I2889" t="s">
        <v>210</v>
      </c>
      <c r="J2889" t="s">
        <v>211</v>
      </c>
      <c r="K2889">
        <v>165</v>
      </c>
      <c r="L2889">
        <v>17</v>
      </c>
      <c r="M2889" t="s">
        <v>115</v>
      </c>
      <c r="N2889" t="str">
        <f t="shared" si="270"/>
        <v>PO-102888</v>
      </c>
      <c r="O2889" t="str">
        <f t="shared" si="271"/>
        <v>Delivered</v>
      </c>
      <c r="P2889" t="str">
        <f t="shared" si="272"/>
        <v>WH-PUN</v>
      </c>
      <c r="Q2889" t="str">
        <f>VLOOKUP(C2889, Lookups!$A$2:$D$10, 2, FALSE())</f>
        <v>TechSupply Corp</v>
      </c>
      <c r="R2889" t="str">
        <f>_xlfn.XLOOKUP(D2889, Lookups!$A$12:$A$51, Lookups!$C$12:$C$51, "Unknown")</f>
        <v>Electronics</v>
      </c>
      <c r="S2889" t="str">
        <f>IF(ISBLANK(I2889), B2889+VLOOKUP(C2889, Lookups!$A$2:$D$10, 4, FALSE()), I2889)</f>
        <v>2025-06-20</v>
      </c>
      <c r="T2889">
        <f t="shared" si="273"/>
        <v>15</v>
      </c>
      <c r="U2889" t="str">
        <f t="shared" si="274"/>
        <v>Late</v>
      </c>
      <c r="V2889">
        <f t="shared" si="275"/>
        <v>0.10303030303030303</v>
      </c>
    </row>
    <row r="2890" spans="1:22" x14ac:dyDescent="0.45">
      <c r="A2890" t="s">
        <v>3747</v>
      </c>
      <c r="B2890" t="s">
        <v>1211</v>
      </c>
      <c r="C2890" t="s">
        <v>32</v>
      </c>
      <c r="D2890" t="s">
        <v>67</v>
      </c>
      <c r="E2890" t="s">
        <v>18</v>
      </c>
      <c r="F2890">
        <v>164</v>
      </c>
      <c r="G2890">
        <v>1553</v>
      </c>
      <c r="H2890">
        <v>254692</v>
      </c>
      <c r="I2890" t="s">
        <v>663</v>
      </c>
      <c r="J2890" t="s">
        <v>646</v>
      </c>
      <c r="K2890">
        <v>164</v>
      </c>
      <c r="L2890">
        <v>0</v>
      </c>
      <c r="M2890" t="s">
        <v>301</v>
      </c>
      <c r="N2890" t="str">
        <f t="shared" si="270"/>
        <v>PO-102889</v>
      </c>
      <c r="O2890" t="str">
        <f t="shared" si="271"/>
        <v>Delivered</v>
      </c>
      <c r="P2890" t="str">
        <f t="shared" si="272"/>
        <v>WH-PUN</v>
      </c>
      <c r="Q2890" t="str">
        <f>VLOOKUP(C2890, Lookups!$A$2:$D$10, 2, FALSE())</f>
        <v>OfficeDepot Pro</v>
      </c>
      <c r="R2890" t="str">
        <f>_xlfn.XLOOKUP(D2890, Lookups!$A$12:$A$51, Lookups!$C$12:$C$51, "Unknown")</f>
        <v>Peripherals</v>
      </c>
      <c r="S2890" t="str">
        <f>IF(ISBLANK(I2890), B2890+VLOOKUP(C2890, Lookups!$A$2:$D$10, 4, FALSE()), I2890)</f>
        <v>2026-10-06</v>
      </c>
      <c r="T2890">
        <f t="shared" si="273"/>
        <v>8</v>
      </c>
      <c r="U2890" t="str">
        <f t="shared" si="274"/>
        <v>Late</v>
      </c>
      <c r="V2890">
        <f t="shared" si="275"/>
        <v>0</v>
      </c>
    </row>
    <row r="2891" spans="1:22" x14ac:dyDescent="0.45">
      <c r="A2891" t="s">
        <v>3748</v>
      </c>
      <c r="B2891" t="s">
        <v>736</v>
      </c>
      <c r="C2891" t="s">
        <v>31</v>
      </c>
      <c r="D2891" t="s">
        <v>64</v>
      </c>
      <c r="E2891" t="s">
        <v>18</v>
      </c>
      <c r="F2891">
        <v>223</v>
      </c>
      <c r="G2891">
        <v>36295</v>
      </c>
      <c r="H2891">
        <v>8093785</v>
      </c>
      <c r="I2891" t="s">
        <v>737</v>
      </c>
      <c r="J2891" t="s">
        <v>1101</v>
      </c>
      <c r="K2891">
        <v>223</v>
      </c>
      <c r="L2891">
        <v>0</v>
      </c>
      <c r="M2891" t="s">
        <v>115</v>
      </c>
      <c r="N2891" t="str">
        <f t="shared" si="270"/>
        <v>PO-102890</v>
      </c>
      <c r="O2891" t="str">
        <f t="shared" si="271"/>
        <v>Delivered</v>
      </c>
      <c r="P2891" t="str">
        <f t="shared" si="272"/>
        <v>WH-PUN</v>
      </c>
      <c r="Q2891" t="str">
        <f>VLOOKUP(C2891, Lookups!$A$2:$D$10, 2, FALSE())</f>
        <v>Global Networks</v>
      </c>
      <c r="R2891" t="str">
        <f>_xlfn.XLOOKUP(D2891, Lookups!$A$12:$A$51, Lookups!$C$12:$C$51, "Unknown")</f>
        <v>Networking</v>
      </c>
      <c r="S2891" t="str">
        <f>IF(ISBLANK(I2891), B2891+VLOOKUP(C2891, Lookups!$A$2:$D$10, 4, FALSE()), I2891)</f>
        <v>2026-11-20</v>
      </c>
      <c r="T2891">
        <f t="shared" si="273"/>
        <v>22</v>
      </c>
      <c r="U2891" t="str">
        <f t="shared" si="274"/>
        <v>Late</v>
      </c>
      <c r="V2891">
        <f t="shared" si="275"/>
        <v>0</v>
      </c>
    </row>
    <row r="2892" spans="1:22" x14ac:dyDescent="0.45">
      <c r="A2892" t="s">
        <v>3749</v>
      </c>
      <c r="B2892" t="s">
        <v>112</v>
      </c>
      <c r="C2892" t="s">
        <v>36</v>
      </c>
      <c r="D2892" t="s">
        <v>71</v>
      </c>
      <c r="E2892" t="s">
        <v>17</v>
      </c>
      <c r="F2892">
        <v>80</v>
      </c>
      <c r="G2892">
        <v>65379</v>
      </c>
      <c r="H2892">
        <v>5230320</v>
      </c>
      <c r="I2892" t="s">
        <v>195</v>
      </c>
      <c r="J2892" t="s">
        <v>195</v>
      </c>
      <c r="K2892">
        <v>80</v>
      </c>
      <c r="L2892">
        <v>0</v>
      </c>
      <c r="M2892" t="s">
        <v>115</v>
      </c>
      <c r="N2892" t="str">
        <f t="shared" si="270"/>
        <v>PO-102891</v>
      </c>
      <c r="O2892" t="str">
        <f t="shared" si="271"/>
        <v>Delivered</v>
      </c>
      <c r="P2892" t="str">
        <f t="shared" si="272"/>
        <v>WH-BLR</v>
      </c>
      <c r="Q2892" t="str">
        <f>VLOOKUP(C2892, Lookups!$A$2:$D$10, 2, FALSE())</f>
        <v>NextGen Hardware</v>
      </c>
      <c r="R2892" t="str">
        <f>_xlfn.XLOOKUP(D2892, Lookups!$A$12:$A$51, Lookups!$C$12:$C$51, "Unknown")</f>
        <v>Electronics</v>
      </c>
      <c r="S2892" t="str">
        <f>IF(ISBLANK(I2892), B2892+VLOOKUP(C2892, Lookups!$A$2:$D$10, 4, FALSE()), I2892)</f>
        <v>2026-07-10</v>
      </c>
      <c r="T2892">
        <f t="shared" si="273"/>
        <v>24</v>
      </c>
      <c r="U2892" t="str">
        <f t="shared" si="274"/>
        <v>On-Time</v>
      </c>
      <c r="V2892">
        <f t="shared" si="275"/>
        <v>0</v>
      </c>
    </row>
    <row r="2893" spans="1:22" x14ac:dyDescent="0.45">
      <c r="A2893" t="s">
        <v>3750</v>
      </c>
      <c r="B2893" t="s">
        <v>204</v>
      </c>
      <c r="C2893" t="s">
        <v>30</v>
      </c>
      <c r="D2893" t="s">
        <v>88</v>
      </c>
      <c r="E2893" t="s">
        <v>16</v>
      </c>
      <c r="F2893">
        <v>144</v>
      </c>
      <c r="G2893">
        <v>75512</v>
      </c>
      <c r="H2893">
        <v>10873728</v>
      </c>
      <c r="I2893" t="s">
        <v>217</v>
      </c>
      <c r="J2893" t="s">
        <v>1095</v>
      </c>
      <c r="K2893">
        <v>144</v>
      </c>
      <c r="L2893">
        <v>0</v>
      </c>
      <c r="M2893" t="s">
        <v>115</v>
      </c>
      <c r="N2893" t="str">
        <f t="shared" si="270"/>
        <v>PO-102892</v>
      </c>
      <c r="O2893" t="str">
        <f t="shared" si="271"/>
        <v>Delivered</v>
      </c>
      <c r="P2893" t="str">
        <f t="shared" si="272"/>
        <v>WH-DEL</v>
      </c>
      <c r="Q2893" t="str">
        <f>VLOOKUP(C2893, Lookups!$A$2:$D$10, 2, FALSE())</f>
        <v>TechSupply Corp</v>
      </c>
      <c r="R2893" t="str">
        <f>_xlfn.XLOOKUP(D2893, Lookups!$A$12:$A$51, Lookups!$C$12:$C$51, "Unknown")</f>
        <v>Electronics</v>
      </c>
      <c r="S2893" t="str">
        <f>IF(ISBLANK(I2893), B2893+VLOOKUP(C2893, Lookups!$A$2:$D$10, 4, FALSE()), I2893)</f>
        <v>2026-04-23</v>
      </c>
      <c r="T2893">
        <f t="shared" si="273"/>
        <v>28</v>
      </c>
      <c r="U2893" t="str">
        <f t="shared" si="274"/>
        <v>Late</v>
      </c>
      <c r="V2893">
        <f t="shared" si="275"/>
        <v>0</v>
      </c>
    </row>
    <row r="2894" spans="1:22" x14ac:dyDescent="0.45">
      <c r="A2894" t="s">
        <v>3751</v>
      </c>
      <c r="B2894" t="s">
        <v>1018</v>
      </c>
      <c r="C2894" t="s">
        <v>37</v>
      </c>
      <c r="D2894" t="s">
        <v>78</v>
      </c>
      <c r="E2894" t="s">
        <v>17</v>
      </c>
      <c r="F2894">
        <v>36</v>
      </c>
      <c r="G2894">
        <v>9423</v>
      </c>
      <c r="H2894">
        <v>339228</v>
      </c>
      <c r="I2894" t="s">
        <v>583</v>
      </c>
      <c r="J2894" t="s">
        <v>480</v>
      </c>
      <c r="K2894">
        <v>36</v>
      </c>
      <c r="L2894">
        <v>0</v>
      </c>
      <c r="M2894" t="s">
        <v>115</v>
      </c>
      <c r="N2894" t="str">
        <f t="shared" si="270"/>
        <v>PO-102893</v>
      </c>
      <c r="O2894" t="str">
        <f t="shared" si="271"/>
        <v>Delivered</v>
      </c>
      <c r="P2894" t="str">
        <f t="shared" si="272"/>
        <v>WH-BLR</v>
      </c>
      <c r="Q2894" t="str">
        <f>VLOOKUP(C2894, Lookups!$A$2:$D$10, 2, FALSE())</f>
        <v>Premium Desks Ltd</v>
      </c>
      <c r="R2894" t="str">
        <f>_xlfn.XLOOKUP(D2894, Lookups!$A$12:$A$51, Lookups!$C$12:$C$51, "Unknown")</f>
        <v>Office Furniture</v>
      </c>
      <c r="S2894" t="str">
        <f>IF(ISBLANK(I2894), B2894+VLOOKUP(C2894, Lookups!$A$2:$D$10, 4, FALSE()), I2894)</f>
        <v>2025-04-26</v>
      </c>
      <c r="T2894">
        <f t="shared" si="273"/>
        <v>13</v>
      </c>
      <c r="U2894" t="str">
        <f t="shared" si="274"/>
        <v>Late</v>
      </c>
      <c r="V2894">
        <f t="shared" si="275"/>
        <v>0</v>
      </c>
    </row>
    <row r="2895" spans="1:22" x14ac:dyDescent="0.45">
      <c r="A2895" t="s">
        <v>3752</v>
      </c>
      <c r="B2895" t="s">
        <v>149</v>
      </c>
      <c r="C2895" t="s">
        <v>30</v>
      </c>
      <c r="D2895" t="s">
        <v>86</v>
      </c>
      <c r="E2895" t="s">
        <v>18</v>
      </c>
      <c r="F2895">
        <v>35</v>
      </c>
      <c r="G2895">
        <v>74871</v>
      </c>
      <c r="H2895">
        <v>2620485</v>
      </c>
      <c r="I2895" t="s">
        <v>855</v>
      </c>
      <c r="J2895" t="s">
        <v>558</v>
      </c>
      <c r="K2895">
        <v>35</v>
      </c>
      <c r="L2895">
        <v>0</v>
      </c>
      <c r="M2895" t="s">
        <v>115</v>
      </c>
      <c r="N2895" t="str">
        <f t="shared" si="270"/>
        <v>PO-102894</v>
      </c>
      <c r="O2895" t="str">
        <f t="shared" si="271"/>
        <v>Delivered</v>
      </c>
      <c r="P2895" t="str">
        <f t="shared" si="272"/>
        <v>WH-PUN</v>
      </c>
      <c r="Q2895" t="str">
        <f>VLOOKUP(C2895, Lookups!$A$2:$D$10, 2, FALSE())</f>
        <v>TechSupply Corp</v>
      </c>
      <c r="R2895" t="str">
        <f>_xlfn.XLOOKUP(D2895, Lookups!$A$12:$A$51, Lookups!$C$12:$C$51, "Unknown")</f>
        <v>Electronics</v>
      </c>
      <c r="S2895" t="str">
        <f>IF(ISBLANK(I2895), B2895+VLOOKUP(C2895, Lookups!$A$2:$D$10, 4, FALSE()), I2895)</f>
        <v>2026-04-17</v>
      </c>
      <c r="T2895">
        <f t="shared" si="273"/>
        <v>15</v>
      </c>
      <c r="U2895" t="str">
        <f t="shared" si="274"/>
        <v>Late</v>
      </c>
      <c r="V2895">
        <f t="shared" si="275"/>
        <v>0</v>
      </c>
    </row>
    <row r="2896" spans="1:22" x14ac:dyDescent="0.45">
      <c r="A2896" t="s">
        <v>3753</v>
      </c>
      <c r="B2896" t="s">
        <v>739</v>
      </c>
      <c r="C2896" t="s">
        <v>31</v>
      </c>
      <c r="D2896" t="s">
        <v>56</v>
      </c>
      <c r="E2896" t="s">
        <v>18</v>
      </c>
      <c r="F2896">
        <v>156</v>
      </c>
      <c r="G2896">
        <v>39270</v>
      </c>
      <c r="H2896">
        <v>6126120</v>
      </c>
      <c r="I2896" t="s">
        <v>252</v>
      </c>
      <c r="J2896" t="s">
        <v>252</v>
      </c>
      <c r="K2896">
        <v>105</v>
      </c>
      <c r="L2896">
        <v>0</v>
      </c>
      <c r="M2896" t="s">
        <v>115</v>
      </c>
      <c r="N2896" t="str">
        <f t="shared" si="270"/>
        <v>PO-102895</v>
      </c>
      <c r="O2896" t="str">
        <f t="shared" si="271"/>
        <v>Delivered</v>
      </c>
      <c r="P2896" t="str">
        <f t="shared" si="272"/>
        <v>WH-PUN</v>
      </c>
      <c r="Q2896" t="str">
        <f>VLOOKUP(C2896, Lookups!$A$2:$D$10, 2, FALSE())</f>
        <v>Global Networks</v>
      </c>
      <c r="R2896" t="str">
        <f>_xlfn.XLOOKUP(D2896, Lookups!$A$12:$A$51, Lookups!$C$12:$C$51, "Unknown")</f>
        <v>Networking</v>
      </c>
      <c r="S2896" t="str">
        <f>IF(ISBLANK(I2896), B2896+VLOOKUP(C2896, Lookups!$A$2:$D$10, 4, FALSE()), I2896)</f>
        <v>2025-08-19</v>
      </c>
      <c r="T2896">
        <f t="shared" si="273"/>
        <v>21</v>
      </c>
      <c r="U2896" t="str">
        <f t="shared" si="274"/>
        <v>On-Time</v>
      </c>
      <c r="V2896">
        <f t="shared" si="275"/>
        <v>0</v>
      </c>
    </row>
    <row r="2897" spans="1:22" x14ac:dyDescent="0.45">
      <c r="A2897" t="s">
        <v>3754</v>
      </c>
      <c r="B2897" t="s">
        <v>123</v>
      </c>
      <c r="C2897" t="s">
        <v>34</v>
      </c>
      <c r="D2897" t="s">
        <v>73</v>
      </c>
      <c r="E2897" t="s">
        <v>18</v>
      </c>
      <c r="F2897">
        <v>235</v>
      </c>
      <c r="G2897">
        <v>58396</v>
      </c>
      <c r="H2897">
        <v>13723060</v>
      </c>
      <c r="I2897" t="s">
        <v>303</v>
      </c>
      <c r="J2897" t="s">
        <v>406</v>
      </c>
      <c r="K2897">
        <v>235</v>
      </c>
      <c r="L2897">
        <v>0</v>
      </c>
      <c r="M2897" t="s">
        <v>115</v>
      </c>
      <c r="N2897" t="str">
        <f t="shared" si="270"/>
        <v>PO-102896</v>
      </c>
      <c r="O2897" t="str">
        <f t="shared" si="271"/>
        <v>Delivered</v>
      </c>
      <c r="P2897" t="str">
        <f t="shared" si="272"/>
        <v>WH-PUN</v>
      </c>
      <c r="Q2897" t="str">
        <f>VLOOKUP(C2897, Lookups!$A$2:$D$10, 2, FALSE())</f>
        <v>FastElectronics</v>
      </c>
      <c r="R2897" t="str">
        <f>_xlfn.XLOOKUP(D2897, Lookups!$A$12:$A$51, Lookups!$C$12:$C$51, "Unknown")</f>
        <v>Electronics</v>
      </c>
      <c r="S2897" t="str">
        <f>IF(ISBLANK(I2897), B2897+VLOOKUP(C2897, Lookups!$A$2:$D$10, 4, FALSE()), I2897)</f>
        <v>2026-06-09</v>
      </c>
      <c r="T2897">
        <f t="shared" si="273"/>
        <v>33</v>
      </c>
      <c r="U2897" t="str">
        <f t="shared" si="274"/>
        <v>Late</v>
      </c>
      <c r="V2897">
        <f t="shared" si="275"/>
        <v>0</v>
      </c>
    </row>
    <row r="2898" spans="1:22" x14ac:dyDescent="0.45">
      <c r="A2898" t="s">
        <v>3755</v>
      </c>
      <c r="B2898" t="s">
        <v>963</v>
      </c>
      <c r="C2898" t="s">
        <v>34</v>
      </c>
      <c r="D2898" t="s">
        <v>76</v>
      </c>
      <c r="E2898" t="s">
        <v>17</v>
      </c>
      <c r="F2898">
        <v>171</v>
      </c>
      <c r="G2898">
        <v>26270</v>
      </c>
      <c r="H2898">
        <v>4492170</v>
      </c>
      <c r="I2898" t="s">
        <v>411</v>
      </c>
      <c r="J2898" t="s">
        <v>957</v>
      </c>
      <c r="K2898">
        <v>171</v>
      </c>
      <c r="L2898">
        <v>0</v>
      </c>
      <c r="M2898" t="s">
        <v>115</v>
      </c>
      <c r="N2898" t="str">
        <f t="shared" si="270"/>
        <v>PO-102897</v>
      </c>
      <c r="O2898" t="str">
        <f t="shared" si="271"/>
        <v>Delivered</v>
      </c>
      <c r="P2898" t="str">
        <f t="shared" si="272"/>
        <v>WH-BLR</v>
      </c>
      <c r="Q2898" t="str">
        <f>VLOOKUP(C2898, Lookups!$A$2:$D$10, 2, FALSE())</f>
        <v>FastElectronics</v>
      </c>
      <c r="R2898" t="str">
        <f>_xlfn.XLOOKUP(D2898, Lookups!$A$12:$A$51, Lookups!$C$12:$C$51, "Unknown")</f>
        <v>Networking</v>
      </c>
      <c r="S2898" t="str">
        <f>IF(ISBLANK(I2898), B2898+VLOOKUP(C2898, Lookups!$A$2:$D$10, 4, FALSE()), I2898)</f>
        <v>2026-05-09</v>
      </c>
      <c r="T2898">
        <f t="shared" si="273"/>
        <v>21</v>
      </c>
      <c r="U2898" t="str">
        <f t="shared" si="274"/>
        <v>Late</v>
      </c>
      <c r="V2898">
        <f t="shared" si="275"/>
        <v>0</v>
      </c>
    </row>
    <row r="2899" spans="1:22" x14ac:dyDescent="0.45">
      <c r="A2899" t="s">
        <v>3756</v>
      </c>
      <c r="B2899" t="s">
        <v>265</v>
      </c>
      <c r="C2899" t="s">
        <v>36</v>
      </c>
      <c r="D2899" t="s">
        <v>62</v>
      </c>
      <c r="E2899" t="s">
        <v>18</v>
      </c>
      <c r="F2899">
        <v>145</v>
      </c>
      <c r="G2899">
        <v>48478</v>
      </c>
      <c r="H2899">
        <v>7029310</v>
      </c>
      <c r="I2899" t="s">
        <v>476</v>
      </c>
      <c r="J2899" t="s">
        <v>665</v>
      </c>
      <c r="K2899">
        <v>145</v>
      </c>
      <c r="L2899">
        <v>0</v>
      </c>
      <c r="M2899" t="s">
        <v>115</v>
      </c>
      <c r="N2899" t="str">
        <f t="shared" si="270"/>
        <v>PO-102898</v>
      </c>
      <c r="O2899" t="str">
        <f t="shared" si="271"/>
        <v>Delivered</v>
      </c>
      <c r="P2899" t="str">
        <f t="shared" si="272"/>
        <v>WH-PUN</v>
      </c>
      <c r="Q2899" t="str">
        <f>VLOOKUP(C2899, Lookups!$A$2:$D$10, 2, FALSE())</f>
        <v>NextGen Hardware</v>
      </c>
      <c r="R2899" t="str">
        <f>_xlfn.XLOOKUP(D2899, Lookups!$A$12:$A$51, Lookups!$C$12:$C$51, "Unknown")</f>
        <v>Electronics</v>
      </c>
      <c r="S2899" t="str">
        <f>IF(ISBLANK(I2899), B2899+VLOOKUP(C2899, Lookups!$A$2:$D$10, 4, FALSE()), I2899)</f>
        <v>2025-03-10</v>
      </c>
      <c r="T2899">
        <f t="shared" si="273"/>
        <v>25</v>
      </c>
      <c r="U2899" t="str">
        <f t="shared" si="274"/>
        <v>Late</v>
      </c>
      <c r="V2899">
        <f t="shared" si="275"/>
        <v>0</v>
      </c>
    </row>
    <row r="2900" spans="1:22" x14ac:dyDescent="0.45">
      <c r="A2900" t="s">
        <v>3757</v>
      </c>
      <c r="B2900" t="s">
        <v>1126</v>
      </c>
      <c r="C2900" t="s">
        <v>34</v>
      </c>
      <c r="D2900" t="s">
        <v>81</v>
      </c>
      <c r="E2900" t="s">
        <v>15</v>
      </c>
      <c r="F2900">
        <v>206</v>
      </c>
      <c r="G2900">
        <v>55328</v>
      </c>
      <c r="H2900">
        <v>11397568</v>
      </c>
      <c r="I2900" t="s">
        <v>745</v>
      </c>
      <c r="J2900" t="s">
        <v>1010</v>
      </c>
      <c r="K2900">
        <v>206</v>
      </c>
      <c r="L2900">
        <v>0</v>
      </c>
      <c r="M2900" t="s">
        <v>115</v>
      </c>
      <c r="N2900" t="str">
        <f t="shared" si="270"/>
        <v>PO-102899</v>
      </c>
      <c r="O2900" t="str">
        <f t="shared" si="271"/>
        <v>Delivered</v>
      </c>
      <c r="P2900" t="str">
        <f t="shared" si="272"/>
        <v>WH-BOM</v>
      </c>
      <c r="Q2900" t="str">
        <f>VLOOKUP(C2900, Lookups!$A$2:$D$10, 2, FALSE())</f>
        <v>FastElectronics</v>
      </c>
      <c r="R2900" t="str">
        <f>_xlfn.XLOOKUP(D2900, Lookups!$A$12:$A$51, Lookups!$C$12:$C$51, "Unknown")</f>
        <v>Electronics</v>
      </c>
      <c r="S2900" t="str">
        <f>IF(ISBLANK(I2900), B2900+VLOOKUP(C2900, Lookups!$A$2:$D$10, 4, FALSE()), I2900)</f>
        <v>2026-12-06</v>
      </c>
      <c r="T2900">
        <f t="shared" si="273"/>
        <v>21</v>
      </c>
      <c r="U2900" t="str">
        <f t="shared" si="274"/>
        <v>Late</v>
      </c>
      <c r="V2900">
        <f t="shared" si="275"/>
        <v>0</v>
      </c>
    </row>
    <row r="2901" spans="1:22" x14ac:dyDescent="0.45">
      <c r="A2901" t="s">
        <v>3758</v>
      </c>
      <c r="B2901" t="s">
        <v>310</v>
      </c>
      <c r="C2901" t="s">
        <v>32</v>
      </c>
      <c r="D2901" t="s">
        <v>84</v>
      </c>
      <c r="E2901" t="s">
        <v>15</v>
      </c>
      <c r="F2901">
        <v>233</v>
      </c>
      <c r="G2901">
        <v>7271</v>
      </c>
      <c r="H2901">
        <v>1694143</v>
      </c>
      <c r="I2901" t="s">
        <v>236</v>
      </c>
      <c r="J2901" t="s">
        <v>393</v>
      </c>
      <c r="K2901">
        <v>233</v>
      </c>
      <c r="L2901">
        <v>0</v>
      </c>
      <c r="M2901" t="s">
        <v>115</v>
      </c>
      <c r="N2901" t="str">
        <f t="shared" si="270"/>
        <v>PO-102900</v>
      </c>
      <c r="O2901" t="str">
        <f t="shared" si="271"/>
        <v>Delivered</v>
      </c>
      <c r="P2901" t="str">
        <f t="shared" si="272"/>
        <v>WH-BOM</v>
      </c>
      <c r="Q2901" t="str">
        <f>VLOOKUP(C2901, Lookups!$A$2:$D$10, 2, FALSE())</f>
        <v>OfficeDepot Pro</v>
      </c>
      <c r="R2901" t="str">
        <f>_xlfn.XLOOKUP(D2901, Lookups!$A$12:$A$51, Lookups!$C$12:$C$51, "Unknown")</f>
        <v>Peripherals</v>
      </c>
      <c r="S2901" t="str">
        <f>IF(ISBLANK(I2901), B2901+VLOOKUP(C2901, Lookups!$A$2:$D$10, 4, FALSE()), I2901)</f>
        <v>2025-08-28</v>
      </c>
      <c r="T2901">
        <f t="shared" si="273"/>
        <v>8</v>
      </c>
      <c r="U2901" t="str">
        <f t="shared" si="274"/>
        <v>Late</v>
      </c>
      <c r="V2901">
        <f t="shared" si="275"/>
        <v>0</v>
      </c>
    </row>
    <row r="2902" spans="1:22" x14ac:dyDescent="0.45">
      <c r="A2902" t="s">
        <v>3759</v>
      </c>
      <c r="B2902" t="s">
        <v>120</v>
      </c>
      <c r="C2902" t="s">
        <v>34</v>
      </c>
      <c r="D2902" t="s">
        <v>73</v>
      </c>
      <c r="E2902" t="s">
        <v>16</v>
      </c>
      <c r="F2902">
        <v>237</v>
      </c>
      <c r="G2902">
        <v>58396</v>
      </c>
      <c r="H2902">
        <v>13839852</v>
      </c>
      <c r="I2902" t="s">
        <v>941</v>
      </c>
      <c r="J2902" t="s">
        <v>697</v>
      </c>
      <c r="K2902">
        <v>237</v>
      </c>
      <c r="L2902">
        <v>0</v>
      </c>
      <c r="M2902" t="s">
        <v>115</v>
      </c>
      <c r="N2902" t="str">
        <f t="shared" si="270"/>
        <v>PO-102901</v>
      </c>
      <c r="O2902" t="str">
        <f t="shared" si="271"/>
        <v>Delivered</v>
      </c>
      <c r="P2902" t="str">
        <f t="shared" si="272"/>
        <v>WH-DEL</v>
      </c>
      <c r="Q2902" t="str">
        <f>VLOOKUP(C2902, Lookups!$A$2:$D$10, 2, FALSE())</f>
        <v>FastElectronics</v>
      </c>
      <c r="R2902" t="str">
        <f>_xlfn.XLOOKUP(D2902, Lookups!$A$12:$A$51, Lookups!$C$12:$C$51, "Unknown")</f>
        <v>Electronics</v>
      </c>
      <c r="S2902" t="str">
        <f>IF(ISBLANK(I2902), B2902+VLOOKUP(C2902, Lookups!$A$2:$D$10, 4, FALSE()), I2902)</f>
        <v>2025-01-21</v>
      </c>
      <c r="T2902">
        <f t="shared" si="273"/>
        <v>19</v>
      </c>
      <c r="U2902" t="str">
        <f t="shared" si="274"/>
        <v>Late</v>
      </c>
      <c r="V2902">
        <f t="shared" si="275"/>
        <v>0</v>
      </c>
    </row>
    <row r="2903" spans="1:22" x14ac:dyDescent="0.45">
      <c r="A2903" t="s">
        <v>3760</v>
      </c>
      <c r="B2903" t="s">
        <v>952</v>
      </c>
      <c r="C2903" t="s">
        <v>34</v>
      </c>
      <c r="D2903" t="s">
        <v>81</v>
      </c>
      <c r="E2903" t="s">
        <v>16</v>
      </c>
      <c r="F2903">
        <v>191</v>
      </c>
      <c r="G2903">
        <v>55328</v>
      </c>
      <c r="H2903">
        <v>10567648</v>
      </c>
      <c r="I2903" t="s">
        <v>1295</v>
      </c>
      <c r="J2903" t="s">
        <v>454</v>
      </c>
      <c r="K2903">
        <v>191</v>
      </c>
      <c r="L2903">
        <v>0</v>
      </c>
      <c r="M2903" t="s">
        <v>115</v>
      </c>
      <c r="N2903" t="str">
        <f t="shared" si="270"/>
        <v>PO-102902</v>
      </c>
      <c r="O2903" t="str">
        <f t="shared" si="271"/>
        <v>Delivered</v>
      </c>
      <c r="P2903" t="str">
        <f t="shared" si="272"/>
        <v>WH-DEL</v>
      </c>
      <c r="Q2903" t="str">
        <f>VLOOKUP(C2903, Lookups!$A$2:$D$10, 2, FALSE())</f>
        <v>FastElectronics</v>
      </c>
      <c r="R2903" t="str">
        <f>_xlfn.XLOOKUP(D2903, Lookups!$A$12:$A$51, Lookups!$C$12:$C$51, "Unknown")</f>
        <v>Electronics</v>
      </c>
      <c r="S2903" t="str">
        <f>IF(ISBLANK(I2903), B2903+VLOOKUP(C2903, Lookups!$A$2:$D$10, 4, FALSE()), I2903)</f>
        <v>2026-08-11</v>
      </c>
      <c r="T2903">
        <f t="shared" si="273"/>
        <v>19</v>
      </c>
      <c r="U2903" t="str">
        <f t="shared" si="274"/>
        <v>Late</v>
      </c>
      <c r="V2903">
        <f t="shared" si="275"/>
        <v>0</v>
      </c>
    </row>
    <row r="2904" spans="1:22" x14ac:dyDescent="0.45">
      <c r="A2904" t="s">
        <v>3761</v>
      </c>
      <c r="B2904" t="s">
        <v>1416</v>
      </c>
      <c r="C2904" t="s">
        <v>36</v>
      </c>
      <c r="D2904" t="s">
        <v>63</v>
      </c>
      <c r="E2904" t="s">
        <v>16</v>
      </c>
      <c r="F2904">
        <v>111</v>
      </c>
      <c r="G2904">
        <v>71062</v>
      </c>
      <c r="H2904">
        <v>7887882</v>
      </c>
      <c r="I2904" t="s">
        <v>330</v>
      </c>
      <c r="J2904" t="s">
        <v>1216</v>
      </c>
      <c r="K2904">
        <v>111</v>
      </c>
      <c r="L2904">
        <v>0</v>
      </c>
      <c r="M2904" t="s">
        <v>115</v>
      </c>
      <c r="N2904" t="str">
        <f t="shared" si="270"/>
        <v>PO-102903</v>
      </c>
      <c r="O2904" t="str">
        <f t="shared" si="271"/>
        <v>Delivered</v>
      </c>
      <c r="P2904" t="str">
        <f t="shared" si="272"/>
        <v>WH-DEL</v>
      </c>
      <c r="Q2904" t="str">
        <f>VLOOKUP(C2904, Lookups!$A$2:$D$10, 2, FALSE())</f>
        <v>NextGen Hardware</v>
      </c>
      <c r="R2904" t="str">
        <f>_xlfn.XLOOKUP(D2904, Lookups!$A$12:$A$51, Lookups!$C$12:$C$51, "Unknown")</f>
        <v>Electronics</v>
      </c>
      <c r="S2904" t="str">
        <f>IF(ISBLANK(I2904), B2904+VLOOKUP(C2904, Lookups!$A$2:$D$10, 4, FALSE()), I2904)</f>
        <v>2026-02-23</v>
      </c>
      <c r="T2904">
        <f t="shared" si="273"/>
        <v>25</v>
      </c>
      <c r="U2904" t="str">
        <f t="shared" si="274"/>
        <v>Late</v>
      </c>
      <c r="V2904">
        <f t="shared" si="275"/>
        <v>0</v>
      </c>
    </row>
    <row r="2905" spans="1:22" x14ac:dyDescent="0.45">
      <c r="A2905" t="s">
        <v>3762</v>
      </c>
      <c r="B2905" t="s">
        <v>753</v>
      </c>
      <c r="C2905" t="s">
        <v>36</v>
      </c>
      <c r="D2905" t="s">
        <v>62</v>
      </c>
      <c r="E2905" t="s">
        <v>17</v>
      </c>
      <c r="F2905">
        <v>204</v>
      </c>
      <c r="G2905">
        <v>48478</v>
      </c>
      <c r="H2905">
        <v>9889512</v>
      </c>
      <c r="I2905" t="s">
        <v>851</v>
      </c>
      <c r="J2905" t="s">
        <v>508</v>
      </c>
      <c r="K2905">
        <v>204</v>
      </c>
      <c r="L2905">
        <v>0</v>
      </c>
      <c r="M2905" t="s">
        <v>115</v>
      </c>
      <c r="N2905" t="str">
        <f t="shared" si="270"/>
        <v>PO-102904</v>
      </c>
      <c r="O2905" t="str">
        <f t="shared" si="271"/>
        <v>Delivered</v>
      </c>
      <c r="P2905" t="str">
        <f t="shared" si="272"/>
        <v>WH-BLR</v>
      </c>
      <c r="Q2905" t="str">
        <f>VLOOKUP(C2905, Lookups!$A$2:$D$10, 2, FALSE())</f>
        <v>NextGen Hardware</v>
      </c>
      <c r="R2905" t="str">
        <f>_xlfn.XLOOKUP(D2905, Lookups!$A$12:$A$51, Lookups!$C$12:$C$51, "Unknown")</f>
        <v>Electronics</v>
      </c>
      <c r="S2905" t="str">
        <f>IF(ISBLANK(I2905), B2905+VLOOKUP(C2905, Lookups!$A$2:$D$10, 4, FALSE()), I2905)</f>
        <v>2026-01-16</v>
      </c>
      <c r="T2905">
        <f t="shared" si="273"/>
        <v>25</v>
      </c>
      <c r="U2905" t="str">
        <f t="shared" si="274"/>
        <v>Late</v>
      </c>
      <c r="V2905">
        <f t="shared" si="275"/>
        <v>0</v>
      </c>
    </row>
    <row r="2906" spans="1:22" x14ac:dyDescent="0.45">
      <c r="A2906" t="s">
        <v>3763</v>
      </c>
      <c r="B2906" t="s">
        <v>362</v>
      </c>
      <c r="C2906" t="s">
        <v>35</v>
      </c>
      <c r="D2906" t="s">
        <v>72</v>
      </c>
      <c r="E2906" t="s">
        <v>18</v>
      </c>
      <c r="F2906">
        <v>164</v>
      </c>
      <c r="G2906">
        <v>7754</v>
      </c>
      <c r="H2906">
        <v>1271656</v>
      </c>
      <c r="I2906" t="s">
        <v>587</v>
      </c>
      <c r="J2906" t="s">
        <v>540</v>
      </c>
      <c r="K2906">
        <v>164</v>
      </c>
      <c r="L2906">
        <v>0</v>
      </c>
      <c r="M2906" t="s">
        <v>115</v>
      </c>
      <c r="N2906" t="str">
        <f t="shared" si="270"/>
        <v>PO-102905</v>
      </c>
      <c r="O2906" t="str">
        <f t="shared" si="271"/>
        <v>Delivered</v>
      </c>
      <c r="P2906" t="str">
        <f t="shared" si="272"/>
        <v>WH-PUN</v>
      </c>
      <c r="Q2906" t="str">
        <f>VLOOKUP(C2906, Lookups!$A$2:$D$10, 2, FALSE())</f>
        <v>Peripheral Source</v>
      </c>
      <c r="R2906" t="str">
        <f>_xlfn.XLOOKUP(D2906, Lookups!$A$12:$A$51, Lookups!$C$12:$C$51, "Unknown")</f>
        <v>Peripherals</v>
      </c>
      <c r="S2906" t="str">
        <f>IF(ISBLANK(I2906), B2906+VLOOKUP(C2906, Lookups!$A$2:$D$10, 4, FALSE()), I2906)</f>
        <v>2026-04-11</v>
      </c>
      <c r="T2906">
        <f t="shared" si="273"/>
        <v>6</v>
      </c>
      <c r="U2906" t="str">
        <f t="shared" si="274"/>
        <v>On-Time</v>
      </c>
      <c r="V2906">
        <f t="shared" si="275"/>
        <v>0</v>
      </c>
    </row>
    <row r="2907" spans="1:22" x14ac:dyDescent="0.45">
      <c r="A2907" t="s">
        <v>3764</v>
      </c>
      <c r="B2907" t="s">
        <v>593</v>
      </c>
      <c r="C2907" t="s">
        <v>36</v>
      </c>
      <c r="D2907" t="s">
        <v>90</v>
      </c>
      <c r="E2907" t="s">
        <v>17</v>
      </c>
      <c r="F2907">
        <v>217</v>
      </c>
      <c r="G2907">
        <v>81434</v>
      </c>
      <c r="H2907">
        <v>17671178</v>
      </c>
      <c r="I2907" t="s">
        <v>460</v>
      </c>
      <c r="J2907" t="s">
        <v>460</v>
      </c>
      <c r="K2907">
        <v>217</v>
      </c>
      <c r="L2907">
        <v>0</v>
      </c>
      <c r="M2907" t="s">
        <v>115</v>
      </c>
      <c r="N2907" t="str">
        <f t="shared" si="270"/>
        <v>PO-102906</v>
      </c>
      <c r="O2907" t="str">
        <f t="shared" si="271"/>
        <v>Delivered</v>
      </c>
      <c r="P2907" t="str">
        <f t="shared" si="272"/>
        <v>WH-BLR</v>
      </c>
      <c r="Q2907" t="str">
        <f>VLOOKUP(C2907, Lookups!$A$2:$D$10, 2, FALSE())</f>
        <v>NextGen Hardware</v>
      </c>
      <c r="R2907" t="str">
        <f>_xlfn.XLOOKUP(D2907, Lookups!$A$12:$A$51, Lookups!$C$12:$C$51, "Unknown")</f>
        <v>Electronics</v>
      </c>
      <c r="S2907" t="str">
        <f>IF(ISBLANK(I2907), B2907+VLOOKUP(C2907, Lookups!$A$2:$D$10, 4, FALSE()), I2907)</f>
        <v>2025-10-09</v>
      </c>
      <c r="T2907">
        <f t="shared" si="273"/>
        <v>24</v>
      </c>
      <c r="U2907" t="str">
        <f t="shared" si="274"/>
        <v>On-Time</v>
      </c>
      <c r="V2907">
        <f t="shared" si="275"/>
        <v>0</v>
      </c>
    </row>
    <row r="2908" spans="1:22" x14ac:dyDescent="0.45">
      <c r="A2908" t="s">
        <v>3765</v>
      </c>
      <c r="B2908" t="s">
        <v>615</v>
      </c>
      <c r="C2908" t="s">
        <v>37</v>
      </c>
      <c r="D2908" t="s">
        <v>69</v>
      </c>
      <c r="E2908" t="s">
        <v>17</v>
      </c>
      <c r="F2908">
        <v>183</v>
      </c>
      <c r="G2908">
        <v>13231</v>
      </c>
      <c r="H2908">
        <v>2421273</v>
      </c>
      <c r="I2908" t="s">
        <v>674</v>
      </c>
      <c r="J2908" t="s">
        <v>737</v>
      </c>
      <c r="K2908">
        <v>183</v>
      </c>
      <c r="L2908">
        <v>0</v>
      </c>
      <c r="M2908" t="s">
        <v>115</v>
      </c>
      <c r="N2908" t="str">
        <f t="shared" si="270"/>
        <v>PO-102907</v>
      </c>
      <c r="O2908" t="str">
        <f t="shared" si="271"/>
        <v>Delivered</v>
      </c>
      <c r="P2908" t="str">
        <f t="shared" si="272"/>
        <v>WH-BLR</v>
      </c>
      <c r="Q2908" t="str">
        <f>VLOOKUP(C2908, Lookups!$A$2:$D$10, 2, FALSE())</f>
        <v>Premium Desks Ltd</v>
      </c>
      <c r="R2908" t="str">
        <f>_xlfn.XLOOKUP(D2908, Lookups!$A$12:$A$51, Lookups!$C$12:$C$51, "Unknown")</f>
        <v>Office Furniture</v>
      </c>
      <c r="S2908" t="str">
        <f>IF(ISBLANK(I2908), B2908+VLOOKUP(C2908, Lookups!$A$2:$D$10, 4, FALSE()), I2908)</f>
        <v>2026-11-19</v>
      </c>
      <c r="T2908">
        <f t="shared" si="273"/>
        <v>13</v>
      </c>
      <c r="U2908" t="str">
        <f t="shared" si="274"/>
        <v>Late</v>
      </c>
      <c r="V2908">
        <f t="shared" si="275"/>
        <v>0</v>
      </c>
    </row>
    <row r="2909" spans="1:22" x14ac:dyDescent="0.45">
      <c r="A2909" t="s">
        <v>3766</v>
      </c>
      <c r="B2909" t="s">
        <v>426</v>
      </c>
      <c r="C2909" t="s">
        <v>36</v>
      </c>
      <c r="D2909" t="s">
        <v>87</v>
      </c>
      <c r="E2909" t="s">
        <v>17</v>
      </c>
      <c r="F2909">
        <v>11</v>
      </c>
      <c r="G2909">
        <v>82930</v>
      </c>
      <c r="H2909">
        <v>912230</v>
      </c>
      <c r="I2909" t="s">
        <v>435</v>
      </c>
      <c r="J2909" t="s">
        <v>435</v>
      </c>
      <c r="K2909">
        <v>11</v>
      </c>
      <c r="L2909">
        <v>0</v>
      </c>
      <c r="M2909" t="s">
        <v>115</v>
      </c>
      <c r="N2909" t="str">
        <f t="shared" si="270"/>
        <v>PO-102908</v>
      </c>
      <c r="O2909" t="str">
        <f t="shared" si="271"/>
        <v>Delivered</v>
      </c>
      <c r="P2909" t="str">
        <f t="shared" si="272"/>
        <v>WH-BLR</v>
      </c>
      <c r="Q2909" t="str">
        <f>VLOOKUP(C2909, Lookups!$A$2:$D$10, 2, FALSE())</f>
        <v>NextGen Hardware</v>
      </c>
      <c r="R2909" t="str">
        <f>_xlfn.XLOOKUP(D2909, Lookups!$A$12:$A$51, Lookups!$C$12:$C$51, "Unknown")</f>
        <v>Electronics</v>
      </c>
      <c r="S2909" t="str">
        <f>IF(ISBLANK(I2909), B2909+VLOOKUP(C2909, Lookups!$A$2:$D$10, 4, FALSE()), I2909)</f>
        <v>2025-08-20</v>
      </c>
      <c r="T2909">
        <f t="shared" si="273"/>
        <v>24</v>
      </c>
      <c r="U2909" t="str">
        <f t="shared" si="274"/>
        <v>On-Time</v>
      </c>
      <c r="V2909">
        <f t="shared" si="275"/>
        <v>0</v>
      </c>
    </row>
    <row r="2910" spans="1:22" x14ac:dyDescent="0.45">
      <c r="A2910" t="s">
        <v>3767</v>
      </c>
      <c r="B2910" t="s">
        <v>1368</v>
      </c>
      <c r="C2910" t="s">
        <v>31</v>
      </c>
      <c r="D2910" t="s">
        <v>56</v>
      </c>
      <c r="E2910" t="s">
        <v>17</v>
      </c>
      <c r="F2910">
        <v>125</v>
      </c>
      <c r="G2910">
        <v>39270</v>
      </c>
      <c r="H2910">
        <v>4908750</v>
      </c>
      <c r="I2910" t="s">
        <v>1170</v>
      </c>
      <c r="J2910" t="s">
        <v>1170</v>
      </c>
      <c r="K2910">
        <v>125</v>
      </c>
      <c r="L2910">
        <v>0</v>
      </c>
      <c r="M2910" t="s">
        <v>115</v>
      </c>
      <c r="N2910" t="str">
        <f t="shared" si="270"/>
        <v>PO-102909</v>
      </c>
      <c r="O2910" t="str">
        <f t="shared" si="271"/>
        <v>Delivered</v>
      </c>
      <c r="P2910" t="str">
        <f t="shared" si="272"/>
        <v>WH-BLR</v>
      </c>
      <c r="Q2910" t="str">
        <f>VLOOKUP(C2910, Lookups!$A$2:$D$10, 2, FALSE())</f>
        <v>Global Networks</v>
      </c>
      <c r="R2910" t="str">
        <f>_xlfn.XLOOKUP(D2910, Lookups!$A$12:$A$51, Lookups!$C$12:$C$51, "Unknown")</f>
        <v>Networking</v>
      </c>
      <c r="S2910" t="str">
        <f>IF(ISBLANK(I2910), B2910+VLOOKUP(C2910, Lookups!$A$2:$D$10, 4, FALSE()), I2910)</f>
        <v>2026-12-03</v>
      </c>
      <c r="T2910">
        <f t="shared" si="273"/>
        <v>21</v>
      </c>
      <c r="U2910" t="str">
        <f t="shared" si="274"/>
        <v>On-Time</v>
      </c>
      <c r="V2910">
        <f t="shared" si="275"/>
        <v>0</v>
      </c>
    </row>
    <row r="2911" spans="1:22" x14ac:dyDescent="0.45">
      <c r="A2911" t="s">
        <v>3768</v>
      </c>
      <c r="B2911" t="s">
        <v>947</v>
      </c>
      <c r="C2911" t="s">
        <v>30</v>
      </c>
      <c r="D2911" t="s">
        <v>52</v>
      </c>
      <c r="E2911" t="s">
        <v>18</v>
      </c>
      <c r="F2911">
        <v>25</v>
      </c>
      <c r="G2911">
        <v>59592</v>
      </c>
      <c r="H2911">
        <v>1489800</v>
      </c>
      <c r="I2911" t="s">
        <v>1776</v>
      </c>
      <c r="J2911" t="s">
        <v>1776</v>
      </c>
      <c r="K2911">
        <v>25</v>
      </c>
      <c r="L2911">
        <v>0</v>
      </c>
      <c r="M2911" t="s">
        <v>115</v>
      </c>
      <c r="N2911" t="str">
        <f t="shared" si="270"/>
        <v>PO-102910</v>
      </c>
      <c r="O2911" t="str">
        <f t="shared" si="271"/>
        <v>Delivered</v>
      </c>
      <c r="P2911" t="str">
        <f t="shared" si="272"/>
        <v>WH-PUN</v>
      </c>
      <c r="Q2911" t="str">
        <f>VLOOKUP(C2911, Lookups!$A$2:$D$10, 2, FALSE())</f>
        <v>TechSupply Corp</v>
      </c>
      <c r="R2911" t="str">
        <f>_xlfn.XLOOKUP(D2911, Lookups!$A$12:$A$51, Lookups!$C$12:$C$51, "Unknown")</f>
        <v>Electronics</v>
      </c>
      <c r="S2911" t="str">
        <f>IF(ISBLANK(I2911), B2911+VLOOKUP(C2911, Lookups!$A$2:$D$10, 4, FALSE()), I2911)</f>
        <v>2025-12-20</v>
      </c>
      <c r="T2911">
        <f t="shared" si="273"/>
        <v>14</v>
      </c>
      <c r="U2911" t="str">
        <f t="shared" si="274"/>
        <v>On-Time</v>
      </c>
      <c r="V2911">
        <f t="shared" si="275"/>
        <v>0</v>
      </c>
    </row>
    <row r="2912" spans="1:22" x14ac:dyDescent="0.45">
      <c r="A2912" t="s">
        <v>3769</v>
      </c>
      <c r="B2912" t="s">
        <v>1142</v>
      </c>
      <c r="C2912" t="s">
        <v>30</v>
      </c>
      <c r="D2912" t="s">
        <v>59</v>
      </c>
      <c r="E2912" t="s">
        <v>15</v>
      </c>
      <c r="F2912">
        <v>250</v>
      </c>
      <c r="G2912">
        <v>48905</v>
      </c>
      <c r="H2912">
        <v>12226250</v>
      </c>
      <c r="I2912" t="s">
        <v>1456</v>
      </c>
      <c r="J2912" t="s">
        <v>1018</v>
      </c>
      <c r="K2912">
        <v>250</v>
      </c>
      <c r="L2912">
        <v>0</v>
      </c>
      <c r="M2912" t="s">
        <v>115</v>
      </c>
      <c r="N2912" t="str">
        <f t="shared" si="270"/>
        <v>PO-102911</v>
      </c>
      <c r="O2912" t="str">
        <f t="shared" si="271"/>
        <v>Delivered</v>
      </c>
      <c r="P2912" t="str">
        <f t="shared" si="272"/>
        <v>WH-BOM</v>
      </c>
      <c r="Q2912" t="str">
        <f>VLOOKUP(C2912, Lookups!$A$2:$D$10, 2, FALSE())</f>
        <v>TechSupply Corp</v>
      </c>
      <c r="R2912" t="str">
        <f>_xlfn.XLOOKUP(D2912, Lookups!$A$12:$A$51, Lookups!$C$12:$C$51, "Unknown")</f>
        <v>Electronics</v>
      </c>
      <c r="S2912" t="str">
        <f>IF(ISBLANK(I2912), B2912+VLOOKUP(C2912, Lookups!$A$2:$D$10, 4, FALSE()), I2912)</f>
        <v>2025-04-15</v>
      </c>
      <c r="T2912">
        <f t="shared" si="273"/>
        <v>13</v>
      </c>
      <c r="U2912" t="str">
        <f t="shared" si="274"/>
        <v>On-Time</v>
      </c>
      <c r="V2912">
        <f t="shared" si="275"/>
        <v>0</v>
      </c>
    </row>
    <row r="2913" spans="1:22" x14ac:dyDescent="0.45">
      <c r="A2913" t="s">
        <v>3770</v>
      </c>
      <c r="B2913" t="s">
        <v>723</v>
      </c>
      <c r="C2913" t="s">
        <v>34</v>
      </c>
      <c r="D2913" t="s">
        <v>74</v>
      </c>
      <c r="E2913" t="s">
        <v>15</v>
      </c>
      <c r="F2913">
        <v>80</v>
      </c>
      <c r="G2913">
        <v>94797</v>
      </c>
      <c r="H2913">
        <v>7583760</v>
      </c>
      <c r="I2913" t="s">
        <v>123</v>
      </c>
      <c r="J2913" t="s">
        <v>1405</v>
      </c>
      <c r="K2913">
        <v>80</v>
      </c>
      <c r="L2913">
        <v>0</v>
      </c>
      <c r="M2913" t="s">
        <v>115</v>
      </c>
      <c r="N2913" t="str">
        <f t="shared" si="270"/>
        <v>PO-102912</v>
      </c>
      <c r="O2913" t="str">
        <f t="shared" si="271"/>
        <v>Delivered</v>
      </c>
      <c r="P2913" t="str">
        <f t="shared" si="272"/>
        <v>WH-BOM</v>
      </c>
      <c r="Q2913" t="str">
        <f>VLOOKUP(C2913, Lookups!$A$2:$D$10, 2, FALSE())</f>
        <v>FastElectronics</v>
      </c>
      <c r="R2913" t="str">
        <f>_xlfn.XLOOKUP(D2913, Lookups!$A$12:$A$51, Lookups!$C$12:$C$51, "Unknown")</f>
        <v>Electronics</v>
      </c>
      <c r="S2913" t="str">
        <f>IF(ISBLANK(I2913), B2913+VLOOKUP(C2913, Lookups!$A$2:$D$10, 4, FALSE()), I2913)</f>
        <v>2026-05-22</v>
      </c>
      <c r="T2913">
        <f t="shared" si="273"/>
        <v>19</v>
      </c>
      <c r="U2913" t="str">
        <f t="shared" si="274"/>
        <v>Late</v>
      </c>
      <c r="V2913">
        <f t="shared" si="275"/>
        <v>0</v>
      </c>
    </row>
    <row r="2914" spans="1:22" x14ac:dyDescent="0.45">
      <c r="A2914" t="s">
        <v>3771</v>
      </c>
      <c r="B2914" t="s">
        <v>562</v>
      </c>
      <c r="C2914" t="s">
        <v>35</v>
      </c>
      <c r="D2914" t="s">
        <v>91</v>
      </c>
      <c r="E2914" t="s">
        <v>18</v>
      </c>
      <c r="F2914">
        <v>216</v>
      </c>
      <c r="G2914">
        <v>6707</v>
      </c>
      <c r="H2914">
        <v>1448712</v>
      </c>
      <c r="I2914" t="s">
        <v>1737</v>
      </c>
      <c r="J2914" t="s">
        <v>1142</v>
      </c>
      <c r="K2914">
        <v>216</v>
      </c>
      <c r="L2914">
        <v>0</v>
      </c>
      <c r="M2914" t="s">
        <v>115</v>
      </c>
      <c r="N2914" t="str">
        <f t="shared" si="270"/>
        <v>PO-102913</v>
      </c>
      <c r="O2914" t="str">
        <f t="shared" si="271"/>
        <v>Delivered</v>
      </c>
      <c r="P2914" t="str">
        <f t="shared" si="272"/>
        <v>WH-PUN</v>
      </c>
      <c r="Q2914" t="str">
        <f>VLOOKUP(C2914, Lookups!$A$2:$D$10, 2, FALSE())</f>
        <v>Peripheral Source</v>
      </c>
      <c r="R2914" t="str">
        <f>_xlfn.XLOOKUP(D2914, Lookups!$A$12:$A$51, Lookups!$C$12:$C$51, "Unknown")</f>
        <v>Peripherals</v>
      </c>
      <c r="S2914" t="str">
        <f>IF(ISBLANK(I2914), B2914+VLOOKUP(C2914, Lookups!$A$2:$D$10, 4, FALSE()), I2914)</f>
        <v>2025-03-31</v>
      </c>
      <c r="T2914">
        <f t="shared" si="273"/>
        <v>11</v>
      </c>
      <c r="U2914" t="str">
        <f t="shared" si="274"/>
        <v>Late</v>
      </c>
      <c r="V2914">
        <f t="shared" si="275"/>
        <v>0</v>
      </c>
    </row>
    <row r="2915" spans="1:22" x14ac:dyDescent="0.45">
      <c r="A2915" t="s">
        <v>3772</v>
      </c>
      <c r="B2915" t="s">
        <v>1921</v>
      </c>
      <c r="C2915" t="s">
        <v>34</v>
      </c>
      <c r="D2915" t="s">
        <v>73</v>
      </c>
      <c r="E2915" t="s">
        <v>15</v>
      </c>
      <c r="F2915">
        <v>193</v>
      </c>
      <c r="G2915">
        <v>58396</v>
      </c>
      <c r="H2915">
        <v>11270428</v>
      </c>
      <c r="I2915" t="s">
        <v>960</v>
      </c>
      <c r="J2915" t="s">
        <v>352</v>
      </c>
      <c r="K2915">
        <v>193</v>
      </c>
      <c r="L2915">
        <v>0</v>
      </c>
      <c r="M2915" t="s">
        <v>115</v>
      </c>
      <c r="N2915" t="str">
        <f t="shared" si="270"/>
        <v>PO-102914</v>
      </c>
      <c r="O2915" t="str">
        <f t="shared" si="271"/>
        <v>Delivered</v>
      </c>
      <c r="P2915" t="str">
        <f t="shared" si="272"/>
        <v>WH-BOM</v>
      </c>
      <c r="Q2915" t="str">
        <f>VLOOKUP(C2915, Lookups!$A$2:$D$10, 2, FALSE())</f>
        <v>FastElectronics</v>
      </c>
      <c r="R2915" t="str">
        <f>_xlfn.XLOOKUP(D2915, Lookups!$A$12:$A$51, Lookups!$C$12:$C$51, "Unknown")</f>
        <v>Electronics</v>
      </c>
      <c r="S2915" t="str">
        <f>IF(ISBLANK(I2915), B2915+VLOOKUP(C2915, Lookups!$A$2:$D$10, 4, FALSE()), I2915)</f>
        <v>2025-04-23</v>
      </c>
      <c r="T2915">
        <f t="shared" si="273"/>
        <v>19</v>
      </c>
      <c r="U2915" t="str">
        <f t="shared" si="274"/>
        <v>Late</v>
      </c>
      <c r="V2915">
        <f t="shared" si="275"/>
        <v>0</v>
      </c>
    </row>
    <row r="2916" spans="1:22" x14ac:dyDescent="0.45">
      <c r="A2916" t="s">
        <v>3773</v>
      </c>
      <c r="B2916" t="s">
        <v>2080</v>
      </c>
      <c r="C2916" t="s">
        <v>36</v>
      </c>
      <c r="D2916" t="s">
        <v>63</v>
      </c>
      <c r="E2916" t="s">
        <v>18</v>
      </c>
      <c r="F2916">
        <v>177</v>
      </c>
      <c r="G2916">
        <v>71062</v>
      </c>
      <c r="H2916">
        <v>12577974</v>
      </c>
      <c r="I2916" t="s">
        <v>1202</v>
      </c>
      <c r="J2916" t="s">
        <v>763</v>
      </c>
      <c r="K2916">
        <v>177</v>
      </c>
      <c r="L2916">
        <v>0</v>
      </c>
      <c r="M2916" t="s">
        <v>115</v>
      </c>
      <c r="N2916" t="str">
        <f t="shared" si="270"/>
        <v>PO-102915</v>
      </c>
      <c r="O2916" t="str">
        <f t="shared" si="271"/>
        <v>Delivered</v>
      </c>
      <c r="P2916" t="str">
        <f t="shared" si="272"/>
        <v>WH-PUN</v>
      </c>
      <c r="Q2916" t="str">
        <f>VLOOKUP(C2916, Lookups!$A$2:$D$10, 2, FALSE())</f>
        <v>NextGen Hardware</v>
      </c>
      <c r="R2916" t="str">
        <f>_xlfn.XLOOKUP(D2916, Lookups!$A$12:$A$51, Lookups!$C$12:$C$51, "Unknown")</f>
        <v>Electronics</v>
      </c>
      <c r="S2916" t="str">
        <f>IF(ISBLANK(I2916), B2916+VLOOKUP(C2916, Lookups!$A$2:$D$10, 4, FALSE()), I2916)</f>
        <v>2025-01-26</v>
      </c>
      <c r="T2916">
        <f t="shared" si="273"/>
        <v>25</v>
      </c>
      <c r="U2916" t="str">
        <f t="shared" si="274"/>
        <v>Late</v>
      </c>
      <c r="V2916">
        <f t="shared" si="275"/>
        <v>0</v>
      </c>
    </row>
    <row r="2917" spans="1:22" x14ac:dyDescent="0.45">
      <c r="A2917" t="s">
        <v>3774</v>
      </c>
      <c r="B2917" t="s">
        <v>261</v>
      </c>
      <c r="C2917" t="s">
        <v>37</v>
      </c>
      <c r="D2917" t="s">
        <v>78</v>
      </c>
      <c r="E2917" t="s">
        <v>18</v>
      </c>
      <c r="F2917">
        <v>102</v>
      </c>
      <c r="G2917">
        <v>9423</v>
      </c>
      <c r="H2917">
        <v>961146</v>
      </c>
      <c r="I2917" t="s">
        <v>1389</v>
      </c>
      <c r="J2917" t="s">
        <v>1389</v>
      </c>
      <c r="K2917">
        <v>102</v>
      </c>
      <c r="L2917">
        <v>0</v>
      </c>
      <c r="M2917" t="s">
        <v>115</v>
      </c>
      <c r="N2917" t="str">
        <f t="shared" si="270"/>
        <v>PO-102916</v>
      </c>
      <c r="O2917" t="str">
        <f t="shared" si="271"/>
        <v>Delivered</v>
      </c>
      <c r="P2917" t="str">
        <f t="shared" si="272"/>
        <v>WH-PUN</v>
      </c>
      <c r="Q2917" t="str">
        <f>VLOOKUP(C2917, Lookups!$A$2:$D$10, 2, FALSE())</f>
        <v>Premium Desks Ltd</v>
      </c>
      <c r="R2917" t="str">
        <f>_xlfn.XLOOKUP(D2917, Lookups!$A$12:$A$51, Lookups!$C$12:$C$51, "Unknown")</f>
        <v>Office Furniture</v>
      </c>
      <c r="S2917" t="str">
        <f>IF(ISBLANK(I2917), B2917+VLOOKUP(C2917, Lookups!$A$2:$D$10, 4, FALSE()), I2917)</f>
        <v>2026-01-27</v>
      </c>
      <c r="T2917">
        <f t="shared" si="273"/>
        <v>12</v>
      </c>
      <c r="U2917" t="str">
        <f t="shared" si="274"/>
        <v>On-Time</v>
      </c>
      <c r="V2917">
        <f t="shared" si="275"/>
        <v>0</v>
      </c>
    </row>
    <row r="2918" spans="1:22" x14ac:dyDescent="0.45">
      <c r="A2918" t="s">
        <v>3775</v>
      </c>
      <c r="B2918" t="s">
        <v>723</v>
      </c>
      <c r="C2918" t="s">
        <v>30</v>
      </c>
      <c r="D2918" t="s">
        <v>82</v>
      </c>
      <c r="E2918" t="s">
        <v>17</v>
      </c>
      <c r="F2918">
        <v>31</v>
      </c>
      <c r="G2918">
        <v>83427</v>
      </c>
      <c r="H2918">
        <v>2586237</v>
      </c>
      <c r="I2918" t="s">
        <v>1459</v>
      </c>
      <c r="J2918" t="s">
        <v>542</v>
      </c>
      <c r="K2918">
        <v>31</v>
      </c>
      <c r="L2918">
        <v>0</v>
      </c>
      <c r="M2918" t="s">
        <v>115</v>
      </c>
      <c r="N2918" t="str">
        <f t="shared" si="270"/>
        <v>PO-102917</v>
      </c>
      <c r="O2918" t="str">
        <f t="shared" si="271"/>
        <v>Delivered</v>
      </c>
      <c r="P2918" t="str">
        <f t="shared" si="272"/>
        <v>WH-BLR</v>
      </c>
      <c r="Q2918" t="str">
        <f>VLOOKUP(C2918, Lookups!$A$2:$D$10, 2, FALSE())</f>
        <v>TechSupply Corp</v>
      </c>
      <c r="R2918" t="str">
        <f>_xlfn.XLOOKUP(D2918, Lookups!$A$12:$A$51, Lookups!$C$12:$C$51, "Unknown")</f>
        <v>Electronics</v>
      </c>
      <c r="S2918" t="str">
        <f>IF(ISBLANK(I2918), B2918+VLOOKUP(C2918, Lookups!$A$2:$D$10, 4, FALSE()), I2918)</f>
        <v>2026-05-18</v>
      </c>
      <c r="T2918">
        <f t="shared" si="273"/>
        <v>15</v>
      </c>
      <c r="U2918" t="str">
        <f t="shared" si="274"/>
        <v>Late</v>
      </c>
      <c r="V2918">
        <f t="shared" si="275"/>
        <v>0</v>
      </c>
    </row>
    <row r="2919" spans="1:22" x14ac:dyDescent="0.45">
      <c r="A2919" t="s">
        <v>3776</v>
      </c>
      <c r="B2919" t="s">
        <v>697</v>
      </c>
      <c r="C2919" t="s">
        <v>30</v>
      </c>
      <c r="D2919" t="s">
        <v>61</v>
      </c>
      <c r="E2919" t="s">
        <v>913</v>
      </c>
      <c r="F2919">
        <v>72</v>
      </c>
      <c r="G2919">
        <v>111237</v>
      </c>
      <c r="H2919">
        <v>8009064</v>
      </c>
      <c r="I2919" t="s">
        <v>613</v>
      </c>
      <c r="J2919" t="s">
        <v>764</v>
      </c>
      <c r="K2919">
        <v>72</v>
      </c>
      <c r="L2919">
        <v>0</v>
      </c>
      <c r="M2919" t="s">
        <v>115</v>
      </c>
      <c r="N2919" t="str">
        <f t="shared" si="270"/>
        <v>PO-102918</v>
      </c>
      <c r="O2919" t="str">
        <f t="shared" si="271"/>
        <v>Delivered</v>
      </c>
      <c r="P2919" t="str">
        <f t="shared" si="272"/>
        <v>WH-DEL</v>
      </c>
      <c r="Q2919" t="str">
        <f>VLOOKUP(C2919, Lookups!$A$2:$D$10, 2, FALSE())</f>
        <v>TechSupply Corp</v>
      </c>
      <c r="R2919" t="str">
        <f>_xlfn.XLOOKUP(D2919, Lookups!$A$12:$A$51, Lookups!$C$12:$C$51, "Unknown")</f>
        <v>Electronics</v>
      </c>
      <c r="S2919" t="str">
        <f>IF(ISBLANK(I2919), B2919+VLOOKUP(C2919, Lookups!$A$2:$D$10, 4, FALSE()), I2919)</f>
        <v>2025-02-05</v>
      </c>
      <c r="T2919">
        <f t="shared" si="273"/>
        <v>28</v>
      </c>
      <c r="U2919" t="str">
        <f t="shared" si="274"/>
        <v>Late</v>
      </c>
      <c r="V2919">
        <f t="shared" si="275"/>
        <v>0</v>
      </c>
    </row>
    <row r="2920" spans="1:22" x14ac:dyDescent="0.45">
      <c r="A2920" t="s">
        <v>3777</v>
      </c>
      <c r="B2920" t="s">
        <v>715</v>
      </c>
      <c r="C2920" t="s">
        <v>30</v>
      </c>
      <c r="D2920" t="s">
        <v>59</v>
      </c>
      <c r="E2920" t="s">
        <v>17</v>
      </c>
      <c r="F2920">
        <v>189</v>
      </c>
      <c r="G2920">
        <v>48905</v>
      </c>
      <c r="H2920">
        <v>9243045</v>
      </c>
      <c r="I2920" t="s">
        <v>533</v>
      </c>
      <c r="J2920" t="s">
        <v>533</v>
      </c>
      <c r="K2920">
        <v>189</v>
      </c>
      <c r="L2920">
        <v>0</v>
      </c>
      <c r="M2920" t="s">
        <v>115</v>
      </c>
      <c r="N2920" t="str">
        <f t="shared" si="270"/>
        <v>PO-102919</v>
      </c>
      <c r="O2920" t="str">
        <f t="shared" si="271"/>
        <v>Delivered</v>
      </c>
      <c r="P2920" t="str">
        <f t="shared" si="272"/>
        <v>WH-BLR</v>
      </c>
      <c r="Q2920" t="str">
        <f>VLOOKUP(C2920, Lookups!$A$2:$D$10, 2, FALSE())</f>
        <v>TechSupply Corp</v>
      </c>
      <c r="R2920" t="str">
        <f>_xlfn.XLOOKUP(D2920, Lookups!$A$12:$A$51, Lookups!$C$12:$C$51, "Unknown")</f>
        <v>Electronics</v>
      </c>
      <c r="S2920" t="str">
        <f>IF(ISBLANK(I2920), B2920+VLOOKUP(C2920, Lookups!$A$2:$D$10, 4, FALSE()), I2920)</f>
        <v>2025-07-24</v>
      </c>
      <c r="T2920">
        <f t="shared" si="273"/>
        <v>14</v>
      </c>
      <c r="U2920" t="str">
        <f t="shared" si="274"/>
        <v>On-Time</v>
      </c>
      <c r="V2920">
        <f t="shared" si="275"/>
        <v>0</v>
      </c>
    </row>
    <row r="2921" spans="1:22" x14ac:dyDescent="0.45">
      <c r="A2921" t="s">
        <v>3778</v>
      </c>
      <c r="B2921" t="s">
        <v>591</v>
      </c>
      <c r="C2921" t="s">
        <v>34</v>
      </c>
      <c r="D2921" t="s">
        <v>73</v>
      </c>
      <c r="E2921" t="s">
        <v>16</v>
      </c>
      <c r="F2921">
        <v>227</v>
      </c>
      <c r="G2921">
        <v>58396</v>
      </c>
      <c r="H2921">
        <v>13255892</v>
      </c>
      <c r="I2921" t="s">
        <v>359</v>
      </c>
      <c r="J2921" t="s">
        <v>262</v>
      </c>
      <c r="K2921">
        <v>227</v>
      </c>
      <c r="L2921">
        <v>0</v>
      </c>
      <c r="M2921" t="s">
        <v>115</v>
      </c>
      <c r="N2921" t="str">
        <f t="shared" si="270"/>
        <v>PO-102920</v>
      </c>
      <c r="O2921" t="str">
        <f t="shared" si="271"/>
        <v>Delivered</v>
      </c>
      <c r="P2921" t="str">
        <f t="shared" si="272"/>
        <v>WH-DEL</v>
      </c>
      <c r="Q2921" t="str">
        <f>VLOOKUP(C2921, Lookups!$A$2:$D$10, 2, FALSE())</f>
        <v>FastElectronics</v>
      </c>
      <c r="R2921" t="str">
        <f>_xlfn.XLOOKUP(D2921, Lookups!$A$12:$A$51, Lookups!$C$12:$C$51, "Unknown")</f>
        <v>Electronics</v>
      </c>
      <c r="S2921" t="str">
        <f>IF(ISBLANK(I2921), B2921+VLOOKUP(C2921, Lookups!$A$2:$D$10, 4, FALSE()), I2921)</f>
        <v>2026-02-07</v>
      </c>
      <c r="T2921">
        <f t="shared" si="273"/>
        <v>19</v>
      </c>
      <c r="U2921" t="str">
        <f t="shared" si="274"/>
        <v>Late</v>
      </c>
      <c r="V2921">
        <f t="shared" si="275"/>
        <v>0</v>
      </c>
    </row>
    <row r="2922" spans="1:22" x14ac:dyDescent="0.45">
      <c r="A2922" t="s">
        <v>3779</v>
      </c>
      <c r="B2922" t="s">
        <v>726</v>
      </c>
      <c r="C2922" t="s">
        <v>35</v>
      </c>
      <c r="D2922" t="s">
        <v>72</v>
      </c>
      <c r="E2922" t="s">
        <v>16</v>
      </c>
      <c r="F2922">
        <v>208</v>
      </c>
      <c r="G2922">
        <v>7754</v>
      </c>
      <c r="H2922">
        <v>1612832</v>
      </c>
      <c r="I2922" t="s">
        <v>466</v>
      </c>
      <c r="J2922" t="s">
        <v>668</v>
      </c>
      <c r="K2922">
        <v>208</v>
      </c>
      <c r="L2922">
        <v>0</v>
      </c>
      <c r="M2922" t="s">
        <v>115</v>
      </c>
      <c r="N2922" t="str">
        <f t="shared" si="270"/>
        <v>PO-102921</v>
      </c>
      <c r="O2922" t="str">
        <f t="shared" si="271"/>
        <v>Delivered</v>
      </c>
      <c r="P2922" t="str">
        <f t="shared" si="272"/>
        <v>WH-DEL</v>
      </c>
      <c r="Q2922" t="str">
        <f>VLOOKUP(C2922, Lookups!$A$2:$D$10, 2, FALSE())</f>
        <v>Peripheral Source</v>
      </c>
      <c r="R2922" t="str">
        <f>_xlfn.XLOOKUP(D2922, Lookups!$A$12:$A$51, Lookups!$C$12:$C$51, "Unknown")</f>
        <v>Peripherals</v>
      </c>
      <c r="S2922" t="str">
        <f>IF(ISBLANK(I2922), B2922+VLOOKUP(C2922, Lookups!$A$2:$D$10, 4, FALSE()), I2922)</f>
        <v>2025-01-23</v>
      </c>
      <c r="T2922">
        <f t="shared" si="273"/>
        <v>11</v>
      </c>
      <c r="U2922" t="str">
        <f t="shared" si="274"/>
        <v>Late</v>
      </c>
      <c r="V2922">
        <f t="shared" si="275"/>
        <v>0</v>
      </c>
    </row>
    <row r="2923" spans="1:22" x14ac:dyDescent="0.45">
      <c r="A2923" t="s">
        <v>3780</v>
      </c>
      <c r="B2923" t="s">
        <v>1459</v>
      </c>
      <c r="C2923" t="s">
        <v>31</v>
      </c>
      <c r="D2923" t="s">
        <v>85</v>
      </c>
      <c r="E2923" t="s">
        <v>15</v>
      </c>
      <c r="F2923">
        <v>172</v>
      </c>
      <c r="G2923">
        <v>16501</v>
      </c>
      <c r="H2923">
        <v>2838172</v>
      </c>
      <c r="I2923" t="s">
        <v>703</v>
      </c>
      <c r="J2923" t="s">
        <v>303</v>
      </c>
      <c r="K2923">
        <v>172</v>
      </c>
      <c r="L2923">
        <v>0</v>
      </c>
      <c r="M2923" t="s">
        <v>115</v>
      </c>
      <c r="N2923" t="str">
        <f t="shared" si="270"/>
        <v>PO-102922</v>
      </c>
      <c r="O2923" t="str">
        <f t="shared" si="271"/>
        <v>Delivered</v>
      </c>
      <c r="P2923" t="str">
        <f t="shared" si="272"/>
        <v>WH-BOM</v>
      </c>
      <c r="Q2923" t="str">
        <f>VLOOKUP(C2923, Lookups!$A$2:$D$10, 2, FALSE())</f>
        <v>Global Networks</v>
      </c>
      <c r="R2923" t="str">
        <f>_xlfn.XLOOKUP(D2923, Lookups!$A$12:$A$51, Lookups!$C$12:$C$51, "Unknown")</f>
        <v>Networking</v>
      </c>
      <c r="S2923" t="str">
        <f>IF(ISBLANK(I2923), B2923+VLOOKUP(C2923, Lookups!$A$2:$D$10, 4, FALSE()), I2923)</f>
        <v>2026-06-08</v>
      </c>
      <c r="T2923">
        <f t="shared" si="273"/>
        <v>22</v>
      </c>
      <c r="U2923" t="str">
        <f t="shared" si="274"/>
        <v>Late</v>
      </c>
      <c r="V2923">
        <f t="shared" si="275"/>
        <v>0</v>
      </c>
    </row>
    <row r="2924" spans="1:22" x14ac:dyDescent="0.45">
      <c r="A2924" t="s">
        <v>3781</v>
      </c>
      <c r="B2924" t="s">
        <v>455</v>
      </c>
      <c r="C2924" t="s">
        <v>34</v>
      </c>
      <c r="D2924" t="s">
        <v>76</v>
      </c>
      <c r="E2924" t="s">
        <v>15</v>
      </c>
      <c r="F2924">
        <v>100</v>
      </c>
      <c r="G2924">
        <v>26270</v>
      </c>
      <c r="H2924">
        <v>2627000</v>
      </c>
      <c r="I2924" t="s">
        <v>1271</v>
      </c>
      <c r="J2924" t="s">
        <v>555</v>
      </c>
      <c r="K2924">
        <v>100</v>
      </c>
      <c r="L2924">
        <v>0</v>
      </c>
      <c r="M2924" t="s">
        <v>178</v>
      </c>
      <c r="N2924" t="str">
        <f t="shared" si="270"/>
        <v>PO-102923</v>
      </c>
      <c r="O2924" t="str">
        <f t="shared" si="271"/>
        <v>Delivered</v>
      </c>
      <c r="P2924" t="str">
        <f t="shared" si="272"/>
        <v>WH-BOM</v>
      </c>
      <c r="Q2924" t="str">
        <f>VLOOKUP(C2924, Lookups!$A$2:$D$10, 2, FALSE())</f>
        <v>FastElectronics</v>
      </c>
      <c r="R2924" t="str">
        <f>_xlfn.XLOOKUP(D2924, Lookups!$A$12:$A$51, Lookups!$C$12:$C$51, "Unknown")</f>
        <v>Networking</v>
      </c>
      <c r="S2924" t="str">
        <f>IF(ISBLANK(I2924), B2924+VLOOKUP(C2924, Lookups!$A$2:$D$10, 4, FALSE()), I2924)</f>
        <v>2026-08-31</v>
      </c>
      <c r="T2924">
        <f t="shared" si="273"/>
        <v>19</v>
      </c>
      <c r="U2924" t="str">
        <f t="shared" si="274"/>
        <v>Late</v>
      </c>
      <c r="V2924">
        <f t="shared" si="275"/>
        <v>0</v>
      </c>
    </row>
    <row r="2925" spans="1:22" x14ac:dyDescent="0.45">
      <c r="A2925" t="s">
        <v>3782</v>
      </c>
      <c r="B2925" t="s">
        <v>619</v>
      </c>
      <c r="C2925" t="s">
        <v>31</v>
      </c>
      <c r="D2925" t="s">
        <v>77</v>
      </c>
      <c r="E2925" t="s">
        <v>15</v>
      </c>
      <c r="F2925">
        <v>111</v>
      </c>
      <c r="G2925">
        <v>23667</v>
      </c>
      <c r="H2925">
        <v>2627037</v>
      </c>
      <c r="I2925" t="s">
        <v>204</v>
      </c>
      <c r="J2925" t="s">
        <v>204</v>
      </c>
      <c r="K2925">
        <v>111</v>
      </c>
      <c r="L2925">
        <v>0</v>
      </c>
      <c r="M2925" t="s">
        <v>115</v>
      </c>
      <c r="N2925" t="str">
        <f t="shared" si="270"/>
        <v>PO-102924</v>
      </c>
      <c r="O2925" t="str">
        <f t="shared" si="271"/>
        <v>Delivered</v>
      </c>
      <c r="P2925" t="str">
        <f t="shared" si="272"/>
        <v>WH-BOM</v>
      </c>
      <c r="Q2925" t="str">
        <f>VLOOKUP(C2925, Lookups!$A$2:$D$10, 2, FALSE())</f>
        <v>Global Networks</v>
      </c>
      <c r="R2925" t="str">
        <f>_xlfn.XLOOKUP(D2925, Lookups!$A$12:$A$51, Lookups!$C$12:$C$51, "Unknown")</f>
        <v>Networking</v>
      </c>
      <c r="S2925" t="str">
        <f>IF(ISBLANK(I2925), B2925+VLOOKUP(C2925, Lookups!$A$2:$D$10, 4, FALSE()), I2925)</f>
        <v>2026-04-09</v>
      </c>
      <c r="T2925">
        <f t="shared" si="273"/>
        <v>21</v>
      </c>
      <c r="U2925" t="str">
        <f t="shared" si="274"/>
        <v>On-Time</v>
      </c>
      <c r="V2925">
        <f t="shared" si="275"/>
        <v>0</v>
      </c>
    </row>
    <row r="2926" spans="1:22" x14ac:dyDescent="0.45">
      <c r="A2926" t="s">
        <v>3783</v>
      </c>
      <c r="B2926" t="s">
        <v>285</v>
      </c>
      <c r="C2926" t="s">
        <v>34</v>
      </c>
      <c r="D2926" t="s">
        <v>73</v>
      </c>
      <c r="E2926" t="s">
        <v>15</v>
      </c>
      <c r="F2926">
        <v>78</v>
      </c>
      <c r="G2926">
        <v>58396</v>
      </c>
      <c r="H2926">
        <v>4554888</v>
      </c>
      <c r="I2926" t="s">
        <v>497</v>
      </c>
      <c r="J2926" t="s">
        <v>477</v>
      </c>
      <c r="K2926">
        <v>78</v>
      </c>
      <c r="L2926">
        <v>0</v>
      </c>
      <c r="M2926" t="s">
        <v>115</v>
      </c>
      <c r="N2926" t="str">
        <f t="shared" si="270"/>
        <v>PO-102925</v>
      </c>
      <c r="O2926" t="str">
        <f t="shared" si="271"/>
        <v>Delivered</v>
      </c>
      <c r="P2926" t="str">
        <f t="shared" si="272"/>
        <v>WH-BOM</v>
      </c>
      <c r="Q2926" t="str">
        <f>VLOOKUP(C2926, Lookups!$A$2:$D$10, 2, FALSE())</f>
        <v>FastElectronics</v>
      </c>
      <c r="R2926" t="str">
        <f>_xlfn.XLOOKUP(D2926, Lookups!$A$12:$A$51, Lookups!$C$12:$C$51, "Unknown")</f>
        <v>Electronics</v>
      </c>
      <c r="S2926" t="str">
        <f>IF(ISBLANK(I2926), B2926+VLOOKUP(C2926, Lookups!$A$2:$D$10, 4, FALSE()), I2926)</f>
        <v>2025-03-19</v>
      </c>
      <c r="T2926">
        <f t="shared" si="273"/>
        <v>27</v>
      </c>
      <c r="U2926" t="str">
        <f t="shared" si="274"/>
        <v>Late</v>
      </c>
      <c r="V2926">
        <f t="shared" si="275"/>
        <v>0</v>
      </c>
    </row>
    <row r="2927" spans="1:22" x14ac:dyDescent="0.45">
      <c r="A2927" t="s">
        <v>3784</v>
      </c>
      <c r="B2927" t="s">
        <v>780</v>
      </c>
      <c r="C2927" t="s">
        <v>30</v>
      </c>
      <c r="D2927" t="s">
        <v>82</v>
      </c>
      <c r="E2927" t="s">
        <v>18</v>
      </c>
      <c r="F2927">
        <v>165</v>
      </c>
      <c r="G2927">
        <v>83427</v>
      </c>
      <c r="H2927">
        <v>13765455</v>
      </c>
      <c r="K2927">
        <v>0</v>
      </c>
      <c r="L2927">
        <v>0</v>
      </c>
      <c r="M2927" t="s">
        <v>297</v>
      </c>
      <c r="N2927" t="str">
        <f t="shared" si="270"/>
        <v>PO-102926</v>
      </c>
      <c r="O2927" t="str">
        <f t="shared" si="271"/>
        <v>Open</v>
      </c>
      <c r="P2927" t="str">
        <f t="shared" si="272"/>
        <v>WH-PUN</v>
      </c>
      <c r="Q2927" t="str">
        <f>VLOOKUP(C2927, Lookups!$A$2:$D$10, 2, FALSE())</f>
        <v>TechSupply Corp</v>
      </c>
      <c r="R2927" t="str">
        <f>_xlfn.XLOOKUP(D2927, Lookups!$A$12:$A$51, Lookups!$C$12:$C$51, "Unknown")</f>
        <v>Electronics</v>
      </c>
      <c r="S2927">
        <f>IF(ISBLANK(I2927), B2927+VLOOKUP(C2927, Lookups!$A$2:$D$10, 4, FALSE()), I2927)</f>
        <v>46369</v>
      </c>
      <c r="T2927" t="str">
        <f t="shared" si="273"/>
        <v/>
      </c>
      <c r="U2927" t="str">
        <f t="shared" si="274"/>
        <v>Open</v>
      </c>
      <c r="V2927">
        <f t="shared" si="275"/>
        <v>0</v>
      </c>
    </row>
    <row r="2928" spans="1:22" x14ac:dyDescent="0.45">
      <c r="A2928" t="s">
        <v>3785</v>
      </c>
      <c r="B2928" t="s">
        <v>455</v>
      </c>
      <c r="C2928" t="s">
        <v>35</v>
      </c>
      <c r="D2928" t="s">
        <v>70</v>
      </c>
      <c r="E2928" t="s">
        <v>18</v>
      </c>
      <c r="F2928">
        <v>123</v>
      </c>
      <c r="G2928">
        <v>4287</v>
      </c>
      <c r="H2928">
        <v>527301</v>
      </c>
      <c r="I2928" t="s">
        <v>348</v>
      </c>
      <c r="J2928" t="s">
        <v>134</v>
      </c>
      <c r="K2928">
        <v>123</v>
      </c>
      <c r="L2928">
        <v>15</v>
      </c>
      <c r="M2928" t="s">
        <v>115</v>
      </c>
      <c r="N2928" t="str">
        <f t="shared" si="270"/>
        <v>PO-102927</v>
      </c>
      <c r="O2928" t="str">
        <f t="shared" si="271"/>
        <v>Delivered</v>
      </c>
      <c r="P2928" t="str">
        <f t="shared" si="272"/>
        <v>WH-PUN</v>
      </c>
      <c r="Q2928" t="str">
        <f>VLOOKUP(C2928, Lookups!$A$2:$D$10, 2, FALSE())</f>
        <v>Peripheral Source</v>
      </c>
      <c r="R2928" t="str">
        <f>_xlfn.XLOOKUP(D2928, Lookups!$A$12:$A$51, Lookups!$C$12:$C$51, "Unknown")</f>
        <v>Peripherals</v>
      </c>
      <c r="S2928" t="str">
        <f>IF(ISBLANK(I2928), B2928+VLOOKUP(C2928, Lookups!$A$2:$D$10, 4, FALSE()), I2928)</f>
        <v>2026-08-23</v>
      </c>
      <c r="T2928">
        <f t="shared" si="273"/>
        <v>21</v>
      </c>
      <c r="U2928" t="str">
        <f t="shared" si="274"/>
        <v>Late</v>
      </c>
      <c r="V2928">
        <f t="shared" si="275"/>
        <v>0.12195121951219512</v>
      </c>
    </row>
    <row r="2929" spans="1:22" x14ac:dyDescent="0.45">
      <c r="A2929" t="s">
        <v>3786</v>
      </c>
      <c r="B2929" t="s">
        <v>147</v>
      </c>
      <c r="C2929" t="s">
        <v>35</v>
      </c>
      <c r="D2929" t="s">
        <v>91</v>
      </c>
      <c r="E2929" t="s">
        <v>18</v>
      </c>
      <c r="F2929">
        <v>221</v>
      </c>
      <c r="G2929">
        <v>6707</v>
      </c>
      <c r="H2929">
        <v>1482247</v>
      </c>
      <c r="I2929" t="s">
        <v>320</v>
      </c>
      <c r="J2929" t="s">
        <v>889</v>
      </c>
      <c r="K2929">
        <v>221</v>
      </c>
      <c r="L2929">
        <v>0</v>
      </c>
      <c r="M2929" t="s">
        <v>115</v>
      </c>
      <c r="N2929" t="str">
        <f t="shared" si="270"/>
        <v>PO-102928</v>
      </c>
      <c r="O2929" t="str">
        <f t="shared" si="271"/>
        <v>Delivered</v>
      </c>
      <c r="P2929" t="str">
        <f t="shared" si="272"/>
        <v>WH-PUN</v>
      </c>
      <c r="Q2929" t="str">
        <f>VLOOKUP(C2929, Lookups!$A$2:$D$10, 2, FALSE())</f>
        <v>Peripheral Source</v>
      </c>
      <c r="R2929" t="str">
        <f>_xlfn.XLOOKUP(D2929, Lookups!$A$12:$A$51, Lookups!$C$12:$C$51, "Unknown")</f>
        <v>Peripherals</v>
      </c>
      <c r="S2929" t="str">
        <f>IF(ISBLANK(I2929), B2929+VLOOKUP(C2929, Lookups!$A$2:$D$10, 4, FALSE()), I2929)</f>
        <v>2025-10-15</v>
      </c>
      <c r="T2929">
        <f t="shared" si="273"/>
        <v>14</v>
      </c>
      <c r="U2929" t="str">
        <f t="shared" si="274"/>
        <v>Late</v>
      </c>
      <c r="V2929">
        <f t="shared" si="275"/>
        <v>0</v>
      </c>
    </row>
    <row r="2930" spans="1:22" x14ac:dyDescent="0.45">
      <c r="A2930" t="s">
        <v>3787</v>
      </c>
      <c r="B2930" t="s">
        <v>703</v>
      </c>
      <c r="C2930" t="s">
        <v>31</v>
      </c>
      <c r="D2930" t="s">
        <v>66</v>
      </c>
      <c r="E2930" t="s">
        <v>15</v>
      </c>
      <c r="F2930">
        <v>141</v>
      </c>
      <c r="G2930">
        <v>29719</v>
      </c>
      <c r="H2930">
        <v>4190379</v>
      </c>
      <c r="I2930" t="s">
        <v>1386</v>
      </c>
      <c r="J2930" t="s">
        <v>194</v>
      </c>
      <c r="K2930">
        <v>141</v>
      </c>
      <c r="L2930">
        <v>0</v>
      </c>
      <c r="M2930" t="s">
        <v>115</v>
      </c>
      <c r="N2930" t="str">
        <f t="shared" si="270"/>
        <v>PO-102929</v>
      </c>
      <c r="O2930" t="str">
        <f t="shared" si="271"/>
        <v>Delivered</v>
      </c>
      <c r="P2930" t="str">
        <f t="shared" si="272"/>
        <v>WH-BOM</v>
      </c>
      <c r="Q2930" t="str">
        <f>VLOOKUP(C2930, Lookups!$A$2:$D$10, 2, FALSE())</f>
        <v>Global Networks</v>
      </c>
      <c r="R2930" t="str">
        <f>_xlfn.XLOOKUP(D2930, Lookups!$A$12:$A$51, Lookups!$C$12:$C$51, "Unknown")</f>
        <v>Networking</v>
      </c>
      <c r="S2930" t="str">
        <f>IF(ISBLANK(I2930), B2930+VLOOKUP(C2930, Lookups!$A$2:$D$10, 4, FALSE()), I2930)</f>
        <v>2026-06-29</v>
      </c>
      <c r="T2930">
        <f t="shared" si="273"/>
        <v>22</v>
      </c>
      <c r="U2930" t="str">
        <f t="shared" si="274"/>
        <v>Late</v>
      </c>
      <c r="V2930">
        <f t="shared" si="275"/>
        <v>0</v>
      </c>
    </row>
    <row r="2931" spans="1:22" x14ac:dyDescent="0.45">
      <c r="A2931" t="s">
        <v>3788</v>
      </c>
      <c r="B2931" t="s">
        <v>1002</v>
      </c>
      <c r="C2931" t="s">
        <v>34</v>
      </c>
      <c r="D2931" t="s">
        <v>80</v>
      </c>
      <c r="E2931" t="s">
        <v>16</v>
      </c>
      <c r="F2931">
        <v>75</v>
      </c>
      <c r="G2931">
        <v>19090</v>
      </c>
      <c r="H2931">
        <v>1431750</v>
      </c>
      <c r="I2931" t="s">
        <v>1048</v>
      </c>
      <c r="J2931" t="s">
        <v>798</v>
      </c>
      <c r="K2931">
        <v>75</v>
      </c>
      <c r="L2931">
        <v>0</v>
      </c>
      <c r="M2931" t="s">
        <v>115</v>
      </c>
      <c r="N2931" t="str">
        <f t="shared" si="270"/>
        <v>PO-102930</v>
      </c>
      <c r="O2931" t="str">
        <f t="shared" si="271"/>
        <v>Delivered</v>
      </c>
      <c r="P2931" t="str">
        <f t="shared" si="272"/>
        <v>WH-DEL</v>
      </c>
      <c r="Q2931" t="str">
        <f>VLOOKUP(C2931, Lookups!$A$2:$D$10, 2, FALSE())</f>
        <v>FastElectronics</v>
      </c>
      <c r="R2931" t="str">
        <f>_xlfn.XLOOKUP(D2931, Lookups!$A$12:$A$51, Lookups!$C$12:$C$51, "Unknown")</f>
        <v>Networking</v>
      </c>
      <c r="S2931" t="str">
        <f>IF(ISBLANK(I2931), B2931+VLOOKUP(C2931, Lookups!$A$2:$D$10, 4, FALSE()), I2931)</f>
        <v>2026-05-14</v>
      </c>
      <c r="T2931">
        <f t="shared" si="273"/>
        <v>19</v>
      </c>
      <c r="U2931" t="str">
        <f t="shared" si="274"/>
        <v>Late</v>
      </c>
      <c r="V2931">
        <f t="shared" si="275"/>
        <v>0</v>
      </c>
    </row>
    <row r="2932" spans="1:22" x14ac:dyDescent="0.45">
      <c r="A2932" t="s">
        <v>3789</v>
      </c>
      <c r="B2932" t="s">
        <v>305</v>
      </c>
      <c r="C2932" t="s">
        <v>31</v>
      </c>
      <c r="D2932" t="s">
        <v>77</v>
      </c>
      <c r="E2932" t="s">
        <v>18</v>
      </c>
      <c r="F2932">
        <v>55</v>
      </c>
      <c r="G2932">
        <v>23667</v>
      </c>
      <c r="H2932">
        <v>1301685</v>
      </c>
      <c r="I2932" t="s">
        <v>2065</v>
      </c>
      <c r="J2932" t="s">
        <v>679</v>
      </c>
      <c r="K2932">
        <v>55</v>
      </c>
      <c r="L2932">
        <v>0</v>
      </c>
      <c r="M2932" t="s">
        <v>115</v>
      </c>
      <c r="N2932" t="str">
        <f t="shared" si="270"/>
        <v>PO-102931</v>
      </c>
      <c r="O2932" t="str">
        <f t="shared" si="271"/>
        <v>Delivered</v>
      </c>
      <c r="P2932" t="str">
        <f t="shared" si="272"/>
        <v>WH-PUN</v>
      </c>
      <c r="Q2932" t="str">
        <f>VLOOKUP(C2932, Lookups!$A$2:$D$10, 2, FALSE())</f>
        <v>Global Networks</v>
      </c>
      <c r="R2932" t="str">
        <f>_xlfn.XLOOKUP(D2932, Lookups!$A$12:$A$51, Lookups!$C$12:$C$51, "Unknown")</f>
        <v>Networking</v>
      </c>
      <c r="S2932" t="str">
        <f>IF(ISBLANK(I2932), B2932+VLOOKUP(C2932, Lookups!$A$2:$D$10, 4, FALSE()), I2932)</f>
        <v>2026-07-19</v>
      </c>
      <c r="T2932">
        <f t="shared" si="273"/>
        <v>22</v>
      </c>
      <c r="U2932" t="str">
        <f t="shared" si="274"/>
        <v>Late</v>
      </c>
      <c r="V2932">
        <f t="shared" si="275"/>
        <v>0</v>
      </c>
    </row>
    <row r="2933" spans="1:22" x14ac:dyDescent="0.45">
      <c r="A2933" t="s">
        <v>3790</v>
      </c>
      <c r="B2933" t="s">
        <v>653</v>
      </c>
      <c r="C2933" t="s">
        <v>31</v>
      </c>
      <c r="D2933" t="s">
        <v>66</v>
      </c>
      <c r="E2933" t="s">
        <v>15</v>
      </c>
      <c r="F2933">
        <v>233</v>
      </c>
      <c r="G2933">
        <v>29719</v>
      </c>
      <c r="H2933">
        <v>6924527</v>
      </c>
      <c r="K2933">
        <v>0</v>
      </c>
      <c r="L2933">
        <v>0</v>
      </c>
      <c r="M2933" t="s">
        <v>297</v>
      </c>
      <c r="N2933" t="str">
        <f t="shared" si="270"/>
        <v>PO-102932</v>
      </c>
      <c r="O2933" t="str">
        <f t="shared" si="271"/>
        <v>Open</v>
      </c>
      <c r="P2933" t="str">
        <f t="shared" si="272"/>
        <v>WH-BOM</v>
      </c>
      <c r="Q2933" t="str">
        <f>VLOOKUP(C2933, Lookups!$A$2:$D$10, 2, FALSE())</f>
        <v>Global Networks</v>
      </c>
      <c r="R2933" t="str">
        <f>_xlfn.XLOOKUP(D2933, Lookups!$A$12:$A$51, Lookups!$C$12:$C$51, "Unknown")</f>
        <v>Networking</v>
      </c>
      <c r="S2933">
        <f>IF(ISBLANK(I2933), B2933+VLOOKUP(C2933, Lookups!$A$2:$D$10, 4, FALSE()), I2933)</f>
        <v>46391</v>
      </c>
      <c r="T2933" t="str">
        <f t="shared" si="273"/>
        <v/>
      </c>
      <c r="U2933" t="str">
        <f t="shared" si="274"/>
        <v>Open</v>
      </c>
      <c r="V2933">
        <f t="shared" si="275"/>
        <v>0</v>
      </c>
    </row>
    <row r="2934" spans="1:22" x14ac:dyDescent="0.45">
      <c r="A2934" t="s">
        <v>3791</v>
      </c>
      <c r="B2934" t="s">
        <v>202</v>
      </c>
      <c r="C2934" t="s">
        <v>31</v>
      </c>
      <c r="D2934" t="s">
        <v>56</v>
      </c>
      <c r="E2934" t="s">
        <v>17</v>
      </c>
      <c r="F2934">
        <v>75</v>
      </c>
      <c r="G2934">
        <v>39270</v>
      </c>
      <c r="H2934">
        <v>2945250</v>
      </c>
      <c r="I2934" t="s">
        <v>855</v>
      </c>
      <c r="J2934" t="s">
        <v>558</v>
      </c>
      <c r="K2934">
        <v>75</v>
      </c>
      <c r="L2934">
        <v>0</v>
      </c>
      <c r="M2934" t="s">
        <v>115</v>
      </c>
      <c r="N2934" t="str">
        <f t="shared" si="270"/>
        <v>PO-102933</v>
      </c>
      <c r="O2934" t="str">
        <f t="shared" si="271"/>
        <v>Delivered</v>
      </c>
      <c r="P2934" t="str">
        <f t="shared" si="272"/>
        <v>WH-BLR</v>
      </c>
      <c r="Q2934" t="str">
        <f>VLOOKUP(C2934, Lookups!$A$2:$D$10, 2, FALSE())</f>
        <v>Global Networks</v>
      </c>
      <c r="R2934" t="str">
        <f>_xlfn.XLOOKUP(D2934, Lookups!$A$12:$A$51, Lookups!$C$12:$C$51, "Unknown")</f>
        <v>Networking</v>
      </c>
      <c r="S2934" t="str">
        <f>IF(ISBLANK(I2934), B2934+VLOOKUP(C2934, Lookups!$A$2:$D$10, 4, FALSE()), I2934)</f>
        <v>2026-04-17</v>
      </c>
      <c r="T2934">
        <f t="shared" si="273"/>
        <v>22</v>
      </c>
      <c r="U2934" t="str">
        <f t="shared" si="274"/>
        <v>Late</v>
      </c>
      <c r="V2934">
        <f t="shared" si="275"/>
        <v>0</v>
      </c>
    </row>
    <row r="2935" spans="1:22" x14ac:dyDescent="0.45">
      <c r="A2935" t="s">
        <v>3792</v>
      </c>
      <c r="B2935" t="s">
        <v>1190</v>
      </c>
      <c r="C2935" t="s">
        <v>31</v>
      </c>
      <c r="D2935" t="s">
        <v>64</v>
      </c>
      <c r="E2935" t="s">
        <v>16</v>
      </c>
      <c r="F2935">
        <v>108</v>
      </c>
      <c r="G2935">
        <v>36295</v>
      </c>
      <c r="H2935">
        <v>3919860</v>
      </c>
      <c r="I2935" t="s">
        <v>168</v>
      </c>
      <c r="J2935" t="s">
        <v>168</v>
      </c>
      <c r="K2935">
        <v>108</v>
      </c>
      <c r="L2935">
        <v>0</v>
      </c>
      <c r="M2935" t="s">
        <v>115</v>
      </c>
      <c r="N2935" t="str">
        <f t="shared" si="270"/>
        <v>PO-102934</v>
      </c>
      <c r="O2935" t="str">
        <f t="shared" si="271"/>
        <v>Delivered</v>
      </c>
      <c r="P2935" t="str">
        <f t="shared" si="272"/>
        <v>WH-DEL</v>
      </c>
      <c r="Q2935" t="str">
        <f>VLOOKUP(C2935, Lookups!$A$2:$D$10, 2, FALSE())</f>
        <v>Global Networks</v>
      </c>
      <c r="R2935" t="str">
        <f>_xlfn.XLOOKUP(D2935, Lookups!$A$12:$A$51, Lookups!$C$12:$C$51, "Unknown")</f>
        <v>Networking</v>
      </c>
      <c r="S2935" t="str">
        <f>IF(ISBLANK(I2935), B2935+VLOOKUP(C2935, Lookups!$A$2:$D$10, 4, FALSE()), I2935)</f>
        <v>2025-05-20</v>
      </c>
      <c r="T2935">
        <f t="shared" si="273"/>
        <v>21</v>
      </c>
      <c r="U2935" t="str">
        <f t="shared" si="274"/>
        <v>On-Time</v>
      </c>
      <c r="V2935">
        <f t="shared" si="275"/>
        <v>0</v>
      </c>
    </row>
    <row r="2936" spans="1:22" x14ac:dyDescent="0.45">
      <c r="A2936" t="s">
        <v>3793</v>
      </c>
      <c r="B2936" t="s">
        <v>371</v>
      </c>
      <c r="C2936" t="s">
        <v>34</v>
      </c>
      <c r="D2936" t="s">
        <v>76</v>
      </c>
      <c r="E2936" t="s">
        <v>18</v>
      </c>
      <c r="F2936">
        <v>205</v>
      </c>
      <c r="G2936">
        <v>26270</v>
      </c>
      <c r="H2936">
        <v>5385350</v>
      </c>
      <c r="I2936" t="s">
        <v>1776</v>
      </c>
      <c r="J2936" t="s">
        <v>1776</v>
      </c>
      <c r="K2936">
        <v>205</v>
      </c>
      <c r="L2936">
        <v>0</v>
      </c>
      <c r="M2936" t="s">
        <v>115</v>
      </c>
      <c r="N2936" t="str">
        <f t="shared" si="270"/>
        <v>PO-102935</v>
      </c>
      <c r="O2936" t="str">
        <f t="shared" si="271"/>
        <v>Delivered</v>
      </c>
      <c r="P2936" t="str">
        <f t="shared" si="272"/>
        <v>WH-PUN</v>
      </c>
      <c r="Q2936" t="str">
        <f>VLOOKUP(C2936, Lookups!$A$2:$D$10, 2, FALSE())</f>
        <v>FastElectronics</v>
      </c>
      <c r="R2936" t="str">
        <f>_xlfn.XLOOKUP(D2936, Lookups!$A$12:$A$51, Lookups!$C$12:$C$51, "Unknown")</f>
        <v>Networking</v>
      </c>
      <c r="S2936" t="str">
        <f>IF(ISBLANK(I2936), B2936+VLOOKUP(C2936, Lookups!$A$2:$D$10, 4, FALSE()), I2936)</f>
        <v>2025-12-20</v>
      </c>
      <c r="T2936">
        <f t="shared" si="273"/>
        <v>18</v>
      </c>
      <c r="U2936" t="str">
        <f t="shared" si="274"/>
        <v>On-Time</v>
      </c>
      <c r="V2936">
        <f t="shared" si="275"/>
        <v>0</v>
      </c>
    </row>
    <row r="2937" spans="1:22" x14ac:dyDescent="0.45">
      <c r="A2937" t="s">
        <v>3794</v>
      </c>
      <c r="B2937" t="s">
        <v>951</v>
      </c>
      <c r="C2937" t="s">
        <v>36</v>
      </c>
      <c r="D2937" t="s">
        <v>63</v>
      </c>
      <c r="E2937" t="s">
        <v>17</v>
      </c>
      <c r="F2937">
        <v>202</v>
      </c>
      <c r="G2937">
        <v>71062</v>
      </c>
      <c r="H2937">
        <v>14354524</v>
      </c>
      <c r="I2937" t="s">
        <v>1066</v>
      </c>
      <c r="J2937" t="s">
        <v>131</v>
      </c>
      <c r="K2937">
        <v>202</v>
      </c>
      <c r="L2937">
        <v>0</v>
      </c>
      <c r="M2937" t="s">
        <v>115</v>
      </c>
      <c r="N2937" t="str">
        <f t="shared" si="270"/>
        <v>PO-102936</v>
      </c>
      <c r="O2937" t="str">
        <f t="shared" si="271"/>
        <v>Delivered</v>
      </c>
      <c r="P2937" t="str">
        <f t="shared" si="272"/>
        <v>WH-BLR</v>
      </c>
      <c r="Q2937" t="str">
        <f>VLOOKUP(C2937, Lookups!$A$2:$D$10, 2, FALSE())</f>
        <v>NextGen Hardware</v>
      </c>
      <c r="R2937" t="str">
        <f>_xlfn.XLOOKUP(D2937, Lookups!$A$12:$A$51, Lookups!$C$12:$C$51, "Unknown")</f>
        <v>Electronics</v>
      </c>
      <c r="S2937" t="str">
        <f>IF(ISBLANK(I2937), B2937+VLOOKUP(C2937, Lookups!$A$2:$D$10, 4, FALSE()), I2937)</f>
        <v>2026-07-26</v>
      </c>
      <c r="T2937">
        <f t="shared" si="273"/>
        <v>25</v>
      </c>
      <c r="U2937" t="str">
        <f t="shared" si="274"/>
        <v>Late</v>
      </c>
      <c r="V2937">
        <f t="shared" si="275"/>
        <v>0</v>
      </c>
    </row>
    <row r="2938" spans="1:22" x14ac:dyDescent="0.45">
      <c r="A2938" t="s">
        <v>3795</v>
      </c>
      <c r="B2938" t="s">
        <v>1247</v>
      </c>
      <c r="C2938" t="s">
        <v>32</v>
      </c>
      <c r="D2938" t="s">
        <v>67</v>
      </c>
      <c r="E2938" t="s">
        <v>18</v>
      </c>
      <c r="F2938">
        <v>30</v>
      </c>
      <c r="G2938">
        <v>1553</v>
      </c>
      <c r="H2938">
        <v>46590</v>
      </c>
      <c r="I2938" t="s">
        <v>1019</v>
      </c>
      <c r="J2938" t="s">
        <v>1106</v>
      </c>
      <c r="K2938">
        <v>23</v>
      </c>
      <c r="L2938">
        <v>0</v>
      </c>
      <c r="M2938" t="s">
        <v>115</v>
      </c>
      <c r="N2938" t="str">
        <f t="shared" si="270"/>
        <v>PO-102937</v>
      </c>
      <c r="O2938" t="str">
        <f t="shared" si="271"/>
        <v>Delivered</v>
      </c>
      <c r="P2938" t="str">
        <f t="shared" si="272"/>
        <v>WH-PUN</v>
      </c>
      <c r="Q2938" t="str">
        <f>VLOOKUP(C2938, Lookups!$A$2:$D$10, 2, FALSE())</f>
        <v>OfficeDepot Pro</v>
      </c>
      <c r="R2938" t="str">
        <f>_xlfn.XLOOKUP(D2938, Lookups!$A$12:$A$51, Lookups!$C$12:$C$51, "Unknown")</f>
        <v>Peripherals</v>
      </c>
      <c r="S2938" t="str">
        <f>IF(ISBLANK(I2938), B2938+VLOOKUP(C2938, Lookups!$A$2:$D$10, 4, FALSE()), I2938)</f>
        <v>2025-05-09</v>
      </c>
      <c r="T2938">
        <f t="shared" si="273"/>
        <v>8</v>
      </c>
      <c r="U2938" t="str">
        <f t="shared" si="274"/>
        <v>Late</v>
      </c>
      <c r="V2938">
        <f t="shared" si="275"/>
        <v>0</v>
      </c>
    </row>
    <row r="2939" spans="1:22" x14ac:dyDescent="0.45">
      <c r="A2939" t="s">
        <v>3796</v>
      </c>
      <c r="B2939" t="s">
        <v>211</v>
      </c>
      <c r="C2939" t="s">
        <v>35</v>
      </c>
      <c r="D2939" t="s">
        <v>65</v>
      </c>
      <c r="E2939" t="s">
        <v>15</v>
      </c>
      <c r="F2939">
        <v>105</v>
      </c>
      <c r="G2939">
        <v>4936</v>
      </c>
      <c r="H2939">
        <v>518280</v>
      </c>
      <c r="I2939" t="s">
        <v>1187</v>
      </c>
      <c r="J2939" t="s">
        <v>1442</v>
      </c>
      <c r="K2939">
        <v>105</v>
      </c>
      <c r="L2939">
        <v>0</v>
      </c>
      <c r="M2939" t="s">
        <v>115</v>
      </c>
      <c r="N2939" t="str">
        <f t="shared" si="270"/>
        <v>PO-102938</v>
      </c>
      <c r="O2939" t="str">
        <f t="shared" si="271"/>
        <v>Delivered</v>
      </c>
      <c r="P2939" t="str">
        <f t="shared" si="272"/>
        <v>WH-BOM</v>
      </c>
      <c r="Q2939" t="str">
        <f>VLOOKUP(C2939, Lookups!$A$2:$D$10, 2, FALSE())</f>
        <v>Peripheral Source</v>
      </c>
      <c r="R2939" t="str">
        <f>_xlfn.XLOOKUP(D2939, Lookups!$A$12:$A$51, Lookups!$C$12:$C$51, "Unknown")</f>
        <v>Peripherals</v>
      </c>
      <c r="S2939" t="str">
        <f>IF(ISBLANK(I2939), B2939+VLOOKUP(C2939, Lookups!$A$2:$D$10, 4, FALSE()), I2939)</f>
        <v>2025-07-01</v>
      </c>
      <c r="T2939">
        <f t="shared" si="273"/>
        <v>11</v>
      </c>
      <c r="U2939" t="str">
        <f t="shared" si="274"/>
        <v>Late</v>
      </c>
      <c r="V2939">
        <f t="shared" si="275"/>
        <v>0</v>
      </c>
    </row>
    <row r="2940" spans="1:22" x14ac:dyDescent="0.45">
      <c r="A2940" t="s">
        <v>3797</v>
      </c>
      <c r="B2940" t="s">
        <v>883</v>
      </c>
      <c r="C2940" t="s">
        <v>35</v>
      </c>
      <c r="D2940" t="s">
        <v>57</v>
      </c>
      <c r="E2940" t="s">
        <v>16</v>
      </c>
      <c r="F2940">
        <v>40</v>
      </c>
      <c r="G2940">
        <v>2212</v>
      </c>
      <c r="H2940">
        <v>88480</v>
      </c>
      <c r="I2940" t="s">
        <v>991</v>
      </c>
      <c r="J2940" t="s">
        <v>991</v>
      </c>
      <c r="K2940">
        <v>40</v>
      </c>
      <c r="L2940">
        <v>0</v>
      </c>
      <c r="M2940" t="s">
        <v>115</v>
      </c>
      <c r="N2940" t="str">
        <f t="shared" si="270"/>
        <v>PO-102939</v>
      </c>
      <c r="O2940" t="str">
        <f t="shared" si="271"/>
        <v>Delivered</v>
      </c>
      <c r="P2940" t="str">
        <f t="shared" si="272"/>
        <v>WH-DEL</v>
      </c>
      <c r="Q2940" t="str">
        <f>VLOOKUP(C2940, Lookups!$A$2:$D$10, 2, FALSE())</f>
        <v>Peripheral Source</v>
      </c>
      <c r="R2940" t="str">
        <f>_xlfn.XLOOKUP(D2940, Lookups!$A$12:$A$51, Lookups!$C$12:$C$51, "Unknown")</f>
        <v>Peripherals</v>
      </c>
      <c r="S2940" t="str">
        <f>IF(ISBLANK(I2940), B2940+VLOOKUP(C2940, Lookups!$A$2:$D$10, 4, FALSE()), I2940)</f>
        <v>2026-07-16</v>
      </c>
      <c r="T2940">
        <f t="shared" si="273"/>
        <v>10</v>
      </c>
      <c r="U2940" t="str">
        <f t="shared" si="274"/>
        <v>On-Time</v>
      </c>
      <c r="V2940">
        <f t="shared" si="275"/>
        <v>0</v>
      </c>
    </row>
    <row r="2941" spans="1:22" x14ac:dyDescent="0.45">
      <c r="A2941" t="s">
        <v>3798</v>
      </c>
      <c r="B2941" t="s">
        <v>1736</v>
      </c>
      <c r="C2941" t="s">
        <v>32</v>
      </c>
      <c r="D2941" t="s">
        <v>67</v>
      </c>
      <c r="E2941" t="s">
        <v>18</v>
      </c>
      <c r="F2941">
        <v>216</v>
      </c>
      <c r="G2941">
        <v>1553</v>
      </c>
      <c r="H2941">
        <v>335448</v>
      </c>
      <c r="I2941" t="s">
        <v>432</v>
      </c>
      <c r="J2941" t="s">
        <v>432</v>
      </c>
      <c r="K2941">
        <v>164</v>
      </c>
      <c r="L2941">
        <v>0</v>
      </c>
      <c r="M2941" t="s">
        <v>115</v>
      </c>
      <c r="N2941" t="str">
        <f t="shared" si="270"/>
        <v>PO-102940</v>
      </c>
      <c r="O2941" t="str">
        <f t="shared" si="271"/>
        <v>Delivered</v>
      </c>
      <c r="P2941" t="str">
        <f t="shared" si="272"/>
        <v>WH-PUN</v>
      </c>
      <c r="Q2941" t="str">
        <f>VLOOKUP(C2941, Lookups!$A$2:$D$10, 2, FALSE())</f>
        <v>OfficeDepot Pro</v>
      </c>
      <c r="R2941" t="str">
        <f>_xlfn.XLOOKUP(D2941, Lookups!$A$12:$A$51, Lookups!$C$12:$C$51, "Unknown")</f>
        <v>Peripherals</v>
      </c>
      <c r="S2941" t="str">
        <f>IF(ISBLANK(I2941), B2941+VLOOKUP(C2941, Lookups!$A$2:$D$10, 4, FALSE()), I2941)</f>
        <v>2025-03-25</v>
      </c>
      <c r="T2941">
        <f t="shared" si="273"/>
        <v>7</v>
      </c>
      <c r="U2941" t="str">
        <f t="shared" si="274"/>
        <v>On-Time</v>
      </c>
      <c r="V2941">
        <f t="shared" si="275"/>
        <v>0</v>
      </c>
    </row>
    <row r="2942" spans="1:22" x14ac:dyDescent="0.45">
      <c r="A2942" t="s">
        <v>3799</v>
      </c>
      <c r="B2942" t="s">
        <v>1407</v>
      </c>
      <c r="C2942" t="s">
        <v>37</v>
      </c>
      <c r="D2942" t="s">
        <v>79</v>
      </c>
      <c r="E2942" t="s">
        <v>17</v>
      </c>
      <c r="F2942">
        <v>82</v>
      </c>
      <c r="G2942">
        <v>23054</v>
      </c>
      <c r="H2942">
        <v>1890428</v>
      </c>
      <c r="I2942" t="s">
        <v>464</v>
      </c>
      <c r="J2942" t="s">
        <v>464</v>
      </c>
      <c r="K2942">
        <v>82</v>
      </c>
      <c r="L2942">
        <v>0</v>
      </c>
      <c r="M2942" t="s">
        <v>115</v>
      </c>
      <c r="N2942" t="str">
        <f t="shared" si="270"/>
        <v>PO-102941</v>
      </c>
      <c r="O2942" t="str">
        <f t="shared" si="271"/>
        <v>Delivered</v>
      </c>
      <c r="P2942" t="str">
        <f t="shared" si="272"/>
        <v>WH-BLR</v>
      </c>
      <c r="Q2942" t="str">
        <f>VLOOKUP(C2942, Lookups!$A$2:$D$10, 2, FALSE())</f>
        <v>Premium Desks Ltd</v>
      </c>
      <c r="R2942" t="str">
        <f>_xlfn.XLOOKUP(D2942, Lookups!$A$12:$A$51, Lookups!$C$12:$C$51, "Unknown")</f>
        <v>Office Furniture</v>
      </c>
      <c r="S2942" t="str">
        <f>IF(ISBLANK(I2942), B2942+VLOOKUP(C2942, Lookups!$A$2:$D$10, 4, FALSE()), I2942)</f>
        <v>2025-11-20</v>
      </c>
      <c r="T2942">
        <f t="shared" si="273"/>
        <v>12</v>
      </c>
      <c r="U2942" t="str">
        <f t="shared" si="274"/>
        <v>On-Time</v>
      </c>
      <c r="V2942">
        <f t="shared" si="275"/>
        <v>0</v>
      </c>
    </row>
    <row r="2943" spans="1:22" x14ac:dyDescent="0.45">
      <c r="A2943" t="s">
        <v>3800</v>
      </c>
      <c r="B2943" t="s">
        <v>514</v>
      </c>
      <c r="C2943" t="s">
        <v>31</v>
      </c>
      <c r="D2943" t="s">
        <v>56</v>
      </c>
      <c r="E2943" t="s">
        <v>17</v>
      </c>
      <c r="F2943">
        <v>35</v>
      </c>
      <c r="G2943">
        <v>39270</v>
      </c>
      <c r="H2943">
        <v>1374450</v>
      </c>
      <c r="I2943" t="s">
        <v>680</v>
      </c>
      <c r="J2943" t="s">
        <v>680</v>
      </c>
      <c r="K2943">
        <v>35</v>
      </c>
      <c r="L2943">
        <v>0</v>
      </c>
      <c r="M2943" t="s">
        <v>115</v>
      </c>
      <c r="N2943" t="str">
        <f t="shared" si="270"/>
        <v>PO-102942</v>
      </c>
      <c r="O2943" t="str">
        <f t="shared" si="271"/>
        <v>Delivered</v>
      </c>
      <c r="P2943" t="str">
        <f t="shared" si="272"/>
        <v>WH-BLR</v>
      </c>
      <c r="Q2943" t="str">
        <f>VLOOKUP(C2943, Lookups!$A$2:$D$10, 2, FALSE())</f>
        <v>Global Networks</v>
      </c>
      <c r="R2943" t="str">
        <f>_xlfn.XLOOKUP(D2943, Lookups!$A$12:$A$51, Lookups!$C$12:$C$51, "Unknown")</f>
        <v>Networking</v>
      </c>
      <c r="S2943" t="str">
        <f>IF(ISBLANK(I2943), B2943+VLOOKUP(C2943, Lookups!$A$2:$D$10, 4, FALSE()), I2943)</f>
        <v>2026-08-04</v>
      </c>
      <c r="T2943">
        <f t="shared" si="273"/>
        <v>21</v>
      </c>
      <c r="U2943" t="str">
        <f t="shared" si="274"/>
        <v>On-Time</v>
      </c>
      <c r="V2943">
        <f t="shared" si="275"/>
        <v>0</v>
      </c>
    </row>
    <row r="2944" spans="1:22" x14ac:dyDescent="0.45">
      <c r="A2944" t="s">
        <v>3801</v>
      </c>
      <c r="B2944" t="s">
        <v>123</v>
      </c>
      <c r="C2944" t="s">
        <v>36</v>
      </c>
      <c r="D2944" t="s">
        <v>87</v>
      </c>
      <c r="E2944" t="s">
        <v>15</v>
      </c>
      <c r="F2944">
        <v>231</v>
      </c>
      <c r="G2944">
        <v>82930</v>
      </c>
      <c r="H2944">
        <v>19156830</v>
      </c>
      <c r="I2944" t="s">
        <v>842</v>
      </c>
      <c r="J2944" t="s">
        <v>842</v>
      </c>
      <c r="K2944">
        <v>231</v>
      </c>
      <c r="L2944">
        <v>0</v>
      </c>
      <c r="M2944" t="s">
        <v>115</v>
      </c>
      <c r="N2944" t="str">
        <f t="shared" si="270"/>
        <v>PO-102943</v>
      </c>
      <c r="O2944" t="str">
        <f t="shared" si="271"/>
        <v>Delivered</v>
      </c>
      <c r="P2944" t="str">
        <f t="shared" si="272"/>
        <v>WH-BOM</v>
      </c>
      <c r="Q2944" t="str">
        <f>VLOOKUP(C2944, Lookups!$A$2:$D$10, 2, FALSE())</f>
        <v>NextGen Hardware</v>
      </c>
      <c r="R2944" t="str">
        <f>_xlfn.XLOOKUP(D2944, Lookups!$A$12:$A$51, Lookups!$C$12:$C$51, "Unknown")</f>
        <v>Electronics</v>
      </c>
      <c r="S2944" t="str">
        <f>IF(ISBLANK(I2944), B2944+VLOOKUP(C2944, Lookups!$A$2:$D$10, 4, FALSE()), I2944)</f>
        <v>2026-06-15</v>
      </c>
      <c r="T2944">
        <f t="shared" si="273"/>
        <v>24</v>
      </c>
      <c r="U2944" t="str">
        <f t="shared" si="274"/>
        <v>On-Time</v>
      </c>
      <c r="V2944">
        <f t="shared" si="275"/>
        <v>0</v>
      </c>
    </row>
    <row r="2945" spans="1:22" x14ac:dyDescent="0.45">
      <c r="A2945" t="s">
        <v>3802</v>
      </c>
      <c r="B2945" t="s">
        <v>1497</v>
      </c>
      <c r="C2945" t="s">
        <v>30</v>
      </c>
      <c r="D2945" t="s">
        <v>86</v>
      </c>
      <c r="E2945" t="s">
        <v>15</v>
      </c>
      <c r="F2945">
        <v>15</v>
      </c>
      <c r="G2945">
        <v>74871</v>
      </c>
      <c r="H2945">
        <v>1123065</v>
      </c>
      <c r="I2945" t="s">
        <v>323</v>
      </c>
      <c r="J2945" t="s">
        <v>338</v>
      </c>
      <c r="K2945">
        <v>15</v>
      </c>
      <c r="L2945">
        <v>2</v>
      </c>
      <c r="M2945" t="s">
        <v>115</v>
      </c>
      <c r="N2945" t="str">
        <f t="shared" si="270"/>
        <v>PO-102944</v>
      </c>
      <c r="O2945" t="str">
        <f t="shared" si="271"/>
        <v>Delivered</v>
      </c>
      <c r="P2945" t="str">
        <f t="shared" si="272"/>
        <v>WH-BOM</v>
      </c>
      <c r="Q2945" t="str">
        <f>VLOOKUP(C2945, Lookups!$A$2:$D$10, 2, FALSE())</f>
        <v>TechSupply Corp</v>
      </c>
      <c r="R2945" t="str">
        <f>_xlfn.XLOOKUP(D2945, Lookups!$A$12:$A$51, Lookups!$C$12:$C$51, "Unknown")</f>
        <v>Electronics</v>
      </c>
      <c r="S2945" t="str">
        <f>IF(ISBLANK(I2945), B2945+VLOOKUP(C2945, Lookups!$A$2:$D$10, 4, FALSE()), I2945)</f>
        <v>2026-04-04</v>
      </c>
      <c r="T2945">
        <f t="shared" si="273"/>
        <v>15</v>
      </c>
      <c r="U2945" t="str">
        <f t="shared" si="274"/>
        <v>Late</v>
      </c>
      <c r="V2945">
        <f t="shared" si="275"/>
        <v>0.13333333333333333</v>
      </c>
    </row>
    <row r="2946" spans="1:22" x14ac:dyDescent="0.45">
      <c r="A2946" t="s">
        <v>3803</v>
      </c>
      <c r="B2946" t="s">
        <v>907</v>
      </c>
      <c r="C2946" t="s">
        <v>31</v>
      </c>
      <c r="D2946" t="s">
        <v>56</v>
      </c>
      <c r="E2946" t="s">
        <v>17</v>
      </c>
      <c r="F2946">
        <v>88</v>
      </c>
      <c r="G2946">
        <v>39270</v>
      </c>
      <c r="H2946">
        <v>3455760</v>
      </c>
      <c r="I2946" t="s">
        <v>196</v>
      </c>
      <c r="J2946" t="s">
        <v>290</v>
      </c>
      <c r="K2946">
        <v>88</v>
      </c>
      <c r="L2946">
        <v>0</v>
      </c>
      <c r="M2946" t="s">
        <v>115</v>
      </c>
      <c r="N2946" t="str">
        <f t="shared" ref="N2946:N3009" si="276">TRIM(A2946)</f>
        <v>PO-102945</v>
      </c>
      <c r="O2946" t="str">
        <f t="shared" ref="O2946:O3009" si="277">PROPER(TRIM(M2946))</f>
        <v>Delivered</v>
      </c>
      <c r="P2946" t="str">
        <f t="shared" ref="P2946:P3009" si="278">TRIM(E2946)</f>
        <v>WH-BLR</v>
      </c>
      <c r="Q2946" t="str">
        <f>VLOOKUP(C2946, Lookups!$A$2:$D$10, 2, FALSE())</f>
        <v>Global Networks</v>
      </c>
      <c r="R2946" t="str">
        <f>_xlfn.XLOOKUP(D2946, Lookups!$A$12:$A$51, Lookups!$C$12:$C$51, "Unknown")</f>
        <v>Networking</v>
      </c>
      <c r="S2946" t="str">
        <f>IF(ISBLANK(I2946), B2946+VLOOKUP(C2946, Lookups!$A$2:$D$10, 4, FALSE()), I2946)</f>
        <v>2026-07-11</v>
      </c>
      <c r="T2946">
        <f t="shared" ref="T2946:T3009" si="279">IF(ISBLANK(J2946), "", J2946-B2946)</f>
        <v>22</v>
      </c>
      <c r="U2946" t="str">
        <f t="shared" ref="U2946:U3009" si="280">IF(O2946="Open", "Open", IF(J2946&gt;S2946, "Late", "On-Time"))</f>
        <v>Late</v>
      </c>
      <c r="V2946">
        <f t="shared" ref="V2946:V3009" si="281">IF(K2946&gt;0, L2946/K2946, 0)</f>
        <v>0</v>
      </c>
    </row>
    <row r="2947" spans="1:22" x14ac:dyDescent="0.45">
      <c r="A2947" t="s">
        <v>3804</v>
      </c>
      <c r="B2947" t="s">
        <v>342</v>
      </c>
      <c r="C2947" t="s">
        <v>34</v>
      </c>
      <c r="D2947" t="s">
        <v>58</v>
      </c>
      <c r="E2947" t="s">
        <v>15</v>
      </c>
      <c r="F2947">
        <v>132</v>
      </c>
      <c r="G2947">
        <v>100302</v>
      </c>
      <c r="H2947">
        <v>13239864</v>
      </c>
      <c r="I2947" t="s">
        <v>1285</v>
      </c>
      <c r="J2947" t="s">
        <v>1285</v>
      </c>
      <c r="K2947">
        <v>132</v>
      </c>
      <c r="L2947">
        <v>0</v>
      </c>
      <c r="M2947" t="s">
        <v>115</v>
      </c>
      <c r="N2947" t="str">
        <f t="shared" si="276"/>
        <v>PO-102946</v>
      </c>
      <c r="O2947" t="str">
        <f t="shared" si="277"/>
        <v>Delivered</v>
      </c>
      <c r="P2947" t="str">
        <f t="shared" si="278"/>
        <v>WH-BOM</v>
      </c>
      <c r="Q2947" t="str">
        <f>VLOOKUP(C2947, Lookups!$A$2:$D$10, 2, FALSE())</f>
        <v>FastElectronics</v>
      </c>
      <c r="R2947" t="str">
        <f>_xlfn.XLOOKUP(D2947, Lookups!$A$12:$A$51, Lookups!$C$12:$C$51, "Unknown")</f>
        <v>Electronics</v>
      </c>
      <c r="S2947" t="str">
        <f>IF(ISBLANK(I2947), B2947+VLOOKUP(C2947, Lookups!$A$2:$D$10, 4, FALSE()), I2947)</f>
        <v>2026-02-21</v>
      </c>
      <c r="T2947">
        <f t="shared" si="279"/>
        <v>18</v>
      </c>
      <c r="U2947" t="str">
        <f t="shared" si="280"/>
        <v>On-Time</v>
      </c>
      <c r="V2947">
        <f t="shared" si="281"/>
        <v>0</v>
      </c>
    </row>
    <row r="2948" spans="1:22" x14ac:dyDescent="0.45">
      <c r="A2948" t="s">
        <v>3805</v>
      </c>
      <c r="B2948" t="s">
        <v>120</v>
      </c>
      <c r="C2948" t="s">
        <v>37</v>
      </c>
      <c r="D2948" t="s">
        <v>78</v>
      </c>
      <c r="E2948" t="s">
        <v>18</v>
      </c>
      <c r="F2948">
        <v>22</v>
      </c>
      <c r="G2948">
        <v>9423</v>
      </c>
      <c r="H2948">
        <v>207306</v>
      </c>
      <c r="I2948" t="s">
        <v>965</v>
      </c>
      <c r="J2948" t="s">
        <v>965</v>
      </c>
      <c r="K2948">
        <v>22</v>
      </c>
      <c r="L2948">
        <v>0</v>
      </c>
      <c r="M2948" t="s">
        <v>115</v>
      </c>
      <c r="N2948" t="str">
        <f t="shared" si="276"/>
        <v>PO-102947</v>
      </c>
      <c r="O2948" t="str">
        <f t="shared" si="277"/>
        <v>Delivered</v>
      </c>
      <c r="P2948" t="str">
        <f t="shared" si="278"/>
        <v>WH-PUN</v>
      </c>
      <c r="Q2948" t="str">
        <f>VLOOKUP(C2948, Lookups!$A$2:$D$10, 2, FALSE())</f>
        <v>Premium Desks Ltd</v>
      </c>
      <c r="R2948" t="str">
        <f>_xlfn.XLOOKUP(D2948, Lookups!$A$12:$A$51, Lookups!$C$12:$C$51, "Unknown")</f>
        <v>Office Furniture</v>
      </c>
      <c r="S2948" t="str">
        <f>IF(ISBLANK(I2948), B2948+VLOOKUP(C2948, Lookups!$A$2:$D$10, 4, FALSE()), I2948)</f>
        <v>2025-01-15</v>
      </c>
      <c r="T2948">
        <f t="shared" si="279"/>
        <v>12</v>
      </c>
      <c r="U2948" t="str">
        <f t="shared" si="280"/>
        <v>On-Time</v>
      </c>
      <c r="V2948">
        <f t="shared" si="281"/>
        <v>0</v>
      </c>
    </row>
    <row r="2949" spans="1:22" x14ac:dyDescent="0.45">
      <c r="A2949" t="s">
        <v>3806</v>
      </c>
      <c r="B2949" t="s">
        <v>1260</v>
      </c>
      <c r="C2949" t="s">
        <v>36</v>
      </c>
      <c r="D2949" t="s">
        <v>87</v>
      </c>
      <c r="E2949" t="s">
        <v>16</v>
      </c>
      <c r="F2949">
        <v>81</v>
      </c>
      <c r="G2949">
        <v>82930</v>
      </c>
      <c r="H2949">
        <v>6717330</v>
      </c>
      <c r="I2949" t="s">
        <v>580</v>
      </c>
      <c r="J2949" t="s">
        <v>580</v>
      </c>
      <c r="K2949">
        <v>81</v>
      </c>
      <c r="L2949">
        <v>0</v>
      </c>
      <c r="M2949" t="s">
        <v>115</v>
      </c>
      <c r="N2949" t="str">
        <f t="shared" si="276"/>
        <v>PO-102948</v>
      </c>
      <c r="O2949" t="str">
        <f t="shared" si="277"/>
        <v>Delivered</v>
      </c>
      <c r="P2949" t="str">
        <f t="shared" si="278"/>
        <v>WH-DEL</v>
      </c>
      <c r="Q2949" t="str">
        <f>VLOOKUP(C2949, Lookups!$A$2:$D$10, 2, FALSE())</f>
        <v>NextGen Hardware</v>
      </c>
      <c r="R2949" t="str">
        <f>_xlfn.XLOOKUP(D2949, Lookups!$A$12:$A$51, Lookups!$C$12:$C$51, "Unknown")</f>
        <v>Electronics</v>
      </c>
      <c r="S2949" t="str">
        <f>IF(ISBLANK(I2949), B2949+VLOOKUP(C2949, Lookups!$A$2:$D$10, 4, FALSE()), I2949)</f>
        <v>2026-01-12</v>
      </c>
      <c r="T2949">
        <f t="shared" si="279"/>
        <v>24</v>
      </c>
      <c r="U2949" t="str">
        <f t="shared" si="280"/>
        <v>On-Time</v>
      </c>
      <c r="V2949">
        <f t="shared" si="281"/>
        <v>0</v>
      </c>
    </row>
    <row r="2950" spans="1:22" x14ac:dyDescent="0.45">
      <c r="A2950" t="s">
        <v>3807</v>
      </c>
      <c r="B2950" t="s">
        <v>957</v>
      </c>
      <c r="C2950" t="s">
        <v>33</v>
      </c>
      <c r="D2950" t="s">
        <v>89</v>
      </c>
      <c r="E2950" t="s">
        <v>17</v>
      </c>
      <c r="F2950">
        <v>189</v>
      </c>
      <c r="G2950">
        <v>11309</v>
      </c>
      <c r="H2950">
        <v>2137401</v>
      </c>
      <c r="I2950" t="s">
        <v>1177</v>
      </c>
      <c r="J2950" t="s">
        <v>124</v>
      </c>
      <c r="K2950">
        <v>189</v>
      </c>
      <c r="L2950">
        <v>2</v>
      </c>
      <c r="M2950" t="s">
        <v>115</v>
      </c>
      <c r="N2950" t="str">
        <f t="shared" si="276"/>
        <v>PO-102949</v>
      </c>
      <c r="O2950" t="str">
        <f t="shared" si="277"/>
        <v>Delivered</v>
      </c>
      <c r="P2950" t="str">
        <f t="shared" si="278"/>
        <v>WH-BLR</v>
      </c>
      <c r="Q2950" t="str">
        <f>VLOOKUP(C2950, Lookups!$A$2:$D$10, 2, FALSE())</f>
        <v>MegaFurnish</v>
      </c>
      <c r="R2950" t="str">
        <f>_xlfn.XLOOKUP(D2950, Lookups!$A$12:$A$51, Lookups!$C$12:$C$51, "Unknown")</f>
        <v>Office Furniture</v>
      </c>
      <c r="S2950" t="str">
        <f>IF(ISBLANK(I2950), B2950+VLOOKUP(C2950, Lookups!$A$2:$D$10, 4, FALSE()), I2950)</f>
        <v>2026-06-11</v>
      </c>
      <c r="T2950">
        <f t="shared" si="279"/>
        <v>31</v>
      </c>
      <c r="U2950" t="str">
        <f t="shared" si="280"/>
        <v>Late</v>
      </c>
      <c r="V2950">
        <f t="shared" si="281"/>
        <v>1.0582010582010581E-2</v>
      </c>
    </row>
    <row r="2951" spans="1:22" x14ac:dyDescent="0.45">
      <c r="A2951" t="s">
        <v>3808</v>
      </c>
      <c r="B2951" t="s">
        <v>585</v>
      </c>
      <c r="C2951" t="s">
        <v>35</v>
      </c>
      <c r="D2951" t="s">
        <v>57</v>
      </c>
      <c r="E2951" t="s">
        <v>17</v>
      </c>
      <c r="F2951">
        <v>26</v>
      </c>
      <c r="G2951">
        <v>2212</v>
      </c>
      <c r="H2951">
        <v>57512</v>
      </c>
      <c r="I2951" t="s">
        <v>894</v>
      </c>
      <c r="J2951" t="s">
        <v>1068</v>
      </c>
      <c r="K2951">
        <v>18</v>
      </c>
      <c r="L2951">
        <v>0</v>
      </c>
      <c r="M2951" t="s">
        <v>115</v>
      </c>
      <c r="N2951" t="str">
        <f t="shared" si="276"/>
        <v>PO-102950</v>
      </c>
      <c r="O2951" t="str">
        <f t="shared" si="277"/>
        <v>Delivered</v>
      </c>
      <c r="P2951" t="str">
        <f t="shared" si="278"/>
        <v>WH-BLR</v>
      </c>
      <c r="Q2951" t="str">
        <f>VLOOKUP(C2951, Lookups!$A$2:$D$10, 2, FALSE())</f>
        <v>Peripheral Source</v>
      </c>
      <c r="R2951" t="str">
        <f>_xlfn.XLOOKUP(D2951, Lookups!$A$12:$A$51, Lookups!$C$12:$C$51, "Unknown")</f>
        <v>Peripherals</v>
      </c>
      <c r="S2951" t="str">
        <f>IF(ISBLANK(I2951), B2951+VLOOKUP(C2951, Lookups!$A$2:$D$10, 4, FALSE()), I2951)</f>
        <v>2025-08-01</v>
      </c>
      <c r="T2951">
        <f t="shared" si="279"/>
        <v>11</v>
      </c>
      <c r="U2951" t="str">
        <f t="shared" si="280"/>
        <v>Late</v>
      </c>
      <c r="V2951">
        <f t="shared" si="281"/>
        <v>0</v>
      </c>
    </row>
    <row r="2952" spans="1:22" x14ac:dyDescent="0.45">
      <c r="A2952" t="s">
        <v>3809</v>
      </c>
      <c r="B2952" t="s">
        <v>521</v>
      </c>
      <c r="C2952" t="s">
        <v>37</v>
      </c>
      <c r="D2952" t="s">
        <v>79</v>
      </c>
      <c r="E2952" t="s">
        <v>16</v>
      </c>
      <c r="F2952">
        <v>207</v>
      </c>
      <c r="G2952">
        <v>23054</v>
      </c>
      <c r="H2952">
        <v>4772178</v>
      </c>
      <c r="I2952" t="s">
        <v>1428</v>
      </c>
      <c r="J2952" t="s">
        <v>451</v>
      </c>
      <c r="K2952">
        <v>207</v>
      </c>
      <c r="L2952">
        <v>0</v>
      </c>
      <c r="M2952" t="s">
        <v>115</v>
      </c>
      <c r="N2952" t="str">
        <f t="shared" si="276"/>
        <v>PO-102951</v>
      </c>
      <c r="O2952" t="str">
        <f t="shared" si="277"/>
        <v>Delivered</v>
      </c>
      <c r="P2952" t="str">
        <f t="shared" si="278"/>
        <v>WH-DEL</v>
      </c>
      <c r="Q2952" t="str">
        <f>VLOOKUP(C2952, Lookups!$A$2:$D$10, 2, FALSE())</f>
        <v>Premium Desks Ltd</v>
      </c>
      <c r="R2952" t="str">
        <f>_xlfn.XLOOKUP(D2952, Lookups!$A$12:$A$51, Lookups!$C$12:$C$51, "Unknown")</f>
        <v>Office Furniture</v>
      </c>
      <c r="S2952" t="str">
        <f>IF(ISBLANK(I2952), B2952+VLOOKUP(C2952, Lookups!$A$2:$D$10, 4, FALSE()), I2952)</f>
        <v>2026-09-28</v>
      </c>
      <c r="T2952">
        <f t="shared" si="279"/>
        <v>18</v>
      </c>
      <c r="U2952" t="str">
        <f t="shared" si="280"/>
        <v>Late</v>
      </c>
      <c r="V2952">
        <f t="shared" si="281"/>
        <v>0</v>
      </c>
    </row>
    <row r="2953" spans="1:22" x14ac:dyDescent="0.45">
      <c r="A2953" t="s">
        <v>3810</v>
      </c>
      <c r="B2953" t="s">
        <v>1058</v>
      </c>
      <c r="C2953" t="s">
        <v>37</v>
      </c>
      <c r="D2953" t="s">
        <v>78</v>
      </c>
      <c r="E2953" t="s">
        <v>17</v>
      </c>
      <c r="F2953">
        <v>175</v>
      </c>
      <c r="G2953">
        <v>9423</v>
      </c>
      <c r="H2953">
        <v>1649025</v>
      </c>
      <c r="I2953" t="s">
        <v>1095</v>
      </c>
      <c r="J2953" t="s">
        <v>535</v>
      </c>
      <c r="K2953">
        <v>175</v>
      </c>
      <c r="L2953">
        <v>0</v>
      </c>
      <c r="M2953" t="s">
        <v>115</v>
      </c>
      <c r="N2953" t="str">
        <f t="shared" si="276"/>
        <v>PO-102952</v>
      </c>
      <c r="O2953" t="str">
        <f t="shared" si="277"/>
        <v>Delivered</v>
      </c>
      <c r="P2953" t="str">
        <f t="shared" si="278"/>
        <v>WH-BLR</v>
      </c>
      <c r="Q2953" t="str">
        <f>VLOOKUP(C2953, Lookups!$A$2:$D$10, 2, FALSE())</f>
        <v>Premium Desks Ltd</v>
      </c>
      <c r="R2953" t="str">
        <f>_xlfn.XLOOKUP(D2953, Lookups!$A$12:$A$51, Lookups!$C$12:$C$51, "Unknown")</f>
        <v>Office Furniture</v>
      </c>
      <c r="S2953" t="str">
        <f>IF(ISBLANK(I2953), B2953+VLOOKUP(C2953, Lookups!$A$2:$D$10, 4, FALSE()), I2953)</f>
        <v>2026-05-07</v>
      </c>
      <c r="T2953">
        <f t="shared" si="279"/>
        <v>13</v>
      </c>
      <c r="U2953" t="str">
        <f t="shared" si="280"/>
        <v>Late</v>
      </c>
      <c r="V2953">
        <f t="shared" si="281"/>
        <v>0</v>
      </c>
    </row>
    <row r="2954" spans="1:22" x14ac:dyDescent="0.45">
      <c r="A2954" t="s">
        <v>3811</v>
      </c>
      <c r="B2954" t="s">
        <v>1410</v>
      </c>
      <c r="C2954" t="s">
        <v>35</v>
      </c>
      <c r="D2954" t="s">
        <v>65</v>
      </c>
      <c r="E2954" t="s">
        <v>16</v>
      </c>
      <c r="F2954">
        <v>102</v>
      </c>
      <c r="G2954">
        <v>4936</v>
      </c>
      <c r="H2954">
        <v>503472</v>
      </c>
      <c r="I2954" t="s">
        <v>125</v>
      </c>
      <c r="J2954" t="s">
        <v>406</v>
      </c>
      <c r="K2954">
        <v>51</v>
      </c>
      <c r="L2954">
        <v>0</v>
      </c>
      <c r="M2954" t="s">
        <v>115</v>
      </c>
      <c r="N2954" t="str">
        <f t="shared" si="276"/>
        <v>PO-102953</v>
      </c>
      <c r="O2954" t="str">
        <f t="shared" si="277"/>
        <v>Delivered</v>
      </c>
      <c r="P2954" t="str">
        <f t="shared" si="278"/>
        <v>WH-DEL</v>
      </c>
      <c r="Q2954" t="str">
        <f>VLOOKUP(C2954, Lookups!$A$2:$D$10, 2, FALSE())</f>
        <v>Peripheral Source</v>
      </c>
      <c r="R2954" t="str">
        <f>_xlfn.XLOOKUP(D2954, Lookups!$A$12:$A$51, Lookups!$C$12:$C$51, "Unknown")</f>
        <v>Peripherals</v>
      </c>
      <c r="S2954" t="str">
        <f>IF(ISBLANK(I2954), B2954+VLOOKUP(C2954, Lookups!$A$2:$D$10, 4, FALSE()), I2954)</f>
        <v>2026-06-13</v>
      </c>
      <c r="T2954">
        <f t="shared" si="279"/>
        <v>21</v>
      </c>
      <c r="U2954" t="str">
        <f t="shared" si="280"/>
        <v>Late</v>
      </c>
      <c r="V2954">
        <f t="shared" si="281"/>
        <v>0</v>
      </c>
    </row>
    <row r="2955" spans="1:22" x14ac:dyDescent="0.45">
      <c r="A2955" t="s">
        <v>3812</v>
      </c>
      <c r="B2955" t="s">
        <v>441</v>
      </c>
      <c r="C2955" t="s">
        <v>31</v>
      </c>
      <c r="D2955" t="s">
        <v>66</v>
      </c>
      <c r="E2955" t="s">
        <v>16</v>
      </c>
      <c r="F2955">
        <v>77</v>
      </c>
      <c r="G2955">
        <v>29719</v>
      </c>
      <c r="H2955">
        <v>2288363</v>
      </c>
      <c r="I2955" t="s">
        <v>1496</v>
      </c>
      <c r="J2955" t="s">
        <v>1496</v>
      </c>
      <c r="K2955">
        <v>77</v>
      </c>
      <c r="L2955">
        <v>0</v>
      </c>
      <c r="M2955" t="s">
        <v>115</v>
      </c>
      <c r="N2955" t="str">
        <f t="shared" si="276"/>
        <v>PO-102954</v>
      </c>
      <c r="O2955" t="str">
        <f t="shared" si="277"/>
        <v>Delivered</v>
      </c>
      <c r="P2955" t="str">
        <f t="shared" si="278"/>
        <v>WH-DEL</v>
      </c>
      <c r="Q2955" t="str">
        <f>VLOOKUP(C2955, Lookups!$A$2:$D$10, 2, FALSE())</f>
        <v>Global Networks</v>
      </c>
      <c r="R2955" t="str">
        <f>_xlfn.XLOOKUP(D2955, Lookups!$A$12:$A$51, Lookups!$C$12:$C$51, "Unknown")</f>
        <v>Networking</v>
      </c>
      <c r="S2955" t="str">
        <f>IF(ISBLANK(I2955), B2955+VLOOKUP(C2955, Lookups!$A$2:$D$10, 4, FALSE()), I2955)</f>
        <v>2026-03-11</v>
      </c>
      <c r="T2955">
        <f t="shared" si="279"/>
        <v>21</v>
      </c>
      <c r="U2955" t="str">
        <f t="shared" si="280"/>
        <v>On-Time</v>
      </c>
      <c r="V2955">
        <f t="shared" si="281"/>
        <v>0</v>
      </c>
    </row>
    <row r="2956" spans="1:22" x14ac:dyDescent="0.45">
      <c r="A2956" t="s">
        <v>3813</v>
      </c>
      <c r="B2956" t="s">
        <v>1780</v>
      </c>
      <c r="C2956" t="s">
        <v>30</v>
      </c>
      <c r="D2956" t="s">
        <v>82</v>
      </c>
      <c r="E2956" t="s">
        <v>15</v>
      </c>
      <c r="F2956">
        <v>146</v>
      </c>
      <c r="G2956">
        <v>83427</v>
      </c>
      <c r="H2956">
        <v>12180342</v>
      </c>
      <c r="I2956" t="s">
        <v>412</v>
      </c>
      <c r="J2956" t="s">
        <v>1314</v>
      </c>
      <c r="K2956">
        <v>146</v>
      </c>
      <c r="L2956">
        <v>0</v>
      </c>
      <c r="M2956" t="s">
        <v>115</v>
      </c>
      <c r="N2956" t="str">
        <f t="shared" si="276"/>
        <v>PO-102955</v>
      </c>
      <c r="O2956" t="str">
        <f t="shared" si="277"/>
        <v>Delivered</v>
      </c>
      <c r="P2956" t="str">
        <f t="shared" si="278"/>
        <v>WH-BOM</v>
      </c>
      <c r="Q2956" t="str">
        <f>VLOOKUP(C2956, Lookups!$A$2:$D$10, 2, FALSE())</f>
        <v>TechSupply Corp</v>
      </c>
      <c r="R2956" t="str">
        <f>_xlfn.XLOOKUP(D2956, Lookups!$A$12:$A$51, Lookups!$C$12:$C$51, "Unknown")</f>
        <v>Electronics</v>
      </c>
      <c r="S2956" t="str">
        <f>IF(ISBLANK(I2956), B2956+VLOOKUP(C2956, Lookups!$A$2:$D$10, 4, FALSE()), I2956)</f>
        <v>2026-05-27</v>
      </c>
      <c r="T2956">
        <f t="shared" si="279"/>
        <v>15</v>
      </c>
      <c r="U2956" t="str">
        <f t="shared" si="280"/>
        <v>Late</v>
      </c>
      <c r="V2956">
        <f t="shared" si="281"/>
        <v>0</v>
      </c>
    </row>
    <row r="2957" spans="1:22" x14ac:dyDescent="0.45">
      <c r="A2957" t="s">
        <v>3814</v>
      </c>
      <c r="B2957" t="s">
        <v>1410</v>
      </c>
      <c r="C2957" t="s">
        <v>36</v>
      </c>
      <c r="D2957" t="s">
        <v>63</v>
      </c>
      <c r="E2957" t="s">
        <v>16</v>
      </c>
      <c r="F2957">
        <v>167</v>
      </c>
      <c r="G2957">
        <v>71062</v>
      </c>
      <c r="H2957">
        <v>11867354</v>
      </c>
      <c r="I2957" t="s">
        <v>631</v>
      </c>
      <c r="J2957" t="s">
        <v>305</v>
      </c>
      <c r="K2957">
        <v>167</v>
      </c>
      <c r="L2957">
        <v>0</v>
      </c>
      <c r="M2957" t="s">
        <v>115</v>
      </c>
      <c r="N2957" t="str">
        <f t="shared" si="276"/>
        <v>PO-102956</v>
      </c>
      <c r="O2957" t="str">
        <f t="shared" si="277"/>
        <v>Delivered</v>
      </c>
      <c r="P2957" t="str">
        <f t="shared" si="278"/>
        <v>WH-DEL</v>
      </c>
      <c r="Q2957" t="str">
        <f>VLOOKUP(C2957, Lookups!$A$2:$D$10, 2, FALSE())</f>
        <v>NextGen Hardware</v>
      </c>
      <c r="R2957" t="str">
        <f>_xlfn.XLOOKUP(D2957, Lookups!$A$12:$A$51, Lookups!$C$12:$C$51, "Unknown")</f>
        <v>Electronics</v>
      </c>
      <c r="S2957" t="str">
        <f>IF(ISBLANK(I2957), B2957+VLOOKUP(C2957, Lookups!$A$2:$D$10, 4, FALSE()), I2957)</f>
        <v>2026-06-27</v>
      </c>
      <c r="T2957">
        <f t="shared" si="279"/>
        <v>25</v>
      </c>
      <c r="U2957" t="str">
        <f t="shared" si="280"/>
        <v>Late</v>
      </c>
      <c r="V2957">
        <f t="shared" si="281"/>
        <v>0</v>
      </c>
    </row>
    <row r="2958" spans="1:22" x14ac:dyDescent="0.45">
      <c r="A2958" t="s">
        <v>3815</v>
      </c>
      <c r="B2958" t="s">
        <v>789</v>
      </c>
      <c r="C2958" t="s">
        <v>37</v>
      </c>
      <c r="D2958" t="s">
        <v>69</v>
      </c>
      <c r="E2958" t="s">
        <v>17</v>
      </c>
      <c r="F2958">
        <v>147</v>
      </c>
      <c r="G2958">
        <v>13231</v>
      </c>
      <c r="H2958">
        <v>1944957</v>
      </c>
      <c r="K2958">
        <v>0</v>
      </c>
      <c r="L2958">
        <v>0</v>
      </c>
      <c r="M2958" t="s">
        <v>297</v>
      </c>
      <c r="N2958" t="str">
        <f t="shared" si="276"/>
        <v>PO-102957</v>
      </c>
      <c r="O2958" t="str">
        <f t="shared" si="277"/>
        <v>Open</v>
      </c>
      <c r="P2958" t="str">
        <f t="shared" si="278"/>
        <v>WH-BLR</v>
      </c>
      <c r="Q2958" t="str">
        <f>VLOOKUP(C2958, Lookups!$A$2:$D$10, 2, FALSE())</f>
        <v>Premium Desks Ltd</v>
      </c>
      <c r="R2958" t="str">
        <f>_xlfn.XLOOKUP(D2958, Lookups!$A$12:$A$51, Lookups!$C$12:$C$51, "Unknown")</f>
        <v>Office Furniture</v>
      </c>
      <c r="S2958">
        <f>IF(ISBLANK(I2958), B2958+VLOOKUP(C2958, Lookups!$A$2:$D$10, 4, FALSE()), I2958)</f>
        <v>46380</v>
      </c>
      <c r="T2958" t="str">
        <f t="shared" si="279"/>
        <v/>
      </c>
      <c r="U2958" t="str">
        <f t="shared" si="280"/>
        <v>Open</v>
      </c>
      <c r="V2958">
        <f t="shared" si="281"/>
        <v>0</v>
      </c>
    </row>
    <row r="2959" spans="1:22" x14ac:dyDescent="0.45">
      <c r="A2959" t="s">
        <v>3816</v>
      </c>
      <c r="B2959" t="s">
        <v>1367</v>
      </c>
      <c r="C2959" t="s">
        <v>30</v>
      </c>
      <c r="D2959" t="s">
        <v>52</v>
      </c>
      <c r="E2959" t="s">
        <v>15</v>
      </c>
      <c r="F2959">
        <v>40</v>
      </c>
      <c r="G2959">
        <v>59592</v>
      </c>
      <c r="H2959">
        <v>2383680</v>
      </c>
      <c r="I2959" t="s">
        <v>1318</v>
      </c>
      <c r="J2959" t="s">
        <v>281</v>
      </c>
      <c r="K2959">
        <v>40</v>
      </c>
      <c r="L2959">
        <v>0</v>
      </c>
      <c r="M2959" t="s">
        <v>115</v>
      </c>
      <c r="N2959" t="str">
        <f t="shared" si="276"/>
        <v>PO-102958</v>
      </c>
      <c r="O2959" t="str">
        <f t="shared" si="277"/>
        <v>Delivered</v>
      </c>
      <c r="P2959" t="str">
        <f t="shared" si="278"/>
        <v>WH-BOM</v>
      </c>
      <c r="Q2959" t="str">
        <f>VLOOKUP(C2959, Lookups!$A$2:$D$10, 2, FALSE())</f>
        <v>TechSupply Corp</v>
      </c>
      <c r="R2959" t="str">
        <f>_xlfn.XLOOKUP(D2959, Lookups!$A$12:$A$51, Lookups!$C$12:$C$51, "Unknown")</f>
        <v>Electronics</v>
      </c>
      <c r="S2959" t="str">
        <f>IF(ISBLANK(I2959), B2959+VLOOKUP(C2959, Lookups!$A$2:$D$10, 4, FALSE()), I2959)</f>
        <v>2026-10-25</v>
      </c>
      <c r="T2959">
        <f t="shared" si="279"/>
        <v>15</v>
      </c>
      <c r="U2959" t="str">
        <f t="shared" si="280"/>
        <v>Late</v>
      </c>
      <c r="V2959">
        <f t="shared" si="281"/>
        <v>0</v>
      </c>
    </row>
    <row r="2960" spans="1:22" x14ac:dyDescent="0.45">
      <c r="A2960" t="s">
        <v>3817</v>
      </c>
      <c r="B2960" t="s">
        <v>268</v>
      </c>
      <c r="C2960" t="s">
        <v>35</v>
      </c>
      <c r="D2960" t="s">
        <v>75</v>
      </c>
      <c r="E2960" t="s">
        <v>15</v>
      </c>
      <c r="F2960">
        <v>63</v>
      </c>
      <c r="G2960">
        <v>4440</v>
      </c>
      <c r="H2960">
        <v>279720</v>
      </c>
      <c r="I2960" t="s">
        <v>960</v>
      </c>
      <c r="J2960" t="s">
        <v>352</v>
      </c>
      <c r="K2960">
        <v>63</v>
      </c>
      <c r="L2960">
        <v>0</v>
      </c>
      <c r="M2960" t="s">
        <v>115</v>
      </c>
      <c r="N2960" t="str">
        <f t="shared" si="276"/>
        <v>PO-102959</v>
      </c>
      <c r="O2960" t="str">
        <f t="shared" si="277"/>
        <v>Delivered</v>
      </c>
      <c r="P2960" t="str">
        <f t="shared" si="278"/>
        <v>WH-BOM</v>
      </c>
      <c r="Q2960" t="str">
        <f>VLOOKUP(C2960, Lookups!$A$2:$D$10, 2, FALSE())</f>
        <v>Peripheral Source</v>
      </c>
      <c r="R2960" t="str">
        <f>_xlfn.XLOOKUP(D2960, Lookups!$A$12:$A$51, Lookups!$C$12:$C$51, "Unknown")</f>
        <v>Peripherals</v>
      </c>
      <c r="S2960" t="str">
        <f>IF(ISBLANK(I2960), B2960+VLOOKUP(C2960, Lookups!$A$2:$D$10, 4, FALSE()), I2960)</f>
        <v>2025-04-23</v>
      </c>
      <c r="T2960">
        <f t="shared" si="279"/>
        <v>11</v>
      </c>
      <c r="U2960" t="str">
        <f t="shared" si="280"/>
        <v>Late</v>
      </c>
      <c r="V2960">
        <f t="shared" si="281"/>
        <v>0</v>
      </c>
    </row>
    <row r="2961" spans="1:22" x14ac:dyDescent="0.45">
      <c r="A2961" t="s">
        <v>3818</v>
      </c>
      <c r="B2961" t="s">
        <v>784</v>
      </c>
      <c r="C2961" t="s">
        <v>36</v>
      </c>
      <c r="D2961" t="s">
        <v>62</v>
      </c>
      <c r="E2961" t="s">
        <v>16</v>
      </c>
      <c r="F2961">
        <v>130</v>
      </c>
      <c r="G2961">
        <v>48478</v>
      </c>
      <c r="H2961">
        <v>6302140</v>
      </c>
      <c r="I2961" t="s">
        <v>785</v>
      </c>
      <c r="J2961" t="s">
        <v>785</v>
      </c>
      <c r="K2961">
        <v>130</v>
      </c>
      <c r="L2961">
        <v>0</v>
      </c>
      <c r="M2961" t="s">
        <v>115</v>
      </c>
      <c r="N2961" t="str">
        <f t="shared" si="276"/>
        <v>PO-102960</v>
      </c>
      <c r="O2961" t="str">
        <f t="shared" si="277"/>
        <v>Delivered</v>
      </c>
      <c r="P2961" t="str">
        <f t="shared" si="278"/>
        <v>WH-DEL</v>
      </c>
      <c r="Q2961" t="str">
        <f>VLOOKUP(C2961, Lookups!$A$2:$D$10, 2, FALSE())</f>
        <v>NextGen Hardware</v>
      </c>
      <c r="R2961" t="str">
        <f>_xlfn.XLOOKUP(D2961, Lookups!$A$12:$A$51, Lookups!$C$12:$C$51, "Unknown")</f>
        <v>Electronics</v>
      </c>
      <c r="S2961" t="str">
        <f>IF(ISBLANK(I2961), B2961+VLOOKUP(C2961, Lookups!$A$2:$D$10, 4, FALSE()), I2961)</f>
        <v>2025-10-06</v>
      </c>
      <c r="T2961">
        <f t="shared" si="279"/>
        <v>24</v>
      </c>
      <c r="U2961" t="str">
        <f t="shared" si="280"/>
        <v>On-Time</v>
      </c>
      <c r="V2961">
        <f t="shared" si="281"/>
        <v>0</v>
      </c>
    </row>
    <row r="2962" spans="1:22" x14ac:dyDescent="0.45">
      <c r="A2962" t="s">
        <v>3819</v>
      </c>
      <c r="B2962" t="s">
        <v>559</v>
      </c>
      <c r="C2962" t="s">
        <v>35</v>
      </c>
      <c r="D2962" t="s">
        <v>72</v>
      </c>
      <c r="E2962" t="s">
        <v>16</v>
      </c>
      <c r="F2962">
        <v>218</v>
      </c>
      <c r="G2962">
        <v>7754</v>
      </c>
      <c r="H2962">
        <v>1690372</v>
      </c>
      <c r="I2962" t="s">
        <v>688</v>
      </c>
      <c r="J2962" t="s">
        <v>688</v>
      </c>
      <c r="K2962">
        <v>218</v>
      </c>
      <c r="L2962">
        <v>0</v>
      </c>
      <c r="M2962" t="s">
        <v>115</v>
      </c>
      <c r="N2962" t="str">
        <f t="shared" si="276"/>
        <v>PO-102961</v>
      </c>
      <c r="O2962" t="str">
        <f t="shared" si="277"/>
        <v>Delivered</v>
      </c>
      <c r="P2962" t="str">
        <f t="shared" si="278"/>
        <v>WH-DEL</v>
      </c>
      <c r="Q2962" t="str">
        <f>VLOOKUP(C2962, Lookups!$A$2:$D$10, 2, FALSE())</f>
        <v>Peripheral Source</v>
      </c>
      <c r="R2962" t="str">
        <f>_xlfn.XLOOKUP(D2962, Lookups!$A$12:$A$51, Lookups!$C$12:$C$51, "Unknown")</f>
        <v>Peripherals</v>
      </c>
      <c r="S2962" t="str">
        <f>IF(ISBLANK(I2962), B2962+VLOOKUP(C2962, Lookups!$A$2:$D$10, 4, FALSE()), I2962)</f>
        <v>2026-04-29</v>
      </c>
      <c r="T2962">
        <f t="shared" si="279"/>
        <v>10</v>
      </c>
      <c r="U2962" t="str">
        <f t="shared" si="280"/>
        <v>On-Time</v>
      </c>
      <c r="V2962">
        <f t="shared" si="281"/>
        <v>0</v>
      </c>
    </row>
    <row r="2963" spans="1:22" x14ac:dyDescent="0.45">
      <c r="A2963" t="s">
        <v>3820</v>
      </c>
      <c r="B2963" t="s">
        <v>524</v>
      </c>
      <c r="C2963" t="s">
        <v>34</v>
      </c>
      <c r="D2963" t="s">
        <v>58</v>
      </c>
      <c r="E2963" t="s">
        <v>16</v>
      </c>
      <c r="F2963">
        <v>155</v>
      </c>
      <c r="G2963">
        <v>100302</v>
      </c>
      <c r="H2963">
        <v>15546810</v>
      </c>
      <c r="I2963" t="s">
        <v>486</v>
      </c>
      <c r="J2963" t="s">
        <v>213</v>
      </c>
      <c r="K2963">
        <v>155</v>
      </c>
      <c r="L2963">
        <v>0</v>
      </c>
      <c r="M2963" t="s">
        <v>115</v>
      </c>
      <c r="N2963" t="str">
        <f t="shared" si="276"/>
        <v>PO-102962</v>
      </c>
      <c r="O2963" t="str">
        <f t="shared" si="277"/>
        <v>Delivered</v>
      </c>
      <c r="P2963" t="str">
        <f t="shared" si="278"/>
        <v>WH-DEL</v>
      </c>
      <c r="Q2963" t="str">
        <f>VLOOKUP(C2963, Lookups!$A$2:$D$10, 2, FALSE())</f>
        <v>FastElectronics</v>
      </c>
      <c r="R2963" t="str">
        <f>_xlfn.XLOOKUP(D2963, Lookups!$A$12:$A$51, Lookups!$C$12:$C$51, "Unknown")</f>
        <v>Electronics</v>
      </c>
      <c r="S2963" t="str">
        <f>IF(ISBLANK(I2963), B2963+VLOOKUP(C2963, Lookups!$A$2:$D$10, 4, FALSE()), I2963)</f>
        <v>2025-06-16</v>
      </c>
      <c r="T2963">
        <f t="shared" si="279"/>
        <v>19</v>
      </c>
      <c r="U2963" t="str">
        <f t="shared" si="280"/>
        <v>Late</v>
      </c>
      <c r="V2963">
        <f t="shared" si="281"/>
        <v>0</v>
      </c>
    </row>
    <row r="2964" spans="1:22" x14ac:dyDescent="0.45">
      <c r="A2964" t="s">
        <v>3821</v>
      </c>
      <c r="B2964" t="s">
        <v>1574</v>
      </c>
      <c r="C2964" t="s">
        <v>37</v>
      </c>
      <c r="D2964" t="s">
        <v>79</v>
      </c>
      <c r="E2964" t="s">
        <v>913</v>
      </c>
      <c r="F2964">
        <v>151</v>
      </c>
      <c r="G2964">
        <v>23054</v>
      </c>
      <c r="H2964">
        <v>3481154</v>
      </c>
      <c r="I2964" t="s">
        <v>937</v>
      </c>
      <c r="J2964" t="s">
        <v>447</v>
      </c>
      <c r="K2964">
        <v>151</v>
      </c>
      <c r="L2964">
        <v>0</v>
      </c>
      <c r="M2964" t="s">
        <v>115</v>
      </c>
      <c r="N2964" t="str">
        <f t="shared" si="276"/>
        <v>PO-102963</v>
      </c>
      <c r="O2964" t="str">
        <f t="shared" si="277"/>
        <v>Delivered</v>
      </c>
      <c r="P2964" t="str">
        <f t="shared" si="278"/>
        <v>WH-DEL</v>
      </c>
      <c r="Q2964" t="str">
        <f>VLOOKUP(C2964, Lookups!$A$2:$D$10, 2, FALSE())</f>
        <v>Premium Desks Ltd</v>
      </c>
      <c r="R2964" t="str">
        <f>_xlfn.XLOOKUP(D2964, Lookups!$A$12:$A$51, Lookups!$C$12:$C$51, "Unknown")</f>
        <v>Office Furniture</v>
      </c>
      <c r="S2964" t="str">
        <f>IF(ISBLANK(I2964), B2964+VLOOKUP(C2964, Lookups!$A$2:$D$10, 4, FALSE()), I2964)</f>
        <v>2025-12-12</v>
      </c>
      <c r="T2964">
        <f t="shared" si="279"/>
        <v>17</v>
      </c>
      <c r="U2964" t="str">
        <f t="shared" si="280"/>
        <v>Late</v>
      </c>
      <c r="V2964">
        <f t="shared" si="281"/>
        <v>0</v>
      </c>
    </row>
    <row r="2965" spans="1:22" x14ac:dyDescent="0.45">
      <c r="A2965" t="s">
        <v>3822</v>
      </c>
      <c r="B2965" t="s">
        <v>726</v>
      </c>
      <c r="C2965" t="s">
        <v>37</v>
      </c>
      <c r="D2965" t="s">
        <v>78</v>
      </c>
      <c r="E2965" t="s">
        <v>17</v>
      </c>
      <c r="F2965">
        <v>229</v>
      </c>
      <c r="G2965">
        <v>9423</v>
      </c>
      <c r="H2965">
        <v>2157867</v>
      </c>
      <c r="I2965" t="s">
        <v>1038</v>
      </c>
      <c r="J2965" t="s">
        <v>1202</v>
      </c>
      <c r="K2965">
        <v>229</v>
      </c>
      <c r="L2965">
        <v>20</v>
      </c>
      <c r="M2965" t="s">
        <v>115</v>
      </c>
      <c r="N2965" t="str">
        <f t="shared" si="276"/>
        <v>PO-102964</v>
      </c>
      <c r="O2965" t="str">
        <f t="shared" si="277"/>
        <v>Delivered</v>
      </c>
      <c r="P2965" t="str">
        <f t="shared" si="278"/>
        <v>WH-BLR</v>
      </c>
      <c r="Q2965" t="str">
        <f>VLOOKUP(C2965, Lookups!$A$2:$D$10, 2, FALSE())</f>
        <v>Premium Desks Ltd</v>
      </c>
      <c r="R2965" t="str">
        <f>_xlfn.XLOOKUP(D2965, Lookups!$A$12:$A$51, Lookups!$C$12:$C$51, "Unknown")</f>
        <v>Office Furniture</v>
      </c>
      <c r="S2965" t="str">
        <f>IF(ISBLANK(I2965), B2965+VLOOKUP(C2965, Lookups!$A$2:$D$10, 4, FALSE()), I2965)</f>
        <v>2025-01-25</v>
      </c>
      <c r="T2965">
        <f t="shared" si="279"/>
        <v>13</v>
      </c>
      <c r="U2965" t="str">
        <f t="shared" si="280"/>
        <v>Late</v>
      </c>
      <c r="V2965">
        <f t="shared" si="281"/>
        <v>8.7336244541484712E-2</v>
      </c>
    </row>
    <row r="2966" spans="1:22" x14ac:dyDescent="0.45">
      <c r="A2966" t="s">
        <v>3823</v>
      </c>
      <c r="B2966" t="s">
        <v>842</v>
      </c>
      <c r="C2966" t="s">
        <v>36</v>
      </c>
      <c r="D2966" t="s">
        <v>62</v>
      </c>
      <c r="E2966" t="s">
        <v>17</v>
      </c>
      <c r="F2966">
        <v>20</v>
      </c>
      <c r="G2966">
        <v>48478</v>
      </c>
      <c r="H2966">
        <v>969560</v>
      </c>
      <c r="I2966" t="s">
        <v>289</v>
      </c>
      <c r="J2966" t="s">
        <v>289</v>
      </c>
      <c r="K2966">
        <v>20</v>
      </c>
      <c r="L2966">
        <v>0</v>
      </c>
      <c r="M2966" t="s">
        <v>301</v>
      </c>
      <c r="N2966" t="str">
        <f t="shared" si="276"/>
        <v>PO-102965</v>
      </c>
      <c r="O2966" t="str">
        <f t="shared" si="277"/>
        <v>Delivered</v>
      </c>
      <c r="P2966" t="str">
        <f t="shared" si="278"/>
        <v>WH-BLR</v>
      </c>
      <c r="Q2966" t="str">
        <f>VLOOKUP(C2966, Lookups!$A$2:$D$10, 2, FALSE())</f>
        <v>NextGen Hardware</v>
      </c>
      <c r="R2966" t="str">
        <f>_xlfn.XLOOKUP(D2966, Lookups!$A$12:$A$51, Lookups!$C$12:$C$51, "Unknown")</f>
        <v>Electronics</v>
      </c>
      <c r="S2966" t="str">
        <f>IF(ISBLANK(I2966), B2966+VLOOKUP(C2966, Lookups!$A$2:$D$10, 4, FALSE()), I2966)</f>
        <v>2026-07-09</v>
      </c>
      <c r="T2966">
        <f t="shared" si="279"/>
        <v>24</v>
      </c>
      <c r="U2966" t="str">
        <f t="shared" si="280"/>
        <v>On-Time</v>
      </c>
      <c r="V2966">
        <f t="shared" si="281"/>
        <v>0</v>
      </c>
    </row>
    <row r="2967" spans="1:22" x14ac:dyDescent="0.45">
      <c r="A2967" t="s">
        <v>3824</v>
      </c>
      <c r="B2967" t="s">
        <v>752</v>
      </c>
      <c r="C2967" t="s">
        <v>31</v>
      </c>
      <c r="D2967" t="s">
        <v>85</v>
      </c>
      <c r="E2967" t="s">
        <v>18</v>
      </c>
      <c r="F2967">
        <v>201</v>
      </c>
      <c r="G2967">
        <v>16501</v>
      </c>
      <c r="H2967">
        <v>3316701</v>
      </c>
      <c r="I2967" t="s">
        <v>580</v>
      </c>
      <c r="J2967" t="s">
        <v>508</v>
      </c>
      <c r="K2967">
        <v>201</v>
      </c>
      <c r="L2967">
        <v>0</v>
      </c>
      <c r="M2967" t="s">
        <v>115</v>
      </c>
      <c r="N2967" t="str">
        <f t="shared" si="276"/>
        <v>PO-102966</v>
      </c>
      <c r="O2967" t="str">
        <f t="shared" si="277"/>
        <v>Delivered</v>
      </c>
      <c r="P2967" t="str">
        <f t="shared" si="278"/>
        <v>WH-PUN</v>
      </c>
      <c r="Q2967" t="str">
        <f>VLOOKUP(C2967, Lookups!$A$2:$D$10, 2, FALSE())</f>
        <v>Global Networks</v>
      </c>
      <c r="R2967" t="str">
        <f>_xlfn.XLOOKUP(D2967, Lookups!$A$12:$A$51, Lookups!$C$12:$C$51, "Unknown")</f>
        <v>Networking</v>
      </c>
      <c r="S2967" t="str">
        <f>IF(ISBLANK(I2967), B2967+VLOOKUP(C2967, Lookups!$A$2:$D$10, 4, FALSE()), I2967)</f>
        <v>2026-01-12</v>
      </c>
      <c r="T2967">
        <f t="shared" si="279"/>
        <v>26</v>
      </c>
      <c r="U2967" t="str">
        <f t="shared" si="280"/>
        <v>Late</v>
      </c>
      <c r="V2967">
        <f t="shared" si="281"/>
        <v>0</v>
      </c>
    </row>
    <row r="2968" spans="1:22" x14ac:dyDescent="0.45">
      <c r="A2968" t="s">
        <v>3825</v>
      </c>
      <c r="B2968" t="s">
        <v>668</v>
      </c>
      <c r="C2968" t="s">
        <v>37</v>
      </c>
      <c r="D2968" t="s">
        <v>79</v>
      </c>
      <c r="E2968" t="s">
        <v>16</v>
      </c>
      <c r="F2968">
        <v>171</v>
      </c>
      <c r="G2968">
        <v>23054</v>
      </c>
      <c r="H2968">
        <v>3942234</v>
      </c>
      <c r="I2968" t="s">
        <v>613</v>
      </c>
      <c r="J2968" t="s">
        <v>258</v>
      </c>
      <c r="K2968">
        <v>171</v>
      </c>
      <c r="L2968">
        <v>0</v>
      </c>
      <c r="M2968" t="s">
        <v>115</v>
      </c>
      <c r="N2968" t="str">
        <f t="shared" si="276"/>
        <v>PO-102967</v>
      </c>
      <c r="O2968" t="str">
        <f t="shared" si="277"/>
        <v>Delivered</v>
      </c>
      <c r="P2968" t="str">
        <f t="shared" si="278"/>
        <v>WH-DEL</v>
      </c>
      <c r="Q2968" t="str">
        <f>VLOOKUP(C2968, Lookups!$A$2:$D$10, 2, FALSE())</f>
        <v>Premium Desks Ltd</v>
      </c>
      <c r="R2968" t="str">
        <f>_xlfn.XLOOKUP(D2968, Lookups!$A$12:$A$51, Lookups!$C$12:$C$51, "Unknown")</f>
        <v>Office Furniture</v>
      </c>
      <c r="S2968" t="str">
        <f>IF(ISBLANK(I2968), B2968+VLOOKUP(C2968, Lookups!$A$2:$D$10, 4, FALSE()), I2968)</f>
        <v>2025-02-05</v>
      </c>
      <c r="T2968">
        <f t="shared" si="279"/>
        <v>13</v>
      </c>
      <c r="U2968" t="str">
        <f t="shared" si="280"/>
        <v>Late</v>
      </c>
      <c r="V2968">
        <f t="shared" si="281"/>
        <v>0</v>
      </c>
    </row>
    <row r="2969" spans="1:22" x14ac:dyDescent="0.45">
      <c r="A2969" t="s">
        <v>3826</v>
      </c>
      <c r="B2969" t="s">
        <v>288</v>
      </c>
      <c r="C2969" t="s">
        <v>36</v>
      </c>
      <c r="D2969" t="s">
        <v>55</v>
      </c>
      <c r="E2969" t="s">
        <v>17</v>
      </c>
      <c r="F2969">
        <v>100</v>
      </c>
      <c r="G2969">
        <v>58434</v>
      </c>
      <c r="H2969">
        <v>5843400</v>
      </c>
      <c r="I2969" t="s">
        <v>130</v>
      </c>
      <c r="J2969" t="s">
        <v>130</v>
      </c>
      <c r="K2969">
        <v>100</v>
      </c>
      <c r="L2969">
        <v>0</v>
      </c>
      <c r="M2969" t="s">
        <v>115</v>
      </c>
      <c r="N2969" t="str">
        <f t="shared" si="276"/>
        <v>PO-102968</v>
      </c>
      <c r="O2969" t="str">
        <f t="shared" si="277"/>
        <v>Delivered</v>
      </c>
      <c r="P2969" t="str">
        <f t="shared" si="278"/>
        <v>WH-BLR</v>
      </c>
      <c r="Q2969" t="str">
        <f>VLOOKUP(C2969, Lookups!$A$2:$D$10, 2, FALSE())</f>
        <v>NextGen Hardware</v>
      </c>
      <c r="R2969" t="str">
        <f>_xlfn.XLOOKUP(D2969, Lookups!$A$12:$A$51, Lookups!$C$12:$C$51, "Unknown")</f>
        <v>Electronics</v>
      </c>
      <c r="S2969" t="str">
        <f>IF(ISBLANK(I2969), B2969+VLOOKUP(C2969, Lookups!$A$2:$D$10, 4, FALSE()), I2969)</f>
        <v>2026-07-15</v>
      </c>
      <c r="T2969">
        <f t="shared" si="279"/>
        <v>24</v>
      </c>
      <c r="U2969" t="str">
        <f t="shared" si="280"/>
        <v>On-Time</v>
      </c>
      <c r="V2969">
        <f t="shared" si="281"/>
        <v>0</v>
      </c>
    </row>
    <row r="2970" spans="1:22" x14ac:dyDescent="0.45">
      <c r="A2970" t="s">
        <v>3827</v>
      </c>
      <c r="B2970" t="s">
        <v>1368</v>
      </c>
      <c r="C2970" t="s">
        <v>35</v>
      </c>
      <c r="D2970" t="s">
        <v>57</v>
      </c>
      <c r="E2970" t="s">
        <v>18</v>
      </c>
      <c r="F2970">
        <v>127</v>
      </c>
      <c r="G2970">
        <v>2212</v>
      </c>
      <c r="H2970">
        <v>280924</v>
      </c>
      <c r="I2970" t="s">
        <v>693</v>
      </c>
      <c r="J2970" t="s">
        <v>693</v>
      </c>
      <c r="K2970">
        <v>110</v>
      </c>
      <c r="L2970">
        <v>0</v>
      </c>
      <c r="M2970" t="s">
        <v>115</v>
      </c>
      <c r="N2970" t="str">
        <f t="shared" si="276"/>
        <v>PO-102969</v>
      </c>
      <c r="O2970" t="str">
        <f t="shared" si="277"/>
        <v>Delivered</v>
      </c>
      <c r="P2970" t="str">
        <f t="shared" si="278"/>
        <v>WH-PUN</v>
      </c>
      <c r="Q2970" t="str">
        <f>VLOOKUP(C2970, Lookups!$A$2:$D$10, 2, FALSE())</f>
        <v>Peripheral Source</v>
      </c>
      <c r="R2970" t="str">
        <f>_xlfn.XLOOKUP(D2970, Lookups!$A$12:$A$51, Lookups!$C$12:$C$51, "Unknown")</f>
        <v>Peripherals</v>
      </c>
      <c r="S2970" t="str">
        <f>IF(ISBLANK(I2970), B2970+VLOOKUP(C2970, Lookups!$A$2:$D$10, 4, FALSE()), I2970)</f>
        <v>2026-11-22</v>
      </c>
      <c r="T2970">
        <f t="shared" si="279"/>
        <v>10</v>
      </c>
      <c r="U2970" t="str">
        <f t="shared" si="280"/>
        <v>On-Time</v>
      </c>
      <c r="V2970">
        <f t="shared" si="281"/>
        <v>0</v>
      </c>
    </row>
    <row r="2971" spans="1:22" x14ac:dyDescent="0.45">
      <c r="A2971" t="s">
        <v>3828</v>
      </c>
      <c r="B2971" t="s">
        <v>806</v>
      </c>
      <c r="C2971" t="s">
        <v>34</v>
      </c>
      <c r="D2971" t="s">
        <v>80</v>
      </c>
      <c r="E2971" t="s">
        <v>15</v>
      </c>
      <c r="F2971">
        <v>208</v>
      </c>
      <c r="G2971">
        <v>19090</v>
      </c>
      <c r="H2971">
        <v>3970720</v>
      </c>
      <c r="I2971" t="s">
        <v>328</v>
      </c>
      <c r="J2971" t="s">
        <v>238</v>
      </c>
      <c r="K2971">
        <v>208</v>
      </c>
      <c r="L2971">
        <v>0</v>
      </c>
      <c r="M2971" t="s">
        <v>115</v>
      </c>
      <c r="N2971" t="str">
        <f t="shared" si="276"/>
        <v>PO-102970</v>
      </c>
      <c r="O2971" t="str">
        <f t="shared" si="277"/>
        <v>Delivered</v>
      </c>
      <c r="P2971" t="str">
        <f t="shared" si="278"/>
        <v>WH-BOM</v>
      </c>
      <c r="Q2971" t="str">
        <f>VLOOKUP(C2971, Lookups!$A$2:$D$10, 2, FALSE())</f>
        <v>FastElectronics</v>
      </c>
      <c r="R2971" t="str">
        <f>_xlfn.XLOOKUP(D2971, Lookups!$A$12:$A$51, Lookups!$C$12:$C$51, "Unknown")</f>
        <v>Networking</v>
      </c>
      <c r="S2971" t="str">
        <f>IF(ISBLANK(I2971), B2971+VLOOKUP(C2971, Lookups!$A$2:$D$10, 4, FALSE()), I2971)</f>
        <v>2025-06-06</v>
      </c>
      <c r="T2971">
        <f t="shared" si="279"/>
        <v>16</v>
      </c>
      <c r="U2971" t="str">
        <f t="shared" si="280"/>
        <v>On-Time</v>
      </c>
      <c r="V2971">
        <f t="shared" si="281"/>
        <v>0</v>
      </c>
    </row>
    <row r="2972" spans="1:22" x14ac:dyDescent="0.45">
      <c r="A2972" t="s">
        <v>3829</v>
      </c>
      <c r="B2972" t="s">
        <v>642</v>
      </c>
      <c r="C2972" t="s">
        <v>34</v>
      </c>
      <c r="D2972" t="s">
        <v>80</v>
      </c>
      <c r="E2972" t="s">
        <v>18</v>
      </c>
      <c r="F2972">
        <v>246</v>
      </c>
      <c r="G2972">
        <v>19090</v>
      </c>
      <c r="H2972">
        <v>4696140</v>
      </c>
      <c r="I2972" t="s">
        <v>231</v>
      </c>
      <c r="J2972" t="s">
        <v>1407</v>
      </c>
      <c r="K2972">
        <v>246</v>
      </c>
      <c r="L2972">
        <v>0</v>
      </c>
      <c r="M2972" t="s">
        <v>115</v>
      </c>
      <c r="N2972" t="str">
        <f t="shared" si="276"/>
        <v>PO-102971</v>
      </c>
      <c r="O2972" t="str">
        <f t="shared" si="277"/>
        <v>Delivered</v>
      </c>
      <c r="P2972" t="str">
        <f t="shared" si="278"/>
        <v>WH-PUN</v>
      </c>
      <c r="Q2972" t="str">
        <f>VLOOKUP(C2972, Lookups!$A$2:$D$10, 2, FALSE())</f>
        <v>FastElectronics</v>
      </c>
      <c r="R2972" t="str">
        <f>_xlfn.XLOOKUP(D2972, Lookups!$A$12:$A$51, Lookups!$C$12:$C$51, "Unknown")</f>
        <v>Networking</v>
      </c>
      <c r="S2972" t="str">
        <f>IF(ISBLANK(I2972), B2972+VLOOKUP(C2972, Lookups!$A$2:$D$10, 4, FALSE()), I2972)</f>
        <v>2025-11-07</v>
      </c>
      <c r="T2972">
        <f t="shared" si="279"/>
        <v>19</v>
      </c>
      <c r="U2972" t="str">
        <f t="shared" si="280"/>
        <v>Late</v>
      </c>
      <c r="V2972">
        <f t="shared" si="281"/>
        <v>0</v>
      </c>
    </row>
    <row r="2973" spans="1:22" x14ac:dyDescent="0.45">
      <c r="A2973" t="s">
        <v>3830</v>
      </c>
      <c r="B2973" t="s">
        <v>1697</v>
      </c>
      <c r="C2973" t="s">
        <v>37</v>
      </c>
      <c r="D2973" t="s">
        <v>78</v>
      </c>
      <c r="E2973" t="s">
        <v>16</v>
      </c>
      <c r="F2973">
        <v>198</v>
      </c>
      <c r="G2973">
        <v>9423</v>
      </c>
      <c r="H2973">
        <v>1865754</v>
      </c>
      <c r="I2973" t="s">
        <v>2972</v>
      </c>
      <c r="J2973" t="s">
        <v>2972</v>
      </c>
      <c r="K2973">
        <v>198</v>
      </c>
      <c r="L2973">
        <v>0</v>
      </c>
      <c r="M2973" t="s">
        <v>115</v>
      </c>
      <c r="N2973" t="str">
        <f t="shared" si="276"/>
        <v>PO-102972</v>
      </c>
      <c r="O2973" t="str">
        <f t="shared" si="277"/>
        <v>Delivered</v>
      </c>
      <c r="P2973" t="str">
        <f t="shared" si="278"/>
        <v>WH-DEL</v>
      </c>
      <c r="Q2973" t="str">
        <f>VLOOKUP(C2973, Lookups!$A$2:$D$10, 2, FALSE())</f>
        <v>Premium Desks Ltd</v>
      </c>
      <c r="R2973" t="str">
        <f>_xlfn.XLOOKUP(D2973, Lookups!$A$12:$A$51, Lookups!$C$12:$C$51, "Unknown")</f>
        <v>Office Furniture</v>
      </c>
      <c r="S2973" t="str">
        <f>IF(ISBLANK(I2973), B2973+VLOOKUP(C2973, Lookups!$A$2:$D$10, 4, FALSE()), I2973)</f>
        <v>2026-12-27</v>
      </c>
      <c r="T2973">
        <f t="shared" si="279"/>
        <v>12</v>
      </c>
      <c r="U2973" t="str">
        <f t="shared" si="280"/>
        <v>On-Time</v>
      </c>
      <c r="V2973">
        <f t="shared" si="281"/>
        <v>0</v>
      </c>
    </row>
    <row r="2974" spans="1:22" x14ac:dyDescent="0.45">
      <c r="A2974" t="s">
        <v>3831</v>
      </c>
      <c r="B2974" t="s">
        <v>688</v>
      </c>
      <c r="C2974" t="s">
        <v>30</v>
      </c>
      <c r="D2974" t="s">
        <v>52</v>
      </c>
      <c r="E2974" t="s">
        <v>15</v>
      </c>
      <c r="F2974">
        <v>230</v>
      </c>
      <c r="G2974">
        <v>59592</v>
      </c>
      <c r="H2974">
        <v>13706160</v>
      </c>
      <c r="I2974" t="s">
        <v>1780</v>
      </c>
      <c r="J2974" t="s">
        <v>1048</v>
      </c>
      <c r="K2974">
        <v>230</v>
      </c>
      <c r="L2974">
        <v>0</v>
      </c>
      <c r="M2974" t="s">
        <v>115</v>
      </c>
      <c r="N2974" t="str">
        <f t="shared" si="276"/>
        <v>PO-102973</v>
      </c>
      <c r="O2974" t="str">
        <f t="shared" si="277"/>
        <v>Delivered</v>
      </c>
      <c r="P2974" t="str">
        <f t="shared" si="278"/>
        <v>WH-BOM</v>
      </c>
      <c r="Q2974" t="str">
        <f>VLOOKUP(C2974, Lookups!$A$2:$D$10, 2, FALSE())</f>
        <v>TechSupply Corp</v>
      </c>
      <c r="R2974" t="str">
        <f>_xlfn.XLOOKUP(D2974, Lookups!$A$12:$A$51, Lookups!$C$12:$C$51, "Unknown")</f>
        <v>Electronics</v>
      </c>
      <c r="S2974" t="str">
        <f>IF(ISBLANK(I2974), B2974+VLOOKUP(C2974, Lookups!$A$2:$D$10, 4, FALSE()), I2974)</f>
        <v>2026-05-13</v>
      </c>
      <c r="T2974">
        <f t="shared" si="279"/>
        <v>15</v>
      </c>
      <c r="U2974" t="str">
        <f t="shared" si="280"/>
        <v>Late</v>
      </c>
      <c r="V2974">
        <f t="shared" si="281"/>
        <v>0</v>
      </c>
    </row>
    <row r="2975" spans="1:22" x14ac:dyDescent="0.45">
      <c r="A2975" t="s">
        <v>3832</v>
      </c>
      <c r="B2975" t="s">
        <v>1615</v>
      </c>
      <c r="C2975" t="s">
        <v>36</v>
      </c>
      <c r="D2975" t="s">
        <v>87</v>
      </c>
      <c r="E2975" t="s">
        <v>15</v>
      </c>
      <c r="F2975">
        <v>214</v>
      </c>
      <c r="G2975">
        <v>82930</v>
      </c>
      <c r="H2975">
        <v>17747020</v>
      </c>
      <c r="I2975" t="s">
        <v>661</v>
      </c>
      <c r="J2975" t="s">
        <v>494</v>
      </c>
      <c r="K2975">
        <v>214</v>
      </c>
      <c r="L2975">
        <v>0</v>
      </c>
      <c r="M2975" t="s">
        <v>115</v>
      </c>
      <c r="N2975" t="str">
        <f t="shared" si="276"/>
        <v>PO-102974</v>
      </c>
      <c r="O2975" t="str">
        <f t="shared" si="277"/>
        <v>Delivered</v>
      </c>
      <c r="P2975" t="str">
        <f t="shared" si="278"/>
        <v>WH-BOM</v>
      </c>
      <c r="Q2975" t="str">
        <f>VLOOKUP(C2975, Lookups!$A$2:$D$10, 2, FALSE())</f>
        <v>NextGen Hardware</v>
      </c>
      <c r="R2975" t="str">
        <f>_xlfn.XLOOKUP(D2975, Lookups!$A$12:$A$51, Lookups!$C$12:$C$51, "Unknown")</f>
        <v>Electronics</v>
      </c>
      <c r="S2975" t="str">
        <f>IF(ISBLANK(I2975), B2975+VLOOKUP(C2975, Lookups!$A$2:$D$10, 4, FALSE()), I2975)</f>
        <v>2026-09-14</v>
      </c>
      <c r="T2975">
        <f t="shared" si="279"/>
        <v>28</v>
      </c>
      <c r="U2975" t="str">
        <f t="shared" si="280"/>
        <v>Late</v>
      </c>
      <c r="V2975">
        <f t="shared" si="281"/>
        <v>0</v>
      </c>
    </row>
    <row r="2976" spans="1:22" x14ac:dyDescent="0.45">
      <c r="A2976" t="s">
        <v>3833</v>
      </c>
      <c r="B2976" t="s">
        <v>734</v>
      </c>
      <c r="C2976" t="s">
        <v>35</v>
      </c>
      <c r="D2976" t="s">
        <v>91</v>
      </c>
      <c r="E2976" t="s">
        <v>18</v>
      </c>
      <c r="F2976">
        <v>215</v>
      </c>
      <c r="G2976">
        <v>6707</v>
      </c>
      <c r="H2976">
        <v>1442005</v>
      </c>
      <c r="I2976" t="s">
        <v>954</v>
      </c>
      <c r="J2976" t="s">
        <v>1024</v>
      </c>
      <c r="K2976">
        <v>215</v>
      </c>
      <c r="L2976">
        <v>0</v>
      </c>
      <c r="M2976" t="s">
        <v>115</v>
      </c>
      <c r="N2976" t="str">
        <f t="shared" si="276"/>
        <v>PO-102975</v>
      </c>
      <c r="O2976" t="str">
        <f t="shared" si="277"/>
        <v>Delivered</v>
      </c>
      <c r="P2976" t="str">
        <f t="shared" si="278"/>
        <v>WH-PUN</v>
      </c>
      <c r="Q2976" t="str">
        <f>VLOOKUP(C2976, Lookups!$A$2:$D$10, 2, FALSE())</f>
        <v>Peripheral Source</v>
      </c>
      <c r="R2976" t="str">
        <f>_xlfn.XLOOKUP(D2976, Lookups!$A$12:$A$51, Lookups!$C$12:$C$51, "Unknown")</f>
        <v>Peripherals</v>
      </c>
      <c r="S2976" t="str">
        <f>IF(ISBLANK(I2976), B2976+VLOOKUP(C2976, Lookups!$A$2:$D$10, 4, FALSE()), I2976)</f>
        <v>2026-11-16</v>
      </c>
      <c r="T2976">
        <f t="shared" si="279"/>
        <v>11</v>
      </c>
      <c r="U2976" t="str">
        <f t="shared" si="280"/>
        <v>Late</v>
      </c>
      <c r="V2976">
        <f t="shared" si="281"/>
        <v>0</v>
      </c>
    </row>
    <row r="2977" spans="1:22" x14ac:dyDescent="0.45">
      <c r="A2977" t="s">
        <v>3834</v>
      </c>
      <c r="B2977" t="s">
        <v>468</v>
      </c>
      <c r="C2977" t="s">
        <v>37</v>
      </c>
      <c r="D2977" t="s">
        <v>83</v>
      </c>
      <c r="E2977" t="s">
        <v>18</v>
      </c>
      <c r="F2977">
        <v>79</v>
      </c>
      <c r="G2977">
        <v>19850</v>
      </c>
      <c r="H2977">
        <v>1568150</v>
      </c>
      <c r="I2977" t="s">
        <v>2204</v>
      </c>
      <c r="J2977" t="s">
        <v>894</v>
      </c>
      <c r="K2977">
        <v>79</v>
      </c>
      <c r="L2977">
        <v>0</v>
      </c>
      <c r="M2977" t="s">
        <v>115</v>
      </c>
      <c r="N2977" t="str">
        <f t="shared" si="276"/>
        <v>PO-102976</v>
      </c>
      <c r="O2977" t="str">
        <f t="shared" si="277"/>
        <v>Delivered</v>
      </c>
      <c r="P2977" t="str">
        <f t="shared" si="278"/>
        <v>WH-PUN</v>
      </c>
      <c r="Q2977" t="str">
        <f>VLOOKUP(C2977, Lookups!$A$2:$D$10, 2, FALSE())</f>
        <v>Premium Desks Ltd</v>
      </c>
      <c r="R2977" t="str">
        <f>_xlfn.XLOOKUP(D2977, Lookups!$A$12:$A$51, Lookups!$C$12:$C$51, "Unknown")</f>
        <v>Office Furniture</v>
      </c>
      <c r="S2977" t="str">
        <f>IF(ISBLANK(I2977), B2977+VLOOKUP(C2977, Lookups!$A$2:$D$10, 4, FALSE()), I2977)</f>
        <v>2025-07-31</v>
      </c>
      <c r="T2977">
        <f t="shared" si="279"/>
        <v>13</v>
      </c>
      <c r="U2977" t="str">
        <f t="shared" si="280"/>
        <v>Late</v>
      </c>
      <c r="V2977">
        <f t="shared" si="281"/>
        <v>0</v>
      </c>
    </row>
    <row r="2978" spans="1:22" x14ac:dyDescent="0.45">
      <c r="A2978" t="s">
        <v>3835</v>
      </c>
      <c r="B2978" t="s">
        <v>1622</v>
      </c>
      <c r="C2978" t="s">
        <v>30</v>
      </c>
      <c r="D2978" t="s">
        <v>61</v>
      </c>
      <c r="E2978" t="s">
        <v>16</v>
      </c>
      <c r="F2978">
        <v>49</v>
      </c>
      <c r="G2978">
        <v>111237</v>
      </c>
      <c r="H2978">
        <v>5450613</v>
      </c>
      <c r="I2978" t="s">
        <v>718</v>
      </c>
      <c r="J2978" t="s">
        <v>330</v>
      </c>
      <c r="K2978">
        <v>49</v>
      </c>
      <c r="L2978">
        <v>0</v>
      </c>
      <c r="M2978" t="s">
        <v>115</v>
      </c>
      <c r="N2978" t="str">
        <f t="shared" si="276"/>
        <v>PO-102977</v>
      </c>
      <c r="O2978" t="str">
        <f t="shared" si="277"/>
        <v>Delivered</v>
      </c>
      <c r="P2978" t="str">
        <f t="shared" si="278"/>
        <v>WH-DEL</v>
      </c>
      <c r="Q2978" t="str">
        <f>VLOOKUP(C2978, Lookups!$A$2:$D$10, 2, FALSE())</f>
        <v>TechSupply Corp</v>
      </c>
      <c r="R2978" t="str">
        <f>_xlfn.XLOOKUP(D2978, Lookups!$A$12:$A$51, Lookups!$C$12:$C$51, "Unknown")</f>
        <v>Electronics</v>
      </c>
      <c r="S2978" t="str">
        <f>IF(ISBLANK(I2978), B2978+VLOOKUP(C2978, Lookups!$A$2:$D$10, 4, FALSE()), I2978)</f>
        <v>2026-02-11</v>
      </c>
      <c r="T2978">
        <f t="shared" si="279"/>
        <v>26</v>
      </c>
      <c r="U2978" t="str">
        <f t="shared" si="280"/>
        <v>Late</v>
      </c>
      <c r="V2978">
        <f t="shared" si="281"/>
        <v>0</v>
      </c>
    </row>
    <row r="2979" spans="1:22" x14ac:dyDescent="0.45">
      <c r="A2979" t="s">
        <v>3836</v>
      </c>
      <c r="B2979" t="s">
        <v>502</v>
      </c>
      <c r="C2979" t="s">
        <v>34</v>
      </c>
      <c r="D2979" t="s">
        <v>68</v>
      </c>
      <c r="E2979" t="s">
        <v>17</v>
      </c>
      <c r="F2979">
        <v>214</v>
      </c>
      <c r="G2979">
        <v>41405</v>
      </c>
      <c r="H2979">
        <v>8860670</v>
      </c>
      <c r="I2979" t="s">
        <v>337</v>
      </c>
      <c r="J2979" t="s">
        <v>1979</v>
      </c>
      <c r="K2979">
        <v>214</v>
      </c>
      <c r="L2979">
        <v>0</v>
      </c>
      <c r="M2979" t="s">
        <v>115</v>
      </c>
      <c r="N2979" t="str">
        <f t="shared" si="276"/>
        <v>PO-102978</v>
      </c>
      <c r="O2979" t="str">
        <f t="shared" si="277"/>
        <v>Delivered</v>
      </c>
      <c r="P2979" t="str">
        <f t="shared" si="278"/>
        <v>WH-BLR</v>
      </c>
      <c r="Q2979" t="str">
        <f>VLOOKUP(C2979, Lookups!$A$2:$D$10, 2, FALSE())</f>
        <v>FastElectronics</v>
      </c>
      <c r="R2979" t="str">
        <f>_xlfn.XLOOKUP(D2979, Lookups!$A$12:$A$51, Lookups!$C$12:$C$51, "Unknown")</f>
        <v>Networking</v>
      </c>
      <c r="S2979" t="str">
        <f>IF(ISBLANK(I2979), B2979+VLOOKUP(C2979, Lookups!$A$2:$D$10, 4, FALSE()), I2979)</f>
        <v>2026-03-12</v>
      </c>
      <c r="T2979">
        <f t="shared" si="279"/>
        <v>19</v>
      </c>
      <c r="U2979" t="str">
        <f t="shared" si="280"/>
        <v>Late</v>
      </c>
      <c r="V2979">
        <f t="shared" si="281"/>
        <v>0</v>
      </c>
    </row>
    <row r="2980" spans="1:22" x14ac:dyDescent="0.45">
      <c r="A2980" t="s">
        <v>3837</v>
      </c>
      <c r="B2980" t="s">
        <v>323</v>
      </c>
      <c r="C2980" t="s">
        <v>31</v>
      </c>
      <c r="D2980" t="s">
        <v>56</v>
      </c>
      <c r="E2980" t="s">
        <v>18</v>
      </c>
      <c r="F2980">
        <v>21</v>
      </c>
      <c r="G2980">
        <v>39270</v>
      </c>
      <c r="H2980">
        <v>824670</v>
      </c>
      <c r="I2980" t="s">
        <v>1058</v>
      </c>
      <c r="J2980" t="s">
        <v>1002</v>
      </c>
      <c r="K2980">
        <v>21</v>
      </c>
      <c r="L2980">
        <v>0</v>
      </c>
      <c r="M2980" t="s">
        <v>115</v>
      </c>
      <c r="N2980" t="str">
        <f t="shared" si="276"/>
        <v>PO-102979</v>
      </c>
      <c r="O2980" t="str">
        <f t="shared" si="277"/>
        <v>Delivered</v>
      </c>
      <c r="P2980" t="str">
        <f t="shared" si="278"/>
        <v>WH-PUN</v>
      </c>
      <c r="Q2980" t="str">
        <f>VLOOKUP(C2980, Lookups!$A$2:$D$10, 2, FALSE())</f>
        <v>Global Networks</v>
      </c>
      <c r="R2980" t="str">
        <f>_xlfn.XLOOKUP(D2980, Lookups!$A$12:$A$51, Lookups!$C$12:$C$51, "Unknown")</f>
        <v>Networking</v>
      </c>
      <c r="S2980" t="str">
        <f>IF(ISBLANK(I2980), B2980+VLOOKUP(C2980, Lookups!$A$2:$D$10, 4, FALSE()), I2980)</f>
        <v>2026-04-25</v>
      </c>
      <c r="T2980">
        <f t="shared" si="279"/>
        <v>22</v>
      </c>
      <c r="U2980" t="str">
        <f t="shared" si="280"/>
        <v>Late</v>
      </c>
      <c r="V2980">
        <f t="shared" si="281"/>
        <v>0</v>
      </c>
    </row>
    <row r="2981" spans="1:22" x14ac:dyDescent="0.45">
      <c r="A2981" t="s">
        <v>3838</v>
      </c>
      <c r="B2981" t="s">
        <v>426</v>
      </c>
      <c r="C2981" t="s">
        <v>36</v>
      </c>
      <c r="D2981" t="s">
        <v>90</v>
      </c>
      <c r="E2981" t="s">
        <v>17</v>
      </c>
      <c r="F2981">
        <v>97</v>
      </c>
      <c r="G2981">
        <v>81434</v>
      </c>
      <c r="H2981">
        <v>7899098</v>
      </c>
      <c r="I2981" t="s">
        <v>435</v>
      </c>
      <c r="J2981" t="s">
        <v>236</v>
      </c>
      <c r="K2981">
        <v>97</v>
      </c>
      <c r="L2981">
        <v>0</v>
      </c>
      <c r="M2981" t="s">
        <v>115</v>
      </c>
      <c r="N2981" t="str">
        <f t="shared" si="276"/>
        <v>PO-102980</v>
      </c>
      <c r="O2981" t="str">
        <f t="shared" si="277"/>
        <v>Delivered</v>
      </c>
      <c r="P2981" t="str">
        <f t="shared" si="278"/>
        <v>WH-BLR</v>
      </c>
      <c r="Q2981" t="str">
        <f>VLOOKUP(C2981, Lookups!$A$2:$D$10, 2, FALSE())</f>
        <v>NextGen Hardware</v>
      </c>
      <c r="R2981" t="str">
        <f>_xlfn.XLOOKUP(D2981, Lookups!$A$12:$A$51, Lookups!$C$12:$C$51, "Unknown")</f>
        <v>Electronics</v>
      </c>
      <c r="S2981" t="str">
        <f>IF(ISBLANK(I2981), B2981+VLOOKUP(C2981, Lookups!$A$2:$D$10, 4, FALSE()), I2981)</f>
        <v>2025-08-20</v>
      </c>
      <c r="T2981">
        <f t="shared" si="279"/>
        <v>32</v>
      </c>
      <c r="U2981" t="str">
        <f t="shared" si="280"/>
        <v>Late</v>
      </c>
      <c r="V2981">
        <f t="shared" si="281"/>
        <v>0</v>
      </c>
    </row>
    <row r="2982" spans="1:22" x14ac:dyDescent="0.45">
      <c r="A2982" t="s">
        <v>3839</v>
      </c>
      <c r="B2982" t="s">
        <v>112</v>
      </c>
      <c r="C2982" t="s">
        <v>30</v>
      </c>
      <c r="D2982" t="s">
        <v>61</v>
      </c>
      <c r="E2982" t="s">
        <v>16</v>
      </c>
      <c r="F2982">
        <v>28</v>
      </c>
      <c r="G2982">
        <v>111237</v>
      </c>
      <c r="H2982">
        <v>3114636</v>
      </c>
      <c r="I2982" t="s">
        <v>194</v>
      </c>
      <c r="J2982" t="s">
        <v>908</v>
      </c>
      <c r="K2982">
        <v>25</v>
      </c>
      <c r="L2982">
        <v>0</v>
      </c>
      <c r="M2982" t="s">
        <v>115</v>
      </c>
      <c r="N2982" t="str">
        <f t="shared" si="276"/>
        <v>PO-102981</v>
      </c>
      <c r="O2982" t="str">
        <f t="shared" si="277"/>
        <v>Delivered</v>
      </c>
      <c r="P2982" t="str">
        <f t="shared" si="278"/>
        <v>WH-DEL</v>
      </c>
      <c r="Q2982" t="str">
        <f>VLOOKUP(C2982, Lookups!$A$2:$D$10, 2, FALSE())</f>
        <v>TechSupply Corp</v>
      </c>
      <c r="R2982" t="str">
        <f>_xlfn.XLOOKUP(D2982, Lookups!$A$12:$A$51, Lookups!$C$12:$C$51, "Unknown")</f>
        <v>Electronics</v>
      </c>
      <c r="S2982" t="str">
        <f>IF(ISBLANK(I2982), B2982+VLOOKUP(C2982, Lookups!$A$2:$D$10, 4, FALSE()), I2982)</f>
        <v>2026-06-30</v>
      </c>
      <c r="T2982">
        <f t="shared" si="279"/>
        <v>15</v>
      </c>
      <c r="U2982" t="str">
        <f t="shared" si="280"/>
        <v>Late</v>
      </c>
      <c r="V2982">
        <f t="shared" si="281"/>
        <v>0</v>
      </c>
    </row>
    <row r="2983" spans="1:22" x14ac:dyDescent="0.45">
      <c r="A2983" t="s">
        <v>3840</v>
      </c>
      <c r="B2983" t="s">
        <v>1173</v>
      </c>
      <c r="C2983" t="s">
        <v>35</v>
      </c>
      <c r="D2983" t="s">
        <v>75</v>
      </c>
      <c r="E2983" t="s">
        <v>18</v>
      </c>
      <c r="F2983">
        <v>213</v>
      </c>
      <c r="G2983">
        <v>4440</v>
      </c>
      <c r="H2983">
        <v>945720</v>
      </c>
      <c r="I2983" t="s">
        <v>391</v>
      </c>
      <c r="J2983" t="s">
        <v>391</v>
      </c>
      <c r="K2983">
        <v>213</v>
      </c>
      <c r="L2983">
        <v>0</v>
      </c>
      <c r="M2983" t="s">
        <v>115</v>
      </c>
      <c r="N2983" t="str">
        <f t="shared" si="276"/>
        <v>PO-102982</v>
      </c>
      <c r="O2983" t="str">
        <f t="shared" si="277"/>
        <v>Delivered</v>
      </c>
      <c r="P2983" t="str">
        <f t="shared" si="278"/>
        <v>WH-PUN</v>
      </c>
      <c r="Q2983" t="str">
        <f>VLOOKUP(C2983, Lookups!$A$2:$D$10, 2, FALSE())</f>
        <v>Peripheral Source</v>
      </c>
      <c r="R2983" t="str">
        <f>_xlfn.XLOOKUP(D2983, Lookups!$A$12:$A$51, Lookups!$C$12:$C$51, "Unknown")</f>
        <v>Peripherals</v>
      </c>
      <c r="S2983" t="str">
        <f>IF(ISBLANK(I2983), B2983+VLOOKUP(C2983, Lookups!$A$2:$D$10, 4, FALSE()), I2983)</f>
        <v>2026-06-14</v>
      </c>
      <c r="T2983">
        <f t="shared" si="279"/>
        <v>10</v>
      </c>
      <c r="U2983" t="str">
        <f t="shared" si="280"/>
        <v>On-Time</v>
      </c>
      <c r="V2983">
        <f t="shared" si="281"/>
        <v>0</v>
      </c>
    </row>
    <row r="2984" spans="1:22" x14ac:dyDescent="0.45">
      <c r="A2984" t="s">
        <v>3841</v>
      </c>
      <c r="B2984" t="s">
        <v>980</v>
      </c>
      <c r="C2984" t="s">
        <v>30</v>
      </c>
      <c r="D2984" t="s">
        <v>52</v>
      </c>
      <c r="E2984" t="s">
        <v>17</v>
      </c>
      <c r="F2984">
        <v>106</v>
      </c>
      <c r="G2984">
        <v>59592</v>
      </c>
      <c r="H2984">
        <v>6316752</v>
      </c>
      <c r="I2984" t="s">
        <v>281</v>
      </c>
      <c r="J2984" t="s">
        <v>282</v>
      </c>
      <c r="K2984">
        <v>106</v>
      </c>
      <c r="L2984">
        <v>0</v>
      </c>
      <c r="M2984" t="s">
        <v>115</v>
      </c>
      <c r="N2984" t="str">
        <f t="shared" si="276"/>
        <v>PO-102983</v>
      </c>
      <c r="O2984" t="str">
        <f t="shared" si="277"/>
        <v>Delivered</v>
      </c>
      <c r="P2984" t="str">
        <f t="shared" si="278"/>
        <v>WH-BLR</v>
      </c>
      <c r="Q2984" t="str">
        <f>VLOOKUP(C2984, Lookups!$A$2:$D$10, 2, FALSE())</f>
        <v>TechSupply Corp</v>
      </c>
      <c r="R2984" t="str">
        <f>_xlfn.XLOOKUP(D2984, Lookups!$A$12:$A$51, Lookups!$C$12:$C$51, "Unknown")</f>
        <v>Electronics</v>
      </c>
      <c r="S2984" t="str">
        <f>IF(ISBLANK(I2984), B2984+VLOOKUP(C2984, Lookups!$A$2:$D$10, 4, FALSE()), I2984)</f>
        <v>2026-10-26</v>
      </c>
      <c r="T2984">
        <f t="shared" si="279"/>
        <v>15</v>
      </c>
      <c r="U2984" t="str">
        <f t="shared" si="280"/>
        <v>Late</v>
      </c>
      <c r="V2984">
        <f t="shared" si="281"/>
        <v>0</v>
      </c>
    </row>
    <row r="2985" spans="1:22" x14ac:dyDescent="0.45">
      <c r="A2985" t="s">
        <v>3842</v>
      </c>
      <c r="B2985" t="s">
        <v>613</v>
      </c>
      <c r="C2985" t="s">
        <v>33</v>
      </c>
      <c r="D2985" t="s">
        <v>89</v>
      </c>
      <c r="E2985" t="s">
        <v>18</v>
      </c>
      <c r="F2985">
        <v>167</v>
      </c>
      <c r="G2985">
        <v>11309</v>
      </c>
      <c r="H2985">
        <v>1888603</v>
      </c>
      <c r="I2985" t="s">
        <v>189</v>
      </c>
      <c r="J2985" t="s">
        <v>189</v>
      </c>
      <c r="K2985">
        <v>167</v>
      </c>
      <c r="L2985">
        <v>0</v>
      </c>
      <c r="M2985" t="s">
        <v>115</v>
      </c>
      <c r="N2985" t="str">
        <f t="shared" si="276"/>
        <v>PO-102984</v>
      </c>
      <c r="O2985" t="str">
        <f t="shared" si="277"/>
        <v>Delivered</v>
      </c>
      <c r="P2985" t="str">
        <f t="shared" si="278"/>
        <v>WH-PUN</v>
      </c>
      <c r="Q2985" t="str">
        <f>VLOOKUP(C2985, Lookups!$A$2:$D$10, 2, FALSE())</f>
        <v>MegaFurnish</v>
      </c>
      <c r="R2985" t="str">
        <f>_xlfn.XLOOKUP(D2985, Lookups!$A$12:$A$51, Lookups!$C$12:$C$51, "Unknown")</f>
        <v>Office Furniture</v>
      </c>
      <c r="S2985" t="str">
        <f>IF(ISBLANK(I2985), B2985+VLOOKUP(C2985, Lookups!$A$2:$D$10, 4, FALSE()), I2985)</f>
        <v>2025-03-07</v>
      </c>
      <c r="T2985">
        <f t="shared" si="279"/>
        <v>30</v>
      </c>
      <c r="U2985" t="str">
        <f t="shared" si="280"/>
        <v>On-Time</v>
      </c>
      <c r="V2985">
        <f t="shared" si="281"/>
        <v>0</v>
      </c>
    </row>
    <row r="2986" spans="1:22" x14ac:dyDescent="0.45">
      <c r="A2986" t="s">
        <v>3843</v>
      </c>
      <c r="B2986" t="s">
        <v>510</v>
      </c>
      <c r="C2986" t="s">
        <v>30</v>
      </c>
      <c r="D2986" t="s">
        <v>86</v>
      </c>
      <c r="E2986" t="s">
        <v>15</v>
      </c>
      <c r="F2986">
        <v>183</v>
      </c>
      <c r="G2986">
        <v>74871</v>
      </c>
      <c r="H2986">
        <v>13701393</v>
      </c>
      <c r="I2986" t="s">
        <v>195</v>
      </c>
      <c r="J2986" t="s">
        <v>196</v>
      </c>
      <c r="K2986">
        <v>183</v>
      </c>
      <c r="L2986">
        <v>0</v>
      </c>
      <c r="M2986" t="s">
        <v>115</v>
      </c>
      <c r="N2986" t="str">
        <f t="shared" si="276"/>
        <v>PO-102985</v>
      </c>
      <c r="O2986" t="str">
        <f t="shared" si="277"/>
        <v>Delivered</v>
      </c>
      <c r="P2986" t="str">
        <f t="shared" si="278"/>
        <v>WH-BOM</v>
      </c>
      <c r="Q2986" t="str">
        <f>VLOOKUP(C2986, Lookups!$A$2:$D$10, 2, FALSE())</f>
        <v>TechSupply Corp</v>
      </c>
      <c r="R2986" t="str">
        <f>_xlfn.XLOOKUP(D2986, Lookups!$A$12:$A$51, Lookups!$C$12:$C$51, "Unknown")</f>
        <v>Electronics</v>
      </c>
      <c r="S2986" t="str">
        <f>IF(ISBLANK(I2986), B2986+VLOOKUP(C2986, Lookups!$A$2:$D$10, 4, FALSE()), I2986)</f>
        <v>2026-07-10</v>
      </c>
      <c r="T2986">
        <f t="shared" si="279"/>
        <v>15</v>
      </c>
      <c r="U2986" t="str">
        <f t="shared" si="280"/>
        <v>Late</v>
      </c>
      <c r="V2986">
        <f t="shared" si="281"/>
        <v>0</v>
      </c>
    </row>
    <row r="2987" spans="1:22" x14ac:dyDescent="0.45">
      <c r="A2987" t="s">
        <v>3844</v>
      </c>
      <c r="B2987" t="s">
        <v>2937</v>
      </c>
      <c r="C2987" t="s">
        <v>30</v>
      </c>
      <c r="D2987" t="s">
        <v>52</v>
      </c>
      <c r="E2987" t="s">
        <v>18</v>
      </c>
      <c r="F2987">
        <v>35</v>
      </c>
      <c r="G2987">
        <v>59592</v>
      </c>
      <c r="H2987">
        <v>2085720</v>
      </c>
      <c r="I2987" t="s">
        <v>1537</v>
      </c>
      <c r="J2987" t="s">
        <v>1537</v>
      </c>
      <c r="K2987">
        <v>35</v>
      </c>
      <c r="L2987">
        <v>0</v>
      </c>
      <c r="M2987" t="s">
        <v>115</v>
      </c>
      <c r="N2987" t="str">
        <f t="shared" si="276"/>
        <v>PO-102986</v>
      </c>
      <c r="O2987" t="str">
        <f t="shared" si="277"/>
        <v>Delivered</v>
      </c>
      <c r="P2987" t="str">
        <f t="shared" si="278"/>
        <v>WH-PUN</v>
      </c>
      <c r="Q2987" t="str">
        <f>VLOOKUP(C2987, Lookups!$A$2:$D$10, 2, FALSE())</f>
        <v>TechSupply Corp</v>
      </c>
      <c r="R2987" t="str">
        <f>_xlfn.XLOOKUP(D2987, Lookups!$A$12:$A$51, Lookups!$C$12:$C$51, "Unknown")</f>
        <v>Electronics</v>
      </c>
      <c r="S2987" t="str">
        <f>IF(ISBLANK(I2987), B2987+VLOOKUP(C2987, Lookups!$A$2:$D$10, 4, FALSE()), I2987)</f>
        <v>2025-04-18</v>
      </c>
      <c r="T2987">
        <f t="shared" si="279"/>
        <v>14</v>
      </c>
      <c r="U2987" t="str">
        <f t="shared" si="280"/>
        <v>On-Time</v>
      </c>
      <c r="V2987">
        <f t="shared" si="281"/>
        <v>0</v>
      </c>
    </row>
    <row r="2988" spans="1:22" x14ac:dyDescent="0.45">
      <c r="A2988" t="s">
        <v>3845</v>
      </c>
      <c r="B2988" t="s">
        <v>220</v>
      </c>
      <c r="C2988" t="s">
        <v>30</v>
      </c>
      <c r="D2988" t="s">
        <v>53</v>
      </c>
      <c r="E2988" t="s">
        <v>16</v>
      </c>
      <c r="F2988">
        <v>209</v>
      </c>
      <c r="G2988">
        <v>81048</v>
      </c>
      <c r="H2988">
        <v>16939032</v>
      </c>
      <c r="I2988" t="s">
        <v>221</v>
      </c>
      <c r="J2988" t="s">
        <v>221</v>
      </c>
      <c r="K2988">
        <v>209</v>
      </c>
      <c r="L2988">
        <v>0</v>
      </c>
      <c r="M2988" t="s">
        <v>115</v>
      </c>
      <c r="N2988" t="str">
        <f t="shared" si="276"/>
        <v>PO-102987</v>
      </c>
      <c r="O2988" t="str">
        <f t="shared" si="277"/>
        <v>Delivered</v>
      </c>
      <c r="P2988" t="str">
        <f t="shared" si="278"/>
        <v>WH-DEL</v>
      </c>
      <c r="Q2988" t="str">
        <f>VLOOKUP(C2988, Lookups!$A$2:$D$10, 2, FALSE())</f>
        <v>TechSupply Corp</v>
      </c>
      <c r="R2988" t="str">
        <f>_xlfn.XLOOKUP(D2988, Lookups!$A$12:$A$51, Lookups!$C$12:$C$51, "Unknown")</f>
        <v>Electronics</v>
      </c>
      <c r="S2988" t="str">
        <f>IF(ISBLANK(I2988), B2988+VLOOKUP(C2988, Lookups!$A$2:$D$10, 4, FALSE()), I2988)</f>
        <v>2026-02-28</v>
      </c>
      <c r="T2988">
        <f t="shared" si="279"/>
        <v>14</v>
      </c>
      <c r="U2988" t="str">
        <f t="shared" si="280"/>
        <v>On-Time</v>
      </c>
      <c r="V2988">
        <f t="shared" si="281"/>
        <v>0</v>
      </c>
    </row>
    <row r="2989" spans="1:22" x14ac:dyDescent="0.45">
      <c r="A2989" t="s">
        <v>3846</v>
      </c>
      <c r="B2989" t="s">
        <v>1066</v>
      </c>
      <c r="C2989" t="s">
        <v>32</v>
      </c>
      <c r="D2989" t="s">
        <v>84</v>
      </c>
      <c r="E2989" t="s">
        <v>17</v>
      </c>
      <c r="F2989">
        <v>76</v>
      </c>
      <c r="G2989">
        <v>7271</v>
      </c>
      <c r="H2989">
        <v>552596</v>
      </c>
      <c r="I2989" t="s">
        <v>142</v>
      </c>
      <c r="J2989" t="s">
        <v>143</v>
      </c>
      <c r="K2989">
        <v>76</v>
      </c>
      <c r="L2989">
        <v>0</v>
      </c>
      <c r="M2989" t="s">
        <v>115</v>
      </c>
      <c r="N2989" t="str">
        <f t="shared" si="276"/>
        <v>PO-102988</v>
      </c>
      <c r="O2989" t="str">
        <f t="shared" si="277"/>
        <v>Delivered</v>
      </c>
      <c r="P2989" t="str">
        <f t="shared" si="278"/>
        <v>WH-BLR</v>
      </c>
      <c r="Q2989" t="str">
        <f>VLOOKUP(C2989, Lookups!$A$2:$D$10, 2, FALSE())</f>
        <v>OfficeDepot Pro</v>
      </c>
      <c r="R2989" t="str">
        <f>_xlfn.XLOOKUP(D2989, Lookups!$A$12:$A$51, Lookups!$C$12:$C$51, "Unknown")</f>
        <v>Peripherals</v>
      </c>
      <c r="S2989" t="str">
        <f>IF(ISBLANK(I2989), B2989+VLOOKUP(C2989, Lookups!$A$2:$D$10, 4, FALSE()), I2989)</f>
        <v>2026-08-02</v>
      </c>
      <c r="T2989">
        <f t="shared" si="279"/>
        <v>8</v>
      </c>
      <c r="U2989" t="str">
        <f t="shared" si="280"/>
        <v>Late</v>
      </c>
      <c r="V2989">
        <f t="shared" si="281"/>
        <v>0</v>
      </c>
    </row>
    <row r="2990" spans="1:22" x14ac:dyDescent="0.45">
      <c r="A2990" t="s">
        <v>3847</v>
      </c>
      <c r="B2990" t="s">
        <v>1551</v>
      </c>
      <c r="C2990" t="s">
        <v>30</v>
      </c>
      <c r="D2990" t="s">
        <v>59</v>
      </c>
      <c r="E2990" t="s">
        <v>16</v>
      </c>
      <c r="F2990">
        <v>54</v>
      </c>
      <c r="G2990">
        <v>48905</v>
      </c>
      <c r="H2990">
        <v>2640870</v>
      </c>
      <c r="I2990" t="s">
        <v>409</v>
      </c>
      <c r="J2990" t="s">
        <v>209</v>
      </c>
      <c r="K2990">
        <v>54</v>
      </c>
      <c r="L2990">
        <v>0</v>
      </c>
      <c r="M2990" t="s">
        <v>115</v>
      </c>
      <c r="N2990" t="str">
        <f t="shared" si="276"/>
        <v>PO-102989</v>
      </c>
      <c r="O2990" t="str">
        <f t="shared" si="277"/>
        <v>Delivered</v>
      </c>
      <c r="P2990" t="str">
        <f t="shared" si="278"/>
        <v>WH-DEL</v>
      </c>
      <c r="Q2990" t="str">
        <f>VLOOKUP(C2990, Lookups!$A$2:$D$10, 2, FALSE())</f>
        <v>TechSupply Corp</v>
      </c>
      <c r="R2990" t="str">
        <f>_xlfn.XLOOKUP(D2990, Lookups!$A$12:$A$51, Lookups!$C$12:$C$51, "Unknown")</f>
        <v>Electronics</v>
      </c>
      <c r="S2990" t="str">
        <f>IF(ISBLANK(I2990), B2990+VLOOKUP(C2990, Lookups!$A$2:$D$10, 4, FALSE()), I2990)</f>
        <v>2025-06-01</v>
      </c>
      <c r="T2990">
        <f t="shared" si="279"/>
        <v>15</v>
      </c>
      <c r="U2990" t="str">
        <f t="shared" si="280"/>
        <v>Late</v>
      </c>
      <c r="V2990">
        <f t="shared" si="281"/>
        <v>0</v>
      </c>
    </row>
    <row r="2991" spans="1:22" x14ac:dyDescent="0.45">
      <c r="A2991" t="s">
        <v>3848</v>
      </c>
      <c r="B2991" t="s">
        <v>1327</v>
      </c>
      <c r="C2991" t="s">
        <v>36</v>
      </c>
      <c r="D2991" t="s">
        <v>87</v>
      </c>
      <c r="E2991" t="s">
        <v>16</v>
      </c>
      <c r="F2991">
        <v>208</v>
      </c>
      <c r="G2991">
        <v>82930</v>
      </c>
      <c r="H2991">
        <v>17249440</v>
      </c>
      <c r="I2991" t="s">
        <v>274</v>
      </c>
      <c r="J2991" t="s">
        <v>274</v>
      </c>
      <c r="K2991">
        <v>208</v>
      </c>
      <c r="L2991">
        <v>0</v>
      </c>
      <c r="M2991" t="s">
        <v>115</v>
      </c>
      <c r="N2991" t="str">
        <f t="shared" si="276"/>
        <v>PO-102990</v>
      </c>
      <c r="O2991" t="str">
        <f t="shared" si="277"/>
        <v>Delivered</v>
      </c>
      <c r="P2991" t="str">
        <f t="shared" si="278"/>
        <v>WH-DEL</v>
      </c>
      <c r="Q2991" t="str">
        <f>VLOOKUP(C2991, Lookups!$A$2:$D$10, 2, FALSE())</f>
        <v>NextGen Hardware</v>
      </c>
      <c r="R2991" t="str">
        <f>_xlfn.XLOOKUP(D2991, Lookups!$A$12:$A$51, Lookups!$C$12:$C$51, "Unknown")</f>
        <v>Electronics</v>
      </c>
      <c r="S2991" t="str">
        <f>IF(ISBLANK(I2991), B2991+VLOOKUP(C2991, Lookups!$A$2:$D$10, 4, FALSE()), I2991)</f>
        <v>2025-08-30</v>
      </c>
      <c r="T2991">
        <f t="shared" si="279"/>
        <v>24</v>
      </c>
      <c r="U2991" t="str">
        <f t="shared" si="280"/>
        <v>On-Time</v>
      </c>
      <c r="V2991">
        <f t="shared" si="281"/>
        <v>0</v>
      </c>
    </row>
    <row r="2992" spans="1:22" x14ac:dyDescent="0.45">
      <c r="A2992" t="s">
        <v>3849</v>
      </c>
      <c r="B2992" t="s">
        <v>1407</v>
      </c>
      <c r="C2992" t="s">
        <v>31</v>
      </c>
      <c r="D2992" t="s">
        <v>66</v>
      </c>
      <c r="E2992" t="s">
        <v>17</v>
      </c>
      <c r="F2992">
        <v>188</v>
      </c>
      <c r="G2992">
        <v>29719</v>
      </c>
      <c r="H2992">
        <v>5587172</v>
      </c>
      <c r="I2992" t="s">
        <v>446</v>
      </c>
      <c r="J2992" t="s">
        <v>1574</v>
      </c>
      <c r="K2992">
        <v>188</v>
      </c>
      <c r="L2992">
        <v>0</v>
      </c>
      <c r="M2992" t="s">
        <v>115</v>
      </c>
      <c r="N2992" t="str">
        <f t="shared" si="276"/>
        <v>PO-102991</v>
      </c>
      <c r="O2992" t="str">
        <f t="shared" si="277"/>
        <v>Delivered</v>
      </c>
      <c r="P2992" t="str">
        <f t="shared" si="278"/>
        <v>WH-BLR</v>
      </c>
      <c r="Q2992" t="str">
        <f>VLOOKUP(C2992, Lookups!$A$2:$D$10, 2, FALSE())</f>
        <v>Global Networks</v>
      </c>
      <c r="R2992" t="str">
        <f>_xlfn.XLOOKUP(D2992, Lookups!$A$12:$A$51, Lookups!$C$12:$C$51, "Unknown")</f>
        <v>Networking</v>
      </c>
      <c r="S2992" t="str">
        <f>IF(ISBLANK(I2992), B2992+VLOOKUP(C2992, Lookups!$A$2:$D$10, 4, FALSE()), I2992)</f>
        <v>2025-11-29</v>
      </c>
      <c r="T2992">
        <f t="shared" si="279"/>
        <v>22</v>
      </c>
      <c r="U2992" t="str">
        <f t="shared" si="280"/>
        <v>Late</v>
      </c>
      <c r="V2992">
        <f t="shared" si="281"/>
        <v>0</v>
      </c>
    </row>
    <row r="2993" spans="1:22" x14ac:dyDescent="0.45">
      <c r="A2993" t="s">
        <v>3850</v>
      </c>
      <c r="B2993" t="s">
        <v>591</v>
      </c>
      <c r="C2993" t="s">
        <v>32</v>
      </c>
      <c r="D2993" t="s">
        <v>84</v>
      </c>
      <c r="E2993" t="s">
        <v>17</v>
      </c>
      <c r="F2993">
        <v>55</v>
      </c>
      <c r="G2993">
        <v>7271</v>
      </c>
      <c r="H2993">
        <v>399905</v>
      </c>
      <c r="I2993" t="s">
        <v>1389</v>
      </c>
      <c r="J2993" t="s">
        <v>1416</v>
      </c>
      <c r="K2993">
        <v>55</v>
      </c>
      <c r="L2993">
        <v>0</v>
      </c>
      <c r="M2993" t="s">
        <v>115</v>
      </c>
      <c r="N2993" t="str">
        <f t="shared" si="276"/>
        <v>PO-102992</v>
      </c>
      <c r="O2993" t="str">
        <f t="shared" si="277"/>
        <v>Delivered</v>
      </c>
      <c r="P2993" t="str">
        <f t="shared" si="278"/>
        <v>WH-BLR</v>
      </c>
      <c r="Q2993" t="str">
        <f>VLOOKUP(C2993, Lookups!$A$2:$D$10, 2, FALSE())</f>
        <v>OfficeDepot Pro</v>
      </c>
      <c r="R2993" t="str">
        <f>_xlfn.XLOOKUP(D2993, Lookups!$A$12:$A$51, Lookups!$C$12:$C$51, "Unknown")</f>
        <v>Peripherals</v>
      </c>
      <c r="S2993" t="str">
        <f>IF(ISBLANK(I2993), B2993+VLOOKUP(C2993, Lookups!$A$2:$D$10, 4, FALSE()), I2993)</f>
        <v>2026-01-27</v>
      </c>
      <c r="T2993">
        <f t="shared" si="279"/>
        <v>10</v>
      </c>
      <c r="U2993" t="str">
        <f t="shared" si="280"/>
        <v>Late</v>
      </c>
      <c r="V2993">
        <f t="shared" si="281"/>
        <v>0</v>
      </c>
    </row>
    <row r="2994" spans="1:22" x14ac:dyDescent="0.45">
      <c r="A2994" t="s">
        <v>3851</v>
      </c>
      <c r="B2994" t="s">
        <v>566</v>
      </c>
      <c r="C2994" t="s">
        <v>31</v>
      </c>
      <c r="D2994" t="s">
        <v>85</v>
      </c>
      <c r="E2994" t="s">
        <v>18</v>
      </c>
      <c r="F2994">
        <v>81</v>
      </c>
      <c r="G2994">
        <v>16501</v>
      </c>
      <c r="H2994">
        <v>1336581</v>
      </c>
      <c r="I2994" t="s">
        <v>1158</v>
      </c>
      <c r="J2994" t="s">
        <v>1158</v>
      </c>
      <c r="K2994">
        <v>81</v>
      </c>
      <c r="L2994">
        <v>0</v>
      </c>
      <c r="M2994" t="s">
        <v>115</v>
      </c>
      <c r="N2994" t="str">
        <f t="shared" si="276"/>
        <v>PO-102993</v>
      </c>
      <c r="O2994" t="str">
        <f t="shared" si="277"/>
        <v>Delivered</v>
      </c>
      <c r="P2994" t="str">
        <f t="shared" si="278"/>
        <v>WH-PUN</v>
      </c>
      <c r="Q2994" t="str">
        <f>VLOOKUP(C2994, Lookups!$A$2:$D$10, 2, FALSE())</f>
        <v>Global Networks</v>
      </c>
      <c r="R2994" t="str">
        <f>_xlfn.XLOOKUP(D2994, Lookups!$A$12:$A$51, Lookups!$C$12:$C$51, "Unknown")</f>
        <v>Networking</v>
      </c>
      <c r="S2994" t="str">
        <f>IF(ISBLANK(I2994), B2994+VLOOKUP(C2994, Lookups!$A$2:$D$10, 4, FALSE()), I2994)</f>
        <v>2025-03-30</v>
      </c>
      <c r="T2994">
        <f t="shared" si="279"/>
        <v>21</v>
      </c>
      <c r="U2994" t="str">
        <f t="shared" si="280"/>
        <v>On-Time</v>
      </c>
      <c r="V2994">
        <f t="shared" si="281"/>
        <v>0</v>
      </c>
    </row>
    <row r="2995" spans="1:22" x14ac:dyDescent="0.45">
      <c r="A2995" t="s">
        <v>3852</v>
      </c>
      <c r="B2995" t="s">
        <v>995</v>
      </c>
      <c r="C2995" t="s">
        <v>34</v>
      </c>
      <c r="D2995" t="s">
        <v>58</v>
      </c>
      <c r="E2995" t="s">
        <v>15</v>
      </c>
      <c r="F2995">
        <v>50</v>
      </c>
      <c r="G2995">
        <v>100302</v>
      </c>
      <c r="H2995">
        <v>5015100</v>
      </c>
      <c r="I2995" t="s">
        <v>568</v>
      </c>
      <c r="J2995" t="s">
        <v>728</v>
      </c>
      <c r="K2995">
        <v>50</v>
      </c>
      <c r="L2995">
        <v>0</v>
      </c>
      <c r="M2995" t="s">
        <v>115</v>
      </c>
      <c r="N2995" t="str">
        <f t="shared" si="276"/>
        <v>PO-102994</v>
      </c>
      <c r="O2995" t="str">
        <f t="shared" si="277"/>
        <v>Delivered</v>
      </c>
      <c r="P2995" t="str">
        <f t="shared" si="278"/>
        <v>WH-BOM</v>
      </c>
      <c r="Q2995" t="str">
        <f>VLOOKUP(C2995, Lookups!$A$2:$D$10, 2, FALSE())</f>
        <v>FastElectronics</v>
      </c>
      <c r="R2995" t="str">
        <f>_xlfn.XLOOKUP(D2995, Lookups!$A$12:$A$51, Lookups!$C$12:$C$51, "Unknown")</f>
        <v>Electronics</v>
      </c>
      <c r="S2995" t="str">
        <f>IF(ISBLANK(I2995), B2995+VLOOKUP(C2995, Lookups!$A$2:$D$10, 4, FALSE()), I2995)</f>
        <v>2025-09-09</v>
      </c>
      <c r="T2995">
        <f t="shared" si="279"/>
        <v>19</v>
      </c>
      <c r="U2995" t="str">
        <f t="shared" si="280"/>
        <v>Late</v>
      </c>
      <c r="V2995">
        <f t="shared" si="281"/>
        <v>0</v>
      </c>
    </row>
    <row r="2996" spans="1:22" x14ac:dyDescent="0.45">
      <c r="A2996" t="s">
        <v>3853</v>
      </c>
      <c r="B2996" t="s">
        <v>721</v>
      </c>
      <c r="C2996" t="s">
        <v>30</v>
      </c>
      <c r="D2996" t="s">
        <v>52</v>
      </c>
      <c r="E2996" t="s">
        <v>16</v>
      </c>
      <c r="F2996">
        <v>24</v>
      </c>
      <c r="G2996">
        <v>59592</v>
      </c>
      <c r="H2996">
        <v>1430208</v>
      </c>
      <c r="I2996" t="s">
        <v>385</v>
      </c>
      <c r="J2996" t="s">
        <v>839</v>
      </c>
      <c r="K2996">
        <v>24</v>
      </c>
      <c r="L2996">
        <v>3</v>
      </c>
      <c r="M2996" t="s">
        <v>115</v>
      </c>
      <c r="N2996" t="str">
        <f t="shared" si="276"/>
        <v>PO-102995</v>
      </c>
      <c r="O2996" t="str">
        <f t="shared" si="277"/>
        <v>Delivered</v>
      </c>
      <c r="P2996" t="str">
        <f t="shared" si="278"/>
        <v>WH-DEL</v>
      </c>
      <c r="Q2996" t="str">
        <f>VLOOKUP(C2996, Lookups!$A$2:$D$10, 2, FALSE())</f>
        <v>TechSupply Corp</v>
      </c>
      <c r="R2996" t="str">
        <f>_xlfn.XLOOKUP(D2996, Lookups!$A$12:$A$51, Lookups!$C$12:$C$51, "Unknown")</f>
        <v>Electronics</v>
      </c>
      <c r="S2996" t="str">
        <f>IF(ISBLANK(I2996), B2996+VLOOKUP(C2996, Lookups!$A$2:$D$10, 4, FALSE()), I2996)</f>
        <v>2026-02-15</v>
      </c>
      <c r="T2996">
        <f t="shared" si="279"/>
        <v>19</v>
      </c>
      <c r="U2996" t="str">
        <f t="shared" si="280"/>
        <v>Late</v>
      </c>
      <c r="V2996">
        <f t="shared" si="281"/>
        <v>0.125</v>
      </c>
    </row>
    <row r="2997" spans="1:22" x14ac:dyDescent="0.45">
      <c r="A2997" t="s">
        <v>3854</v>
      </c>
      <c r="B2997" t="s">
        <v>480</v>
      </c>
      <c r="C2997" t="s">
        <v>34</v>
      </c>
      <c r="D2997" t="s">
        <v>80</v>
      </c>
      <c r="E2997" t="s">
        <v>245</v>
      </c>
      <c r="F2997">
        <v>88</v>
      </c>
      <c r="G2997">
        <v>19090</v>
      </c>
      <c r="H2997">
        <v>1679920</v>
      </c>
      <c r="I2997" t="s">
        <v>523</v>
      </c>
      <c r="J2997" t="s">
        <v>168</v>
      </c>
      <c r="K2997">
        <v>88</v>
      </c>
      <c r="L2997">
        <v>0</v>
      </c>
      <c r="M2997" t="s">
        <v>115</v>
      </c>
      <c r="N2997" t="str">
        <f t="shared" si="276"/>
        <v>PO-102996</v>
      </c>
      <c r="O2997" t="str">
        <f t="shared" si="277"/>
        <v>Delivered</v>
      </c>
      <c r="P2997" t="str">
        <f t="shared" si="278"/>
        <v>WH-BOM</v>
      </c>
      <c r="Q2997" t="str">
        <f>VLOOKUP(C2997, Lookups!$A$2:$D$10, 2, FALSE())</f>
        <v>FastElectronics</v>
      </c>
      <c r="R2997" t="str">
        <f>_xlfn.XLOOKUP(D2997, Lookups!$A$12:$A$51, Lookups!$C$12:$C$51, "Unknown")</f>
        <v>Networking</v>
      </c>
      <c r="S2997" t="str">
        <f>IF(ISBLANK(I2997), B2997+VLOOKUP(C2997, Lookups!$A$2:$D$10, 4, FALSE()), I2997)</f>
        <v>2025-05-15</v>
      </c>
      <c r="T2997">
        <f t="shared" si="279"/>
        <v>23</v>
      </c>
      <c r="U2997" t="str">
        <f t="shared" si="280"/>
        <v>Late</v>
      </c>
      <c r="V2997">
        <f t="shared" si="281"/>
        <v>0</v>
      </c>
    </row>
    <row r="2998" spans="1:22" x14ac:dyDescent="0.45">
      <c r="A2998" t="s">
        <v>3855</v>
      </c>
      <c r="B2998" t="s">
        <v>463</v>
      </c>
      <c r="C2998" t="s">
        <v>31</v>
      </c>
      <c r="D2998" t="s">
        <v>85</v>
      </c>
      <c r="E2998" t="s">
        <v>15</v>
      </c>
      <c r="F2998">
        <v>233</v>
      </c>
      <c r="G2998">
        <v>16501</v>
      </c>
      <c r="H2998">
        <v>3844733</v>
      </c>
      <c r="I2998" t="s">
        <v>930</v>
      </c>
      <c r="J2998" t="s">
        <v>447</v>
      </c>
      <c r="K2998">
        <v>233</v>
      </c>
      <c r="L2998">
        <v>0</v>
      </c>
      <c r="M2998" t="s">
        <v>115</v>
      </c>
      <c r="N2998" t="str">
        <f t="shared" si="276"/>
        <v>PO-102997</v>
      </c>
      <c r="O2998" t="str">
        <f t="shared" si="277"/>
        <v>Delivered</v>
      </c>
      <c r="P2998" t="str">
        <f t="shared" si="278"/>
        <v>WH-BOM</v>
      </c>
      <c r="Q2998" t="str">
        <f>VLOOKUP(C2998, Lookups!$A$2:$D$10, 2, FALSE())</f>
        <v>Global Networks</v>
      </c>
      <c r="R2998" t="str">
        <f>_xlfn.XLOOKUP(D2998, Lookups!$A$12:$A$51, Lookups!$C$12:$C$51, "Unknown")</f>
        <v>Networking</v>
      </c>
      <c r="S2998" t="str">
        <f>IF(ISBLANK(I2998), B2998+VLOOKUP(C2998, Lookups!$A$2:$D$10, 4, FALSE()), I2998)</f>
        <v>2025-12-10</v>
      </c>
      <c r="T2998">
        <f t="shared" si="279"/>
        <v>28</v>
      </c>
      <c r="U2998" t="str">
        <f t="shared" si="280"/>
        <v>Late</v>
      </c>
      <c r="V2998">
        <f t="shared" si="281"/>
        <v>0</v>
      </c>
    </row>
    <row r="2999" spans="1:22" x14ac:dyDescent="0.45">
      <c r="A2999" t="s">
        <v>3856</v>
      </c>
      <c r="B2999" t="s">
        <v>222</v>
      </c>
      <c r="C2999" t="s">
        <v>35</v>
      </c>
      <c r="D2999" t="s">
        <v>65</v>
      </c>
      <c r="E2999" t="s">
        <v>15</v>
      </c>
      <c r="F2999">
        <v>229</v>
      </c>
      <c r="G2999">
        <v>4936</v>
      </c>
      <c r="H2999">
        <v>1130344</v>
      </c>
      <c r="I2999" t="s">
        <v>1496</v>
      </c>
      <c r="J2999" t="s">
        <v>337</v>
      </c>
      <c r="K2999">
        <v>229</v>
      </c>
      <c r="L2999">
        <v>0</v>
      </c>
      <c r="M2999" t="s">
        <v>115</v>
      </c>
      <c r="N2999" t="str">
        <f t="shared" si="276"/>
        <v>PO-102998</v>
      </c>
      <c r="O2999" t="str">
        <f t="shared" si="277"/>
        <v>Delivered</v>
      </c>
      <c r="P2999" t="str">
        <f t="shared" si="278"/>
        <v>WH-BOM</v>
      </c>
      <c r="Q2999" t="str">
        <f>VLOOKUP(C2999, Lookups!$A$2:$D$10, 2, FALSE())</f>
        <v>Peripheral Source</v>
      </c>
      <c r="R2999" t="str">
        <f>_xlfn.XLOOKUP(D2999, Lookups!$A$12:$A$51, Lookups!$C$12:$C$51, "Unknown")</f>
        <v>Peripherals</v>
      </c>
      <c r="S2999" t="str">
        <f>IF(ISBLANK(I2999), B2999+VLOOKUP(C2999, Lookups!$A$2:$D$10, 4, FALSE()), I2999)</f>
        <v>2026-03-11</v>
      </c>
      <c r="T2999">
        <f t="shared" si="279"/>
        <v>11</v>
      </c>
      <c r="U2999" t="str">
        <f t="shared" si="280"/>
        <v>Late</v>
      </c>
      <c r="V2999">
        <f t="shared" si="281"/>
        <v>0</v>
      </c>
    </row>
    <row r="3000" spans="1:22" x14ac:dyDescent="0.45">
      <c r="A3000" t="s">
        <v>3857</v>
      </c>
      <c r="B3000" t="s">
        <v>211</v>
      </c>
      <c r="C3000" t="s">
        <v>31</v>
      </c>
      <c r="D3000" t="s">
        <v>77</v>
      </c>
      <c r="E3000" t="s">
        <v>15</v>
      </c>
      <c r="F3000">
        <v>151</v>
      </c>
      <c r="G3000">
        <v>23667</v>
      </c>
      <c r="H3000">
        <v>3573717</v>
      </c>
      <c r="I3000" t="s">
        <v>1530</v>
      </c>
      <c r="J3000" t="s">
        <v>1530</v>
      </c>
      <c r="K3000">
        <v>119</v>
      </c>
      <c r="L3000">
        <v>0</v>
      </c>
      <c r="M3000" t="s">
        <v>115</v>
      </c>
      <c r="N3000" t="str">
        <f t="shared" si="276"/>
        <v>PO-102999</v>
      </c>
      <c r="O3000" t="str">
        <f t="shared" si="277"/>
        <v>Delivered</v>
      </c>
      <c r="P3000" t="str">
        <f t="shared" si="278"/>
        <v>WH-BOM</v>
      </c>
      <c r="Q3000" t="str">
        <f>VLOOKUP(C3000, Lookups!$A$2:$D$10, 2, FALSE())</f>
        <v>Global Networks</v>
      </c>
      <c r="R3000" t="str">
        <f>_xlfn.XLOOKUP(D3000, Lookups!$A$12:$A$51, Lookups!$C$12:$C$51, "Unknown")</f>
        <v>Networking</v>
      </c>
      <c r="S3000" t="str">
        <f>IF(ISBLANK(I3000), B3000+VLOOKUP(C3000, Lookups!$A$2:$D$10, 4, FALSE()), I3000)</f>
        <v>2025-07-12</v>
      </c>
      <c r="T3000">
        <f t="shared" si="279"/>
        <v>21</v>
      </c>
      <c r="U3000" t="str">
        <f t="shared" si="280"/>
        <v>On-Time</v>
      </c>
      <c r="V3000">
        <f t="shared" si="281"/>
        <v>0</v>
      </c>
    </row>
    <row r="3001" spans="1:22" x14ac:dyDescent="0.45">
      <c r="A3001" t="s">
        <v>3858</v>
      </c>
      <c r="B3001" t="s">
        <v>438</v>
      </c>
      <c r="C3001" t="s">
        <v>30</v>
      </c>
      <c r="D3001" t="s">
        <v>53</v>
      </c>
      <c r="E3001" t="s">
        <v>15</v>
      </c>
      <c r="F3001">
        <v>127</v>
      </c>
      <c r="G3001">
        <v>81048</v>
      </c>
      <c r="H3001">
        <v>10293096</v>
      </c>
      <c r="I3001" t="s">
        <v>299</v>
      </c>
      <c r="J3001" t="s">
        <v>299</v>
      </c>
      <c r="K3001">
        <v>127</v>
      </c>
      <c r="L3001">
        <v>13</v>
      </c>
      <c r="M3001" t="s">
        <v>115</v>
      </c>
      <c r="N3001" t="str">
        <f t="shared" si="276"/>
        <v>PO-103000</v>
      </c>
      <c r="O3001" t="str">
        <f t="shared" si="277"/>
        <v>Delivered</v>
      </c>
      <c r="P3001" t="str">
        <f t="shared" si="278"/>
        <v>WH-BOM</v>
      </c>
      <c r="Q3001" t="str">
        <f>VLOOKUP(C3001, Lookups!$A$2:$D$10, 2, FALSE())</f>
        <v>TechSupply Corp</v>
      </c>
      <c r="R3001" t="str">
        <f>_xlfn.XLOOKUP(D3001, Lookups!$A$12:$A$51, Lookups!$C$12:$C$51, "Unknown")</f>
        <v>Electronics</v>
      </c>
      <c r="S3001" t="str">
        <f>IF(ISBLANK(I3001), B3001+VLOOKUP(C3001, Lookups!$A$2:$D$10, 4, FALSE()), I3001)</f>
        <v>2025-02-27</v>
      </c>
      <c r="T3001">
        <f t="shared" si="279"/>
        <v>14</v>
      </c>
      <c r="U3001" t="str">
        <f t="shared" si="280"/>
        <v>On-Time</v>
      </c>
      <c r="V3001">
        <f t="shared" si="281"/>
        <v>0.10236220472440945</v>
      </c>
    </row>
    <row r="3002" spans="1:22" x14ac:dyDescent="0.45">
      <c r="A3002" t="s">
        <v>3859</v>
      </c>
      <c r="B3002" t="s">
        <v>920</v>
      </c>
      <c r="C3002" t="s">
        <v>36</v>
      </c>
      <c r="D3002" t="s">
        <v>62</v>
      </c>
      <c r="E3002" t="s">
        <v>16</v>
      </c>
      <c r="F3002">
        <v>59</v>
      </c>
      <c r="G3002">
        <v>48478</v>
      </c>
      <c r="H3002">
        <v>2860202</v>
      </c>
      <c r="I3002" t="s">
        <v>921</v>
      </c>
      <c r="J3002" t="s">
        <v>921</v>
      </c>
      <c r="K3002">
        <v>50</v>
      </c>
      <c r="L3002">
        <v>0</v>
      </c>
      <c r="M3002" t="s">
        <v>115</v>
      </c>
      <c r="N3002" t="str">
        <f t="shared" si="276"/>
        <v>PO-103001</v>
      </c>
      <c r="O3002" t="str">
        <f t="shared" si="277"/>
        <v>Delivered</v>
      </c>
      <c r="P3002" t="str">
        <f t="shared" si="278"/>
        <v>WH-DEL</v>
      </c>
      <c r="Q3002" t="str">
        <f>VLOOKUP(C3002, Lookups!$A$2:$D$10, 2, FALSE())</f>
        <v>NextGen Hardware</v>
      </c>
      <c r="R3002" t="str">
        <f>_xlfn.XLOOKUP(D3002, Lookups!$A$12:$A$51, Lookups!$C$12:$C$51, "Unknown")</f>
        <v>Electronics</v>
      </c>
      <c r="S3002" t="str">
        <f>IF(ISBLANK(I3002), B3002+VLOOKUP(C3002, Lookups!$A$2:$D$10, 4, FALSE()), I3002)</f>
        <v>2026-11-08</v>
      </c>
      <c r="T3002">
        <f t="shared" si="279"/>
        <v>24</v>
      </c>
      <c r="U3002" t="str">
        <f t="shared" si="280"/>
        <v>On-Time</v>
      </c>
      <c r="V3002">
        <f t="shared" si="281"/>
        <v>0</v>
      </c>
    </row>
    <row r="3003" spans="1:22" x14ac:dyDescent="0.45">
      <c r="A3003" t="s">
        <v>3860</v>
      </c>
      <c r="B3003" t="s">
        <v>184</v>
      </c>
      <c r="C3003" t="s">
        <v>36</v>
      </c>
      <c r="D3003" t="s">
        <v>63</v>
      </c>
      <c r="E3003" t="s">
        <v>15</v>
      </c>
      <c r="F3003">
        <v>227</v>
      </c>
      <c r="G3003">
        <v>71062</v>
      </c>
      <c r="H3003">
        <v>16131074</v>
      </c>
      <c r="I3003" t="s">
        <v>185</v>
      </c>
      <c r="J3003" t="s">
        <v>185</v>
      </c>
      <c r="K3003">
        <v>227</v>
      </c>
      <c r="L3003">
        <v>0</v>
      </c>
      <c r="M3003" t="s">
        <v>115</v>
      </c>
      <c r="N3003" t="str">
        <f t="shared" si="276"/>
        <v>PO-103002</v>
      </c>
      <c r="O3003" t="str">
        <f t="shared" si="277"/>
        <v>Delivered</v>
      </c>
      <c r="P3003" t="str">
        <f t="shared" si="278"/>
        <v>WH-BOM</v>
      </c>
      <c r="Q3003" t="str">
        <f>VLOOKUP(C3003, Lookups!$A$2:$D$10, 2, FALSE())</f>
        <v>NextGen Hardware</v>
      </c>
      <c r="R3003" t="str">
        <f>_xlfn.XLOOKUP(D3003, Lookups!$A$12:$A$51, Lookups!$C$12:$C$51, "Unknown")</f>
        <v>Electronics</v>
      </c>
      <c r="S3003" t="str">
        <f>IF(ISBLANK(I3003), B3003+VLOOKUP(C3003, Lookups!$A$2:$D$10, 4, FALSE()), I3003)</f>
        <v>2025-02-26</v>
      </c>
      <c r="T3003">
        <f t="shared" si="279"/>
        <v>24</v>
      </c>
      <c r="U3003" t="str">
        <f t="shared" si="280"/>
        <v>On-Time</v>
      </c>
      <c r="V3003">
        <f t="shared" si="281"/>
        <v>0</v>
      </c>
    </row>
    <row r="3004" spans="1:22" x14ac:dyDescent="0.45">
      <c r="A3004" t="s">
        <v>3861</v>
      </c>
      <c r="B3004" t="s">
        <v>1736</v>
      </c>
      <c r="C3004" t="s">
        <v>37</v>
      </c>
      <c r="D3004" t="s">
        <v>69</v>
      </c>
      <c r="E3004" t="s">
        <v>18</v>
      </c>
      <c r="F3004">
        <v>167</v>
      </c>
      <c r="G3004">
        <v>13231</v>
      </c>
      <c r="H3004">
        <v>2209577</v>
      </c>
      <c r="I3004" t="s">
        <v>1158</v>
      </c>
      <c r="J3004" t="s">
        <v>1158</v>
      </c>
      <c r="K3004">
        <v>167</v>
      </c>
      <c r="L3004">
        <v>15</v>
      </c>
      <c r="M3004" t="s">
        <v>115</v>
      </c>
      <c r="N3004" t="str">
        <f t="shared" si="276"/>
        <v>PO-103003</v>
      </c>
      <c r="O3004" t="str">
        <f t="shared" si="277"/>
        <v>Delivered</v>
      </c>
      <c r="P3004" t="str">
        <f t="shared" si="278"/>
        <v>WH-PUN</v>
      </c>
      <c r="Q3004" t="str">
        <f>VLOOKUP(C3004, Lookups!$A$2:$D$10, 2, FALSE())</f>
        <v>Premium Desks Ltd</v>
      </c>
      <c r="R3004" t="str">
        <f>_xlfn.XLOOKUP(D3004, Lookups!$A$12:$A$51, Lookups!$C$12:$C$51, "Unknown")</f>
        <v>Office Furniture</v>
      </c>
      <c r="S3004" t="str">
        <f>IF(ISBLANK(I3004), B3004+VLOOKUP(C3004, Lookups!$A$2:$D$10, 4, FALSE()), I3004)</f>
        <v>2025-03-30</v>
      </c>
      <c r="T3004">
        <f t="shared" si="279"/>
        <v>12</v>
      </c>
      <c r="U3004" t="str">
        <f t="shared" si="280"/>
        <v>On-Time</v>
      </c>
      <c r="V3004">
        <f t="shared" si="281"/>
        <v>8.9820359281437126E-2</v>
      </c>
    </row>
    <row r="3005" spans="1:22" x14ac:dyDescent="0.45">
      <c r="A3005" t="s">
        <v>3862</v>
      </c>
      <c r="B3005" t="s">
        <v>1405</v>
      </c>
      <c r="C3005" t="s">
        <v>30</v>
      </c>
      <c r="D3005" t="s">
        <v>61</v>
      </c>
      <c r="E3005" t="s">
        <v>18</v>
      </c>
      <c r="F3005">
        <v>50</v>
      </c>
      <c r="G3005">
        <v>111237</v>
      </c>
      <c r="H3005">
        <v>5561850</v>
      </c>
      <c r="I3005" t="s">
        <v>376</v>
      </c>
      <c r="J3005" t="s">
        <v>1218</v>
      </c>
      <c r="K3005">
        <v>50</v>
      </c>
      <c r="L3005">
        <v>6</v>
      </c>
      <c r="M3005" t="s">
        <v>115</v>
      </c>
      <c r="N3005" t="str">
        <f t="shared" si="276"/>
        <v>PO-103004</v>
      </c>
      <c r="O3005" t="str">
        <f t="shared" si="277"/>
        <v>Delivered</v>
      </c>
      <c r="P3005" t="str">
        <f t="shared" si="278"/>
        <v>WH-PUN</v>
      </c>
      <c r="Q3005" t="str">
        <f>VLOOKUP(C3005, Lookups!$A$2:$D$10, 2, FALSE())</f>
        <v>TechSupply Corp</v>
      </c>
      <c r="R3005" t="str">
        <f>_xlfn.XLOOKUP(D3005, Lookups!$A$12:$A$51, Lookups!$C$12:$C$51, "Unknown")</f>
        <v>Electronics</v>
      </c>
      <c r="S3005" t="str">
        <f>IF(ISBLANK(I3005), B3005+VLOOKUP(C3005, Lookups!$A$2:$D$10, 4, FALSE()), I3005)</f>
        <v>2026-06-06</v>
      </c>
      <c r="T3005">
        <f t="shared" si="279"/>
        <v>27</v>
      </c>
      <c r="U3005" t="str">
        <f t="shared" si="280"/>
        <v>Late</v>
      </c>
      <c r="V3005">
        <f t="shared" si="281"/>
        <v>0.12</v>
      </c>
    </row>
    <row r="3006" spans="1:22" x14ac:dyDescent="0.45">
      <c r="A3006" t="s">
        <v>3863</v>
      </c>
      <c r="B3006" t="s">
        <v>1347</v>
      </c>
      <c r="C3006" t="s">
        <v>36</v>
      </c>
      <c r="D3006" t="s">
        <v>87</v>
      </c>
      <c r="E3006" t="s">
        <v>15</v>
      </c>
      <c r="F3006">
        <v>121</v>
      </c>
      <c r="G3006">
        <v>82930</v>
      </c>
      <c r="H3006">
        <v>10034530</v>
      </c>
      <c r="I3006" t="s">
        <v>135</v>
      </c>
      <c r="J3006" t="s">
        <v>135</v>
      </c>
      <c r="K3006">
        <v>121</v>
      </c>
      <c r="L3006">
        <v>0</v>
      </c>
      <c r="M3006" t="s">
        <v>115</v>
      </c>
      <c r="N3006" t="str">
        <f t="shared" si="276"/>
        <v>PO-103005</v>
      </c>
      <c r="O3006" t="str">
        <f t="shared" si="277"/>
        <v>Delivered</v>
      </c>
      <c r="P3006" t="str">
        <f t="shared" si="278"/>
        <v>WH-BOM</v>
      </c>
      <c r="Q3006" t="str">
        <f>VLOOKUP(C3006, Lookups!$A$2:$D$10, 2, FALSE())</f>
        <v>NextGen Hardware</v>
      </c>
      <c r="R3006" t="str">
        <f>_xlfn.XLOOKUP(D3006, Lookups!$A$12:$A$51, Lookups!$C$12:$C$51, "Unknown")</f>
        <v>Electronics</v>
      </c>
      <c r="S3006" t="str">
        <f>IF(ISBLANK(I3006), B3006+VLOOKUP(C3006, Lookups!$A$2:$D$10, 4, FALSE()), I3006)</f>
        <v>2026-09-02</v>
      </c>
      <c r="T3006">
        <f t="shared" si="279"/>
        <v>24</v>
      </c>
      <c r="U3006" t="str">
        <f t="shared" si="280"/>
        <v>On-Time</v>
      </c>
      <c r="V3006">
        <f t="shared" si="281"/>
        <v>0</v>
      </c>
    </row>
    <row r="3007" spans="1:22" x14ac:dyDescent="0.45">
      <c r="A3007" t="s">
        <v>3864</v>
      </c>
      <c r="B3007" t="s">
        <v>640</v>
      </c>
      <c r="C3007" t="s">
        <v>31</v>
      </c>
      <c r="D3007" t="s">
        <v>66</v>
      </c>
      <c r="E3007" t="s">
        <v>16</v>
      </c>
      <c r="F3007">
        <v>62</v>
      </c>
      <c r="G3007">
        <v>29719</v>
      </c>
      <c r="H3007">
        <v>1842578</v>
      </c>
      <c r="I3007" t="s">
        <v>851</v>
      </c>
      <c r="J3007" t="s">
        <v>851</v>
      </c>
      <c r="K3007">
        <v>62</v>
      </c>
      <c r="L3007">
        <v>0</v>
      </c>
      <c r="M3007" t="s">
        <v>115</v>
      </c>
      <c r="N3007" t="str">
        <f t="shared" si="276"/>
        <v>PO-103006</v>
      </c>
      <c r="O3007" t="str">
        <f t="shared" si="277"/>
        <v>Delivered</v>
      </c>
      <c r="P3007" t="str">
        <f t="shared" si="278"/>
        <v>WH-DEL</v>
      </c>
      <c r="Q3007" t="str">
        <f>VLOOKUP(C3007, Lookups!$A$2:$D$10, 2, FALSE())</f>
        <v>Global Networks</v>
      </c>
      <c r="R3007" t="str">
        <f>_xlfn.XLOOKUP(D3007, Lookups!$A$12:$A$51, Lookups!$C$12:$C$51, "Unknown")</f>
        <v>Networking</v>
      </c>
      <c r="S3007" t="str">
        <f>IF(ISBLANK(I3007), B3007+VLOOKUP(C3007, Lookups!$A$2:$D$10, 4, FALSE()), I3007)</f>
        <v>2026-01-16</v>
      </c>
      <c r="T3007">
        <f t="shared" si="279"/>
        <v>21</v>
      </c>
      <c r="U3007" t="str">
        <f t="shared" si="280"/>
        <v>On-Time</v>
      </c>
      <c r="V3007">
        <f t="shared" si="281"/>
        <v>0</v>
      </c>
    </row>
    <row r="3008" spans="1:22" x14ac:dyDescent="0.45">
      <c r="A3008" t="s">
        <v>3865</v>
      </c>
      <c r="B3008" t="s">
        <v>316</v>
      </c>
      <c r="C3008" t="s">
        <v>35</v>
      </c>
      <c r="D3008" t="s">
        <v>60</v>
      </c>
      <c r="E3008" t="s">
        <v>17</v>
      </c>
      <c r="F3008">
        <v>27</v>
      </c>
      <c r="G3008">
        <v>3291</v>
      </c>
      <c r="H3008">
        <v>88857</v>
      </c>
      <c r="I3008" t="s">
        <v>387</v>
      </c>
      <c r="J3008" t="s">
        <v>363</v>
      </c>
      <c r="K3008">
        <v>27</v>
      </c>
      <c r="L3008">
        <v>0</v>
      </c>
      <c r="M3008" t="s">
        <v>115</v>
      </c>
      <c r="N3008" t="str">
        <f t="shared" si="276"/>
        <v>PO-103007</v>
      </c>
      <c r="O3008" t="str">
        <f t="shared" si="277"/>
        <v>Delivered</v>
      </c>
      <c r="P3008" t="str">
        <f t="shared" si="278"/>
        <v>WH-BLR</v>
      </c>
      <c r="Q3008" t="str">
        <f>VLOOKUP(C3008, Lookups!$A$2:$D$10, 2, FALSE())</f>
        <v>Peripheral Source</v>
      </c>
      <c r="R3008" t="str">
        <f>_xlfn.XLOOKUP(D3008, Lookups!$A$12:$A$51, Lookups!$C$12:$C$51, "Unknown")</f>
        <v>Peripherals</v>
      </c>
      <c r="S3008" t="str">
        <f>IF(ISBLANK(I3008), B3008+VLOOKUP(C3008, Lookups!$A$2:$D$10, 4, FALSE()), I3008)</f>
        <v>2026-03-18</v>
      </c>
      <c r="T3008">
        <f t="shared" si="279"/>
        <v>25</v>
      </c>
      <c r="U3008" t="str">
        <f t="shared" si="280"/>
        <v>Late</v>
      </c>
      <c r="V3008">
        <f t="shared" si="281"/>
        <v>0</v>
      </c>
    </row>
    <row r="3009" spans="1:22" x14ac:dyDescent="0.45">
      <c r="A3009" t="s">
        <v>3866</v>
      </c>
      <c r="B3009" t="s">
        <v>961</v>
      </c>
      <c r="C3009" t="s">
        <v>37</v>
      </c>
      <c r="D3009" t="s">
        <v>83</v>
      </c>
      <c r="E3009" t="s">
        <v>16</v>
      </c>
      <c r="F3009">
        <v>19</v>
      </c>
      <c r="G3009">
        <v>19850</v>
      </c>
      <c r="H3009">
        <v>377150</v>
      </c>
      <c r="I3009" t="s">
        <v>523</v>
      </c>
      <c r="J3009" t="s">
        <v>1451</v>
      </c>
      <c r="K3009">
        <v>19</v>
      </c>
      <c r="L3009">
        <v>0</v>
      </c>
      <c r="M3009" t="s">
        <v>115</v>
      </c>
      <c r="N3009" t="str">
        <f t="shared" si="276"/>
        <v>PO-103008</v>
      </c>
      <c r="O3009" t="str">
        <f t="shared" si="277"/>
        <v>Delivered</v>
      </c>
      <c r="P3009" t="str">
        <f t="shared" si="278"/>
        <v>WH-DEL</v>
      </c>
      <c r="Q3009" t="str">
        <f>VLOOKUP(C3009, Lookups!$A$2:$D$10, 2, FALSE())</f>
        <v>Premium Desks Ltd</v>
      </c>
      <c r="R3009" t="str">
        <f>_xlfn.XLOOKUP(D3009, Lookups!$A$12:$A$51, Lookups!$C$12:$C$51, "Unknown")</f>
        <v>Office Furniture</v>
      </c>
      <c r="S3009" t="str">
        <f>IF(ISBLANK(I3009), B3009+VLOOKUP(C3009, Lookups!$A$2:$D$10, 4, FALSE()), I3009)</f>
        <v>2025-05-15</v>
      </c>
      <c r="T3009">
        <f t="shared" si="279"/>
        <v>13</v>
      </c>
      <c r="U3009" t="str">
        <f t="shared" si="280"/>
        <v>Late</v>
      </c>
      <c r="V3009">
        <f t="shared" si="281"/>
        <v>0</v>
      </c>
    </row>
    <row r="3010" spans="1:22" x14ac:dyDescent="0.45">
      <c r="A3010" t="s">
        <v>3867</v>
      </c>
      <c r="B3010" t="s">
        <v>778</v>
      </c>
      <c r="C3010" t="s">
        <v>34</v>
      </c>
      <c r="D3010" t="s">
        <v>58</v>
      </c>
      <c r="E3010" t="s">
        <v>16</v>
      </c>
      <c r="F3010">
        <v>66</v>
      </c>
      <c r="G3010">
        <v>100302</v>
      </c>
      <c r="H3010">
        <v>6619932</v>
      </c>
      <c r="I3010" t="s">
        <v>1263</v>
      </c>
      <c r="J3010" t="s">
        <v>1263</v>
      </c>
      <c r="K3010">
        <v>66</v>
      </c>
      <c r="L3010">
        <v>0</v>
      </c>
      <c r="M3010" t="s">
        <v>115</v>
      </c>
      <c r="N3010" t="str">
        <f t="shared" ref="N3010:N3073" si="282">TRIM(A3010)</f>
        <v>PO-103009</v>
      </c>
      <c r="O3010" t="str">
        <f t="shared" ref="O3010:O3073" si="283">PROPER(TRIM(M3010))</f>
        <v>Delivered</v>
      </c>
      <c r="P3010" t="str">
        <f t="shared" ref="P3010:P3073" si="284">TRIM(E3010)</f>
        <v>WH-DEL</v>
      </c>
      <c r="Q3010" t="str">
        <f>VLOOKUP(C3010, Lookups!$A$2:$D$10, 2, FALSE())</f>
        <v>FastElectronics</v>
      </c>
      <c r="R3010" t="str">
        <f>_xlfn.XLOOKUP(D3010, Lookups!$A$12:$A$51, Lookups!$C$12:$C$51, "Unknown")</f>
        <v>Electronics</v>
      </c>
      <c r="S3010" t="str">
        <f>IF(ISBLANK(I3010), B3010+VLOOKUP(C3010, Lookups!$A$2:$D$10, 4, FALSE()), I3010)</f>
        <v>2025-12-31</v>
      </c>
      <c r="T3010">
        <f t="shared" ref="T3010:T3073" si="285">IF(ISBLANK(J3010), "", J3010-B3010)</f>
        <v>18</v>
      </c>
      <c r="U3010" t="str">
        <f t="shared" ref="U3010:U3073" si="286">IF(O3010="Open", "Open", IF(J3010&gt;S3010, "Late", "On-Time"))</f>
        <v>On-Time</v>
      </c>
      <c r="V3010">
        <f t="shared" ref="V3010:V3073" si="287">IF(K3010&gt;0, L3010/K3010, 0)</f>
        <v>0</v>
      </c>
    </row>
    <row r="3011" spans="1:22" x14ac:dyDescent="0.45">
      <c r="A3011" t="s">
        <v>3868</v>
      </c>
      <c r="B3011" t="s">
        <v>185</v>
      </c>
      <c r="C3011" t="s">
        <v>33</v>
      </c>
      <c r="D3011" t="s">
        <v>89</v>
      </c>
      <c r="E3011" t="s">
        <v>16</v>
      </c>
      <c r="F3011">
        <v>85</v>
      </c>
      <c r="G3011">
        <v>11309</v>
      </c>
      <c r="H3011">
        <v>961265</v>
      </c>
      <c r="I3011" t="s">
        <v>477</v>
      </c>
      <c r="J3011" t="s">
        <v>478</v>
      </c>
      <c r="K3011">
        <v>85</v>
      </c>
      <c r="L3011">
        <v>0</v>
      </c>
      <c r="M3011" t="s">
        <v>115</v>
      </c>
      <c r="N3011" t="str">
        <f t="shared" si="282"/>
        <v>PO-103010</v>
      </c>
      <c r="O3011" t="str">
        <f t="shared" si="283"/>
        <v>Delivered</v>
      </c>
      <c r="P3011" t="str">
        <f t="shared" si="284"/>
        <v>WH-DEL</v>
      </c>
      <c r="Q3011" t="str">
        <f>VLOOKUP(C3011, Lookups!$A$2:$D$10, 2, FALSE())</f>
        <v>MegaFurnish</v>
      </c>
      <c r="R3011" t="str">
        <f>_xlfn.XLOOKUP(D3011, Lookups!$A$12:$A$51, Lookups!$C$12:$C$51, "Unknown")</f>
        <v>Office Furniture</v>
      </c>
      <c r="S3011" t="str">
        <f>IF(ISBLANK(I3011), B3011+VLOOKUP(C3011, Lookups!$A$2:$D$10, 4, FALSE()), I3011)</f>
        <v>2025-03-28</v>
      </c>
      <c r="T3011">
        <f t="shared" si="285"/>
        <v>31</v>
      </c>
      <c r="U3011" t="str">
        <f t="shared" si="286"/>
        <v>Late</v>
      </c>
      <c r="V3011">
        <f t="shared" si="287"/>
        <v>0</v>
      </c>
    </row>
    <row r="3012" spans="1:22" x14ac:dyDescent="0.45">
      <c r="A3012" t="s">
        <v>3869</v>
      </c>
      <c r="B3012" t="s">
        <v>271</v>
      </c>
      <c r="C3012" t="s">
        <v>34</v>
      </c>
      <c r="D3012" t="s">
        <v>73</v>
      </c>
      <c r="E3012" t="s">
        <v>18</v>
      </c>
      <c r="F3012">
        <v>116</v>
      </c>
      <c r="G3012">
        <v>58396</v>
      </c>
      <c r="H3012">
        <v>6773936</v>
      </c>
      <c r="I3012" t="s">
        <v>272</v>
      </c>
      <c r="J3012" t="s">
        <v>272</v>
      </c>
      <c r="K3012">
        <v>116</v>
      </c>
      <c r="L3012">
        <v>0</v>
      </c>
      <c r="M3012" t="s">
        <v>115</v>
      </c>
      <c r="N3012" t="str">
        <f t="shared" si="282"/>
        <v>PO-103011</v>
      </c>
      <c r="O3012" t="str">
        <f t="shared" si="283"/>
        <v>Delivered</v>
      </c>
      <c r="P3012" t="str">
        <f t="shared" si="284"/>
        <v>WH-PUN</v>
      </c>
      <c r="Q3012" t="str">
        <f>VLOOKUP(C3012, Lookups!$A$2:$D$10, 2, FALSE())</f>
        <v>FastElectronics</v>
      </c>
      <c r="R3012" t="str">
        <f>_xlfn.XLOOKUP(D3012, Lookups!$A$12:$A$51, Lookups!$C$12:$C$51, "Unknown")</f>
        <v>Electronics</v>
      </c>
      <c r="S3012" t="str">
        <f>IF(ISBLANK(I3012), B3012+VLOOKUP(C3012, Lookups!$A$2:$D$10, 4, FALSE()), I3012)</f>
        <v>2025-08-13</v>
      </c>
      <c r="T3012">
        <f t="shared" si="285"/>
        <v>18</v>
      </c>
      <c r="U3012" t="str">
        <f t="shared" si="286"/>
        <v>On-Time</v>
      </c>
      <c r="V3012">
        <f t="shared" si="287"/>
        <v>0</v>
      </c>
    </row>
    <row r="3013" spans="1:22" x14ac:dyDescent="0.45">
      <c r="A3013" t="s">
        <v>3870</v>
      </c>
      <c r="B3013" t="s">
        <v>501</v>
      </c>
      <c r="C3013" t="s">
        <v>31</v>
      </c>
      <c r="D3013" t="s">
        <v>66</v>
      </c>
      <c r="E3013" t="s">
        <v>17</v>
      </c>
      <c r="F3013">
        <v>133</v>
      </c>
      <c r="G3013">
        <v>29719</v>
      </c>
      <c r="H3013">
        <v>3952627</v>
      </c>
      <c r="I3013" t="s">
        <v>165</v>
      </c>
      <c r="J3013" t="s">
        <v>165</v>
      </c>
      <c r="K3013">
        <v>133</v>
      </c>
      <c r="L3013">
        <v>0</v>
      </c>
      <c r="M3013" t="s">
        <v>115</v>
      </c>
      <c r="N3013" t="str">
        <f t="shared" si="282"/>
        <v>PO-103012</v>
      </c>
      <c r="O3013" t="str">
        <f t="shared" si="283"/>
        <v>Delivered</v>
      </c>
      <c r="P3013" t="str">
        <f t="shared" si="284"/>
        <v>WH-BLR</v>
      </c>
      <c r="Q3013" t="str">
        <f>VLOOKUP(C3013, Lookups!$A$2:$D$10, 2, FALSE())</f>
        <v>Global Networks</v>
      </c>
      <c r="R3013" t="str">
        <f>_xlfn.XLOOKUP(D3013, Lookups!$A$12:$A$51, Lookups!$C$12:$C$51, "Unknown")</f>
        <v>Networking</v>
      </c>
      <c r="S3013" t="str">
        <f>IF(ISBLANK(I3013), B3013+VLOOKUP(C3013, Lookups!$A$2:$D$10, 4, FALSE()), I3013)</f>
        <v>2026-02-19</v>
      </c>
      <c r="T3013">
        <f t="shared" si="285"/>
        <v>21</v>
      </c>
      <c r="U3013" t="str">
        <f t="shared" si="286"/>
        <v>On-Time</v>
      </c>
      <c r="V3013">
        <f t="shared" si="287"/>
        <v>0</v>
      </c>
    </row>
    <row r="3014" spans="1:22" x14ac:dyDescent="0.45">
      <c r="A3014" t="s">
        <v>3871</v>
      </c>
      <c r="B3014" t="s">
        <v>483</v>
      </c>
      <c r="C3014" t="s">
        <v>30</v>
      </c>
      <c r="D3014" t="s">
        <v>53</v>
      </c>
      <c r="E3014" t="s">
        <v>15</v>
      </c>
      <c r="F3014">
        <v>17</v>
      </c>
      <c r="G3014">
        <v>81048</v>
      </c>
      <c r="H3014">
        <v>1377816</v>
      </c>
      <c r="I3014" t="s">
        <v>842</v>
      </c>
      <c r="J3014" t="s">
        <v>112</v>
      </c>
      <c r="K3014">
        <v>17</v>
      </c>
      <c r="L3014">
        <v>0</v>
      </c>
      <c r="M3014" t="s">
        <v>115</v>
      </c>
      <c r="N3014" t="str">
        <f t="shared" si="282"/>
        <v>PO-103013</v>
      </c>
      <c r="O3014" t="str">
        <f t="shared" si="283"/>
        <v>Delivered</v>
      </c>
      <c r="P3014" t="str">
        <f t="shared" si="284"/>
        <v>WH-BOM</v>
      </c>
      <c r="Q3014" t="str">
        <f>VLOOKUP(C3014, Lookups!$A$2:$D$10, 2, FALSE())</f>
        <v>TechSupply Corp</v>
      </c>
      <c r="R3014" t="str">
        <f>_xlfn.XLOOKUP(D3014, Lookups!$A$12:$A$51, Lookups!$C$12:$C$51, "Unknown")</f>
        <v>Electronics</v>
      </c>
      <c r="S3014" t="str">
        <f>IF(ISBLANK(I3014), B3014+VLOOKUP(C3014, Lookups!$A$2:$D$10, 4, FALSE()), I3014)</f>
        <v>2026-06-15</v>
      </c>
      <c r="T3014">
        <f t="shared" si="285"/>
        <v>15</v>
      </c>
      <c r="U3014" t="str">
        <f t="shared" si="286"/>
        <v>Late</v>
      </c>
      <c r="V3014">
        <f t="shared" si="287"/>
        <v>0</v>
      </c>
    </row>
    <row r="3015" spans="1:22" x14ac:dyDescent="0.45">
      <c r="A3015" t="s">
        <v>3872</v>
      </c>
      <c r="B3015" t="s">
        <v>720</v>
      </c>
      <c r="C3015" t="s">
        <v>37</v>
      </c>
      <c r="D3015" t="s">
        <v>83</v>
      </c>
      <c r="E3015" t="s">
        <v>17</v>
      </c>
      <c r="F3015">
        <v>21</v>
      </c>
      <c r="G3015">
        <v>19850</v>
      </c>
      <c r="H3015">
        <v>416850</v>
      </c>
      <c r="I3015" t="s">
        <v>342</v>
      </c>
      <c r="J3015" t="s">
        <v>873</v>
      </c>
      <c r="K3015">
        <v>21</v>
      </c>
      <c r="L3015">
        <v>0</v>
      </c>
      <c r="M3015" t="s">
        <v>115</v>
      </c>
      <c r="N3015" t="str">
        <f t="shared" si="282"/>
        <v>PO-103014</v>
      </c>
      <c r="O3015" t="str">
        <f t="shared" si="283"/>
        <v>Delivered</v>
      </c>
      <c r="P3015" t="str">
        <f t="shared" si="284"/>
        <v>WH-BLR</v>
      </c>
      <c r="Q3015" t="str">
        <f>VLOOKUP(C3015, Lookups!$A$2:$D$10, 2, FALSE())</f>
        <v>Premium Desks Ltd</v>
      </c>
      <c r="R3015" t="str">
        <f>_xlfn.XLOOKUP(D3015, Lookups!$A$12:$A$51, Lookups!$C$12:$C$51, "Unknown")</f>
        <v>Office Furniture</v>
      </c>
      <c r="S3015" t="str">
        <f>IF(ISBLANK(I3015), B3015+VLOOKUP(C3015, Lookups!$A$2:$D$10, 4, FALSE()), I3015)</f>
        <v>2026-02-03</v>
      </c>
      <c r="T3015">
        <f t="shared" si="285"/>
        <v>18</v>
      </c>
      <c r="U3015" t="str">
        <f t="shared" si="286"/>
        <v>Late</v>
      </c>
      <c r="V3015">
        <f t="shared" si="287"/>
        <v>0</v>
      </c>
    </row>
    <row r="3016" spans="1:22" x14ac:dyDescent="0.45">
      <c r="A3016" t="s">
        <v>3873</v>
      </c>
      <c r="B3016" t="s">
        <v>354</v>
      </c>
      <c r="C3016" t="s">
        <v>37</v>
      </c>
      <c r="D3016" t="s">
        <v>69</v>
      </c>
      <c r="E3016" t="s">
        <v>18</v>
      </c>
      <c r="F3016">
        <v>102</v>
      </c>
      <c r="G3016">
        <v>13231</v>
      </c>
      <c r="H3016">
        <v>1349562</v>
      </c>
      <c r="I3016" t="s">
        <v>2179</v>
      </c>
      <c r="J3016" t="s">
        <v>409</v>
      </c>
      <c r="K3016">
        <v>102</v>
      </c>
      <c r="L3016">
        <v>0</v>
      </c>
      <c r="M3016" t="s">
        <v>166</v>
      </c>
      <c r="N3016" t="str">
        <f t="shared" si="282"/>
        <v>PO-103015</v>
      </c>
      <c r="O3016" t="str">
        <f t="shared" si="283"/>
        <v>Delivered</v>
      </c>
      <c r="P3016" t="str">
        <f t="shared" si="284"/>
        <v>WH-PUN</v>
      </c>
      <c r="Q3016" t="str">
        <f>VLOOKUP(C3016, Lookups!$A$2:$D$10, 2, FALSE())</f>
        <v>Premium Desks Ltd</v>
      </c>
      <c r="R3016" t="str">
        <f>_xlfn.XLOOKUP(D3016, Lookups!$A$12:$A$51, Lookups!$C$12:$C$51, "Unknown")</f>
        <v>Office Furniture</v>
      </c>
      <c r="S3016" t="str">
        <f>IF(ISBLANK(I3016), B3016+VLOOKUP(C3016, Lookups!$A$2:$D$10, 4, FALSE()), I3016)</f>
        <v>2025-05-17</v>
      </c>
      <c r="T3016">
        <f t="shared" si="285"/>
        <v>27</v>
      </c>
      <c r="U3016" t="str">
        <f t="shared" si="286"/>
        <v>Late</v>
      </c>
      <c r="V3016">
        <f t="shared" si="287"/>
        <v>0</v>
      </c>
    </row>
    <row r="3017" spans="1:22" x14ac:dyDescent="0.45">
      <c r="A3017" t="s">
        <v>3874</v>
      </c>
      <c r="B3017" t="s">
        <v>569</v>
      </c>
      <c r="C3017" t="s">
        <v>35</v>
      </c>
      <c r="D3017" t="s">
        <v>75</v>
      </c>
      <c r="E3017" t="s">
        <v>17</v>
      </c>
      <c r="F3017">
        <v>140</v>
      </c>
      <c r="G3017">
        <v>4440</v>
      </c>
      <c r="H3017">
        <v>621600</v>
      </c>
      <c r="I3017" t="s">
        <v>139</v>
      </c>
      <c r="J3017" t="s">
        <v>978</v>
      </c>
      <c r="K3017">
        <v>140</v>
      </c>
      <c r="L3017">
        <v>0</v>
      </c>
      <c r="M3017" t="s">
        <v>115</v>
      </c>
      <c r="N3017" t="str">
        <f t="shared" si="282"/>
        <v>PO-103016</v>
      </c>
      <c r="O3017" t="str">
        <f t="shared" si="283"/>
        <v>Delivered</v>
      </c>
      <c r="P3017" t="str">
        <f t="shared" si="284"/>
        <v>WH-BLR</v>
      </c>
      <c r="Q3017" t="str">
        <f>VLOOKUP(C3017, Lookups!$A$2:$D$10, 2, FALSE())</f>
        <v>Peripheral Source</v>
      </c>
      <c r="R3017" t="str">
        <f>_xlfn.XLOOKUP(D3017, Lookups!$A$12:$A$51, Lookups!$C$12:$C$51, "Unknown")</f>
        <v>Peripherals</v>
      </c>
      <c r="S3017" t="str">
        <f>IF(ISBLANK(I3017), B3017+VLOOKUP(C3017, Lookups!$A$2:$D$10, 4, FALSE()), I3017)</f>
        <v>2025-09-29</v>
      </c>
      <c r="T3017">
        <f t="shared" si="285"/>
        <v>11</v>
      </c>
      <c r="U3017" t="str">
        <f t="shared" si="286"/>
        <v>Late</v>
      </c>
      <c r="V3017">
        <f t="shared" si="287"/>
        <v>0</v>
      </c>
    </row>
    <row r="3018" spans="1:22" x14ac:dyDescent="0.45">
      <c r="A3018" t="s">
        <v>3875</v>
      </c>
      <c r="B3018" t="s">
        <v>1370</v>
      </c>
      <c r="C3018" t="s">
        <v>36</v>
      </c>
      <c r="D3018" t="s">
        <v>62</v>
      </c>
      <c r="E3018" t="s">
        <v>15</v>
      </c>
      <c r="F3018">
        <v>35</v>
      </c>
      <c r="G3018">
        <v>48478</v>
      </c>
      <c r="H3018">
        <v>1696730</v>
      </c>
      <c r="I3018" t="s">
        <v>672</v>
      </c>
      <c r="J3018" t="s">
        <v>672</v>
      </c>
      <c r="K3018">
        <v>35</v>
      </c>
      <c r="L3018">
        <v>0</v>
      </c>
      <c r="M3018" t="s">
        <v>115</v>
      </c>
      <c r="N3018" t="str">
        <f t="shared" si="282"/>
        <v>PO-103017</v>
      </c>
      <c r="O3018" t="str">
        <f t="shared" si="283"/>
        <v>Delivered</v>
      </c>
      <c r="P3018" t="str">
        <f t="shared" si="284"/>
        <v>WH-BOM</v>
      </c>
      <c r="Q3018" t="str">
        <f>VLOOKUP(C3018, Lookups!$A$2:$D$10, 2, FALSE())</f>
        <v>NextGen Hardware</v>
      </c>
      <c r="R3018" t="str">
        <f>_xlfn.XLOOKUP(D3018, Lookups!$A$12:$A$51, Lookups!$C$12:$C$51, "Unknown")</f>
        <v>Electronics</v>
      </c>
      <c r="S3018" t="str">
        <f>IF(ISBLANK(I3018), B3018+VLOOKUP(C3018, Lookups!$A$2:$D$10, 4, FALSE()), I3018)</f>
        <v>2026-11-14</v>
      </c>
      <c r="T3018">
        <f t="shared" si="285"/>
        <v>24</v>
      </c>
      <c r="U3018" t="str">
        <f t="shared" si="286"/>
        <v>On-Time</v>
      </c>
      <c r="V3018">
        <f t="shared" si="287"/>
        <v>0</v>
      </c>
    </row>
    <row r="3019" spans="1:22" x14ac:dyDescent="0.45">
      <c r="A3019" t="s">
        <v>3876</v>
      </c>
      <c r="B3019" t="s">
        <v>910</v>
      </c>
      <c r="C3019" t="s">
        <v>34</v>
      </c>
      <c r="D3019" t="s">
        <v>76</v>
      </c>
      <c r="E3019" t="s">
        <v>17</v>
      </c>
      <c r="F3019">
        <v>36</v>
      </c>
      <c r="G3019">
        <v>26270</v>
      </c>
      <c r="H3019">
        <v>945720</v>
      </c>
      <c r="I3019" t="s">
        <v>583</v>
      </c>
      <c r="J3019" t="s">
        <v>583</v>
      </c>
      <c r="K3019">
        <v>36</v>
      </c>
      <c r="L3019">
        <v>5</v>
      </c>
      <c r="M3019" t="s">
        <v>115</v>
      </c>
      <c r="N3019" t="str">
        <f t="shared" si="282"/>
        <v>PO-103018</v>
      </c>
      <c r="O3019" t="str">
        <f t="shared" si="283"/>
        <v>Delivered</v>
      </c>
      <c r="P3019" t="str">
        <f t="shared" si="284"/>
        <v>WH-BLR</v>
      </c>
      <c r="Q3019" t="str">
        <f>VLOOKUP(C3019, Lookups!$A$2:$D$10, 2, FALSE())</f>
        <v>FastElectronics</v>
      </c>
      <c r="R3019" t="str">
        <f>_xlfn.XLOOKUP(D3019, Lookups!$A$12:$A$51, Lookups!$C$12:$C$51, "Unknown")</f>
        <v>Networking</v>
      </c>
      <c r="S3019" t="str">
        <f>IF(ISBLANK(I3019), B3019+VLOOKUP(C3019, Lookups!$A$2:$D$10, 4, FALSE()), I3019)</f>
        <v>2025-04-26</v>
      </c>
      <c r="T3019">
        <f t="shared" si="285"/>
        <v>18</v>
      </c>
      <c r="U3019" t="str">
        <f t="shared" si="286"/>
        <v>On-Time</v>
      </c>
      <c r="V3019">
        <f t="shared" si="287"/>
        <v>0.1388888888888889</v>
      </c>
    </row>
    <row r="3020" spans="1:22" x14ac:dyDescent="0.45">
      <c r="A3020" t="s">
        <v>3877</v>
      </c>
      <c r="B3020" t="s">
        <v>805</v>
      </c>
      <c r="C3020" t="s">
        <v>37</v>
      </c>
      <c r="D3020" t="s">
        <v>83</v>
      </c>
      <c r="E3020" t="s">
        <v>326</v>
      </c>
      <c r="F3020">
        <v>18</v>
      </c>
      <c r="G3020">
        <v>19850</v>
      </c>
      <c r="H3020">
        <v>357300</v>
      </c>
      <c r="I3020" t="s">
        <v>481</v>
      </c>
      <c r="J3020" t="s">
        <v>984</v>
      </c>
      <c r="K3020">
        <v>18</v>
      </c>
      <c r="L3020">
        <v>0</v>
      </c>
      <c r="M3020" t="s">
        <v>115</v>
      </c>
      <c r="N3020" t="str">
        <f t="shared" si="282"/>
        <v>PO-103019</v>
      </c>
      <c r="O3020" t="str">
        <f t="shared" si="283"/>
        <v>Delivered</v>
      </c>
      <c r="P3020" t="str">
        <f t="shared" si="284"/>
        <v>WH-BLR</v>
      </c>
      <c r="Q3020" t="str">
        <f>VLOOKUP(C3020, Lookups!$A$2:$D$10, 2, FALSE())</f>
        <v>Premium Desks Ltd</v>
      </c>
      <c r="R3020" t="str">
        <f>_xlfn.XLOOKUP(D3020, Lookups!$A$12:$A$51, Lookups!$C$12:$C$51, "Unknown")</f>
        <v>Office Furniture</v>
      </c>
      <c r="S3020" t="str">
        <f>IF(ISBLANK(I3020), B3020+VLOOKUP(C3020, Lookups!$A$2:$D$10, 4, FALSE()), I3020)</f>
        <v>2025-05-07</v>
      </c>
      <c r="T3020">
        <f t="shared" si="285"/>
        <v>13</v>
      </c>
      <c r="U3020" t="str">
        <f t="shared" si="286"/>
        <v>Late</v>
      </c>
      <c r="V3020">
        <f t="shared" si="287"/>
        <v>0</v>
      </c>
    </row>
    <row r="3021" spans="1:22" x14ac:dyDescent="0.45">
      <c r="A3021" t="s">
        <v>3878</v>
      </c>
      <c r="B3021" t="s">
        <v>803</v>
      </c>
      <c r="C3021" t="s">
        <v>36</v>
      </c>
      <c r="D3021" t="s">
        <v>62</v>
      </c>
      <c r="E3021" t="s">
        <v>18</v>
      </c>
      <c r="F3021">
        <v>218</v>
      </c>
      <c r="G3021">
        <v>48478</v>
      </c>
      <c r="H3021">
        <v>10568204</v>
      </c>
      <c r="I3021" t="s">
        <v>1028</v>
      </c>
      <c r="J3021" t="s">
        <v>865</v>
      </c>
      <c r="K3021">
        <v>218</v>
      </c>
      <c r="L3021">
        <v>0</v>
      </c>
      <c r="M3021" t="s">
        <v>115</v>
      </c>
      <c r="N3021" t="str">
        <f t="shared" si="282"/>
        <v>PO-103020</v>
      </c>
      <c r="O3021" t="str">
        <f t="shared" si="283"/>
        <v>Delivered</v>
      </c>
      <c r="P3021" t="str">
        <f t="shared" si="284"/>
        <v>WH-PUN</v>
      </c>
      <c r="Q3021" t="str">
        <f>VLOOKUP(C3021, Lookups!$A$2:$D$10, 2, FALSE())</f>
        <v>NextGen Hardware</v>
      </c>
      <c r="R3021" t="str">
        <f>_xlfn.XLOOKUP(D3021, Lookups!$A$12:$A$51, Lookups!$C$12:$C$51, "Unknown")</f>
        <v>Electronics</v>
      </c>
      <c r="S3021" t="str">
        <f>IF(ISBLANK(I3021), B3021+VLOOKUP(C3021, Lookups!$A$2:$D$10, 4, FALSE()), I3021)</f>
        <v>2026-09-09</v>
      </c>
      <c r="T3021">
        <f t="shared" si="285"/>
        <v>25</v>
      </c>
      <c r="U3021" t="str">
        <f t="shared" si="286"/>
        <v>Late</v>
      </c>
      <c r="V3021">
        <f t="shared" si="287"/>
        <v>0</v>
      </c>
    </row>
    <row r="3022" spans="1:22" x14ac:dyDescent="0.45">
      <c r="A3022" t="s">
        <v>3879</v>
      </c>
      <c r="B3022" t="s">
        <v>320</v>
      </c>
      <c r="C3022" t="s">
        <v>31</v>
      </c>
      <c r="D3022" t="s">
        <v>77</v>
      </c>
      <c r="E3022" t="s">
        <v>15</v>
      </c>
      <c r="F3022">
        <v>236</v>
      </c>
      <c r="G3022">
        <v>23667</v>
      </c>
      <c r="H3022">
        <v>5585412</v>
      </c>
      <c r="I3022" t="s">
        <v>462</v>
      </c>
      <c r="J3022" t="s">
        <v>462</v>
      </c>
      <c r="K3022">
        <v>236</v>
      </c>
      <c r="L3022">
        <v>0</v>
      </c>
      <c r="M3022" t="s">
        <v>115</v>
      </c>
      <c r="N3022" t="str">
        <f t="shared" si="282"/>
        <v>PO-103021</v>
      </c>
      <c r="O3022" t="str">
        <f t="shared" si="283"/>
        <v>Delivered</v>
      </c>
      <c r="P3022" t="str">
        <f t="shared" si="284"/>
        <v>WH-BOM</v>
      </c>
      <c r="Q3022" t="str">
        <f>VLOOKUP(C3022, Lookups!$A$2:$D$10, 2, FALSE())</f>
        <v>Global Networks</v>
      </c>
      <c r="R3022" t="str">
        <f>_xlfn.XLOOKUP(D3022, Lookups!$A$12:$A$51, Lookups!$C$12:$C$51, "Unknown")</f>
        <v>Networking</v>
      </c>
      <c r="S3022" t="str">
        <f>IF(ISBLANK(I3022), B3022+VLOOKUP(C3022, Lookups!$A$2:$D$10, 4, FALSE()), I3022)</f>
        <v>2025-11-05</v>
      </c>
      <c r="T3022">
        <f t="shared" si="285"/>
        <v>21</v>
      </c>
      <c r="U3022" t="str">
        <f t="shared" si="286"/>
        <v>On-Time</v>
      </c>
      <c r="V3022">
        <f t="shared" si="287"/>
        <v>0</v>
      </c>
    </row>
    <row r="3023" spans="1:22" x14ac:dyDescent="0.45">
      <c r="A3023" t="s">
        <v>3880</v>
      </c>
      <c r="B3023" t="s">
        <v>124</v>
      </c>
      <c r="C3023" t="s">
        <v>35</v>
      </c>
      <c r="D3023" t="s">
        <v>70</v>
      </c>
      <c r="E3023" t="s">
        <v>16</v>
      </c>
      <c r="F3023">
        <v>197</v>
      </c>
      <c r="G3023">
        <v>4287</v>
      </c>
      <c r="H3023">
        <v>844539</v>
      </c>
      <c r="I3023" t="s">
        <v>882</v>
      </c>
      <c r="J3023" t="s">
        <v>304</v>
      </c>
      <c r="K3023">
        <v>197</v>
      </c>
      <c r="L3023">
        <v>0</v>
      </c>
      <c r="M3023" t="s">
        <v>115</v>
      </c>
      <c r="N3023" t="str">
        <f t="shared" si="282"/>
        <v>PO-103022</v>
      </c>
      <c r="O3023" t="str">
        <f t="shared" si="283"/>
        <v>Delivered</v>
      </c>
      <c r="P3023" t="str">
        <f t="shared" si="284"/>
        <v>WH-DEL</v>
      </c>
      <c r="Q3023" t="str">
        <f>VLOOKUP(C3023, Lookups!$A$2:$D$10, 2, FALSE())</f>
        <v>Peripheral Source</v>
      </c>
      <c r="R3023" t="str">
        <f>_xlfn.XLOOKUP(D3023, Lookups!$A$12:$A$51, Lookups!$C$12:$C$51, "Unknown")</f>
        <v>Peripherals</v>
      </c>
      <c r="S3023" t="str">
        <f>IF(ISBLANK(I3023), B3023+VLOOKUP(C3023, Lookups!$A$2:$D$10, 4, FALSE()), I3023)</f>
        <v>2026-06-22</v>
      </c>
      <c r="T3023">
        <f t="shared" si="285"/>
        <v>11</v>
      </c>
      <c r="U3023" t="str">
        <f t="shared" si="286"/>
        <v>Late</v>
      </c>
      <c r="V3023">
        <f t="shared" si="287"/>
        <v>0</v>
      </c>
    </row>
    <row r="3024" spans="1:22" x14ac:dyDescent="0.45">
      <c r="A3024" t="s">
        <v>3881</v>
      </c>
      <c r="B3024" t="s">
        <v>1111</v>
      </c>
      <c r="C3024" t="s">
        <v>36</v>
      </c>
      <c r="D3024" t="s">
        <v>87</v>
      </c>
      <c r="E3024" t="s">
        <v>18</v>
      </c>
      <c r="F3024">
        <v>210</v>
      </c>
      <c r="G3024">
        <v>82930</v>
      </c>
      <c r="H3024">
        <v>17415300</v>
      </c>
      <c r="I3024" t="s">
        <v>615</v>
      </c>
      <c r="J3024" t="s">
        <v>615</v>
      </c>
      <c r="K3024">
        <v>210</v>
      </c>
      <c r="L3024">
        <v>28</v>
      </c>
      <c r="M3024" t="s">
        <v>115</v>
      </c>
      <c r="N3024" t="str">
        <f t="shared" si="282"/>
        <v>PO-103023</v>
      </c>
      <c r="O3024" t="str">
        <f t="shared" si="283"/>
        <v>Delivered</v>
      </c>
      <c r="P3024" t="str">
        <f t="shared" si="284"/>
        <v>WH-PUN</v>
      </c>
      <c r="Q3024" t="str">
        <f>VLOOKUP(C3024, Lookups!$A$2:$D$10, 2, FALSE())</f>
        <v>NextGen Hardware</v>
      </c>
      <c r="R3024" t="str">
        <f>_xlfn.XLOOKUP(D3024, Lookups!$A$12:$A$51, Lookups!$C$12:$C$51, "Unknown")</f>
        <v>Electronics</v>
      </c>
      <c r="S3024" t="str">
        <f>IF(ISBLANK(I3024), B3024+VLOOKUP(C3024, Lookups!$A$2:$D$10, 4, FALSE()), I3024)</f>
        <v>2026-11-07</v>
      </c>
      <c r="T3024">
        <f t="shared" si="285"/>
        <v>24</v>
      </c>
      <c r="U3024" t="str">
        <f t="shared" si="286"/>
        <v>On-Time</v>
      </c>
      <c r="V3024">
        <f t="shared" si="287"/>
        <v>0.13333333333333333</v>
      </c>
    </row>
    <row r="3025" spans="1:22" x14ac:dyDescent="0.45">
      <c r="A3025" t="s">
        <v>3882</v>
      </c>
      <c r="B3025" t="s">
        <v>952</v>
      </c>
      <c r="C3025" t="s">
        <v>37</v>
      </c>
      <c r="D3025" t="s">
        <v>83</v>
      </c>
      <c r="E3025" t="s">
        <v>15</v>
      </c>
      <c r="F3025">
        <v>237</v>
      </c>
      <c r="G3025">
        <v>19850</v>
      </c>
      <c r="H3025">
        <v>4704450</v>
      </c>
      <c r="I3025" t="s">
        <v>1740</v>
      </c>
      <c r="J3025" t="s">
        <v>1044</v>
      </c>
      <c r="K3025">
        <v>237</v>
      </c>
      <c r="L3025">
        <v>0</v>
      </c>
      <c r="M3025" t="s">
        <v>115</v>
      </c>
      <c r="N3025" t="str">
        <f t="shared" si="282"/>
        <v>PO-103024</v>
      </c>
      <c r="O3025" t="str">
        <f t="shared" si="283"/>
        <v>Delivered</v>
      </c>
      <c r="P3025" t="str">
        <f t="shared" si="284"/>
        <v>WH-BOM</v>
      </c>
      <c r="Q3025" t="str">
        <f>VLOOKUP(C3025, Lookups!$A$2:$D$10, 2, FALSE())</f>
        <v>Premium Desks Ltd</v>
      </c>
      <c r="R3025" t="str">
        <f>_xlfn.XLOOKUP(D3025, Lookups!$A$12:$A$51, Lookups!$C$12:$C$51, "Unknown")</f>
        <v>Office Furniture</v>
      </c>
      <c r="S3025" t="str">
        <f>IF(ISBLANK(I3025), B3025+VLOOKUP(C3025, Lookups!$A$2:$D$10, 4, FALSE()), I3025)</f>
        <v>2026-08-05</v>
      </c>
      <c r="T3025">
        <f t="shared" si="285"/>
        <v>17</v>
      </c>
      <c r="U3025" t="str">
        <f t="shared" si="286"/>
        <v>Late</v>
      </c>
      <c r="V3025">
        <f t="shared" si="287"/>
        <v>0</v>
      </c>
    </row>
    <row r="3026" spans="1:22" x14ac:dyDescent="0.45">
      <c r="A3026" t="s">
        <v>3883</v>
      </c>
      <c r="B3026" t="s">
        <v>310</v>
      </c>
      <c r="C3026" t="s">
        <v>35</v>
      </c>
      <c r="D3026" t="s">
        <v>70</v>
      </c>
      <c r="E3026" t="s">
        <v>18</v>
      </c>
      <c r="F3026">
        <v>106</v>
      </c>
      <c r="G3026">
        <v>4287</v>
      </c>
      <c r="H3026">
        <v>454422</v>
      </c>
      <c r="I3026" t="s">
        <v>598</v>
      </c>
      <c r="J3026" t="s">
        <v>598</v>
      </c>
      <c r="K3026">
        <v>106</v>
      </c>
      <c r="L3026">
        <v>0</v>
      </c>
      <c r="M3026" t="s">
        <v>115</v>
      </c>
      <c r="N3026" t="str">
        <f t="shared" si="282"/>
        <v>PO-103025</v>
      </c>
      <c r="O3026" t="str">
        <f t="shared" si="283"/>
        <v>Delivered</v>
      </c>
      <c r="P3026" t="str">
        <f t="shared" si="284"/>
        <v>WH-PUN</v>
      </c>
      <c r="Q3026" t="str">
        <f>VLOOKUP(C3026, Lookups!$A$2:$D$10, 2, FALSE())</f>
        <v>Peripheral Source</v>
      </c>
      <c r="R3026" t="str">
        <f>_xlfn.XLOOKUP(D3026, Lookups!$A$12:$A$51, Lookups!$C$12:$C$51, "Unknown")</f>
        <v>Peripherals</v>
      </c>
      <c r="S3026" t="str">
        <f>IF(ISBLANK(I3026), B3026+VLOOKUP(C3026, Lookups!$A$2:$D$10, 4, FALSE()), I3026)</f>
        <v>2025-08-31</v>
      </c>
      <c r="T3026">
        <f t="shared" si="285"/>
        <v>10</v>
      </c>
      <c r="U3026" t="str">
        <f t="shared" si="286"/>
        <v>On-Time</v>
      </c>
      <c r="V3026">
        <f t="shared" si="287"/>
        <v>0</v>
      </c>
    </row>
    <row r="3027" spans="1:22" x14ac:dyDescent="0.45">
      <c r="A3027" t="s">
        <v>3884</v>
      </c>
      <c r="B3027" t="s">
        <v>1002</v>
      </c>
      <c r="C3027" t="s">
        <v>30</v>
      </c>
      <c r="D3027" t="s">
        <v>59</v>
      </c>
      <c r="E3027" t="s">
        <v>18</v>
      </c>
      <c r="F3027">
        <v>250</v>
      </c>
      <c r="G3027">
        <v>48905</v>
      </c>
      <c r="H3027">
        <v>12226250</v>
      </c>
      <c r="I3027" t="s">
        <v>900</v>
      </c>
      <c r="J3027" t="s">
        <v>900</v>
      </c>
      <c r="K3027">
        <v>162</v>
      </c>
      <c r="L3027">
        <v>0</v>
      </c>
      <c r="M3027" t="s">
        <v>115</v>
      </c>
      <c r="N3027" t="str">
        <f t="shared" si="282"/>
        <v>PO-103026</v>
      </c>
      <c r="O3027" t="str">
        <f t="shared" si="283"/>
        <v>Delivered</v>
      </c>
      <c r="P3027" t="str">
        <f t="shared" si="284"/>
        <v>WH-PUN</v>
      </c>
      <c r="Q3027" t="str">
        <f>VLOOKUP(C3027, Lookups!$A$2:$D$10, 2, FALSE())</f>
        <v>TechSupply Corp</v>
      </c>
      <c r="R3027" t="str">
        <f>_xlfn.XLOOKUP(D3027, Lookups!$A$12:$A$51, Lookups!$C$12:$C$51, "Unknown")</f>
        <v>Electronics</v>
      </c>
      <c r="S3027" t="str">
        <f>IF(ISBLANK(I3027), B3027+VLOOKUP(C3027, Lookups!$A$2:$D$10, 4, FALSE()), I3027)</f>
        <v>2026-05-10</v>
      </c>
      <c r="T3027">
        <f t="shared" si="285"/>
        <v>14</v>
      </c>
      <c r="U3027" t="str">
        <f t="shared" si="286"/>
        <v>On-Time</v>
      </c>
      <c r="V3027">
        <f t="shared" si="287"/>
        <v>0</v>
      </c>
    </row>
    <row r="3028" spans="1:22" x14ac:dyDescent="0.45">
      <c r="A3028" t="s">
        <v>3885</v>
      </c>
      <c r="B3028" t="s">
        <v>341</v>
      </c>
      <c r="C3028" t="s">
        <v>34</v>
      </c>
      <c r="D3028" t="s">
        <v>74</v>
      </c>
      <c r="E3028" t="s">
        <v>15</v>
      </c>
      <c r="F3028">
        <v>153</v>
      </c>
      <c r="G3028">
        <v>94797</v>
      </c>
      <c r="H3028">
        <v>14503941</v>
      </c>
      <c r="I3028" t="s">
        <v>709</v>
      </c>
      <c r="J3028" t="s">
        <v>709</v>
      </c>
      <c r="K3028">
        <v>153</v>
      </c>
      <c r="L3028">
        <v>0</v>
      </c>
      <c r="M3028" t="s">
        <v>115</v>
      </c>
      <c r="N3028" t="str">
        <f t="shared" si="282"/>
        <v>PO-103027</v>
      </c>
      <c r="O3028" t="str">
        <f t="shared" si="283"/>
        <v>Delivered</v>
      </c>
      <c r="P3028" t="str">
        <f t="shared" si="284"/>
        <v>WH-BOM</v>
      </c>
      <c r="Q3028" t="str">
        <f>VLOOKUP(C3028, Lookups!$A$2:$D$10, 2, FALSE())</f>
        <v>FastElectronics</v>
      </c>
      <c r="R3028" t="str">
        <f>_xlfn.XLOOKUP(D3028, Lookups!$A$12:$A$51, Lookups!$C$12:$C$51, "Unknown")</f>
        <v>Electronics</v>
      </c>
      <c r="S3028" t="str">
        <f>IF(ISBLANK(I3028), B3028+VLOOKUP(C3028, Lookups!$A$2:$D$10, 4, FALSE()), I3028)</f>
        <v>2026-01-31</v>
      </c>
      <c r="T3028">
        <f t="shared" si="285"/>
        <v>18</v>
      </c>
      <c r="U3028" t="str">
        <f t="shared" si="286"/>
        <v>On-Time</v>
      </c>
      <c r="V3028">
        <f t="shared" si="287"/>
        <v>0</v>
      </c>
    </row>
    <row r="3029" spans="1:22" x14ac:dyDescent="0.45">
      <c r="A3029" t="s">
        <v>3886</v>
      </c>
      <c r="B3029" t="s">
        <v>257</v>
      </c>
      <c r="C3029" t="s">
        <v>37</v>
      </c>
      <c r="D3029" t="s">
        <v>79</v>
      </c>
      <c r="E3029" t="s">
        <v>17</v>
      </c>
      <c r="F3029">
        <v>88</v>
      </c>
      <c r="G3029">
        <v>23054</v>
      </c>
      <c r="H3029">
        <v>2028752</v>
      </c>
      <c r="I3029" t="s">
        <v>264</v>
      </c>
      <c r="J3029" t="s">
        <v>1544</v>
      </c>
      <c r="K3029">
        <v>88</v>
      </c>
      <c r="L3029">
        <v>0</v>
      </c>
      <c r="M3029" t="s">
        <v>115</v>
      </c>
      <c r="N3029" t="str">
        <f t="shared" si="282"/>
        <v>PO-103028</v>
      </c>
      <c r="O3029" t="str">
        <f t="shared" si="283"/>
        <v>Delivered</v>
      </c>
      <c r="P3029" t="str">
        <f t="shared" si="284"/>
        <v>WH-BLR</v>
      </c>
      <c r="Q3029" t="str">
        <f>VLOOKUP(C3029, Lookups!$A$2:$D$10, 2, FALSE())</f>
        <v>Premium Desks Ltd</v>
      </c>
      <c r="R3029" t="str">
        <f>_xlfn.XLOOKUP(D3029, Lookups!$A$12:$A$51, Lookups!$C$12:$C$51, "Unknown")</f>
        <v>Office Furniture</v>
      </c>
      <c r="S3029" t="str">
        <f>IF(ISBLANK(I3029), B3029+VLOOKUP(C3029, Lookups!$A$2:$D$10, 4, FALSE()), I3029)</f>
        <v>2025-01-31</v>
      </c>
      <c r="T3029">
        <f t="shared" si="285"/>
        <v>13</v>
      </c>
      <c r="U3029" t="str">
        <f t="shared" si="286"/>
        <v>Late</v>
      </c>
      <c r="V3029">
        <f t="shared" si="287"/>
        <v>0</v>
      </c>
    </row>
    <row r="3030" spans="1:22" x14ac:dyDescent="0.45">
      <c r="A3030" t="s">
        <v>3887</v>
      </c>
      <c r="B3030" t="s">
        <v>806</v>
      </c>
      <c r="C3030" t="s">
        <v>34</v>
      </c>
      <c r="D3030" t="s">
        <v>80</v>
      </c>
      <c r="E3030" t="s">
        <v>16</v>
      </c>
      <c r="F3030">
        <v>161</v>
      </c>
      <c r="G3030">
        <v>19090</v>
      </c>
      <c r="H3030">
        <v>3073490</v>
      </c>
      <c r="I3030" t="s">
        <v>328</v>
      </c>
      <c r="J3030" t="s">
        <v>169</v>
      </c>
      <c r="K3030">
        <v>161</v>
      </c>
      <c r="L3030">
        <v>20</v>
      </c>
      <c r="M3030" t="s">
        <v>115</v>
      </c>
      <c r="N3030" t="str">
        <f t="shared" si="282"/>
        <v>PO-103029</v>
      </c>
      <c r="O3030" t="str">
        <f t="shared" si="283"/>
        <v>Delivered</v>
      </c>
      <c r="P3030" t="str">
        <f t="shared" si="284"/>
        <v>WH-DEL</v>
      </c>
      <c r="Q3030" t="str">
        <f>VLOOKUP(C3030, Lookups!$A$2:$D$10, 2, FALSE())</f>
        <v>FastElectronics</v>
      </c>
      <c r="R3030" t="str">
        <f>_xlfn.XLOOKUP(D3030, Lookups!$A$12:$A$51, Lookups!$C$12:$C$51, "Unknown")</f>
        <v>Networking</v>
      </c>
      <c r="S3030" t="str">
        <f>IF(ISBLANK(I3030), B3030+VLOOKUP(C3030, Lookups!$A$2:$D$10, 4, FALSE()), I3030)</f>
        <v>2025-06-06</v>
      </c>
      <c r="T3030">
        <f t="shared" si="285"/>
        <v>19</v>
      </c>
      <c r="U3030" t="str">
        <f t="shared" si="286"/>
        <v>Late</v>
      </c>
      <c r="V3030">
        <f t="shared" si="287"/>
        <v>0.12422360248447205</v>
      </c>
    </row>
    <row r="3031" spans="1:22" x14ac:dyDescent="0.45">
      <c r="A3031" t="s">
        <v>3888</v>
      </c>
      <c r="B3031" t="s">
        <v>1202</v>
      </c>
      <c r="C3031" t="s">
        <v>30</v>
      </c>
      <c r="D3031" t="s">
        <v>88</v>
      </c>
      <c r="E3031" t="s">
        <v>16</v>
      </c>
      <c r="F3031">
        <v>76</v>
      </c>
      <c r="G3031">
        <v>75512</v>
      </c>
      <c r="H3031">
        <v>5738912</v>
      </c>
      <c r="I3031" t="s">
        <v>711</v>
      </c>
      <c r="J3031" t="s">
        <v>711</v>
      </c>
      <c r="K3031">
        <v>76</v>
      </c>
      <c r="L3031">
        <v>0</v>
      </c>
      <c r="M3031" t="s">
        <v>115</v>
      </c>
      <c r="N3031" t="str">
        <f t="shared" si="282"/>
        <v>PO-103030</v>
      </c>
      <c r="O3031" t="str">
        <f t="shared" si="283"/>
        <v>Delivered</v>
      </c>
      <c r="P3031" t="str">
        <f t="shared" si="284"/>
        <v>WH-DEL</v>
      </c>
      <c r="Q3031" t="str">
        <f>VLOOKUP(C3031, Lookups!$A$2:$D$10, 2, FALSE())</f>
        <v>TechSupply Corp</v>
      </c>
      <c r="R3031" t="str">
        <f>_xlfn.XLOOKUP(D3031, Lookups!$A$12:$A$51, Lookups!$C$12:$C$51, "Unknown")</f>
        <v>Electronics</v>
      </c>
      <c r="S3031" t="str">
        <f>IF(ISBLANK(I3031), B3031+VLOOKUP(C3031, Lookups!$A$2:$D$10, 4, FALSE()), I3031)</f>
        <v>2025-02-09</v>
      </c>
      <c r="T3031">
        <f t="shared" si="285"/>
        <v>14</v>
      </c>
      <c r="U3031" t="str">
        <f t="shared" si="286"/>
        <v>On-Time</v>
      </c>
      <c r="V3031">
        <f t="shared" si="287"/>
        <v>0</v>
      </c>
    </row>
    <row r="3032" spans="1:22" x14ac:dyDescent="0.45">
      <c r="A3032" t="s">
        <v>3889</v>
      </c>
      <c r="B3032" t="s">
        <v>898</v>
      </c>
      <c r="C3032" t="s">
        <v>34</v>
      </c>
      <c r="D3032" t="s">
        <v>80</v>
      </c>
      <c r="E3032" t="s">
        <v>15</v>
      </c>
      <c r="F3032">
        <v>48</v>
      </c>
      <c r="G3032">
        <v>19090</v>
      </c>
      <c r="H3032">
        <v>916320</v>
      </c>
      <c r="I3032" t="s">
        <v>463</v>
      </c>
      <c r="J3032" t="s">
        <v>464</v>
      </c>
      <c r="K3032">
        <v>33</v>
      </c>
      <c r="L3032">
        <v>0</v>
      </c>
      <c r="M3032" t="s">
        <v>115</v>
      </c>
      <c r="N3032" t="str">
        <f t="shared" si="282"/>
        <v>PO-103031</v>
      </c>
      <c r="O3032" t="str">
        <f t="shared" si="283"/>
        <v>Delivered</v>
      </c>
      <c r="P3032" t="str">
        <f t="shared" si="284"/>
        <v>WH-BOM</v>
      </c>
      <c r="Q3032" t="str">
        <f>VLOOKUP(C3032, Lookups!$A$2:$D$10, 2, FALSE())</f>
        <v>FastElectronics</v>
      </c>
      <c r="R3032" t="str">
        <f>_xlfn.XLOOKUP(D3032, Lookups!$A$12:$A$51, Lookups!$C$12:$C$51, "Unknown")</f>
        <v>Networking</v>
      </c>
      <c r="S3032" t="str">
        <f>IF(ISBLANK(I3032), B3032+VLOOKUP(C3032, Lookups!$A$2:$D$10, 4, FALSE()), I3032)</f>
        <v>2025-11-19</v>
      </c>
      <c r="T3032">
        <f t="shared" si="285"/>
        <v>19</v>
      </c>
      <c r="U3032" t="str">
        <f t="shared" si="286"/>
        <v>Late</v>
      </c>
      <c r="V3032">
        <f t="shared" si="287"/>
        <v>0</v>
      </c>
    </row>
    <row r="3033" spans="1:22" x14ac:dyDescent="0.45">
      <c r="A3033" t="s">
        <v>3890</v>
      </c>
      <c r="B3033" t="s">
        <v>286</v>
      </c>
      <c r="C3033" t="s">
        <v>37</v>
      </c>
      <c r="D3033" t="s">
        <v>79</v>
      </c>
      <c r="E3033" t="s">
        <v>15</v>
      </c>
      <c r="F3033">
        <v>52</v>
      </c>
      <c r="G3033">
        <v>23054</v>
      </c>
      <c r="H3033">
        <v>1198808</v>
      </c>
      <c r="I3033" t="s">
        <v>1331</v>
      </c>
      <c r="J3033" t="s">
        <v>1736</v>
      </c>
      <c r="K3033">
        <v>52</v>
      </c>
      <c r="L3033">
        <v>0</v>
      </c>
      <c r="M3033" t="s">
        <v>115</v>
      </c>
      <c r="N3033" t="str">
        <f t="shared" si="282"/>
        <v>PO-103032</v>
      </c>
      <c r="O3033" t="str">
        <f t="shared" si="283"/>
        <v>Delivered</v>
      </c>
      <c r="P3033" t="str">
        <f t="shared" si="284"/>
        <v>WH-BOM</v>
      </c>
      <c r="Q3033" t="str">
        <f>VLOOKUP(C3033, Lookups!$A$2:$D$10, 2, FALSE())</f>
        <v>Premium Desks Ltd</v>
      </c>
      <c r="R3033" t="str">
        <f>_xlfn.XLOOKUP(D3033, Lookups!$A$12:$A$51, Lookups!$C$12:$C$51, "Unknown")</f>
        <v>Office Furniture</v>
      </c>
      <c r="S3033" t="str">
        <f>IF(ISBLANK(I3033), B3033+VLOOKUP(C3033, Lookups!$A$2:$D$10, 4, FALSE()), I3033)</f>
        <v>2025-03-14</v>
      </c>
      <c r="T3033">
        <f t="shared" si="285"/>
        <v>16</v>
      </c>
      <c r="U3033" t="str">
        <f t="shared" si="286"/>
        <v>Late</v>
      </c>
      <c r="V3033">
        <f t="shared" si="287"/>
        <v>0</v>
      </c>
    </row>
    <row r="3034" spans="1:22" x14ac:dyDescent="0.45">
      <c r="A3034" t="s">
        <v>3891</v>
      </c>
      <c r="B3034" t="s">
        <v>426</v>
      </c>
      <c r="C3034" t="s">
        <v>35</v>
      </c>
      <c r="D3034" t="s">
        <v>57</v>
      </c>
      <c r="E3034" t="s">
        <v>16</v>
      </c>
      <c r="F3034">
        <v>75</v>
      </c>
      <c r="G3034">
        <v>2212</v>
      </c>
      <c r="H3034">
        <v>165900</v>
      </c>
      <c r="I3034" t="s">
        <v>1327</v>
      </c>
      <c r="J3034" t="s">
        <v>1461</v>
      </c>
      <c r="K3034">
        <v>75</v>
      </c>
      <c r="L3034">
        <v>0</v>
      </c>
      <c r="M3034" t="s">
        <v>115</v>
      </c>
      <c r="N3034" t="str">
        <f t="shared" si="282"/>
        <v>PO-103033</v>
      </c>
      <c r="O3034" t="str">
        <f t="shared" si="283"/>
        <v>Delivered</v>
      </c>
      <c r="P3034" t="str">
        <f t="shared" si="284"/>
        <v>WH-DEL</v>
      </c>
      <c r="Q3034" t="str">
        <f>VLOOKUP(C3034, Lookups!$A$2:$D$10, 2, FALSE())</f>
        <v>Peripheral Source</v>
      </c>
      <c r="R3034" t="str">
        <f>_xlfn.XLOOKUP(D3034, Lookups!$A$12:$A$51, Lookups!$C$12:$C$51, "Unknown")</f>
        <v>Peripherals</v>
      </c>
      <c r="S3034" t="str">
        <f>IF(ISBLANK(I3034), B3034+VLOOKUP(C3034, Lookups!$A$2:$D$10, 4, FALSE()), I3034)</f>
        <v>2025-08-06</v>
      </c>
      <c r="T3034">
        <f t="shared" si="285"/>
        <v>11</v>
      </c>
      <c r="U3034" t="str">
        <f t="shared" si="286"/>
        <v>Late</v>
      </c>
      <c r="V3034">
        <f t="shared" si="287"/>
        <v>0</v>
      </c>
    </row>
    <row r="3035" spans="1:22" x14ac:dyDescent="0.45">
      <c r="A3035" t="s">
        <v>3892</v>
      </c>
      <c r="B3035" t="s">
        <v>514</v>
      </c>
      <c r="C3035" t="s">
        <v>30</v>
      </c>
      <c r="D3035" t="s">
        <v>53</v>
      </c>
      <c r="E3035" t="s">
        <v>17</v>
      </c>
      <c r="F3035">
        <v>86</v>
      </c>
      <c r="G3035">
        <v>81048</v>
      </c>
      <c r="H3035">
        <v>6970128</v>
      </c>
      <c r="I3035" t="s">
        <v>175</v>
      </c>
      <c r="J3035" t="s">
        <v>312</v>
      </c>
      <c r="K3035">
        <v>86</v>
      </c>
      <c r="L3035">
        <v>0</v>
      </c>
      <c r="M3035" t="s">
        <v>115</v>
      </c>
      <c r="N3035" t="str">
        <f t="shared" si="282"/>
        <v>PO-103034</v>
      </c>
      <c r="O3035" t="str">
        <f t="shared" si="283"/>
        <v>Delivered</v>
      </c>
      <c r="P3035" t="str">
        <f t="shared" si="284"/>
        <v>WH-BLR</v>
      </c>
      <c r="Q3035" t="str">
        <f>VLOOKUP(C3035, Lookups!$A$2:$D$10, 2, FALSE())</f>
        <v>TechSupply Corp</v>
      </c>
      <c r="R3035" t="str">
        <f>_xlfn.XLOOKUP(D3035, Lookups!$A$12:$A$51, Lookups!$C$12:$C$51, "Unknown")</f>
        <v>Electronics</v>
      </c>
      <c r="S3035" t="str">
        <f>IF(ISBLANK(I3035), B3035+VLOOKUP(C3035, Lookups!$A$2:$D$10, 4, FALSE()), I3035)</f>
        <v>2026-07-28</v>
      </c>
      <c r="T3035">
        <f t="shared" si="285"/>
        <v>15</v>
      </c>
      <c r="U3035" t="str">
        <f t="shared" si="286"/>
        <v>Late</v>
      </c>
      <c r="V3035">
        <f t="shared" si="287"/>
        <v>0</v>
      </c>
    </row>
    <row r="3036" spans="1:22" x14ac:dyDescent="0.45">
      <c r="A3036" t="s">
        <v>3893</v>
      </c>
      <c r="B3036" t="s">
        <v>911</v>
      </c>
      <c r="C3036" t="s">
        <v>34</v>
      </c>
      <c r="D3036" t="s">
        <v>76</v>
      </c>
      <c r="E3036" t="s">
        <v>16</v>
      </c>
      <c r="F3036">
        <v>124</v>
      </c>
      <c r="G3036">
        <v>26270</v>
      </c>
      <c r="H3036">
        <v>3257480</v>
      </c>
      <c r="I3036" t="s">
        <v>480</v>
      </c>
      <c r="J3036" t="s">
        <v>844</v>
      </c>
      <c r="K3036">
        <v>124</v>
      </c>
      <c r="L3036">
        <v>0</v>
      </c>
      <c r="M3036" t="s">
        <v>115</v>
      </c>
      <c r="N3036" t="str">
        <f t="shared" si="282"/>
        <v>PO-103035</v>
      </c>
      <c r="O3036" t="str">
        <f t="shared" si="283"/>
        <v>Delivered</v>
      </c>
      <c r="P3036" t="str">
        <f t="shared" si="284"/>
        <v>WH-DEL</v>
      </c>
      <c r="Q3036" t="str">
        <f>VLOOKUP(C3036, Lookups!$A$2:$D$10, 2, FALSE())</f>
        <v>FastElectronics</v>
      </c>
      <c r="R3036" t="str">
        <f>_xlfn.XLOOKUP(D3036, Lookups!$A$12:$A$51, Lookups!$C$12:$C$51, "Unknown")</f>
        <v>Networking</v>
      </c>
      <c r="S3036" t="str">
        <f>IF(ISBLANK(I3036), B3036+VLOOKUP(C3036, Lookups!$A$2:$D$10, 4, FALSE()), I3036)</f>
        <v>2025-04-27</v>
      </c>
      <c r="T3036">
        <f t="shared" si="285"/>
        <v>19</v>
      </c>
      <c r="U3036" t="str">
        <f t="shared" si="286"/>
        <v>Late</v>
      </c>
      <c r="V3036">
        <f t="shared" si="287"/>
        <v>0</v>
      </c>
    </row>
    <row r="3037" spans="1:22" x14ac:dyDescent="0.45">
      <c r="A3037" t="s">
        <v>3894</v>
      </c>
      <c r="B3037" t="s">
        <v>732</v>
      </c>
      <c r="C3037" t="s">
        <v>36</v>
      </c>
      <c r="D3037" t="s">
        <v>87</v>
      </c>
      <c r="E3037" t="s">
        <v>15</v>
      </c>
      <c r="F3037">
        <v>124</v>
      </c>
      <c r="G3037">
        <v>82930</v>
      </c>
      <c r="H3037">
        <v>10283320</v>
      </c>
      <c r="I3037" t="s">
        <v>1530</v>
      </c>
      <c r="J3037" t="s">
        <v>229</v>
      </c>
      <c r="K3037">
        <v>124</v>
      </c>
      <c r="L3037">
        <v>0</v>
      </c>
      <c r="M3037" t="s">
        <v>115</v>
      </c>
      <c r="N3037" t="str">
        <f t="shared" si="282"/>
        <v>PO-103036</v>
      </c>
      <c r="O3037" t="str">
        <f t="shared" si="283"/>
        <v>Delivered</v>
      </c>
      <c r="P3037" t="str">
        <f t="shared" si="284"/>
        <v>WH-BOM</v>
      </c>
      <c r="Q3037" t="str">
        <f>VLOOKUP(C3037, Lookups!$A$2:$D$10, 2, FALSE())</f>
        <v>NextGen Hardware</v>
      </c>
      <c r="R3037" t="str">
        <f>_xlfn.XLOOKUP(D3037, Lookups!$A$12:$A$51, Lookups!$C$12:$C$51, "Unknown")</f>
        <v>Electronics</v>
      </c>
      <c r="S3037" t="str">
        <f>IF(ISBLANK(I3037), B3037+VLOOKUP(C3037, Lookups!$A$2:$D$10, 4, FALSE()), I3037)</f>
        <v>2025-07-12</v>
      </c>
      <c r="T3037">
        <f t="shared" si="285"/>
        <v>21</v>
      </c>
      <c r="U3037" t="str">
        <f t="shared" si="286"/>
        <v>On-Time</v>
      </c>
      <c r="V3037">
        <f t="shared" si="287"/>
        <v>0</v>
      </c>
    </row>
    <row r="3038" spans="1:22" x14ac:dyDescent="0.45">
      <c r="A3038" t="s">
        <v>3895</v>
      </c>
      <c r="B3038" t="s">
        <v>839</v>
      </c>
      <c r="C3038" t="s">
        <v>35</v>
      </c>
      <c r="D3038" t="s">
        <v>91</v>
      </c>
      <c r="E3038" t="s">
        <v>15</v>
      </c>
      <c r="F3038">
        <v>16</v>
      </c>
      <c r="G3038">
        <v>6707</v>
      </c>
      <c r="H3038">
        <v>107312</v>
      </c>
      <c r="I3038" t="s">
        <v>1413</v>
      </c>
      <c r="J3038" t="s">
        <v>1413</v>
      </c>
      <c r="K3038">
        <v>16</v>
      </c>
      <c r="L3038">
        <v>0</v>
      </c>
      <c r="M3038" t="s">
        <v>115</v>
      </c>
      <c r="N3038" t="str">
        <f t="shared" si="282"/>
        <v>PO-103037</v>
      </c>
      <c r="O3038" t="str">
        <f t="shared" si="283"/>
        <v>Delivered</v>
      </c>
      <c r="P3038" t="str">
        <f t="shared" si="284"/>
        <v>WH-BOM</v>
      </c>
      <c r="Q3038" t="str">
        <f>VLOOKUP(C3038, Lookups!$A$2:$D$10, 2, FALSE())</f>
        <v>Peripheral Source</v>
      </c>
      <c r="R3038" t="str">
        <f>_xlfn.XLOOKUP(D3038, Lookups!$A$12:$A$51, Lookups!$C$12:$C$51, "Unknown")</f>
        <v>Peripherals</v>
      </c>
      <c r="S3038" t="str">
        <f>IF(ISBLANK(I3038), B3038+VLOOKUP(C3038, Lookups!$A$2:$D$10, 4, FALSE()), I3038)</f>
        <v>2026-03-02</v>
      </c>
      <c r="T3038">
        <f t="shared" si="285"/>
        <v>10</v>
      </c>
      <c r="U3038" t="str">
        <f t="shared" si="286"/>
        <v>On-Time</v>
      </c>
      <c r="V3038">
        <f t="shared" si="287"/>
        <v>0</v>
      </c>
    </row>
    <row r="3039" spans="1:22" x14ac:dyDescent="0.45">
      <c r="A3039" t="s">
        <v>3896</v>
      </c>
      <c r="B3039" t="s">
        <v>921</v>
      </c>
      <c r="C3039" t="s">
        <v>34</v>
      </c>
      <c r="D3039" t="s">
        <v>74</v>
      </c>
      <c r="E3039" t="s">
        <v>18</v>
      </c>
      <c r="F3039">
        <v>37</v>
      </c>
      <c r="G3039">
        <v>94797</v>
      </c>
      <c r="H3039">
        <v>3507489</v>
      </c>
      <c r="I3039" t="s">
        <v>1148</v>
      </c>
      <c r="J3039" t="s">
        <v>675</v>
      </c>
      <c r="K3039">
        <v>37</v>
      </c>
      <c r="L3039">
        <v>0</v>
      </c>
      <c r="M3039" t="s">
        <v>115</v>
      </c>
      <c r="N3039" t="str">
        <f t="shared" si="282"/>
        <v>PO-103038</v>
      </c>
      <c r="O3039" t="str">
        <f t="shared" si="283"/>
        <v>Delivered</v>
      </c>
      <c r="P3039" t="str">
        <f t="shared" si="284"/>
        <v>WH-PUN</v>
      </c>
      <c r="Q3039" t="str">
        <f>VLOOKUP(C3039, Lookups!$A$2:$D$10, 2, FALSE())</f>
        <v>FastElectronics</v>
      </c>
      <c r="R3039" t="str">
        <f>_xlfn.XLOOKUP(D3039, Lookups!$A$12:$A$51, Lookups!$C$12:$C$51, "Unknown")</f>
        <v>Electronics</v>
      </c>
      <c r="S3039" t="str">
        <f>IF(ISBLANK(I3039), B3039+VLOOKUP(C3039, Lookups!$A$2:$D$10, 4, FALSE()), I3039)</f>
        <v>2026-11-26</v>
      </c>
      <c r="T3039">
        <f t="shared" si="285"/>
        <v>20</v>
      </c>
      <c r="U3039" t="str">
        <f t="shared" si="286"/>
        <v>Late</v>
      </c>
      <c r="V3039">
        <f t="shared" si="287"/>
        <v>0</v>
      </c>
    </row>
    <row r="3040" spans="1:22" x14ac:dyDescent="0.45">
      <c r="A3040" t="s">
        <v>3897</v>
      </c>
      <c r="B3040" t="s">
        <v>889</v>
      </c>
      <c r="C3040" t="s">
        <v>34</v>
      </c>
      <c r="D3040" t="s">
        <v>76</v>
      </c>
      <c r="E3040" t="s">
        <v>17</v>
      </c>
      <c r="F3040">
        <v>194</v>
      </c>
      <c r="G3040">
        <v>26270</v>
      </c>
      <c r="H3040">
        <v>5096380</v>
      </c>
      <c r="I3040" t="s">
        <v>1005</v>
      </c>
      <c r="J3040" t="s">
        <v>231</v>
      </c>
      <c r="K3040">
        <v>194</v>
      </c>
      <c r="L3040">
        <v>0</v>
      </c>
      <c r="M3040" t="s">
        <v>115</v>
      </c>
      <c r="N3040" t="str">
        <f t="shared" si="282"/>
        <v>PO-103039</v>
      </c>
      <c r="O3040" t="str">
        <f t="shared" si="283"/>
        <v>Delivered</v>
      </c>
      <c r="P3040" t="str">
        <f t="shared" si="284"/>
        <v>WH-BLR</v>
      </c>
      <c r="Q3040" t="str">
        <f>VLOOKUP(C3040, Lookups!$A$2:$D$10, 2, FALSE())</f>
        <v>FastElectronics</v>
      </c>
      <c r="R3040" t="str">
        <f>_xlfn.XLOOKUP(D3040, Lookups!$A$12:$A$51, Lookups!$C$12:$C$51, "Unknown")</f>
        <v>Networking</v>
      </c>
      <c r="S3040" t="str">
        <f>IF(ISBLANK(I3040), B3040+VLOOKUP(C3040, Lookups!$A$2:$D$10, 4, FALSE()), I3040)</f>
        <v>2025-11-06</v>
      </c>
      <c r="T3040">
        <f t="shared" si="285"/>
        <v>19</v>
      </c>
      <c r="U3040" t="str">
        <f t="shared" si="286"/>
        <v>Late</v>
      </c>
      <c r="V3040">
        <f t="shared" si="287"/>
        <v>0</v>
      </c>
    </row>
    <row r="3041" spans="1:22" x14ac:dyDescent="0.45">
      <c r="A3041" t="s">
        <v>3898</v>
      </c>
      <c r="B3041" t="s">
        <v>1263</v>
      </c>
      <c r="C3041" t="s">
        <v>34</v>
      </c>
      <c r="D3041" t="s">
        <v>76</v>
      </c>
      <c r="E3041" t="s">
        <v>16</v>
      </c>
      <c r="F3041">
        <v>94</v>
      </c>
      <c r="G3041">
        <v>26270</v>
      </c>
      <c r="H3041">
        <v>2469380</v>
      </c>
      <c r="I3041" t="s">
        <v>1079</v>
      </c>
      <c r="J3041" t="s">
        <v>422</v>
      </c>
      <c r="K3041">
        <v>94</v>
      </c>
      <c r="L3041">
        <v>11</v>
      </c>
      <c r="M3041" t="s">
        <v>115</v>
      </c>
      <c r="N3041" t="str">
        <f t="shared" si="282"/>
        <v>PO-103040</v>
      </c>
      <c r="O3041" t="str">
        <f t="shared" si="283"/>
        <v>Delivered</v>
      </c>
      <c r="P3041" t="str">
        <f t="shared" si="284"/>
        <v>WH-DEL</v>
      </c>
      <c r="Q3041" t="str">
        <f>VLOOKUP(C3041, Lookups!$A$2:$D$10, 2, FALSE())</f>
        <v>FastElectronics</v>
      </c>
      <c r="R3041" t="str">
        <f>_xlfn.XLOOKUP(D3041, Lookups!$A$12:$A$51, Lookups!$C$12:$C$51, "Unknown")</f>
        <v>Networking</v>
      </c>
      <c r="S3041" t="str">
        <f>IF(ISBLANK(I3041), B3041+VLOOKUP(C3041, Lookups!$A$2:$D$10, 4, FALSE()), I3041)</f>
        <v>2026-01-18</v>
      </c>
      <c r="T3041">
        <f t="shared" si="285"/>
        <v>19</v>
      </c>
      <c r="U3041" t="str">
        <f t="shared" si="286"/>
        <v>Late</v>
      </c>
      <c r="V3041">
        <f t="shared" si="287"/>
        <v>0.11702127659574468</v>
      </c>
    </row>
    <row r="3042" spans="1:22" x14ac:dyDescent="0.45">
      <c r="A3042" t="s">
        <v>3899</v>
      </c>
      <c r="B3042" t="s">
        <v>562</v>
      </c>
      <c r="C3042" t="s">
        <v>36</v>
      </c>
      <c r="D3042" t="s">
        <v>71</v>
      </c>
      <c r="E3042" t="s">
        <v>16</v>
      </c>
      <c r="F3042">
        <v>213</v>
      </c>
      <c r="G3042">
        <v>65379</v>
      </c>
      <c r="H3042">
        <v>13925727</v>
      </c>
      <c r="I3042" t="s">
        <v>1018</v>
      </c>
      <c r="J3042" t="s">
        <v>1018</v>
      </c>
      <c r="K3042">
        <v>213</v>
      </c>
      <c r="L3042">
        <v>0</v>
      </c>
      <c r="M3042" t="s">
        <v>115</v>
      </c>
      <c r="N3042" t="str">
        <f t="shared" si="282"/>
        <v>PO-103041</v>
      </c>
      <c r="O3042" t="str">
        <f t="shared" si="283"/>
        <v>Delivered</v>
      </c>
      <c r="P3042" t="str">
        <f t="shared" si="284"/>
        <v>WH-DEL</v>
      </c>
      <c r="Q3042" t="str">
        <f>VLOOKUP(C3042, Lookups!$A$2:$D$10, 2, FALSE())</f>
        <v>NextGen Hardware</v>
      </c>
      <c r="R3042" t="str">
        <f>_xlfn.XLOOKUP(D3042, Lookups!$A$12:$A$51, Lookups!$C$12:$C$51, "Unknown")</f>
        <v>Electronics</v>
      </c>
      <c r="S3042" t="str">
        <f>IF(ISBLANK(I3042), B3042+VLOOKUP(C3042, Lookups!$A$2:$D$10, 4, FALSE()), I3042)</f>
        <v>2025-04-14</v>
      </c>
      <c r="T3042">
        <f t="shared" si="285"/>
        <v>24</v>
      </c>
      <c r="U3042" t="str">
        <f t="shared" si="286"/>
        <v>On-Time</v>
      </c>
      <c r="V3042">
        <f t="shared" si="287"/>
        <v>0</v>
      </c>
    </row>
    <row r="3043" spans="1:22" x14ac:dyDescent="0.45">
      <c r="A3043" t="s">
        <v>3900</v>
      </c>
      <c r="B3043" t="s">
        <v>998</v>
      </c>
      <c r="C3043" t="s">
        <v>33</v>
      </c>
      <c r="D3043" t="s">
        <v>89</v>
      </c>
      <c r="E3043" t="s">
        <v>16</v>
      </c>
      <c r="F3043">
        <v>141</v>
      </c>
      <c r="G3043">
        <v>11309</v>
      </c>
      <c r="H3043">
        <v>1594569</v>
      </c>
      <c r="I3043" t="s">
        <v>795</v>
      </c>
      <c r="J3043" t="s">
        <v>795</v>
      </c>
      <c r="K3043">
        <v>141</v>
      </c>
      <c r="L3043">
        <v>0</v>
      </c>
      <c r="M3043" t="s">
        <v>115</v>
      </c>
      <c r="N3043" t="str">
        <f t="shared" si="282"/>
        <v>PO-103042</v>
      </c>
      <c r="O3043" t="str">
        <f t="shared" si="283"/>
        <v>Delivered</v>
      </c>
      <c r="P3043" t="str">
        <f t="shared" si="284"/>
        <v>WH-DEL</v>
      </c>
      <c r="Q3043" t="str">
        <f>VLOOKUP(C3043, Lookups!$A$2:$D$10, 2, FALSE())</f>
        <v>MegaFurnish</v>
      </c>
      <c r="R3043" t="str">
        <f>_xlfn.XLOOKUP(D3043, Lookups!$A$12:$A$51, Lookups!$C$12:$C$51, "Unknown")</f>
        <v>Office Furniture</v>
      </c>
      <c r="S3043" t="str">
        <f>IF(ISBLANK(I3043), B3043+VLOOKUP(C3043, Lookups!$A$2:$D$10, 4, FALSE()), I3043)</f>
        <v>2026-09-17</v>
      </c>
      <c r="T3043">
        <f t="shared" si="285"/>
        <v>30</v>
      </c>
      <c r="U3043" t="str">
        <f t="shared" si="286"/>
        <v>On-Time</v>
      </c>
      <c r="V3043">
        <f t="shared" si="287"/>
        <v>0</v>
      </c>
    </row>
    <row r="3044" spans="1:22" x14ac:dyDescent="0.45">
      <c r="A3044" t="s">
        <v>3901</v>
      </c>
      <c r="B3044" t="s">
        <v>401</v>
      </c>
      <c r="C3044" t="s">
        <v>34</v>
      </c>
      <c r="D3044" t="s">
        <v>58</v>
      </c>
      <c r="E3044" t="s">
        <v>17</v>
      </c>
      <c r="F3044">
        <v>71</v>
      </c>
      <c r="G3044">
        <v>100302</v>
      </c>
      <c r="H3044">
        <v>7121442</v>
      </c>
      <c r="I3044" t="s">
        <v>1302</v>
      </c>
      <c r="J3044" t="s">
        <v>1302</v>
      </c>
      <c r="K3044">
        <v>71</v>
      </c>
      <c r="L3044">
        <v>0</v>
      </c>
      <c r="M3044" t="s">
        <v>115</v>
      </c>
      <c r="N3044" t="str">
        <f t="shared" si="282"/>
        <v>PO-103043</v>
      </c>
      <c r="O3044" t="str">
        <f t="shared" si="283"/>
        <v>Delivered</v>
      </c>
      <c r="P3044" t="str">
        <f t="shared" si="284"/>
        <v>WH-BLR</v>
      </c>
      <c r="Q3044" t="str">
        <f>VLOOKUP(C3044, Lookups!$A$2:$D$10, 2, FALSE())</f>
        <v>FastElectronics</v>
      </c>
      <c r="R3044" t="str">
        <f>_xlfn.XLOOKUP(D3044, Lookups!$A$12:$A$51, Lookups!$C$12:$C$51, "Unknown")</f>
        <v>Electronics</v>
      </c>
      <c r="S3044" t="str">
        <f>IF(ISBLANK(I3044), B3044+VLOOKUP(C3044, Lookups!$A$2:$D$10, 4, FALSE()), I3044)</f>
        <v>2025-12-27</v>
      </c>
      <c r="T3044">
        <f t="shared" si="285"/>
        <v>18</v>
      </c>
      <c r="U3044" t="str">
        <f t="shared" si="286"/>
        <v>On-Time</v>
      </c>
      <c r="V3044">
        <f t="shared" si="287"/>
        <v>0</v>
      </c>
    </row>
    <row r="3045" spans="1:22" x14ac:dyDescent="0.45">
      <c r="A3045" t="s">
        <v>3902</v>
      </c>
      <c r="B3045" t="s">
        <v>696</v>
      </c>
      <c r="C3045" t="s">
        <v>32</v>
      </c>
      <c r="D3045" t="s">
        <v>67</v>
      </c>
      <c r="E3045" t="s">
        <v>16</v>
      </c>
      <c r="F3045">
        <v>250</v>
      </c>
      <c r="G3045">
        <v>1553</v>
      </c>
      <c r="H3045">
        <v>388250</v>
      </c>
      <c r="I3045" t="s">
        <v>257</v>
      </c>
      <c r="J3045" t="s">
        <v>940</v>
      </c>
      <c r="K3045">
        <v>250</v>
      </c>
      <c r="L3045">
        <v>0</v>
      </c>
      <c r="M3045" t="s">
        <v>115</v>
      </c>
      <c r="N3045" t="str">
        <f t="shared" si="282"/>
        <v>PO-103044</v>
      </c>
      <c r="O3045" t="str">
        <f t="shared" si="283"/>
        <v>Delivered</v>
      </c>
      <c r="P3045" t="str">
        <f t="shared" si="284"/>
        <v>WH-DEL</v>
      </c>
      <c r="Q3045" t="str">
        <f>VLOOKUP(C3045, Lookups!$A$2:$D$10, 2, FALSE())</f>
        <v>OfficeDepot Pro</v>
      </c>
      <c r="R3045" t="str">
        <f>_xlfn.XLOOKUP(D3045, Lookups!$A$12:$A$51, Lookups!$C$12:$C$51, "Unknown")</f>
        <v>Peripherals</v>
      </c>
      <c r="S3045" t="str">
        <f>IF(ISBLANK(I3045), B3045+VLOOKUP(C3045, Lookups!$A$2:$D$10, 4, FALSE()), I3045)</f>
        <v>2025-01-19</v>
      </c>
      <c r="T3045">
        <f t="shared" si="285"/>
        <v>8</v>
      </c>
      <c r="U3045" t="str">
        <f t="shared" si="286"/>
        <v>Late</v>
      </c>
      <c r="V3045">
        <f t="shared" si="287"/>
        <v>0</v>
      </c>
    </row>
    <row r="3046" spans="1:22" x14ac:dyDescent="0.45">
      <c r="A3046" t="s">
        <v>3903</v>
      </c>
      <c r="B3046" t="s">
        <v>113</v>
      </c>
      <c r="C3046" t="s">
        <v>30</v>
      </c>
      <c r="D3046" t="s">
        <v>59</v>
      </c>
      <c r="E3046" t="s">
        <v>15</v>
      </c>
      <c r="F3046">
        <v>209</v>
      </c>
      <c r="G3046">
        <v>48905</v>
      </c>
      <c r="H3046">
        <v>10221145</v>
      </c>
      <c r="I3046" t="s">
        <v>1279</v>
      </c>
      <c r="J3046" t="s">
        <v>1279</v>
      </c>
      <c r="K3046">
        <v>209</v>
      </c>
      <c r="L3046">
        <v>0</v>
      </c>
      <c r="M3046" t="s">
        <v>115</v>
      </c>
      <c r="N3046" t="str">
        <f t="shared" si="282"/>
        <v>PO-103045</v>
      </c>
      <c r="O3046" t="str">
        <f t="shared" si="283"/>
        <v>Delivered</v>
      </c>
      <c r="P3046" t="str">
        <f t="shared" si="284"/>
        <v>WH-BOM</v>
      </c>
      <c r="Q3046" t="str">
        <f>VLOOKUP(C3046, Lookups!$A$2:$D$10, 2, FALSE())</f>
        <v>TechSupply Corp</v>
      </c>
      <c r="R3046" t="str">
        <f>_xlfn.XLOOKUP(D3046, Lookups!$A$12:$A$51, Lookups!$C$12:$C$51, "Unknown")</f>
        <v>Electronics</v>
      </c>
      <c r="S3046" t="str">
        <f>IF(ISBLANK(I3046), B3046+VLOOKUP(C3046, Lookups!$A$2:$D$10, 4, FALSE()), I3046)</f>
        <v>2026-07-18</v>
      </c>
      <c r="T3046">
        <f t="shared" si="285"/>
        <v>14</v>
      </c>
      <c r="U3046" t="str">
        <f t="shared" si="286"/>
        <v>On-Time</v>
      </c>
      <c r="V3046">
        <f t="shared" si="287"/>
        <v>0</v>
      </c>
    </row>
    <row r="3047" spans="1:22" x14ac:dyDescent="0.45">
      <c r="A3047" t="s">
        <v>3904</v>
      </c>
      <c r="B3047" t="s">
        <v>438</v>
      </c>
      <c r="C3047" t="s">
        <v>34</v>
      </c>
      <c r="D3047" t="s">
        <v>73</v>
      </c>
      <c r="E3047" t="s">
        <v>16</v>
      </c>
      <c r="F3047">
        <v>13</v>
      </c>
      <c r="G3047">
        <v>58396</v>
      </c>
      <c r="H3047">
        <v>759148</v>
      </c>
      <c r="I3047" t="s">
        <v>2461</v>
      </c>
      <c r="J3047" t="s">
        <v>430</v>
      </c>
      <c r="K3047">
        <v>13</v>
      </c>
      <c r="L3047">
        <v>0</v>
      </c>
      <c r="M3047" t="s">
        <v>115</v>
      </c>
      <c r="N3047" t="str">
        <f t="shared" si="282"/>
        <v>PO-103046</v>
      </c>
      <c r="O3047" t="str">
        <f t="shared" si="283"/>
        <v>Delivered</v>
      </c>
      <c r="P3047" t="str">
        <f t="shared" si="284"/>
        <v>WH-DEL</v>
      </c>
      <c r="Q3047" t="str">
        <f>VLOOKUP(C3047, Lookups!$A$2:$D$10, 2, FALSE())</f>
        <v>FastElectronics</v>
      </c>
      <c r="R3047" t="str">
        <f>_xlfn.XLOOKUP(D3047, Lookups!$A$12:$A$51, Lookups!$C$12:$C$51, "Unknown")</f>
        <v>Electronics</v>
      </c>
      <c r="S3047" t="str">
        <f>IF(ISBLANK(I3047), B3047+VLOOKUP(C3047, Lookups!$A$2:$D$10, 4, FALSE()), I3047)</f>
        <v>2025-03-03</v>
      </c>
      <c r="T3047">
        <f t="shared" si="285"/>
        <v>19</v>
      </c>
      <c r="U3047" t="str">
        <f t="shared" si="286"/>
        <v>Late</v>
      </c>
      <c r="V3047">
        <f t="shared" si="287"/>
        <v>0</v>
      </c>
    </row>
    <row r="3048" spans="1:22" x14ac:dyDescent="0.45">
      <c r="A3048" t="s">
        <v>3905</v>
      </c>
      <c r="B3048" t="s">
        <v>1126</v>
      </c>
      <c r="C3048" t="s">
        <v>30</v>
      </c>
      <c r="D3048" t="s">
        <v>86</v>
      </c>
      <c r="E3048" t="s">
        <v>16</v>
      </c>
      <c r="F3048">
        <v>217</v>
      </c>
      <c r="G3048">
        <v>74871</v>
      </c>
      <c r="H3048">
        <v>16247007</v>
      </c>
      <c r="I3048" t="s">
        <v>1359</v>
      </c>
      <c r="J3048" t="s">
        <v>789</v>
      </c>
      <c r="K3048">
        <v>217</v>
      </c>
      <c r="L3048">
        <v>0</v>
      </c>
      <c r="M3048" t="s">
        <v>115</v>
      </c>
      <c r="N3048" t="str">
        <f t="shared" si="282"/>
        <v>PO-103047</v>
      </c>
      <c r="O3048" t="str">
        <f t="shared" si="283"/>
        <v>Delivered</v>
      </c>
      <c r="P3048" t="str">
        <f t="shared" si="284"/>
        <v>WH-DEL</v>
      </c>
      <c r="Q3048" t="str">
        <f>VLOOKUP(C3048, Lookups!$A$2:$D$10, 2, FALSE())</f>
        <v>TechSupply Corp</v>
      </c>
      <c r="R3048" t="str">
        <f>_xlfn.XLOOKUP(D3048, Lookups!$A$12:$A$51, Lookups!$C$12:$C$51, "Unknown")</f>
        <v>Electronics</v>
      </c>
      <c r="S3048" t="str">
        <f>IF(ISBLANK(I3048), B3048+VLOOKUP(C3048, Lookups!$A$2:$D$10, 4, FALSE()), I3048)</f>
        <v>2026-12-02</v>
      </c>
      <c r="T3048">
        <f t="shared" si="285"/>
        <v>24</v>
      </c>
      <c r="U3048" t="str">
        <f t="shared" si="286"/>
        <v>Late</v>
      </c>
      <c r="V3048">
        <f t="shared" si="287"/>
        <v>0</v>
      </c>
    </row>
    <row r="3049" spans="1:22" x14ac:dyDescent="0.45">
      <c r="A3049" t="s">
        <v>3906</v>
      </c>
      <c r="B3049" t="s">
        <v>1537</v>
      </c>
      <c r="C3049" t="s">
        <v>37</v>
      </c>
      <c r="D3049" t="s">
        <v>79</v>
      </c>
      <c r="E3049" t="s">
        <v>18</v>
      </c>
      <c r="F3049">
        <v>128</v>
      </c>
      <c r="G3049">
        <v>23054</v>
      </c>
      <c r="H3049">
        <v>2950912</v>
      </c>
      <c r="I3049" t="s">
        <v>983</v>
      </c>
      <c r="J3049" t="s">
        <v>983</v>
      </c>
      <c r="K3049">
        <v>128</v>
      </c>
      <c r="L3049">
        <v>0</v>
      </c>
      <c r="M3049" t="s">
        <v>927</v>
      </c>
      <c r="N3049" t="str">
        <f t="shared" si="282"/>
        <v>PO-103048</v>
      </c>
      <c r="O3049" t="str">
        <f t="shared" si="283"/>
        <v>Delivered</v>
      </c>
      <c r="P3049" t="str">
        <f t="shared" si="284"/>
        <v>WH-PUN</v>
      </c>
      <c r="Q3049" t="str">
        <f>VLOOKUP(C3049, Lookups!$A$2:$D$10, 2, FALSE())</f>
        <v>Premium Desks Ltd</v>
      </c>
      <c r="R3049" t="str">
        <f>_xlfn.XLOOKUP(D3049, Lookups!$A$12:$A$51, Lookups!$C$12:$C$51, "Unknown")</f>
        <v>Office Furniture</v>
      </c>
      <c r="S3049" t="str">
        <f>IF(ISBLANK(I3049), B3049+VLOOKUP(C3049, Lookups!$A$2:$D$10, 4, FALSE()), I3049)</f>
        <v>2025-04-30</v>
      </c>
      <c r="T3049">
        <f t="shared" si="285"/>
        <v>12</v>
      </c>
      <c r="U3049" t="str">
        <f t="shared" si="286"/>
        <v>On-Time</v>
      </c>
      <c r="V3049">
        <f t="shared" si="287"/>
        <v>0</v>
      </c>
    </row>
    <row r="3050" spans="1:22" x14ac:dyDescent="0.45">
      <c r="A3050" t="s">
        <v>3907</v>
      </c>
      <c r="B3050" t="s">
        <v>713</v>
      </c>
      <c r="C3050" t="s">
        <v>30</v>
      </c>
      <c r="D3050" t="s">
        <v>59</v>
      </c>
      <c r="E3050" t="s">
        <v>15</v>
      </c>
      <c r="F3050">
        <v>94</v>
      </c>
      <c r="G3050">
        <v>48905</v>
      </c>
      <c r="H3050">
        <v>4597070</v>
      </c>
      <c r="I3050" t="s">
        <v>135</v>
      </c>
      <c r="J3050" t="s">
        <v>868</v>
      </c>
      <c r="K3050">
        <v>94</v>
      </c>
      <c r="L3050">
        <v>0</v>
      </c>
      <c r="M3050" t="s">
        <v>115</v>
      </c>
      <c r="N3050" t="str">
        <f t="shared" si="282"/>
        <v>PO-103049</v>
      </c>
      <c r="O3050" t="str">
        <f t="shared" si="283"/>
        <v>Delivered</v>
      </c>
      <c r="P3050" t="str">
        <f t="shared" si="284"/>
        <v>WH-BOM</v>
      </c>
      <c r="Q3050" t="str">
        <f>VLOOKUP(C3050, Lookups!$A$2:$D$10, 2, FALSE())</f>
        <v>TechSupply Corp</v>
      </c>
      <c r="R3050" t="str">
        <f>_xlfn.XLOOKUP(D3050, Lookups!$A$12:$A$51, Lookups!$C$12:$C$51, "Unknown")</f>
        <v>Electronics</v>
      </c>
      <c r="S3050" t="str">
        <f>IF(ISBLANK(I3050), B3050+VLOOKUP(C3050, Lookups!$A$2:$D$10, 4, FALSE()), I3050)</f>
        <v>2026-09-02</v>
      </c>
      <c r="T3050">
        <f t="shared" si="285"/>
        <v>23</v>
      </c>
      <c r="U3050" t="str">
        <f t="shared" si="286"/>
        <v>Late</v>
      </c>
      <c r="V3050">
        <f t="shared" si="287"/>
        <v>0</v>
      </c>
    </row>
    <row r="3051" spans="1:22" x14ac:dyDescent="0.45">
      <c r="A3051" t="s">
        <v>3908</v>
      </c>
      <c r="B3051" t="s">
        <v>613</v>
      </c>
      <c r="C3051" t="s">
        <v>36</v>
      </c>
      <c r="D3051" t="s">
        <v>90</v>
      </c>
      <c r="E3051" t="s">
        <v>17</v>
      </c>
      <c r="F3051">
        <v>134</v>
      </c>
      <c r="G3051">
        <v>81434</v>
      </c>
      <c r="H3051">
        <v>10912156</v>
      </c>
      <c r="I3051" t="s">
        <v>285</v>
      </c>
      <c r="J3051" t="s">
        <v>286</v>
      </c>
      <c r="K3051">
        <v>134</v>
      </c>
      <c r="L3051">
        <v>0</v>
      </c>
      <c r="M3051" t="s">
        <v>115</v>
      </c>
      <c r="N3051" t="str">
        <f t="shared" si="282"/>
        <v>PO-103050</v>
      </c>
      <c r="O3051" t="str">
        <f t="shared" si="283"/>
        <v>Delivered</v>
      </c>
      <c r="P3051" t="str">
        <f t="shared" si="284"/>
        <v>WH-BLR</v>
      </c>
      <c r="Q3051" t="str">
        <f>VLOOKUP(C3051, Lookups!$A$2:$D$10, 2, FALSE())</f>
        <v>NextGen Hardware</v>
      </c>
      <c r="R3051" t="str">
        <f>_xlfn.XLOOKUP(D3051, Lookups!$A$12:$A$51, Lookups!$C$12:$C$51, "Unknown")</f>
        <v>Electronics</v>
      </c>
      <c r="S3051" t="str">
        <f>IF(ISBLANK(I3051), B3051+VLOOKUP(C3051, Lookups!$A$2:$D$10, 4, FALSE()), I3051)</f>
        <v>2025-03-01</v>
      </c>
      <c r="T3051">
        <f t="shared" si="285"/>
        <v>25</v>
      </c>
      <c r="U3051" t="str">
        <f t="shared" si="286"/>
        <v>Late</v>
      </c>
      <c r="V3051">
        <f t="shared" si="287"/>
        <v>0</v>
      </c>
    </row>
    <row r="3052" spans="1:22" x14ac:dyDescent="0.45">
      <c r="A3052" t="s">
        <v>3909</v>
      </c>
      <c r="B3052" t="s">
        <v>1202</v>
      </c>
      <c r="C3052" t="s">
        <v>37</v>
      </c>
      <c r="D3052" t="s">
        <v>79</v>
      </c>
      <c r="E3052" t="s">
        <v>15</v>
      </c>
      <c r="F3052">
        <v>237</v>
      </c>
      <c r="G3052">
        <v>23054</v>
      </c>
      <c r="H3052">
        <v>5463798</v>
      </c>
      <c r="I3052" t="s">
        <v>782</v>
      </c>
      <c r="J3052" t="s">
        <v>259</v>
      </c>
      <c r="K3052">
        <v>237</v>
      </c>
      <c r="L3052">
        <v>0</v>
      </c>
      <c r="M3052" t="s">
        <v>115</v>
      </c>
      <c r="N3052" t="str">
        <f t="shared" si="282"/>
        <v>PO-103051</v>
      </c>
      <c r="O3052" t="str">
        <f t="shared" si="283"/>
        <v>Delivered</v>
      </c>
      <c r="P3052" t="str">
        <f t="shared" si="284"/>
        <v>WH-BOM</v>
      </c>
      <c r="Q3052" t="str">
        <f>VLOOKUP(C3052, Lookups!$A$2:$D$10, 2, FALSE())</f>
        <v>Premium Desks Ltd</v>
      </c>
      <c r="R3052" t="str">
        <f>_xlfn.XLOOKUP(D3052, Lookups!$A$12:$A$51, Lookups!$C$12:$C$51, "Unknown")</f>
        <v>Office Furniture</v>
      </c>
      <c r="S3052" t="str">
        <f>IF(ISBLANK(I3052), B3052+VLOOKUP(C3052, Lookups!$A$2:$D$10, 4, FALSE()), I3052)</f>
        <v>2025-02-07</v>
      </c>
      <c r="T3052">
        <f t="shared" si="285"/>
        <v>13</v>
      </c>
      <c r="U3052" t="str">
        <f t="shared" si="286"/>
        <v>Late</v>
      </c>
      <c r="V3052">
        <f t="shared" si="287"/>
        <v>0</v>
      </c>
    </row>
    <row r="3053" spans="1:22" x14ac:dyDescent="0.45">
      <c r="A3053" t="s">
        <v>3910</v>
      </c>
      <c r="B3053" t="s">
        <v>679</v>
      </c>
      <c r="C3053" t="s">
        <v>36</v>
      </c>
      <c r="D3053" t="s">
        <v>71</v>
      </c>
      <c r="E3053" t="s">
        <v>16</v>
      </c>
      <c r="F3053">
        <v>39</v>
      </c>
      <c r="G3053">
        <v>65379</v>
      </c>
      <c r="H3053">
        <v>2549781</v>
      </c>
      <c r="I3053" t="s">
        <v>455</v>
      </c>
      <c r="J3053" t="s">
        <v>1122</v>
      </c>
      <c r="K3053">
        <v>39</v>
      </c>
      <c r="L3053">
        <v>0</v>
      </c>
      <c r="M3053" t="s">
        <v>115</v>
      </c>
      <c r="N3053" t="str">
        <f t="shared" si="282"/>
        <v>PO-103052</v>
      </c>
      <c r="O3053" t="str">
        <f t="shared" si="283"/>
        <v>Delivered</v>
      </c>
      <c r="P3053" t="str">
        <f t="shared" si="284"/>
        <v>WH-DEL</v>
      </c>
      <c r="Q3053" t="str">
        <f>VLOOKUP(C3053, Lookups!$A$2:$D$10, 2, FALSE())</f>
        <v>NextGen Hardware</v>
      </c>
      <c r="R3053" t="str">
        <f>_xlfn.XLOOKUP(D3053, Lookups!$A$12:$A$51, Lookups!$C$12:$C$51, "Unknown")</f>
        <v>Electronics</v>
      </c>
      <c r="S3053" t="str">
        <f>IF(ISBLANK(I3053), B3053+VLOOKUP(C3053, Lookups!$A$2:$D$10, 4, FALSE()), I3053)</f>
        <v>2026-08-13</v>
      </c>
      <c r="T3053">
        <f t="shared" si="285"/>
        <v>25</v>
      </c>
      <c r="U3053" t="str">
        <f t="shared" si="286"/>
        <v>Late</v>
      </c>
      <c r="V3053">
        <f t="shared" si="287"/>
        <v>0</v>
      </c>
    </row>
    <row r="3054" spans="1:22" x14ac:dyDescent="0.45">
      <c r="A3054" t="s">
        <v>3911</v>
      </c>
      <c r="B3054" t="s">
        <v>1405</v>
      </c>
      <c r="C3054" t="s">
        <v>37</v>
      </c>
      <c r="D3054" t="s">
        <v>79</v>
      </c>
      <c r="E3054" t="s">
        <v>17</v>
      </c>
      <c r="F3054">
        <v>163</v>
      </c>
      <c r="G3054">
        <v>23054</v>
      </c>
      <c r="H3054">
        <v>3757802</v>
      </c>
      <c r="I3054" t="s">
        <v>1173</v>
      </c>
      <c r="J3054" t="s">
        <v>1173</v>
      </c>
      <c r="K3054">
        <v>163</v>
      </c>
      <c r="L3054">
        <v>0</v>
      </c>
      <c r="M3054" t="s">
        <v>115</v>
      </c>
      <c r="N3054" t="str">
        <f t="shared" si="282"/>
        <v>PO-103053</v>
      </c>
      <c r="O3054" t="str">
        <f t="shared" si="283"/>
        <v>Delivered</v>
      </c>
      <c r="P3054" t="str">
        <f t="shared" si="284"/>
        <v>WH-BLR</v>
      </c>
      <c r="Q3054" t="str">
        <f>VLOOKUP(C3054, Lookups!$A$2:$D$10, 2, FALSE())</f>
        <v>Premium Desks Ltd</v>
      </c>
      <c r="R3054" t="str">
        <f>_xlfn.XLOOKUP(D3054, Lookups!$A$12:$A$51, Lookups!$C$12:$C$51, "Unknown")</f>
        <v>Office Furniture</v>
      </c>
      <c r="S3054" t="str">
        <f>IF(ISBLANK(I3054), B3054+VLOOKUP(C3054, Lookups!$A$2:$D$10, 4, FALSE()), I3054)</f>
        <v>2026-06-04</v>
      </c>
      <c r="T3054">
        <f t="shared" si="285"/>
        <v>12</v>
      </c>
      <c r="U3054" t="str">
        <f t="shared" si="286"/>
        <v>On-Time</v>
      </c>
      <c r="V3054">
        <f t="shared" si="287"/>
        <v>0</v>
      </c>
    </row>
    <row r="3055" spans="1:22" x14ac:dyDescent="0.45">
      <c r="A3055" t="s">
        <v>3912</v>
      </c>
      <c r="B3055" t="s">
        <v>330</v>
      </c>
      <c r="C3055" t="s">
        <v>31</v>
      </c>
      <c r="D3055" t="s">
        <v>66</v>
      </c>
      <c r="E3055" t="s">
        <v>16</v>
      </c>
      <c r="F3055">
        <v>193</v>
      </c>
      <c r="G3055">
        <v>29719</v>
      </c>
      <c r="H3055">
        <v>5735767</v>
      </c>
      <c r="I3055" t="s">
        <v>700</v>
      </c>
      <c r="J3055" t="s">
        <v>700</v>
      </c>
      <c r="K3055">
        <v>193</v>
      </c>
      <c r="L3055">
        <v>0</v>
      </c>
      <c r="M3055" t="s">
        <v>115</v>
      </c>
      <c r="N3055" t="str">
        <f t="shared" si="282"/>
        <v>PO-103054</v>
      </c>
      <c r="O3055" t="str">
        <f t="shared" si="283"/>
        <v>Delivered</v>
      </c>
      <c r="P3055" t="str">
        <f t="shared" si="284"/>
        <v>WH-DEL</v>
      </c>
      <c r="Q3055" t="str">
        <f>VLOOKUP(C3055, Lookups!$A$2:$D$10, 2, FALSE())</f>
        <v>Global Networks</v>
      </c>
      <c r="R3055" t="str">
        <f>_xlfn.XLOOKUP(D3055, Lookups!$A$12:$A$51, Lookups!$C$12:$C$51, "Unknown")</f>
        <v>Networking</v>
      </c>
      <c r="S3055" t="str">
        <f>IF(ISBLANK(I3055), B3055+VLOOKUP(C3055, Lookups!$A$2:$D$10, 4, FALSE()), I3055)</f>
        <v>2026-03-16</v>
      </c>
      <c r="T3055">
        <f t="shared" si="285"/>
        <v>21</v>
      </c>
      <c r="U3055" t="str">
        <f t="shared" si="286"/>
        <v>On-Time</v>
      </c>
      <c r="V3055">
        <f t="shared" si="287"/>
        <v>0</v>
      </c>
    </row>
    <row r="3056" spans="1:22" x14ac:dyDescent="0.45">
      <c r="A3056" t="s">
        <v>3913</v>
      </c>
      <c r="B3056" t="s">
        <v>1463</v>
      </c>
      <c r="C3056" t="s">
        <v>34</v>
      </c>
      <c r="D3056" t="s">
        <v>54</v>
      </c>
      <c r="E3056" t="s">
        <v>16</v>
      </c>
      <c r="F3056">
        <v>183</v>
      </c>
      <c r="G3056">
        <v>22314</v>
      </c>
      <c r="H3056">
        <v>4083462</v>
      </c>
      <c r="I3056" t="s">
        <v>1410</v>
      </c>
      <c r="J3056" t="s">
        <v>1410</v>
      </c>
      <c r="K3056">
        <v>183</v>
      </c>
      <c r="L3056">
        <v>0</v>
      </c>
      <c r="M3056" t="s">
        <v>115</v>
      </c>
      <c r="N3056" t="str">
        <f t="shared" si="282"/>
        <v>PO-103055</v>
      </c>
      <c r="O3056" t="str">
        <f t="shared" si="283"/>
        <v>Delivered</v>
      </c>
      <c r="P3056" t="str">
        <f t="shared" si="284"/>
        <v>WH-DEL</v>
      </c>
      <c r="Q3056" t="str">
        <f>VLOOKUP(C3056, Lookups!$A$2:$D$10, 2, FALSE())</f>
        <v>FastElectronics</v>
      </c>
      <c r="R3056" t="str">
        <f>_xlfn.XLOOKUP(D3056, Lookups!$A$12:$A$51, Lookups!$C$12:$C$51, "Unknown")</f>
        <v>Networking</v>
      </c>
      <c r="S3056" t="str">
        <f>IF(ISBLANK(I3056), B3056+VLOOKUP(C3056, Lookups!$A$2:$D$10, 4, FALSE()), I3056)</f>
        <v>2026-06-03</v>
      </c>
      <c r="T3056">
        <f t="shared" si="285"/>
        <v>18</v>
      </c>
      <c r="U3056" t="str">
        <f t="shared" si="286"/>
        <v>On-Time</v>
      </c>
      <c r="V3056">
        <f t="shared" si="287"/>
        <v>0</v>
      </c>
    </row>
    <row r="3057" spans="1:22" x14ac:dyDescent="0.45">
      <c r="A3057" t="s">
        <v>3914</v>
      </c>
      <c r="B3057" t="s">
        <v>372</v>
      </c>
      <c r="C3057" t="s">
        <v>37</v>
      </c>
      <c r="D3057" t="s">
        <v>78</v>
      </c>
      <c r="E3057" t="s">
        <v>18</v>
      </c>
      <c r="F3057">
        <v>205</v>
      </c>
      <c r="G3057">
        <v>9423</v>
      </c>
      <c r="H3057">
        <v>1931715</v>
      </c>
      <c r="I3057" t="s">
        <v>778</v>
      </c>
      <c r="J3057" t="s">
        <v>778</v>
      </c>
      <c r="K3057">
        <v>205</v>
      </c>
      <c r="L3057">
        <v>0</v>
      </c>
      <c r="M3057" t="s">
        <v>115</v>
      </c>
      <c r="N3057" t="str">
        <f t="shared" si="282"/>
        <v>PO-103056</v>
      </c>
      <c r="O3057" t="str">
        <f t="shared" si="283"/>
        <v>Delivered</v>
      </c>
      <c r="P3057" t="str">
        <f t="shared" si="284"/>
        <v>WH-PUN</v>
      </c>
      <c r="Q3057" t="str">
        <f>VLOOKUP(C3057, Lookups!$A$2:$D$10, 2, FALSE())</f>
        <v>Premium Desks Ltd</v>
      </c>
      <c r="R3057" t="str">
        <f>_xlfn.XLOOKUP(D3057, Lookups!$A$12:$A$51, Lookups!$C$12:$C$51, "Unknown")</f>
        <v>Office Furniture</v>
      </c>
      <c r="S3057" t="str">
        <f>IF(ISBLANK(I3057), B3057+VLOOKUP(C3057, Lookups!$A$2:$D$10, 4, FALSE()), I3057)</f>
        <v>2025-12-13</v>
      </c>
      <c r="T3057">
        <f t="shared" si="285"/>
        <v>12</v>
      </c>
      <c r="U3057" t="str">
        <f t="shared" si="286"/>
        <v>On-Time</v>
      </c>
      <c r="V3057">
        <f t="shared" si="287"/>
        <v>0</v>
      </c>
    </row>
    <row r="3058" spans="1:22" x14ac:dyDescent="0.45">
      <c r="A3058" t="s">
        <v>3915</v>
      </c>
      <c r="B3058" t="s">
        <v>1170</v>
      </c>
      <c r="C3058" t="s">
        <v>31</v>
      </c>
      <c r="D3058" t="s">
        <v>66</v>
      </c>
      <c r="E3058" t="s">
        <v>17</v>
      </c>
      <c r="F3058">
        <v>58</v>
      </c>
      <c r="G3058">
        <v>29719</v>
      </c>
      <c r="H3058">
        <v>1723702</v>
      </c>
      <c r="I3058" t="s">
        <v>767</v>
      </c>
      <c r="K3058">
        <v>0</v>
      </c>
      <c r="L3058">
        <v>0</v>
      </c>
      <c r="M3058" t="s">
        <v>297</v>
      </c>
      <c r="N3058" t="str">
        <f t="shared" si="282"/>
        <v>PO-103057</v>
      </c>
      <c r="O3058" t="str">
        <f t="shared" si="283"/>
        <v>Open</v>
      </c>
      <c r="P3058" t="str">
        <f t="shared" si="284"/>
        <v>WH-BLR</v>
      </c>
      <c r="Q3058" t="str">
        <f>VLOOKUP(C3058, Lookups!$A$2:$D$10, 2, FALSE())</f>
        <v>Global Networks</v>
      </c>
      <c r="R3058" t="str">
        <f>_xlfn.XLOOKUP(D3058, Lookups!$A$12:$A$51, Lookups!$C$12:$C$51, "Unknown")</f>
        <v>Networking</v>
      </c>
      <c r="S3058" t="str">
        <f>IF(ISBLANK(I3058), B3058+VLOOKUP(C3058, Lookups!$A$2:$D$10, 4, FALSE()), I3058)</f>
        <v>2026-12-24</v>
      </c>
      <c r="T3058" t="str">
        <f t="shared" si="285"/>
        <v/>
      </c>
      <c r="U3058" t="str">
        <f t="shared" si="286"/>
        <v>Open</v>
      </c>
      <c r="V3058">
        <f t="shared" si="287"/>
        <v>0</v>
      </c>
    </row>
    <row r="3059" spans="1:22" x14ac:dyDescent="0.45">
      <c r="A3059" t="s">
        <v>3916</v>
      </c>
      <c r="B3059" t="s">
        <v>736</v>
      </c>
      <c r="C3059" t="s">
        <v>31</v>
      </c>
      <c r="D3059" t="s">
        <v>66</v>
      </c>
      <c r="E3059" t="s">
        <v>16</v>
      </c>
      <c r="F3059">
        <v>157</v>
      </c>
      <c r="G3059">
        <v>29719</v>
      </c>
      <c r="H3059">
        <v>4665883</v>
      </c>
      <c r="I3059" t="s">
        <v>737</v>
      </c>
      <c r="J3059" t="s">
        <v>1101</v>
      </c>
      <c r="K3059">
        <v>157</v>
      </c>
      <c r="L3059">
        <v>0</v>
      </c>
      <c r="M3059" t="s">
        <v>115</v>
      </c>
      <c r="N3059" t="str">
        <f t="shared" si="282"/>
        <v>PO-103058</v>
      </c>
      <c r="O3059" t="str">
        <f t="shared" si="283"/>
        <v>Delivered</v>
      </c>
      <c r="P3059" t="str">
        <f t="shared" si="284"/>
        <v>WH-DEL</v>
      </c>
      <c r="Q3059" t="str">
        <f>VLOOKUP(C3059, Lookups!$A$2:$D$10, 2, FALSE())</f>
        <v>Global Networks</v>
      </c>
      <c r="R3059" t="str">
        <f>_xlfn.XLOOKUP(D3059, Lookups!$A$12:$A$51, Lookups!$C$12:$C$51, "Unknown")</f>
        <v>Networking</v>
      </c>
      <c r="S3059" t="str">
        <f>IF(ISBLANK(I3059), B3059+VLOOKUP(C3059, Lookups!$A$2:$D$10, 4, FALSE()), I3059)</f>
        <v>2026-11-20</v>
      </c>
      <c r="T3059">
        <f t="shared" si="285"/>
        <v>22</v>
      </c>
      <c r="U3059" t="str">
        <f t="shared" si="286"/>
        <v>Late</v>
      </c>
      <c r="V3059">
        <f t="shared" si="287"/>
        <v>0</v>
      </c>
    </row>
    <row r="3060" spans="1:22" x14ac:dyDescent="0.45">
      <c r="A3060" t="s">
        <v>3917</v>
      </c>
      <c r="B3060" t="s">
        <v>478</v>
      </c>
      <c r="C3060" t="s">
        <v>37</v>
      </c>
      <c r="D3060" t="s">
        <v>79</v>
      </c>
      <c r="E3060" t="s">
        <v>15</v>
      </c>
      <c r="F3060">
        <v>248</v>
      </c>
      <c r="G3060">
        <v>23054</v>
      </c>
      <c r="H3060">
        <v>5717392</v>
      </c>
      <c r="I3060" t="s">
        <v>1165</v>
      </c>
      <c r="J3060" t="s">
        <v>1165</v>
      </c>
      <c r="K3060">
        <v>248</v>
      </c>
      <c r="L3060">
        <v>0</v>
      </c>
      <c r="M3060" t="s">
        <v>115</v>
      </c>
      <c r="N3060" t="str">
        <f t="shared" si="282"/>
        <v>PO-103059</v>
      </c>
      <c r="O3060" t="str">
        <f t="shared" si="283"/>
        <v>Delivered</v>
      </c>
      <c r="P3060" t="str">
        <f t="shared" si="284"/>
        <v>WH-BOM</v>
      </c>
      <c r="Q3060" t="str">
        <f>VLOOKUP(C3060, Lookups!$A$2:$D$10, 2, FALSE())</f>
        <v>Premium Desks Ltd</v>
      </c>
      <c r="R3060" t="str">
        <f>_xlfn.XLOOKUP(D3060, Lookups!$A$12:$A$51, Lookups!$C$12:$C$51, "Unknown")</f>
        <v>Office Furniture</v>
      </c>
      <c r="S3060" t="str">
        <f>IF(ISBLANK(I3060), B3060+VLOOKUP(C3060, Lookups!$A$2:$D$10, 4, FALSE()), I3060)</f>
        <v>2025-04-10</v>
      </c>
      <c r="T3060">
        <f t="shared" si="285"/>
        <v>12</v>
      </c>
      <c r="U3060" t="str">
        <f t="shared" si="286"/>
        <v>On-Time</v>
      </c>
      <c r="V3060">
        <f t="shared" si="287"/>
        <v>0</v>
      </c>
    </row>
    <row r="3061" spans="1:22" x14ac:dyDescent="0.45">
      <c r="A3061" t="s">
        <v>3918</v>
      </c>
      <c r="B3061" t="s">
        <v>2834</v>
      </c>
      <c r="C3061" t="s">
        <v>36</v>
      </c>
      <c r="D3061" t="s">
        <v>62</v>
      </c>
      <c r="E3061" t="s">
        <v>17</v>
      </c>
      <c r="F3061">
        <v>57</v>
      </c>
      <c r="G3061">
        <v>48478</v>
      </c>
      <c r="H3061">
        <v>2763246</v>
      </c>
      <c r="I3061" t="s">
        <v>1544</v>
      </c>
      <c r="J3061" t="s">
        <v>184</v>
      </c>
      <c r="K3061">
        <v>57</v>
      </c>
      <c r="L3061">
        <v>0</v>
      </c>
      <c r="M3061" t="s">
        <v>115</v>
      </c>
      <c r="N3061" t="str">
        <f t="shared" si="282"/>
        <v>PO-103060</v>
      </c>
      <c r="O3061" t="str">
        <f t="shared" si="283"/>
        <v>Delivered</v>
      </c>
      <c r="P3061" t="str">
        <f t="shared" si="284"/>
        <v>WH-BLR</v>
      </c>
      <c r="Q3061" t="str">
        <f>VLOOKUP(C3061, Lookups!$A$2:$D$10, 2, FALSE())</f>
        <v>NextGen Hardware</v>
      </c>
      <c r="R3061" t="str">
        <f>_xlfn.XLOOKUP(D3061, Lookups!$A$12:$A$51, Lookups!$C$12:$C$51, "Unknown")</f>
        <v>Electronics</v>
      </c>
      <c r="S3061" t="str">
        <f>IF(ISBLANK(I3061), B3061+VLOOKUP(C3061, Lookups!$A$2:$D$10, 4, FALSE()), I3061)</f>
        <v>2025-02-01</v>
      </c>
      <c r="T3061">
        <f t="shared" si="285"/>
        <v>25</v>
      </c>
      <c r="U3061" t="str">
        <f t="shared" si="286"/>
        <v>Late</v>
      </c>
      <c r="V3061">
        <f t="shared" si="287"/>
        <v>0</v>
      </c>
    </row>
    <row r="3062" spans="1:22" x14ac:dyDescent="0.45">
      <c r="A3062" t="s">
        <v>3919</v>
      </c>
      <c r="B3062" t="s">
        <v>922</v>
      </c>
      <c r="C3062" t="s">
        <v>35</v>
      </c>
      <c r="D3062" t="s">
        <v>65</v>
      </c>
      <c r="E3062" t="s">
        <v>18</v>
      </c>
      <c r="F3062">
        <v>73</v>
      </c>
      <c r="G3062">
        <v>4936</v>
      </c>
      <c r="H3062">
        <v>360328</v>
      </c>
      <c r="I3062" t="s">
        <v>674</v>
      </c>
      <c r="J3062" t="s">
        <v>674</v>
      </c>
      <c r="K3062">
        <v>73</v>
      </c>
      <c r="L3062">
        <v>5</v>
      </c>
      <c r="M3062" t="s">
        <v>115</v>
      </c>
      <c r="N3062" t="str">
        <f t="shared" si="282"/>
        <v>PO-103061</v>
      </c>
      <c r="O3062" t="str">
        <f t="shared" si="283"/>
        <v>Delivered</v>
      </c>
      <c r="P3062" t="str">
        <f t="shared" si="284"/>
        <v>WH-PUN</v>
      </c>
      <c r="Q3062" t="str">
        <f>VLOOKUP(C3062, Lookups!$A$2:$D$10, 2, FALSE())</f>
        <v>Peripheral Source</v>
      </c>
      <c r="R3062" t="str">
        <f>_xlfn.XLOOKUP(D3062, Lookups!$A$12:$A$51, Lookups!$C$12:$C$51, "Unknown")</f>
        <v>Peripherals</v>
      </c>
      <c r="S3062" t="str">
        <f>IF(ISBLANK(I3062), B3062+VLOOKUP(C3062, Lookups!$A$2:$D$10, 4, FALSE()), I3062)</f>
        <v>2026-11-19</v>
      </c>
      <c r="T3062">
        <f t="shared" si="285"/>
        <v>10</v>
      </c>
      <c r="U3062" t="str">
        <f t="shared" si="286"/>
        <v>On-Time</v>
      </c>
      <c r="V3062">
        <f t="shared" si="287"/>
        <v>6.8493150684931503E-2</v>
      </c>
    </row>
    <row r="3063" spans="1:22" x14ac:dyDescent="0.45">
      <c r="A3063" t="s">
        <v>3920</v>
      </c>
      <c r="B3063" t="s">
        <v>1549</v>
      </c>
      <c r="C3063" t="s">
        <v>35</v>
      </c>
      <c r="D3063" t="s">
        <v>70</v>
      </c>
      <c r="E3063" t="s">
        <v>15</v>
      </c>
      <c r="F3063">
        <v>58</v>
      </c>
      <c r="G3063">
        <v>4287</v>
      </c>
      <c r="H3063">
        <v>248646</v>
      </c>
      <c r="I3063" t="s">
        <v>426</v>
      </c>
      <c r="J3063" t="s">
        <v>648</v>
      </c>
      <c r="K3063">
        <v>58</v>
      </c>
      <c r="L3063">
        <v>0</v>
      </c>
      <c r="M3063" t="s">
        <v>115</v>
      </c>
      <c r="N3063" t="str">
        <f t="shared" si="282"/>
        <v>PO-103062</v>
      </c>
      <c r="O3063" t="str">
        <f t="shared" si="283"/>
        <v>Delivered</v>
      </c>
      <c r="P3063" t="str">
        <f t="shared" si="284"/>
        <v>WH-BOM</v>
      </c>
      <c r="Q3063" t="str">
        <f>VLOOKUP(C3063, Lookups!$A$2:$D$10, 2, FALSE())</f>
        <v>Peripheral Source</v>
      </c>
      <c r="R3063" t="str">
        <f>_xlfn.XLOOKUP(D3063, Lookups!$A$12:$A$51, Lookups!$C$12:$C$51, "Unknown")</f>
        <v>Peripherals</v>
      </c>
      <c r="S3063" t="str">
        <f>IF(ISBLANK(I3063), B3063+VLOOKUP(C3063, Lookups!$A$2:$D$10, 4, FALSE()), I3063)</f>
        <v>2025-07-27</v>
      </c>
      <c r="T3063">
        <f t="shared" si="285"/>
        <v>11</v>
      </c>
      <c r="U3063" t="str">
        <f t="shared" si="286"/>
        <v>Late</v>
      </c>
      <c r="V3063">
        <f t="shared" si="287"/>
        <v>0</v>
      </c>
    </row>
    <row r="3064" spans="1:22" x14ac:dyDescent="0.45">
      <c r="A3064" t="s">
        <v>3921</v>
      </c>
      <c r="B3064" t="s">
        <v>1562</v>
      </c>
      <c r="C3064" t="s">
        <v>30</v>
      </c>
      <c r="D3064" t="s">
        <v>61</v>
      </c>
      <c r="E3064" t="s">
        <v>18</v>
      </c>
      <c r="F3064">
        <v>41</v>
      </c>
      <c r="G3064">
        <v>111237</v>
      </c>
      <c r="H3064">
        <v>4560717</v>
      </c>
      <c r="I3064" t="s">
        <v>455</v>
      </c>
      <c r="J3064" t="s">
        <v>307</v>
      </c>
      <c r="K3064">
        <v>41</v>
      </c>
      <c r="L3064">
        <v>0</v>
      </c>
      <c r="M3064" t="s">
        <v>115</v>
      </c>
      <c r="N3064" t="str">
        <f t="shared" si="282"/>
        <v>PO-103063</v>
      </c>
      <c r="O3064" t="str">
        <f t="shared" si="283"/>
        <v>Delivered</v>
      </c>
      <c r="P3064" t="str">
        <f t="shared" si="284"/>
        <v>WH-PUN</v>
      </c>
      <c r="Q3064" t="str">
        <f>VLOOKUP(C3064, Lookups!$A$2:$D$10, 2, FALSE())</f>
        <v>TechSupply Corp</v>
      </c>
      <c r="R3064" t="str">
        <f>_xlfn.XLOOKUP(D3064, Lookups!$A$12:$A$51, Lookups!$C$12:$C$51, "Unknown")</f>
        <v>Electronics</v>
      </c>
      <c r="S3064" t="str">
        <f>IF(ISBLANK(I3064), B3064+VLOOKUP(C3064, Lookups!$A$2:$D$10, 4, FALSE()), I3064)</f>
        <v>2026-08-13</v>
      </c>
      <c r="T3064">
        <f t="shared" si="285"/>
        <v>27</v>
      </c>
      <c r="U3064" t="str">
        <f t="shared" si="286"/>
        <v>Late</v>
      </c>
      <c r="V3064">
        <f t="shared" si="287"/>
        <v>0</v>
      </c>
    </row>
    <row r="3065" spans="1:22" x14ac:dyDescent="0.45">
      <c r="A3065" t="s">
        <v>3922</v>
      </c>
      <c r="B3065" t="s">
        <v>474</v>
      </c>
      <c r="C3065" t="s">
        <v>30</v>
      </c>
      <c r="D3065" t="s">
        <v>53</v>
      </c>
      <c r="E3065" t="s">
        <v>18</v>
      </c>
      <c r="F3065">
        <v>62</v>
      </c>
      <c r="G3065">
        <v>81048</v>
      </c>
      <c r="H3065">
        <v>5024976</v>
      </c>
      <c r="I3065" t="s">
        <v>1482</v>
      </c>
      <c r="J3065" t="s">
        <v>229</v>
      </c>
      <c r="K3065">
        <v>62</v>
      </c>
      <c r="L3065">
        <v>0</v>
      </c>
      <c r="M3065" t="s">
        <v>115</v>
      </c>
      <c r="N3065" t="str">
        <f t="shared" si="282"/>
        <v>PO-103064</v>
      </c>
      <c r="O3065" t="str">
        <f t="shared" si="283"/>
        <v>Delivered</v>
      </c>
      <c r="P3065" t="str">
        <f t="shared" si="284"/>
        <v>WH-PUN</v>
      </c>
      <c r="Q3065" t="str">
        <f>VLOOKUP(C3065, Lookups!$A$2:$D$10, 2, FALSE())</f>
        <v>TechSupply Corp</v>
      </c>
      <c r="R3065" t="str">
        <f>_xlfn.XLOOKUP(D3065, Lookups!$A$12:$A$51, Lookups!$C$12:$C$51, "Unknown")</f>
        <v>Electronics</v>
      </c>
      <c r="S3065" t="str">
        <f>IF(ISBLANK(I3065), B3065+VLOOKUP(C3065, Lookups!$A$2:$D$10, 4, FALSE()), I3065)</f>
        <v>2025-07-08</v>
      </c>
      <c r="T3065">
        <f t="shared" si="285"/>
        <v>15</v>
      </c>
      <c r="U3065" t="str">
        <f t="shared" si="286"/>
        <v>Late</v>
      </c>
      <c r="V3065">
        <f t="shared" si="287"/>
        <v>0</v>
      </c>
    </row>
    <row r="3066" spans="1:22" x14ac:dyDescent="0.45">
      <c r="A3066" t="s">
        <v>3923</v>
      </c>
      <c r="B3066" t="s">
        <v>1260</v>
      </c>
      <c r="C3066" t="s">
        <v>36</v>
      </c>
      <c r="D3066" t="s">
        <v>71</v>
      </c>
      <c r="E3066" t="s">
        <v>15</v>
      </c>
      <c r="F3066">
        <v>81</v>
      </c>
      <c r="G3066">
        <v>65379</v>
      </c>
      <c r="H3066">
        <v>5295699</v>
      </c>
      <c r="I3066" t="s">
        <v>580</v>
      </c>
      <c r="J3066" t="s">
        <v>341</v>
      </c>
      <c r="K3066">
        <v>81</v>
      </c>
      <c r="L3066">
        <v>0</v>
      </c>
      <c r="M3066" t="s">
        <v>115</v>
      </c>
      <c r="N3066" t="str">
        <f t="shared" si="282"/>
        <v>PO-103065</v>
      </c>
      <c r="O3066" t="str">
        <f t="shared" si="283"/>
        <v>Delivered</v>
      </c>
      <c r="P3066" t="str">
        <f t="shared" si="284"/>
        <v>WH-BOM</v>
      </c>
      <c r="Q3066" t="str">
        <f>VLOOKUP(C3066, Lookups!$A$2:$D$10, 2, FALSE())</f>
        <v>NextGen Hardware</v>
      </c>
      <c r="R3066" t="str">
        <f>_xlfn.XLOOKUP(D3066, Lookups!$A$12:$A$51, Lookups!$C$12:$C$51, "Unknown")</f>
        <v>Electronics</v>
      </c>
      <c r="S3066" t="str">
        <f>IF(ISBLANK(I3066), B3066+VLOOKUP(C3066, Lookups!$A$2:$D$10, 4, FALSE()), I3066)</f>
        <v>2026-01-12</v>
      </c>
      <c r="T3066">
        <f t="shared" si="285"/>
        <v>25</v>
      </c>
      <c r="U3066" t="str">
        <f t="shared" si="286"/>
        <v>Late</v>
      </c>
      <c r="V3066">
        <f t="shared" si="287"/>
        <v>0</v>
      </c>
    </row>
    <row r="3067" spans="1:22" x14ac:dyDescent="0.45">
      <c r="A3067" t="s">
        <v>3924</v>
      </c>
      <c r="B3067" t="s">
        <v>787</v>
      </c>
      <c r="C3067" t="s">
        <v>36</v>
      </c>
      <c r="D3067" t="s">
        <v>71</v>
      </c>
      <c r="E3067" t="s">
        <v>18</v>
      </c>
      <c r="F3067">
        <v>241</v>
      </c>
      <c r="G3067">
        <v>65379</v>
      </c>
      <c r="H3067">
        <v>15756339</v>
      </c>
      <c r="I3067" t="s">
        <v>1671</v>
      </c>
      <c r="J3067" t="s">
        <v>1671</v>
      </c>
      <c r="K3067">
        <v>132</v>
      </c>
      <c r="L3067">
        <v>0</v>
      </c>
      <c r="M3067" t="s">
        <v>115</v>
      </c>
      <c r="N3067" t="str">
        <f t="shared" si="282"/>
        <v>PO-103066</v>
      </c>
      <c r="O3067" t="str">
        <f t="shared" si="283"/>
        <v>Delivered</v>
      </c>
      <c r="P3067" t="str">
        <f t="shared" si="284"/>
        <v>WH-PUN</v>
      </c>
      <c r="Q3067" t="str">
        <f>VLOOKUP(C3067, Lookups!$A$2:$D$10, 2, FALSE())</f>
        <v>NextGen Hardware</v>
      </c>
      <c r="R3067" t="str">
        <f>_xlfn.XLOOKUP(D3067, Lookups!$A$12:$A$51, Lookups!$C$12:$C$51, "Unknown")</f>
        <v>Electronics</v>
      </c>
      <c r="S3067" t="str">
        <f>IF(ISBLANK(I3067), B3067+VLOOKUP(C3067, Lookups!$A$2:$D$10, 4, FALSE()), I3067)</f>
        <v>2026-03-28</v>
      </c>
      <c r="T3067">
        <f t="shared" si="285"/>
        <v>24</v>
      </c>
      <c r="U3067" t="str">
        <f t="shared" si="286"/>
        <v>On-Time</v>
      </c>
      <c r="V3067">
        <f t="shared" si="287"/>
        <v>0</v>
      </c>
    </row>
    <row r="3068" spans="1:22" x14ac:dyDescent="0.45">
      <c r="A3068" t="s">
        <v>3925</v>
      </c>
      <c r="B3068" t="s">
        <v>303</v>
      </c>
      <c r="C3068" t="s">
        <v>30</v>
      </c>
      <c r="D3068" t="s">
        <v>86</v>
      </c>
      <c r="E3068" t="s">
        <v>17</v>
      </c>
      <c r="F3068">
        <v>161</v>
      </c>
      <c r="G3068">
        <v>74871</v>
      </c>
      <c r="H3068">
        <v>12054231</v>
      </c>
      <c r="I3068" t="s">
        <v>304</v>
      </c>
      <c r="J3068" t="s">
        <v>908</v>
      </c>
      <c r="K3068">
        <v>161</v>
      </c>
      <c r="L3068">
        <v>0</v>
      </c>
      <c r="M3068" t="s">
        <v>115</v>
      </c>
      <c r="N3068" t="str">
        <f t="shared" si="282"/>
        <v>PO-103067</v>
      </c>
      <c r="O3068" t="str">
        <f t="shared" si="283"/>
        <v>Delivered</v>
      </c>
      <c r="P3068" t="str">
        <f t="shared" si="284"/>
        <v>WH-BLR</v>
      </c>
      <c r="Q3068" t="str">
        <f>VLOOKUP(C3068, Lookups!$A$2:$D$10, 2, FALSE())</f>
        <v>TechSupply Corp</v>
      </c>
      <c r="R3068" t="str">
        <f>_xlfn.XLOOKUP(D3068, Lookups!$A$12:$A$51, Lookups!$C$12:$C$51, "Unknown")</f>
        <v>Electronics</v>
      </c>
      <c r="S3068" t="str">
        <f>IF(ISBLANK(I3068), B3068+VLOOKUP(C3068, Lookups!$A$2:$D$10, 4, FALSE()), I3068)</f>
        <v>2026-06-23</v>
      </c>
      <c r="T3068">
        <f t="shared" si="285"/>
        <v>22</v>
      </c>
      <c r="U3068" t="str">
        <f t="shared" si="286"/>
        <v>Late</v>
      </c>
      <c r="V3068">
        <f t="shared" si="287"/>
        <v>0</v>
      </c>
    </row>
    <row r="3069" spans="1:22" x14ac:dyDescent="0.45">
      <c r="A3069" t="s">
        <v>3926</v>
      </c>
      <c r="B3069" t="s">
        <v>940</v>
      </c>
      <c r="C3069" t="s">
        <v>30</v>
      </c>
      <c r="D3069" t="s">
        <v>52</v>
      </c>
      <c r="E3069" t="s">
        <v>17</v>
      </c>
      <c r="F3069">
        <v>67</v>
      </c>
      <c r="G3069">
        <v>59592</v>
      </c>
      <c r="H3069">
        <v>3992664</v>
      </c>
      <c r="I3069" t="s">
        <v>437</v>
      </c>
      <c r="J3069" t="s">
        <v>437</v>
      </c>
      <c r="K3069">
        <v>67</v>
      </c>
      <c r="L3069">
        <v>0</v>
      </c>
      <c r="M3069" t="s">
        <v>115</v>
      </c>
      <c r="N3069" t="str">
        <f t="shared" si="282"/>
        <v>PO-103068</v>
      </c>
      <c r="O3069" t="str">
        <f t="shared" si="283"/>
        <v>Delivered</v>
      </c>
      <c r="P3069" t="str">
        <f t="shared" si="284"/>
        <v>WH-BLR</v>
      </c>
      <c r="Q3069" t="str">
        <f>VLOOKUP(C3069, Lookups!$A$2:$D$10, 2, FALSE())</f>
        <v>TechSupply Corp</v>
      </c>
      <c r="R3069" t="str">
        <f>_xlfn.XLOOKUP(D3069, Lookups!$A$12:$A$51, Lookups!$C$12:$C$51, "Unknown")</f>
        <v>Electronics</v>
      </c>
      <c r="S3069" t="str">
        <f>IF(ISBLANK(I3069), B3069+VLOOKUP(C3069, Lookups!$A$2:$D$10, 4, FALSE()), I3069)</f>
        <v>2025-02-03</v>
      </c>
      <c r="T3069">
        <f t="shared" si="285"/>
        <v>14</v>
      </c>
      <c r="U3069" t="str">
        <f t="shared" si="286"/>
        <v>On-Time</v>
      </c>
      <c r="V3069">
        <f t="shared" si="287"/>
        <v>0</v>
      </c>
    </row>
    <row r="3070" spans="1:22" x14ac:dyDescent="0.45">
      <c r="A3070" t="s">
        <v>3927</v>
      </c>
      <c r="B3070" t="s">
        <v>836</v>
      </c>
      <c r="C3070" t="s">
        <v>30</v>
      </c>
      <c r="D3070" t="s">
        <v>82</v>
      </c>
      <c r="E3070" t="s">
        <v>15</v>
      </c>
      <c r="F3070">
        <v>113</v>
      </c>
      <c r="G3070">
        <v>83427</v>
      </c>
      <c r="H3070">
        <v>9427251</v>
      </c>
      <c r="I3070" t="s">
        <v>538</v>
      </c>
      <c r="J3070" t="s">
        <v>1080</v>
      </c>
      <c r="K3070">
        <v>89</v>
      </c>
      <c r="L3070">
        <v>0</v>
      </c>
      <c r="M3070" t="s">
        <v>115</v>
      </c>
      <c r="N3070" t="str">
        <f t="shared" si="282"/>
        <v>PO-103069</v>
      </c>
      <c r="O3070" t="str">
        <f t="shared" si="283"/>
        <v>Delivered</v>
      </c>
      <c r="P3070" t="str">
        <f t="shared" si="284"/>
        <v>WH-BOM</v>
      </c>
      <c r="Q3070" t="str">
        <f>VLOOKUP(C3070, Lookups!$A$2:$D$10, 2, FALSE())</f>
        <v>TechSupply Corp</v>
      </c>
      <c r="R3070" t="str">
        <f>_xlfn.XLOOKUP(D3070, Lookups!$A$12:$A$51, Lookups!$C$12:$C$51, "Unknown")</f>
        <v>Electronics</v>
      </c>
      <c r="S3070" t="str">
        <f>IF(ISBLANK(I3070), B3070+VLOOKUP(C3070, Lookups!$A$2:$D$10, 4, FALSE()), I3070)</f>
        <v>2026-01-24</v>
      </c>
      <c r="T3070">
        <f t="shared" si="285"/>
        <v>15</v>
      </c>
      <c r="U3070" t="str">
        <f t="shared" si="286"/>
        <v>Late</v>
      </c>
      <c r="V3070">
        <f t="shared" si="287"/>
        <v>0</v>
      </c>
    </row>
    <row r="3071" spans="1:22" x14ac:dyDescent="0.45">
      <c r="A3071" t="s">
        <v>3928</v>
      </c>
      <c r="B3071" t="s">
        <v>1148</v>
      </c>
      <c r="C3071" t="s">
        <v>34</v>
      </c>
      <c r="D3071" t="s">
        <v>68</v>
      </c>
      <c r="E3071" t="s">
        <v>15</v>
      </c>
      <c r="F3071">
        <v>140</v>
      </c>
      <c r="G3071">
        <v>41405</v>
      </c>
      <c r="H3071">
        <v>5796700</v>
      </c>
      <c r="I3071" t="s">
        <v>653</v>
      </c>
      <c r="J3071" t="s">
        <v>653</v>
      </c>
      <c r="K3071">
        <v>140</v>
      </c>
      <c r="L3071">
        <v>0</v>
      </c>
      <c r="M3071" t="s">
        <v>115</v>
      </c>
      <c r="N3071" t="str">
        <f t="shared" si="282"/>
        <v>PO-103070</v>
      </c>
      <c r="O3071" t="str">
        <f t="shared" si="283"/>
        <v>Delivered</v>
      </c>
      <c r="P3071" t="str">
        <f t="shared" si="284"/>
        <v>WH-BOM</v>
      </c>
      <c r="Q3071" t="str">
        <f>VLOOKUP(C3071, Lookups!$A$2:$D$10, 2, FALSE())</f>
        <v>FastElectronics</v>
      </c>
      <c r="R3071" t="str">
        <f>_xlfn.XLOOKUP(D3071, Lookups!$A$12:$A$51, Lookups!$C$12:$C$51, "Unknown")</f>
        <v>Networking</v>
      </c>
      <c r="S3071" t="str">
        <f>IF(ISBLANK(I3071), B3071+VLOOKUP(C3071, Lookups!$A$2:$D$10, 4, FALSE()), I3071)</f>
        <v>2026-12-14</v>
      </c>
      <c r="T3071">
        <f t="shared" si="285"/>
        <v>18</v>
      </c>
      <c r="U3071" t="str">
        <f t="shared" si="286"/>
        <v>On-Time</v>
      </c>
      <c r="V3071">
        <f t="shared" si="287"/>
        <v>0</v>
      </c>
    </row>
    <row r="3072" spans="1:22" x14ac:dyDescent="0.45">
      <c r="A3072" t="s">
        <v>3929</v>
      </c>
      <c r="B3072" t="s">
        <v>128</v>
      </c>
      <c r="C3072" t="s">
        <v>36</v>
      </c>
      <c r="D3072" t="s">
        <v>63</v>
      </c>
      <c r="E3072" t="s">
        <v>16</v>
      </c>
      <c r="F3072">
        <v>120</v>
      </c>
      <c r="G3072">
        <v>71062</v>
      </c>
      <c r="H3072">
        <v>8527440</v>
      </c>
      <c r="I3072" t="s">
        <v>337</v>
      </c>
      <c r="J3072" t="s">
        <v>840</v>
      </c>
      <c r="K3072">
        <v>120</v>
      </c>
      <c r="L3072">
        <v>0</v>
      </c>
      <c r="M3072" t="s">
        <v>115</v>
      </c>
      <c r="N3072" t="str">
        <f t="shared" si="282"/>
        <v>PO-103071</v>
      </c>
      <c r="O3072" t="str">
        <f t="shared" si="283"/>
        <v>Delivered</v>
      </c>
      <c r="P3072" t="str">
        <f t="shared" si="284"/>
        <v>WH-DEL</v>
      </c>
      <c r="Q3072" t="str">
        <f>VLOOKUP(C3072, Lookups!$A$2:$D$10, 2, FALSE())</f>
        <v>NextGen Hardware</v>
      </c>
      <c r="R3072" t="str">
        <f>_xlfn.XLOOKUP(D3072, Lookups!$A$12:$A$51, Lookups!$C$12:$C$51, "Unknown")</f>
        <v>Electronics</v>
      </c>
      <c r="S3072" t="str">
        <f>IF(ISBLANK(I3072), B3072+VLOOKUP(C3072, Lookups!$A$2:$D$10, 4, FALSE()), I3072)</f>
        <v>2026-03-12</v>
      </c>
      <c r="T3072">
        <f t="shared" si="285"/>
        <v>29</v>
      </c>
      <c r="U3072" t="str">
        <f t="shared" si="286"/>
        <v>Late</v>
      </c>
      <c r="V3072">
        <f t="shared" si="287"/>
        <v>0</v>
      </c>
    </row>
    <row r="3073" spans="1:22" x14ac:dyDescent="0.45">
      <c r="A3073" t="s">
        <v>3930</v>
      </c>
      <c r="B3073" t="s">
        <v>224</v>
      </c>
      <c r="C3073" t="s">
        <v>34</v>
      </c>
      <c r="D3073" t="s">
        <v>81</v>
      </c>
      <c r="E3073" t="s">
        <v>16</v>
      </c>
      <c r="F3073">
        <v>205</v>
      </c>
      <c r="G3073">
        <v>55328</v>
      </c>
      <c r="H3073">
        <v>11342240</v>
      </c>
      <c r="I3073" t="s">
        <v>225</v>
      </c>
      <c r="J3073" t="s">
        <v>225</v>
      </c>
      <c r="K3073">
        <v>174</v>
      </c>
      <c r="L3073">
        <v>0</v>
      </c>
      <c r="M3073" t="s">
        <v>115</v>
      </c>
      <c r="N3073" t="str">
        <f t="shared" si="282"/>
        <v>PO-103072</v>
      </c>
      <c r="O3073" t="str">
        <f t="shared" si="283"/>
        <v>Delivered</v>
      </c>
      <c r="P3073" t="str">
        <f t="shared" si="284"/>
        <v>WH-DEL</v>
      </c>
      <c r="Q3073" t="str">
        <f>VLOOKUP(C3073, Lookups!$A$2:$D$10, 2, FALSE())</f>
        <v>FastElectronics</v>
      </c>
      <c r="R3073" t="str">
        <f>_xlfn.XLOOKUP(D3073, Lookups!$A$12:$A$51, Lookups!$C$12:$C$51, "Unknown")</f>
        <v>Electronics</v>
      </c>
      <c r="S3073" t="str">
        <f>IF(ISBLANK(I3073), B3073+VLOOKUP(C3073, Lookups!$A$2:$D$10, 4, FALSE()), I3073)</f>
        <v>2026-07-31</v>
      </c>
      <c r="T3073">
        <f t="shared" si="285"/>
        <v>18</v>
      </c>
      <c r="U3073" t="str">
        <f t="shared" si="286"/>
        <v>On-Time</v>
      </c>
      <c r="V3073">
        <f t="shared" si="287"/>
        <v>0</v>
      </c>
    </row>
    <row r="3074" spans="1:22" x14ac:dyDescent="0.45">
      <c r="A3074" t="s">
        <v>3931</v>
      </c>
      <c r="B3074" t="s">
        <v>397</v>
      </c>
      <c r="C3074" t="s">
        <v>31</v>
      </c>
      <c r="D3074" t="s">
        <v>85</v>
      </c>
      <c r="E3074" t="s">
        <v>15</v>
      </c>
      <c r="F3074">
        <v>58</v>
      </c>
      <c r="G3074">
        <v>16501</v>
      </c>
      <c r="H3074">
        <v>957058</v>
      </c>
      <c r="I3074" t="s">
        <v>480</v>
      </c>
      <c r="J3074" t="s">
        <v>480</v>
      </c>
      <c r="K3074">
        <v>58</v>
      </c>
      <c r="L3074">
        <v>0</v>
      </c>
      <c r="M3074" t="s">
        <v>115</v>
      </c>
      <c r="N3074" t="str">
        <f t="shared" ref="N3074:N3137" si="288">TRIM(A3074)</f>
        <v>PO-103073</v>
      </c>
      <c r="O3074" t="str">
        <f t="shared" ref="O3074:O3137" si="289">PROPER(TRIM(M3074))</f>
        <v>Delivered</v>
      </c>
      <c r="P3074" t="str">
        <f t="shared" ref="P3074:P3137" si="290">TRIM(E3074)</f>
        <v>WH-BOM</v>
      </c>
      <c r="Q3074" t="str">
        <f>VLOOKUP(C3074, Lookups!$A$2:$D$10, 2, FALSE())</f>
        <v>Global Networks</v>
      </c>
      <c r="R3074" t="str">
        <f>_xlfn.XLOOKUP(D3074, Lookups!$A$12:$A$51, Lookups!$C$12:$C$51, "Unknown")</f>
        <v>Networking</v>
      </c>
      <c r="S3074" t="str">
        <f>IF(ISBLANK(I3074), B3074+VLOOKUP(C3074, Lookups!$A$2:$D$10, 4, FALSE()), I3074)</f>
        <v>2025-04-27</v>
      </c>
      <c r="T3074">
        <f t="shared" ref="T3074:T3137" si="291">IF(ISBLANK(J3074), "", J3074-B3074)</f>
        <v>21</v>
      </c>
      <c r="U3074" t="str">
        <f t="shared" ref="U3074:U3137" si="292">IF(O3074="Open", "Open", IF(J3074&gt;S3074, "Late", "On-Time"))</f>
        <v>On-Time</v>
      </c>
      <c r="V3074">
        <f t="shared" ref="V3074:V3137" si="293">IF(K3074&gt;0, L3074/K3074, 0)</f>
        <v>0</v>
      </c>
    </row>
    <row r="3075" spans="1:22" x14ac:dyDescent="0.45">
      <c r="A3075" t="s">
        <v>3932</v>
      </c>
      <c r="B3075" t="s">
        <v>271</v>
      </c>
      <c r="C3075" t="s">
        <v>31</v>
      </c>
      <c r="D3075" t="s">
        <v>85</v>
      </c>
      <c r="E3075" t="s">
        <v>15</v>
      </c>
      <c r="F3075">
        <v>88</v>
      </c>
      <c r="G3075">
        <v>16501</v>
      </c>
      <c r="H3075">
        <v>1452088</v>
      </c>
      <c r="I3075" t="s">
        <v>171</v>
      </c>
      <c r="J3075" t="s">
        <v>171</v>
      </c>
      <c r="K3075">
        <v>85</v>
      </c>
      <c r="L3075">
        <v>0</v>
      </c>
      <c r="M3075" t="s">
        <v>115</v>
      </c>
      <c r="N3075" t="str">
        <f t="shared" si="288"/>
        <v>PO-103074</v>
      </c>
      <c r="O3075" t="str">
        <f t="shared" si="289"/>
        <v>Delivered</v>
      </c>
      <c r="P3075" t="str">
        <f t="shared" si="290"/>
        <v>WH-BOM</v>
      </c>
      <c r="Q3075" t="str">
        <f>VLOOKUP(C3075, Lookups!$A$2:$D$10, 2, FALSE())</f>
        <v>Global Networks</v>
      </c>
      <c r="R3075" t="str">
        <f>_xlfn.XLOOKUP(D3075, Lookups!$A$12:$A$51, Lookups!$C$12:$C$51, "Unknown")</f>
        <v>Networking</v>
      </c>
      <c r="S3075" t="str">
        <f>IF(ISBLANK(I3075), B3075+VLOOKUP(C3075, Lookups!$A$2:$D$10, 4, FALSE()), I3075)</f>
        <v>2025-08-16</v>
      </c>
      <c r="T3075">
        <f t="shared" si="291"/>
        <v>21</v>
      </c>
      <c r="U3075" t="str">
        <f t="shared" si="292"/>
        <v>On-Time</v>
      </c>
      <c r="V3075">
        <f t="shared" si="293"/>
        <v>0</v>
      </c>
    </row>
    <row r="3076" spans="1:22" x14ac:dyDescent="0.45">
      <c r="A3076" t="s">
        <v>3933</v>
      </c>
      <c r="B3076" t="s">
        <v>1104</v>
      </c>
      <c r="C3076" t="s">
        <v>37</v>
      </c>
      <c r="D3076" t="s">
        <v>69</v>
      </c>
      <c r="E3076" t="s">
        <v>15</v>
      </c>
      <c r="F3076">
        <v>177</v>
      </c>
      <c r="G3076">
        <v>13231</v>
      </c>
      <c r="H3076">
        <v>2341887</v>
      </c>
      <c r="I3076" t="s">
        <v>933</v>
      </c>
      <c r="J3076" t="s">
        <v>875</v>
      </c>
      <c r="K3076">
        <v>177</v>
      </c>
      <c r="L3076">
        <v>0</v>
      </c>
      <c r="M3076" t="s">
        <v>115</v>
      </c>
      <c r="N3076" t="str">
        <f t="shared" si="288"/>
        <v>PO-103075</v>
      </c>
      <c r="O3076" t="str">
        <f t="shared" si="289"/>
        <v>Delivered</v>
      </c>
      <c r="P3076" t="str">
        <f t="shared" si="290"/>
        <v>WH-BOM</v>
      </c>
      <c r="Q3076" t="str">
        <f>VLOOKUP(C3076, Lookups!$A$2:$D$10, 2, FALSE())</f>
        <v>Premium Desks Ltd</v>
      </c>
      <c r="R3076" t="str">
        <f>_xlfn.XLOOKUP(D3076, Lookups!$A$12:$A$51, Lookups!$C$12:$C$51, "Unknown")</f>
        <v>Office Furniture</v>
      </c>
      <c r="S3076" t="str">
        <f>IF(ISBLANK(I3076), B3076+VLOOKUP(C3076, Lookups!$A$2:$D$10, 4, FALSE()), I3076)</f>
        <v>2025-09-05</v>
      </c>
      <c r="T3076">
        <f t="shared" si="291"/>
        <v>18</v>
      </c>
      <c r="U3076" t="str">
        <f t="shared" si="292"/>
        <v>Late</v>
      </c>
      <c r="V3076">
        <f t="shared" si="293"/>
        <v>0</v>
      </c>
    </row>
    <row r="3077" spans="1:22" x14ac:dyDescent="0.45">
      <c r="A3077" t="s">
        <v>3934</v>
      </c>
      <c r="B3077" t="s">
        <v>229</v>
      </c>
      <c r="C3077" t="s">
        <v>30</v>
      </c>
      <c r="D3077" t="s">
        <v>82</v>
      </c>
      <c r="E3077" t="s">
        <v>16</v>
      </c>
      <c r="F3077">
        <v>153</v>
      </c>
      <c r="G3077">
        <v>83427</v>
      </c>
      <c r="H3077">
        <v>12764331</v>
      </c>
      <c r="I3077" t="s">
        <v>1326</v>
      </c>
      <c r="J3077" t="s">
        <v>533</v>
      </c>
      <c r="K3077">
        <v>153</v>
      </c>
      <c r="L3077">
        <v>0</v>
      </c>
      <c r="M3077" t="s">
        <v>115</v>
      </c>
      <c r="N3077" t="str">
        <f t="shared" si="288"/>
        <v>PO-103076</v>
      </c>
      <c r="O3077" t="str">
        <f t="shared" si="289"/>
        <v>Delivered</v>
      </c>
      <c r="P3077" t="str">
        <f t="shared" si="290"/>
        <v>WH-DEL</v>
      </c>
      <c r="Q3077" t="str">
        <f>VLOOKUP(C3077, Lookups!$A$2:$D$10, 2, FALSE())</f>
        <v>TechSupply Corp</v>
      </c>
      <c r="R3077" t="str">
        <f>_xlfn.XLOOKUP(D3077, Lookups!$A$12:$A$51, Lookups!$C$12:$C$51, "Unknown")</f>
        <v>Electronics</v>
      </c>
      <c r="S3077" t="str">
        <f>IF(ISBLANK(I3077), B3077+VLOOKUP(C3077, Lookups!$A$2:$D$10, 4, FALSE()), I3077)</f>
        <v>2025-07-23</v>
      </c>
      <c r="T3077">
        <f t="shared" si="291"/>
        <v>15</v>
      </c>
      <c r="U3077" t="str">
        <f t="shared" si="292"/>
        <v>Late</v>
      </c>
      <c r="V3077">
        <f t="shared" si="293"/>
        <v>0</v>
      </c>
    </row>
    <row r="3078" spans="1:22" x14ac:dyDescent="0.45">
      <c r="A3078" t="s">
        <v>3935</v>
      </c>
      <c r="B3078" t="s">
        <v>236</v>
      </c>
      <c r="C3078" t="s">
        <v>30</v>
      </c>
      <c r="D3078" t="s">
        <v>82</v>
      </c>
      <c r="E3078" t="s">
        <v>16</v>
      </c>
      <c r="F3078">
        <v>237</v>
      </c>
      <c r="G3078">
        <v>83427</v>
      </c>
      <c r="H3078">
        <v>19772199</v>
      </c>
      <c r="I3078" t="s">
        <v>875</v>
      </c>
      <c r="J3078" t="s">
        <v>784</v>
      </c>
      <c r="K3078">
        <v>237</v>
      </c>
      <c r="L3078">
        <v>0</v>
      </c>
      <c r="M3078" t="s">
        <v>115</v>
      </c>
      <c r="N3078" t="str">
        <f t="shared" si="288"/>
        <v>PO-103077</v>
      </c>
      <c r="O3078" t="str">
        <f t="shared" si="289"/>
        <v>Delivered</v>
      </c>
      <c r="P3078" t="str">
        <f t="shared" si="290"/>
        <v>WH-DEL</v>
      </c>
      <c r="Q3078" t="str">
        <f>VLOOKUP(C3078, Lookups!$A$2:$D$10, 2, FALSE())</f>
        <v>TechSupply Corp</v>
      </c>
      <c r="R3078" t="str">
        <f>_xlfn.XLOOKUP(D3078, Lookups!$A$12:$A$51, Lookups!$C$12:$C$51, "Unknown")</f>
        <v>Electronics</v>
      </c>
      <c r="S3078" t="str">
        <f>IF(ISBLANK(I3078), B3078+VLOOKUP(C3078, Lookups!$A$2:$D$10, 4, FALSE()), I3078)</f>
        <v>2025-09-11</v>
      </c>
      <c r="T3078">
        <f t="shared" si="291"/>
        <v>15</v>
      </c>
      <c r="U3078" t="str">
        <f t="shared" si="292"/>
        <v>Late</v>
      </c>
      <c r="V3078">
        <f t="shared" si="293"/>
        <v>0</v>
      </c>
    </row>
    <row r="3079" spans="1:22" x14ac:dyDescent="0.45">
      <c r="A3079" t="s">
        <v>3936</v>
      </c>
      <c r="B3079" t="s">
        <v>571</v>
      </c>
      <c r="C3079" t="s">
        <v>36</v>
      </c>
      <c r="D3079" t="s">
        <v>87</v>
      </c>
      <c r="E3079" t="s">
        <v>15</v>
      </c>
      <c r="F3079">
        <v>103</v>
      </c>
      <c r="G3079">
        <v>82930</v>
      </c>
      <c r="H3079">
        <v>8541790</v>
      </c>
      <c r="I3079" t="s">
        <v>1106</v>
      </c>
      <c r="J3079" t="s">
        <v>1106</v>
      </c>
      <c r="K3079">
        <v>103</v>
      </c>
      <c r="L3079">
        <v>0</v>
      </c>
      <c r="M3079" t="s">
        <v>115</v>
      </c>
      <c r="N3079" t="str">
        <f t="shared" si="288"/>
        <v>PO-103078</v>
      </c>
      <c r="O3079" t="str">
        <f t="shared" si="289"/>
        <v>Delivered</v>
      </c>
      <c r="P3079" t="str">
        <f t="shared" si="290"/>
        <v>WH-BOM</v>
      </c>
      <c r="Q3079" t="str">
        <f>VLOOKUP(C3079, Lookups!$A$2:$D$10, 2, FALSE())</f>
        <v>NextGen Hardware</v>
      </c>
      <c r="R3079" t="str">
        <f>_xlfn.XLOOKUP(D3079, Lookups!$A$12:$A$51, Lookups!$C$12:$C$51, "Unknown")</f>
        <v>Electronics</v>
      </c>
      <c r="S3079" t="str">
        <f>IF(ISBLANK(I3079), B3079+VLOOKUP(C3079, Lookups!$A$2:$D$10, 4, FALSE()), I3079)</f>
        <v>2025-05-10</v>
      </c>
      <c r="T3079">
        <f t="shared" si="291"/>
        <v>24</v>
      </c>
      <c r="U3079" t="str">
        <f t="shared" si="292"/>
        <v>On-Time</v>
      </c>
      <c r="V3079">
        <f t="shared" si="293"/>
        <v>0</v>
      </c>
    </row>
    <row r="3080" spans="1:22" x14ac:dyDescent="0.45">
      <c r="A3080" t="s">
        <v>3937</v>
      </c>
      <c r="B3080" t="s">
        <v>745</v>
      </c>
      <c r="C3080" t="s">
        <v>32</v>
      </c>
      <c r="D3080" t="s">
        <v>84</v>
      </c>
      <c r="E3080" t="s">
        <v>16</v>
      </c>
      <c r="F3080">
        <v>18</v>
      </c>
      <c r="G3080">
        <v>7271</v>
      </c>
      <c r="H3080">
        <v>130878</v>
      </c>
      <c r="K3080">
        <v>0</v>
      </c>
      <c r="L3080">
        <v>0</v>
      </c>
      <c r="M3080" t="s">
        <v>297</v>
      </c>
      <c r="N3080" t="str">
        <f t="shared" si="288"/>
        <v>PO-103079</v>
      </c>
      <c r="O3080" t="str">
        <f t="shared" si="289"/>
        <v>Open</v>
      </c>
      <c r="P3080" t="str">
        <f t="shared" si="290"/>
        <v>WH-DEL</v>
      </c>
      <c r="Q3080" t="str">
        <f>VLOOKUP(C3080, Lookups!$A$2:$D$10, 2, FALSE())</f>
        <v>OfficeDepot Pro</v>
      </c>
      <c r="R3080" t="str">
        <f>_xlfn.XLOOKUP(D3080, Lookups!$A$12:$A$51, Lookups!$C$12:$C$51, "Unknown")</f>
        <v>Peripherals</v>
      </c>
      <c r="S3080">
        <f>IF(ISBLANK(I3080), B3080+VLOOKUP(C3080, Lookups!$A$2:$D$10, 4, FALSE()), I3080)</f>
        <v>46369</v>
      </c>
      <c r="T3080" t="str">
        <f t="shared" si="291"/>
        <v/>
      </c>
      <c r="U3080" t="str">
        <f t="shared" si="292"/>
        <v>Open</v>
      </c>
      <c r="V3080">
        <f t="shared" si="293"/>
        <v>0</v>
      </c>
    </row>
    <row r="3081" spans="1:22" x14ac:dyDescent="0.45">
      <c r="A3081" t="s">
        <v>3938</v>
      </c>
      <c r="B3081" t="s">
        <v>1048</v>
      </c>
      <c r="C3081" t="s">
        <v>31</v>
      </c>
      <c r="D3081" t="s">
        <v>56</v>
      </c>
      <c r="E3081" t="s">
        <v>18</v>
      </c>
      <c r="F3081">
        <v>23</v>
      </c>
      <c r="G3081">
        <v>39270</v>
      </c>
      <c r="H3081">
        <v>903210</v>
      </c>
      <c r="I3081" t="s">
        <v>1173</v>
      </c>
      <c r="J3081" t="s">
        <v>1173</v>
      </c>
      <c r="K3081">
        <v>23</v>
      </c>
      <c r="L3081">
        <v>3</v>
      </c>
      <c r="M3081" t="s">
        <v>115</v>
      </c>
      <c r="N3081" t="str">
        <f t="shared" si="288"/>
        <v>PO-103080</v>
      </c>
      <c r="O3081" t="str">
        <f t="shared" si="289"/>
        <v>Delivered</v>
      </c>
      <c r="P3081" t="str">
        <f t="shared" si="290"/>
        <v>WH-PUN</v>
      </c>
      <c r="Q3081" t="str">
        <f>VLOOKUP(C3081, Lookups!$A$2:$D$10, 2, FALSE())</f>
        <v>Global Networks</v>
      </c>
      <c r="R3081" t="str">
        <f>_xlfn.XLOOKUP(D3081, Lookups!$A$12:$A$51, Lookups!$C$12:$C$51, "Unknown")</f>
        <v>Networking</v>
      </c>
      <c r="S3081" t="str">
        <f>IF(ISBLANK(I3081), B3081+VLOOKUP(C3081, Lookups!$A$2:$D$10, 4, FALSE()), I3081)</f>
        <v>2026-06-04</v>
      </c>
      <c r="T3081">
        <f t="shared" si="291"/>
        <v>21</v>
      </c>
      <c r="U3081" t="str">
        <f t="shared" si="292"/>
        <v>On-Time</v>
      </c>
      <c r="V3081">
        <f t="shared" si="293"/>
        <v>0.13043478260869565</v>
      </c>
    </row>
    <row r="3082" spans="1:22" x14ac:dyDescent="0.45">
      <c r="A3082" t="s">
        <v>3939</v>
      </c>
      <c r="B3082" t="s">
        <v>573</v>
      </c>
      <c r="C3082" t="s">
        <v>31</v>
      </c>
      <c r="D3082" t="s">
        <v>85</v>
      </c>
      <c r="E3082" t="s">
        <v>18</v>
      </c>
      <c r="F3082">
        <v>113</v>
      </c>
      <c r="G3082">
        <v>16501</v>
      </c>
      <c r="H3082">
        <v>1864613</v>
      </c>
      <c r="I3082" t="s">
        <v>1501</v>
      </c>
      <c r="J3082" t="s">
        <v>374</v>
      </c>
      <c r="K3082">
        <v>113</v>
      </c>
      <c r="L3082">
        <v>0</v>
      </c>
      <c r="M3082" t="s">
        <v>115</v>
      </c>
      <c r="N3082" t="str">
        <f t="shared" si="288"/>
        <v>PO-103081</v>
      </c>
      <c r="O3082" t="str">
        <f t="shared" si="289"/>
        <v>Delivered</v>
      </c>
      <c r="P3082" t="str">
        <f t="shared" si="290"/>
        <v>WH-PUN</v>
      </c>
      <c r="Q3082" t="str">
        <f>VLOOKUP(C3082, Lookups!$A$2:$D$10, 2, FALSE())</f>
        <v>Global Networks</v>
      </c>
      <c r="R3082" t="str">
        <f>_xlfn.XLOOKUP(D3082, Lookups!$A$12:$A$51, Lookups!$C$12:$C$51, "Unknown")</f>
        <v>Networking</v>
      </c>
      <c r="S3082" t="str">
        <f>IF(ISBLANK(I3082), B3082+VLOOKUP(C3082, Lookups!$A$2:$D$10, 4, FALSE()), I3082)</f>
        <v>2026-05-21</v>
      </c>
      <c r="T3082">
        <f t="shared" si="291"/>
        <v>31</v>
      </c>
      <c r="U3082" t="str">
        <f t="shared" si="292"/>
        <v>Late</v>
      </c>
      <c r="V3082">
        <f t="shared" si="293"/>
        <v>0</v>
      </c>
    </row>
    <row r="3083" spans="1:22" x14ac:dyDescent="0.45">
      <c r="A3083" t="s">
        <v>3940</v>
      </c>
      <c r="B3083" t="s">
        <v>965</v>
      </c>
      <c r="C3083" t="s">
        <v>30</v>
      </c>
      <c r="D3083" t="s">
        <v>82</v>
      </c>
      <c r="E3083" t="s">
        <v>16</v>
      </c>
      <c r="F3083">
        <v>115</v>
      </c>
      <c r="G3083">
        <v>83427</v>
      </c>
      <c r="H3083">
        <v>9594105</v>
      </c>
      <c r="I3083" t="s">
        <v>607</v>
      </c>
      <c r="J3083" t="s">
        <v>1051</v>
      </c>
      <c r="K3083">
        <v>115</v>
      </c>
      <c r="L3083">
        <v>11</v>
      </c>
      <c r="M3083" t="s">
        <v>115</v>
      </c>
      <c r="N3083" t="str">
        <f t="shared" si="288"/>
        <v>PO-103082</v>
      </c>
      <c r="O3083" t="str">
        <f t="shared" si="289"/>
        <v>Delivered</v>
      </c>
      <c r="P3083" t="str">
        <f t="shared" si="290"/>
        <v>WH-DEL</v>
      </c>
      <c r="Q3083" t="str">
        <f>VLOOKUP(C3083, Lookups!$A$2:$D$10, 2, FALSE())</f>
        <v>TechSupply Corp</v>
      </c>
      <c r="R3083" t="str">
        <f>_xlfn.XLOOKUP(D3083, Lookups!$A$12:$A$51, Lookups!$C$12:$C$51, "Unknown")</f>
        <v>Electronics</v>
      </c>
      <c r="S3083" t="str">
        <f>IF(ISBLANK(I3083), B3083+VLOOKUP(C3083, Lookups!$A$2:$D$10, 4, FALSE()), I3083)</f>
        <v>2025-01-29</v>
      </c>
      <c r="T3083">
        <f t="shared" si="291"/>
        <v>15</v>
      </c>
      <c r="U3083" t="str">
        <f t="shared" si="292"/>
        <v>Late</v>
      </c>
      <c r="V3083">
        <f t="shared" si="293"/>
        <v>9.5652173913043481E-2</v>
      </c>
    </row>
    <row r="3084" spans="1:22" x14ac:dyDescent="0.45">
      <c r="A3084" t="s">
        <v>3941</v>
      </c>
      <c r="B3084" t="s">
        <v>801</v>
      </c>
      <c r="C3084" t="s">
        <v>30</v>
      </c>
      <c r="D3084" t="s">
        <v>53</v>
      </c>
      <c r="E3084" t="s">
        <v>16</v>
      </c>
      <c r="F3084">
        <v>160</v>
      </c>
      <c r="G3084">
        <v>81048</v>
      </c>
      <c r="H3084">
        <v>12967680</v>
      </c>
      <c r="K3084">
        <v>0</v>
      </c>
      <c r="L3084">
        <v>0</v>
      </c>
      <c r="M3084" t="s">
        <v>297</v>
      </c>
      <c r="N3084" t="str">
        <f t="shared" si="288"/>
        <v>PO-103083</v>
      </c>
      <c r="O3084" t="str">
        <f t="shared" si="289"/>
        <v>Open</v>
      </c>
      <c r="P3084" t="str">
        <f t="shared" si="290"/>
        <v>WH-DEL</v>
      </c>
      <c r="Q3084" t="str">
        <f>VLOOKUP(C3084, Lookups!$A$2:$D$10, 2, FALSE())</f>
        <v>TechSupply Corp</v>
      </c>
      <c r="R3084" t="str">
        <f>_xlfn.XLOOKUP(D3084, Lookups!$A$12:$A$51, Lookups!$C$12:$C$51, "Unknown")</f>
        <v>Electronics</v>
      </c>
      <c r="S3084">
        <f>IF(ISBLANK(I3084), B3084+VLOOKUP(C3084, Lookups!$A$2:$D$10, 4, FALSE()), I3084)</f>
        <v>46383</v>
      </c>
      <c r="T3084" t="str">
        <f t="shared" si="291"/>
        <v/>
      </c>
      <c r="U3084" t="str">
        <f t="shared" si="292"/>
        <v>Open</v>
      </c>
      <c r="V3084">
        <f t="shared" si="293"/>
        <v>0</v>
      </c>
    </row>
    <row r="3085" spans="1:22" x14ac:dyDescent="0.45">
      <c r="A3085" t="s">
        <v>3942</v>
      </c>
      <c r="B3085" t="s">
        <v>214</v>
      </c>
      <c r="C3085" t="s">
        <v>31</v>
      </c>
      <c r="D3085" t="s">
        <v>85</v>
      </c>
      <c r="E3085" t="s">
        <v>16</v>
      </c>
      <c r="F3085">
        <v>123</v>
      </c>
      <c r="G3085">
        <v>16501</v>
      </c>
      <c r="H3085">
        <v>2029623</v>
      </c>
      <c r="I3085" t="s">
        <v>760</v>
      </c>
      <c r="J3085" t="s">
        <v>760</v>
      </c>
      <c r="K3085">
        <v>123</v>
      </c>
      <c r="L3085">
        <v>0</v>
      </c>
      <c r="M3085" t="s">
        <v>115</v>
      </c>
      <c r="N3085" t="str">
        <f t="shared" si="288"/>
        <v>PO-103084</v>
      </c>
      <c r="O3085" t="str">
        <f t="shared" si="289"/>
        <v>Delivered</v>
      </c>
      <c r="P3085" t="str">
        <f t="shared" si="290"/>
        <v>WH-DEL</v>
      </c>
      <c r="Q3085" t="str">
        <f>VLOOKUP(C3085, Lookups!$A$2:$D$10, 2, FALSE())</f>
        <v>Global Networks</v>
      </c>
      <c r="R3085" t="str">
        <f>_xlfn.XLOOKUP(D3085, Lookups!$A$12:$A$51, Lookups!$C$12:$C$51, "Unknown")</f>
        <v>Networking</v>
      </c>
      <c r="S3085" t="str">
        <f>IF(ISBLANK(I3085), B3085+VLOOKUP(C3085, Lookups!$A$2:$D$10, 4, FALSE()), I3085)</f>
        <v>2025-07-18</v>
      </c>
      <c r="T3085">
        <f t="shared" si="291"/>
        <v>21</v>
      </c>
      <c r="U3085" t="str">
        <f t="shared" si="292"/>
        <v>On-Time</v>
      </c>
      <c r="V3085">
        <f t="shared" si="293"/>
        <v>0</v>
      </c>
    </row>
    <row r="3086" spans="1:22" x14ac:dyDescent="0.45">
      <c r="A3086" t="s">
        <v>3943</v>
      </c>
      <c r="B3086" t="s">
        <v>980</v>
      </c>
      <c r="C3086" t="s">
        <v>30</v>
      </c>
      <c r="D3086" t="s">
        <v>88</v>
      </c>
      <c r="E3086" t="s">
        <v>16</v>
      </c>
      <c r="F3086">
        <v>203</v>
      </c>
      <c r="G3086">
        <v>75512</v>
      </c>
      <c r="H3086">
        <v>15328936</v>
      </c>
      <c r="I3086" t="s">
        <v>281</v>
      </c>
      <c r="J3086" t="s">
        <v>281</v>
      </c>
      <c r="K3086">
        <v>203</v>
      </c>
      <c r="L3086">
        <v>0</v>
      </c>
      <c r="M3086" t="s">
        <v>115</v>
      </c>
      <c r="N3086" t="str">
        <f t="shared" si="288"/>
        <v>PO-103085</v>
      </c>
      <c r="O3086" t="str">
        <f t="shared" si="289"/>
        <v>Delivered</v>
      </c>
      <c r="P3086" t="str">
        <f t="shared" si="290"/>
        <v>WH-DEL</v>
      </c>
      <c r="Q3086" t="str">
        <f>VLOOKUP(C3086, Lookups!$A$2:$D$10, 2, FALSE())</f>
        <v>TechSupply Corp</v>
      </c>
      <c r="R3086" t="str">
        <f>_xlfn.XLOOKUP(D3086, Lookups!$A$12:$A$51, Lookups!$C$12:$C$51, "Unknown")</f>
        <v>Electronics</v>
      </c>
      <c r="S3086" t="str">
        <f>IF(ISBLANK(I3086), B3086+VLOOKUP(C3086, Lookups!$A$2:$D$10, 4, FALSE()), I3086)</f>
        <v>2026-10-26</v>
      </c>
      <c r="T3086">
        <f t="shared" si="291"/>
        <v>14</v>
      </c>
      <c r="U3086" t="str">
        <f t="shared" si="292"/>
        <v>On-Time</v>
      </c>
      <c r="V3086">
        <f t="shared" si="293"/>
        <v>0</v>
      </c>
    </row>
    <row r="3087" spans="1:22" x14ac:dyDescent="0.45">
      <c r="A3087" t="s">
        <v>3944</v>
      </c>
      <c r="B3087" t="s">
        <v>323</v>
      </c>
      <c r="C3087" t="s">
        <v>31</v>
      </c>
      <c r="D3087" t="s">
        <v>85</v>
      </c>
      <c r="E3087" t="s">
        <v>15</v>
      </c>
      <c r="F3087">
        <v>80</v>
      </c>
      <c r="G3087">
        <v>16501</v>
      </c>
      <c r="H3087">
        <v>1320080</v>
      </c>
      <c r="I3087" t="s">
        <v>1058</v>
      </c>
      <c r="J3087" t="s">
        <v>1002</v>
      </c>
      <c r="K3087">
        <v>80</v>
      </c>
      <c r="L3087">
        <v>0</v>
      </c>
      <c r="M3087" t="s">
        <v>115</v>
      </c>
      <c r="N3087" t="str">
        <f t="shared" si="288"/>
        <v>PO-103086</v>
      </c>
      <c r="O3087" t="str">
        <f t="shared" si="289"/>
        <v>Delivered</v>
      </c>
      <c r="P3087" t="str">
        <f t="shared" si="290"/>
        <v>WH-BOM</v>
      </c>
      <c r="Q3087" t="str">
        <f>VLOOKUP(C3087, Lookups!$A$2:$D$10, 2, FALSE())</f>
        <v>Global Networks</v>
      </c>
      <c r="R3087" t="str">
        <f>_xlfn.XLOOKUP(D3087, Lookups!$A$12:$A$51, Lookups!$C$12:$C$51, "Unknown")</f>
        <v>Networking</v>
      </c>
      <c r="S3087" t="str">
        <f>IF(ISBLANK(I3087), B3087+VLOOKUP(C3087, Lookups!$A$2:$D$10, 4, FALSE()), I3087)</f>
        <v>2026-04-25</v>
      </c>
      <c r="T3087">
        <f t="shared" si="291"/>
        <v>22</v>
      </c>
      <c r="U3087" t="str">
        <f t="shared" si="292"/>
        <v>Late</v>
      </c>
      <c r="V3087">
        <f t="shared" si="293"/>
        <v>0</v>
      </c>
    </row>
    <row r="3088" spans="1:22" x14ac:dyDescent="0.45">
      <c r="A3088" t="s">
        <v>3945</v>
      </c>
      <c r="B3088" t="s">
        <v>316</v>
      </c>
      <c r="C3088" t="s">
        <v>33</v>
      </c>
      <c r="D3088" t="s">
        <v>89</v>
      </c>
      <c r="E3088" t="s">
        <v>16</v>
      </c>
      <c r="F3088">
        <v>72</v>
      </c>
      <c r="G3088">
        <v>11309</v>
      </c>
      <c r="H3088">
        <v>814248</v>
      </c>
      <c r="I3088" t="s">
        <v>540</v>
      </c>
      <c r="J3088" t="s">
        <v>540</v>
      </c>
      <c r="K3088">
        <v>46</v>
      </c>
      <c r="L3088">
        <v>0</v>
      </c>
      <c r="M3088" t="s">
        <v>115</v>
      </c>
      <c r="N3088" t="str">
        <f t="shared" si="288"/>
        <v>PO-103087</v>
      </c>
      <c r="O3088" t="str">
        <f t="shared" si="289"/>
        <v>Delivered</v>
      </c>
      <c r="P3088" t="str">
        <f t="shared" si="290"/>
        <v>WH-DEL</v>
      </c>
      <c r="Q3088" t="str">
        <f>VLOOKUP(C3088, Lookups!$A$2:$D$10, 2, FALSE())</f>
        <v>MegaFurnish</v>
      </c>
      <c r="R3088" t="str">
        <f>_xlfn.XLOOKUP(D3088, Lookups!$A$12:$A$51, Lookups!$C$12:$C$51, "Unknown")</f>
        <v>Office Furniture</v>
      </c>
      <c r="S3088" t="str">
        <f>IF(ISBLANK(I3088), B3088+VLOOKUP(C3088, Lookups!$A$2:$D$10, 4, FALSE()), I3088)</f>
        <v>2026-04-07</v>
      </c>
      <c r="T3088">
        <f t="shared" si="291"/>
        <v>30</v>
      </c>
      <c r="U3088" t="str">
        <f t="shared" si="292"/>
        <v>On-Time</v>
      </c>
      <c r="V3088">
        <f t="shared" si="293"/>
        <v>0</v>
      </c>
    </row>
    <row r="3089" spans="1:22" x14ac:dyDescent="0.45">
      <c r="A3089" t="s">
        <v>3946</v>
      </c>
      <c r="B3089" t="s">
        <v>703</v>
      </c>
      <c r="C3089" t="s">
        <v>37</v>
      </c>
      <c r="D3089" t="s">
        <v>78</v>
      </c>
      <c r="E3089" t="s">
        <v>15</v>
      </c>
      <c r="F3089">
        <v>230</v>
      </c>
      <c r="G3089">
        <v>9423</v>
      </c>
      <c r="H3089">
        <v>2167290</v>
      </c>
      <c r="I3089" t="s">
        <v>907</v>
      </c>
      <c r="J3089" t="s">
        <v>288</v>
      </c>
      <c r="K3089">
        <v>230</v>
      </c>
      <c r="L3089">
        <v>0</v>
      </c>
      <c r="M3089" t="s">
        <v>115</v>
      </c>
      <c r="N3089" t="str">
        <f t="shared" si="288"/>
        <v>PO-103088</v>
      </c>
      <c r="O3089" t="str">
        <f t="shared" si="289"/>
        <v>Delivered</v>
      </c>
      <c r="P3089" t="str">
        <f t="shared" si="290"/>
        <v>WH-BOM</v>
      </c>
      <c r="Q3089" t="str">
        <f>VLOOKUP(C3089, Lookups!$A$2:$D$10, 2, FALSE())</f>
        <v>Premium Desks Ltd</v>
      </c>
      <c r="R3089" t="str">
        <f>_xlfn.XLOOKUP(D3089, Lookups!$A$12:$A$51, Lookups!$C$12:$C$51, "Unknown")</f>
        <v>Office Furniture</v>
      </c>
      <c r="S3089" t="str">
        <f>IF(ISBLANK(I3089), B3089+VLOOKUP(C3089, Lookups!$A$2:$D$10, 4, FALSE()), I3089)</f>
        <v>2026-06-20</v>
      </c>
      <c r="T3089">
        <f t="shared" si="291"/>
        <v>13</v>
      </c>
      <c r="U3089" t="str">
        <f t="shared" si="292"/>
        <v>Late</v>
      </c>
      <c r="V3089">
        <f t="shared" si="293"/>
        <v>0</v>
      </c>
    </row>
    <row r="3090" spans="1:22" x14ac:dyDescent="0.45">
      <c r="A3090" t="s">
        <v>3947</v>
      </c>
      <c r="B3090" t="s">
        <v>162</v>
      </c>
      <c r="C3090" t="s">
        <v>31</v>
      </c>
      <c r="D3090" t="s">
        <v>66</v>
      </c>
      <c r="E3090" t="s">
        <v>15</v>
      </c>
      <c r="F3090">
        <v>219</v>
      </c>
      <c r="G3090">
        <v>29719</v>
      </c>
      <c r="H3090">
        <v>6508461</v>
      </c>
      <c r="I3090" t="s">
        <v>1133</v>
      </c>
      <c r="J3090" t="s">
        <v>242</v>
      </c>
      <c r="K3090">
        <v>219</v>
      </c>
      <c r="L3090">
        <v>18</v>
      </c>
      <c r="M3090" t="s">
        <v>115</v>
      </c>
      <c r="N3090" t="str">
        <f t="shared" si="288"/>
        <v>PO-103089</v>
      </c>
      <c r="O3090" t="str">
        <f t="shared" si="289"/>
        <v>Delivered</v>
      </c>
      <c r="P3090" t="str">
        <f t="shared" si="290"/>
        <v>WH-BOM</v>
      </c>
      <c r="Q3090" t="str">
        <f>VLOOKUP(C3090, Lookups!$A$2:$D$10, 2, FALSE())</f>
        <v>Global Networks</v>
      </c>
      <c r="R3090" t="str">
        <f>_xlfn.XLOOKUP(D3090, Lookups!$A$12:$A$51, Lookups!$C$12:$C$51, "Unknown")</f>
        <v>Networking</v>
      </c>
      <c r="S3090" t="str">
        <f>IF(ISBLANK(I3090), B3090+VLOOKUP(C3090, Lookups!$A$2:$D$10, 4, FALSE()), I3090)</f>
        <v>2025-07-04</v>
      </c>
      <c r="T3090">
        <f t="shared" si="291"/>
        <v>22</v>
      </c>
      <c r="U3090" t="str">
        <f t="shared" si="292"/>
        <v>Late</v>
      </c>
      <c r="V3090">
        <f t="shared" si="293"/>
        <v>8.2191780821917804E-2</v>
      </c>
    </row>
    <row r="3091" spans="1:22" x14ac:dyDescent="0.45">
      <c r="A3091" t="s">
        <v>3948</v>
      </c>
      <c r="B3091" t="s">
        <v>1416</v>
      </c>
      <c r="C3091" t="s">
        <v>37</v>
      </c>
      <c r="D3091" t="s">
        <v>83</v>
      </c>
      <c r="E3091" t="s">
        <v>15</v>
      </c>
      <c r="F3091">
        <v>31</v>
      </c>
      <c r="G3091">
        <v>19850</v>
      </c>
      <c r="H3091">
        <v>615350</v>
      </c>
      <c r="I3091" t="s">
        <v>718</v>
      </c>
      <c r="J3091" t="s">
        <v>718</v>
      </c>
      <c r="K3091">
        <v>31</v>
      </c>
      <c r="L3091">
        <v>0</v>
      </c>
      <c r="M3091" t="s">
        <v>115</v>
      </c>
      <c r="N3091" t="str">
        <f t="shared" si="288"/>
        <v>PO-103090</v>
      </c>
      <c r="O3091" t="str">
        <f t="shared" si="289"/>
        <v>Delivered</v>
      </c>
      <c r="P3091" t="str">
        <f t="shared" si="290"/>
        <v>WH-BOM</v>
      </c>
      <c r="Q3091" t="str">
        <f>VLOOKUP(C3091, Lookups!$A$2:$D$10, 2, FALSE())</f>
        <v>Premium Desks Ltd</v>
      </c>
      <c r="R3091" t="str">
        <f>_xlfn.XLOOKUP(D3091, Lookups!$A$12:$A$51, Lookups!$C$12:$C$51, "Unknown")</f>
        <v>Office Furniture</v>
      </c>
      <c r="S3091" t="str">
        <f>IF(ISBLANK(I3091), B3091+VLOOKUP(C3091, Lookups!$A$2:$D$10, 4, FALSE()), I3091)</f>
        <v>2026-02-11</v>
      </c>
      <c r="T3091">
        <f t="shared" si="291"/>
        <v>12</v>
      </c>
      <c r="U3091" t="str">
        <f t="shared" si="292"/>
        <v>On-Time</v>
      </c>
      <c r="V3091">
        <f t="shared" si="293"/>
        <v>0</v>
      </c>
    </row>
    <row r="3092" spans="1:22" x14ac:dyDescent="0.45">
      <c r="A3092" t="s">
        <v>3949</v>
      </c>
      <c r="B3092" t="s">
        <v>1208</v>
      </c>
      <c r="C3092" t="s">
        <v>34</v>
      </c>
      <c r="D3092" t="s">
        <v>68</v>
      </c>
      <c r="E3092" t="s">
        <v>17</v>
      </c>
      <c r="F3092">
        <v>122</v>
      </c>
      <c r="G3092">
        <v>41405</v>
      </c>
      <c r="H3092">
        <v>5051410</v>
      </c>
      <c r="I3092" t="s">
        <v>257</v>
      </c>
      <c r="J3092" t="s">
        <v>437</v>
      </c>
      <c r="K3092">
        <v>122</v>
      </c>
      <c r="L3092">
        <v>0</v>
      </c>
      <c r="M3092" t="s">
        <v>115</v>
      </c>
      <c r="N3092" t="str">
        <f t="shared" si="288"/>
        <v>PO-103091</v>
      </c>
      <c r="O3092" t="str">
        <f t="shared" si="289"/>
        <v>Delivered</v>
      </c>
      <c r="P3092" t="str">
        <f t="shared" si="290"/>
        <v>WH-BLR</v>
      </c>
      <c r="Q3092" t="str">
        <f>VLOOKUP(C3092, Lookups!$A$2:$D$10, 2, FALSE())</f>
        <v>FastElectronics</v>
      </c>
      <c r="R3092" t="str">
        <f>_xlfn.XLOOKUP(D3092, Lookups!$A$12:$A$51, Lookups!$C$12:$C$51, "Unknown")</f>
        <v>Networking</v>
      </c>
      <c r="S3092" t="str">
        <f>IF(ISBLANK(I3092), B3092+VLOOKUP(C3092, Lookups!$A$2:$D$10, 4, FALSE()), I3092)</f>
        <v>2025-01-19</v>
      </c>
      <c r="T3092">
        <f t="shared" si="291"/>
        <v>33</v>
      </c>
      <c r="U3092" t="str">
        <f t="shared" si="292"/>
        <v>Late</v>
      </c>
      <c r="V3092">
        <f t="shared" si="293"/>
        <v>0</v>
      </c>
    </row>
    <row r="3093" spans="1:22" x14ac:dyDescent="0.45">
      <c r="A3093" t="s">
        <v>3950</v>
      </c>
      <c r="B3093" t="s">
        <v>271</v>
      </c>
      <c r="C3093" t="s">
        <v>37</v>
      </c>
      <c r="D3093" t="s">
        <v>78</v>
      </c>
      <c r="E3093" t="s">
        <v>16</v>
      </c>
      <c r="F3093">
        <v>82</v>
      </c>
      <c r="G3093">
        <v>9423</v>
      </c>
      <c r="H3093">
        <v>772686</v>
      </c>
      <c r="I3093" t="s">
        <v>1461</v>
      </c>
      <c r="J3093" t="s">
        <v>250</v>
      </c>
      <c r="K3093">
        <v>82</v>
      </c>
      <c r="L3093">
        <v>0</v>
      </c>
      <c r="M3093" t="s">
        <v>115</v>
      </c>
      <c r="N3093" t="str">
        <f t="shared" si="288"/>
        <v>PO-103092</v>
      </c>
      <c r="O3093" t="str">
        <f t="shared" si="289"/>
        <v>Delivered</v>
      </c>
      <c r="P3093" t="str">
        <f t="shared" si="290"/>
        <v>WH-DEL</v>
      </c>
      <c r="Q3093" t="str">
        <f>VLOOKUP(C3093, Lookups!$A$2:$D$10, 2, FALSE())</f>
        <v>Premium Desks Ltd</v>
      </c>
      <c r="R3093" t="str">
        <f>_xlfn.XLOOKUP(D3093, Lookups!$A$12:$A$51, Lookups!$C$12:$C$51, "Unknown")</f>
        <v>Office Furniture</v>
      </c>
      <c r="S3093" t="str">
        <f>IF(ISBLANK(I3093), B3093+VLOOKUP(C3093, Lookups!$A$2:$D$10, 4, FALSE()), I3093)</f>
        <v>2025-08-07</v>
      </c>
      <c r="T3093">
        <f t="shared" si="291"/>
        <v>13</v>
      </c>
      <c r="U3093" t="str">
        <f t="shared" si="292"/>
        <v>Late</v>
      </c>
      <c r="V3093">
        <f t="shared" si="293"/>
        <v>0</v>
      </c>
    </row>
    <row r="3094" spans="1:22" x14ac:dyDescent="0.45">
      <c r="A3094" t="s">
        <v>3951</v>
      </c>
      <c r="B3094" t="s">
        <v>250</v>
      </c>
      <c r="C3094" t="s">
        <v>34</v>
      </c>
      <c r="D3094" t="s">
        <v>80</v>
      </c>
      <c r="E3094" t="s">
        <v>18</v>
      </c>
      <c r="F3094">
        <v>189</v>
      </c>
      <c r="G3094">
        <v>19090</v>
      </c>
      <c r="H3094">
        <v>3608010</v>
      </c>
      <c r="I3094" t="s">
        <v>834</v>
      </c>
      <c r="J3094" t="s">
        <v>598</v>
      </c>
      <c r="K3094">
        <v>189</v>
      </c>
      <c r="L3094">
        <v>0</v>
      </c>
      <c r="M3094" t="s">
        <v>115</v>
      </c>
      <c r="N3094" t="str">
        <f t="shared" si="288"/>
        <v>PO-103093</v>
      </c>
      <c r="O3094" t="str">
        <f t="shared" si="289"/>
        <v>Delivered</v>
      </c>
      <c r="P3094" t="str">
        <f t="shared" si="290"/>
        <v>WH-PUN</v>
      </c>
      <c r="Q3094" t="str">
        <f>VLOOKUP(C3094, Lookups!$A$2:$D$10, 2, FALSE())</f>
        <v>FastElectronics</v>
      </c>
      <c r="R3094" t="str">
        <f>_xlfn.XLOOKUP(D3094, Lookups!$A$12:$A$51, Lookups!$C$12:$C$51, "Unknown")</f>
        <v>Networking</v>
      </c>
      <c r="S3094" t="str">
        <f>IF(ISBLANK(I3094), B3094+VLOOKUP(C3094, Lookups!$A$2:$D$10, 4, FALSE()), I3094)</f>
        <v>2025-08-26</v>
      </c>
      <c r="T3094">
        <f t="shared" si="291"/>
        <v>23</v>
      </c>
      <c r="U3094" t="str">
        <f t="shared" si="292"/>
        <v>Late</v>
      </c>
      <c r="V3094">
        <f t="shared" si="293"/>
        <v>0</v>
      </c>
    </row>
    <row r="3095" spans="1:22" x14ac:dyDescent="0.45">
      <c r="A3095" t="s">
        <v>3952</v>
      </c>
      <c r="B3095" t="s">
        <v>203</v>
      </c>
      <c r="C3095" t="s">
        <v>34</v>
      </c>
      <c r="D3095" t="s">
        <v>81</v>
      </c>
      <c r="E3095" t="s">
        <v>18</v>
      </c>
      <c r="F3095">
        <v>16</v>
      </c>
      <c r="G3095">
        <v>55328</v>
      </c>
      <c r="H3095">
        <v>885248</v>
      </c>
      <c r="I3095" t="s">
        <v>1002</v>
      </c>
      <c r="J3095" t="s">
        <v>1002</v>
      </c>
      <c r="K3095">
        <v>16</v>
      </c>
      <c r="L3095">
        <v>0</v>
      </c>
      <c r="M3095" t="s">
        <v>115</v>
      </c>
      <c r="N3095" t="str">
        <f t="shared" si="288"/>
        <v>PO-103094</v>
      </c>
      <c r="O3095" t="str">
        <f t="shared" si="289"/>
        <v>Delivered</v>
      </c>
      <c r="P3095" t="str">
        <f t="shared" si="290"/>
        <v>WH-PUN</v>
      </c>
      <c r="Q3095" t="str">
        <f>VLOOKUP(C3095, Lookups!$A$2:$D$10, 2, FALSE())</f>
        <v>FastElectronics</v>
      </c>
      <c r="R3095" t="str">
        <f>_xlfn.XLOOKUP(D3095, Lookups!$A$12:$A$51, Lookups!$C$12:$C$51, "Unknown")</f>
        <v>Electronics</v>
      </c>
      <c r="S3095" t="str">
        <f>IF(ISBLANK(I3095), B3095+VLOOKUP(C3095, Lookups!$A$2:$D$10, 4, FALSE()), I3095)</f>
        <v>2026-04-26</v>
      </c>
      <c r="T3095">
        <f t="shared" si="291"/>
        <v>18</v>
      </c>
      <c r="U3095" t="str">
        <f t="shared" si="292"/>
        <v>On-Time</v>
      </c>
      <c r="V3095">
        <f t="shared" si="293"/>
        <v>0</v>
      </c>
    </row>
    <row r="3096" spans="1:22" x14ac:dyDescent="0.45">
      <c r="A3096" t="s">
        <v>3953</v>
      </c>
      <c r="B3096" t="s">
        <v>947</v>
      </c>
      <c r="C3096" t="s">
        <v>31</v>
      </c>
      <c r="D3096" t="s">
        <v>56</v>
      </c>
      <c r="E3096" t="s">
        <v>16</v>
      </c>
      <c r="F3096">
        <v>114</v>
      </c>
      <c r="G3096">
        <v>39270</v>
      </c>
      <c r="H3096">
        <v>4476780</v>
      </c>
      <c r="I3096" t="s">
        <v>1302</v>
      </c>
      <c r="J3096" t="s">
        <v>1302</v>
      </c>
      <c r="K3096">
        <v>114</v>
      </c>
      <c r="L3096">
        <v>0</v>
      </c>
      <c r="M3096" t="s">
        <v>115</v>
      </c>
      <c r="N3096" t="str">
        <f t="shared" si="288"/>
        <v>PO-103095</v>
      </c>
      <c r="O3096" t="str">
        <f t="shared" si="289"/>
        <v>Delivered</v>
      </c>
      <c r="P3096" t="str">
        <f t="shared" si="290"/>
        <v>WH-DEL</v>
      </c>
      <c r="Q3096" t="str">
        <f>VLOOKUP(C3096, Lookups!$A$2:$D$10, 2, FALSE())</f>
        <v>Global Networks</v>
      </c>
      <c r="R3096" t="str">
        <f>_xlfn.XLOOKUP(D3096, Lookups!$A$12:$A$51, Lookups!$C$12:$C$51, "Unknown")</f>
        <v>Networking</v>
      </c>
      <c r="S3096" t="str">
        <f>IF(ISBLANK(I3096), B3096+VLOOKUP(C3096, Lookups!$A$2:$D$10, 4, FALSE()), I3096)</f>
        <v>2025-12-27</v>
      </c>
      <c r="T3096">
        <f t="shared" si="291"/>
        <v>21</v>
      </c>
      <c r="U3096" t="str">
        <f t="shared" si="292"/>
        <v>On-Time</v>
      </c>
      <c r="V3096">
        <f t="shared" si="293"/>
        <v>0</v>
      </c>
    </row>
    <row r="3097" spans="1:22" x14ac:dyDescent="0.45">
      <c r="A3097" t="s">
        <v>3954</v>
      </c>
      <c r="B3097" t="s">
        <v>610</v>
      </c>
      <c r="C3097" t="s">
        <v>31</v>
      </c>
      <c r="D3097" t="s">
        <v>56</v>
      </c>
      <c r="E3097" t="s">
        <v>18</v>
      </c>
      <c r="F3097">
        <v>161</v>
      </c>
      <c r="G3097">
        <v>39270</v>
      </c>
      <c r="H3097">
        <v>6322470</v>
      </c>
      <c r="I3097" t="s">
        <v>1006</v>
      </c>
      <c r="J3097" t="s">
        <v>1006</v>
      </c>
      <c r="K3097">
        <v>161</v>
      </c>
      <c r="L3097">
        <v>0</v>
      </c>
      <c r="M3097" t="s">
        <v>166</v>
      </c>
      <c r="N3097" t="str">
        <f t="shared" si="288"/>
        <v>PO-103096</v>
      </c>
      <c r="O3097" t="str">
        <f t="shared" si="289"/>
        <v>Delivered</v>
      </c>
      <c r="P3097" t="str">
        <f t="shared" si="290"/>
        <v>WH-PUN</v>
      </c>
      <c r="Q3097" t="str">
        <f>VLOOKUP(C3097, Lookups!$A$2:$D$10, 2, FALSE())</f>
        <v>Global Networks</v>
      </c>
      <c r="R3097" t="str">
        <f>_xlfn.XLOOKUP(D3097, Lookups!$A$12:$A$51, Lookups!$C$12:$C$51, "Unknown")</f>
        <v>Networking</v>
      </c>
      <c r="S3097" t="str">
        <f>IF(ISBLANK(I3097), B3097+VLOOKUP(C3097, Lookups!$A$2:$D$10, 4, FALSE()), I3097)</f>
        <v>2025-11-16</v>
      </c>
      <c r="T3097">
        <f t="shared" si="291"/>
        <v>21</v>
      </c>
      <c r="U3097" t="str">
        <f t="shared" si="292"/>
        <v>On-Time</v>
      </c>
      <c r="V3097">
        <f t="shared" si="293"/>
        <v>0</v>
      </c>
    </row>
    <row r="3098" spans="1:22" x14ac:dyDescent="0.45">
      <c r="A3098" t="s">
        <v>3955</v>
      </c>
      <c r="B3098" t="s">
        <v>1604</v>
      </c>
      <c r="C3098" t="s">
        <v>32</v>
      </c>
      <c r="D3098" t="s">
        <v>67</v>
      </c>
      <c r="E3098" t="s">
        <v>18</v>
      </c>
      <c r="F3098">
        <v>199</v>
      </c>
      <c r="G3098">
        <v>1553</v>
      </c>
      <c r="H3098">
        <v>309047</v>
      </c>
      <c r="I3098" t="s">
        <v>1114</v>
      </c>
      <c r="J3098" t="s">
        <v>593</v>
      </c>
      <c r="K3098">
        <v>199</v>
      </c>
      <c r="L3098">
        <v>0</v>
      </c>
      <c r="M3098" t="s">
        <v>115</v>
      </c>
      <c r="N3098" t="str">
        <f t="shared" si="288"/>
        <v>PO-103097</v>
      </c>
      <c r="O3098" t="str">
        <f t="shared" si="289"/>
        <v>Delivered</v>
      </c>
      <c r="P3098" t="str">
        <f t="shared" si="290"/>
        <v>WH-PUN</v>
      </c>
      <c r="Q3098" t="str">
        <f>VLOOKUP(C3098, Lookups!$A$2:$D$10, 2, FALSE())</f>
        <v>OfficeDepot Pro</v>
      </c>
      <c r="R3098" t="str">
        <f>_xlfn.XLOOKUP(D3098, Lookups!$A$12:$A$51, Lookups!$C$12:$C$51, "Unknown")</f>
        <v>Peripherals</v>
      </c>
      <c r="S3098" t="str">
        <f>IF(ISBLANK(I3098), B3098+VLOOKUP(C3098, Lookups!$A$2:$D$10, 4, FALSE()), I3098)</f>
        <v>2025-09-14</v>
      </c>
      <c r="T3098">
        <f t="shared" si="291"/>
        <v>8</v>
      </c>
      <c r="U3098" t="str">
        <f t="shared" si="292"/>
        <v>Late</v>
      </c>
      <c r="V3098">
        <f t="shared" si="293"/>
        <v>0</v>
      </c>
    </row>
    <row r="3099" spans="1:22" x14ac:dyDescent="0.45">
      <c r="A3099" t="s">
        <v>3956</v>
      </c>
      <c r="B3099" t="s">
        <v>1173</v>
      </c>
      <c r="C3099" t="s">
        <v>37</v>
      </c>
      <c r="D3099" t="s">
        <v>69</v>
      </c>
      <c r="E3099" t="s">
        <v>17</v>
      </c>
      <c r="F3099">
        <v>66</v>
      </c>
      <c r="G3099">
        <v>13231</v>
      </c>
      <c r="H3099">
        <v>873246</v>
      </c>
      <c r="I3099" t="s">
        <v>112</v>
      </c>
      <c r="J3099" t="s">
        <v>2281</v>
      </c>
      <c r="K3099">
        <v>66</v>
      </c>
      <c r="L3099">
        <v>0</v>
      </c>
      <c r="M3099" t="s">
        <v>115</v>
      </c>
      <c r="N3099" t="str">
        <f t="shared" si="288"/>
        <v>PO-103098</v>
      </c>
      <c r="O3099" t="str">
        <f t="shared" si="289"/>
        <v>Delivered</v>
      </c>
      <c r="P3099" t="str">
        <f t="shared" si="290"/>
        <v>WH-BLR</v>
      </c>
      <c r="Q3099" t="str">
        <f>VLOOKUP(C3099, Lookups!$A$2:$D$10, 2, FALSE())</f>
        <v>Premium Desks Ltd</v>
      </c>
      <c r="R3099" t="str">
        <f>_xlfn.XLOOKUP(D3099, Lookups!$A$12:$A$51, Lookups!$C$12:$C$51, "Unknown")</f>
        <v>Office Furniture</v>
      </c>
      <c r="S3099" t="str">
        <f>IF(ISBLANK(I3099), B3099+VLOOKUP(C3099, Lookups!$A$2:$D$10, 4, FALSE()), I3099)</f>
        <v>2026-06-16</v>
      </c>
      <c r="T3099">
        <f t="shared" si="291"/>
        <v>13</v>
      </c>
      <c r="U3099" t="str">
        <f t="shared" si="292"/>
        <v>Late</v>
      </c>
      <c r="V3099">
        <f t="shared" si="293"/>
        <v>0</v>
      </c>
    </row>
    <row r="3100" spans="1:22" x14ac:dyDescent="0.45">
      <c r="A3100" t="s">
        <v>3957</v>
      </c>
      <c r="B3100" t="s">
        <v>882</v>
      </c>
      <c r="C3100" t="s">
        <v>35</v>
      </c>
      <c r="D3100" t="s">
        <v>75</v>
      </c>
      <c r="E3100" t="s">
        <v>16</v>
      </c>
      <c r="F3100">
        <v>186</v>
      </c>
      <c r="G3100">
        <v>4440</v>
      </c>
      <c r="H3100">
        <v>825840</v>
      </c>
      <c r="I3100" t="s">
        <v>951</v>
      </c>
      <c r="J3100" t="s">
        <v>1026</v>
      </c>
      <c r="K3100">
        <v>186</v>
      </c>
      <c r="L3100">
        <v>0</v>
      </c>
      <c r="M3100" t="s">
        <v>115</v>
      </c>
      <c r="N3100" t="str">
        <f t="shared" si="288"/>
        <v>PO-103099</v>
      </c>
      <c r="O3100" t="str">
        <f t="shared" si="289"/>
        <v>Delivered</v>
      </c>
      <c r="P3100" t="str">
        <f t="shared" si="290"/>
        <v>WH-DEL</v>
      </c>
      <c r="Q3100" t="str">
        <f>VLOOKUP(C3100, Lookups!$A$2:$D$10, 2, FALSE())</f>
        <v>Peripheral Source</v>
      </c>
      <c r="R3100" t="str">
        <f>_xlfn.XLOOKUP(D3100, Lookups!$A$12:$A$51, Lookups!$C$12:$C$51, "Unknown")</f>
        <v>Peripherals</v>
      </c>
      <c r="S3100" t="str">
        <f>IF(ISBLANK(I3100), B3100+VLOOKUP(C3100, Lookups!$A$2:$D$10, 4, FALSE()), I3100)</f>
        <v>2026-07-02</v>
      </c>
      <c r="T3100">
        <f t="shared" si="291"/>
        <v>11</v>
      </c>
      <c r="U3100" t="str">
        <f t="shared" si="292"/>
        <v>Late</v>
      </c>
      <c r="V3100">
        <f t="shared" si="293"/>
        <v>0</v>
      </c>
    </row>
    <row r="3101" spans="1:22" x14ac:dyDescent="0.45">
      <c r="A3101" t="s">
        <v>3958</v>
      </c>
      <c r="B3101" t="s">
        <v>1026</v>
      </c>
      <c r="C3101" t="s">
        <v>32</v>
      </c>
      <c r="D3101" t="s">
        <v>84</v>
      </c>
      <c r="E3101" t="s">
        <v>16</v>
      </c>
      <c r="F3101">
        <v>122</v>
      </c>
      <c r="G3101">
        <v>7271</v>
      </c>
      <c r="H3101">
        <v>887062</v>
      </c>
      <c r="I3101" t="s">
        <v>195</v>
      </c>
      <c r="J3101" t="s">
        <v>195</v>
      </c>
      <c r="K3101">
        <v>122</v>
      </c>
      <c r="L3101">
        <v>0</v>
      </c>
      <c r="M3101" t="s">
        <v>115</v>
      </c>
      <c r="N3101" t="str">
        <f t="shared" si="288"/>
        <v>PO-103100</v>
      </c>
      <c r="O3101" t="str">
        <f t="shared" si="289"/>
        <v>Delivered</v>
      </c>
      <c r="P3101" t="str">
        <f t="shared" si="290"/>
        <v>WH-DEL</v>
      </c>
      <c r="Q3101" t="str">
        <f>VLOOKUP(C3101, Lookups!$A$2:$D$10, 2, FALSE())</f>
        <v>OfficeDepot Pro</v>
      </c>
      <c r="R3101" t="str">
        <f>_xlfn.XLOOKUP(D3101, Lookups!$A$12:$A$51, Lookups!$C$12:$C$51, "Unknown")</f>
        <v>Peripherals</v>
      </c>
      <c r="S3101" t="str">
        <f>IF(ISBLANK(I3101), B3101+VLOOKUP(C3101, Lookups!$A$2:$D$10, 4, FALSE()), I3101)</f>
        <v>2026-07-10</v>
      </c>
      <c r="T3101">
        <f t="shared" si="291"/>
        <v>7</v>
      </c>
      <c r="U3101" t="str">
        <f t="shared" si="292"/>
        <v>On-Time</v>
      </c>
      <c r="V3101">
        <f t="shared" si="293"/>
        <v>0</v>
      </c>
    </row>
    <row r="3102" spans="1:22" x14ac:dyDescent="0.45">
      <c r="A3102" t="s">
        <v>3959</v>
      </c>
      <c r="B3102" t="s">
        <v>720</v>
      </c>
      <c r="C3102" t="s">
        <v>34</v>
      </c>
      <c r="D3102" t="s">
        <v>54</v>
      </c>
      <c r="E3102" t="s">
        <v>17</v>
      </c>
      <c r="F3102">
        <v>43</v>
      </c>
      <c r="G3102">
        <v>22314</v>
      </c>
      <c r="H3102">
        <v>959502</v>
      </c>
      <c r="I3102" t="s">
        <v>873</v>
      </c>
      <c r="J3102" t="s">
        <v>617</v>
      </c>
      <c r="K3102">
        <v>32</v>
      </c>
      <c r="L3102">
        <v>0</v>
      </c>
      <c r="M3102" t="s">
        <v>115</v>
      </c>
      <c r="N3102" t="str">
        <f t="shared" si="288"/>
        <v>PO-103101</v>
      </c>
      <c r="O3102" t="str">
        <f t="shared" si="289"/>
        <v>Delivered</v>
      </c>
      <c r="P3102" t="str">
        <f t="shared" si="290"/>
        <v>WH-BLR</v>
      </c>
      <c r="Q3102" t="str">
        <f>VLOOKUP(C3102, Lookups!$A$2:$D$10, 2, FALSE())</f>
        <v>FastElectronics</v>
      </c>
      <c r="R3102" t="str">
        <f>_xlfn.XLOOKUP(D3102, Lookups!$A$12:$A$51, Lookups!$C$12:$C$51, "Unknown")</f>
        <v>Networking</v>
      </c>
      <c r="S3102" t="str">
        <f>IF(ISBLANK(I3102), B3102+VLOOKUP(C3102, Lookups!$A$2:$D$10, 4, FALSE()), I3102)</f>
        <v>2026-02-09</v>
      </c>
      <c r="T3102">
        <f t="shared" si="291"/>
        <v>19</v>
      </c>
      <c r="U3102" t="str">
        <f t="shared" si="292"/>
        <v>Late</v>
      </c>
      <c r="V3102">
        <f t="shared" si="293"/>
        <v>0</v>
      </c>
    </row>
    <row r="3103" spans="1:22" x14ac:dyDescent="0.45">
      <c r="A3103" t="s">
        <v>3960</v>
      </c>
      <c r="B3103" t="s">
        <v>343</v>
      </c>
      <c r="C3103" t="s">
        <v>37</v>
      </c>
      <c r="D3103" t="s">
        <v>83</v>
      </c>
      <c r="E3103" t="s">
        <v>15</v>
      </c>
      <c r="F3103">
        <v>49</v>
      </c>
      <c r="G3103">
        <v>19850</v>
      </c>
      <c r="H3103">
        <v>972650</v>
      </c>
      <c r="I3103" t="s">
        <v>128</v>
      </c>
      <c r="J3103" t="s">
        <v>1767</v>
      </c>
      <c r="K3103">
        <v>49</v>
      </c>
      <c r="L3103">
        <v>0</v>
      </c>
      <c r="M3103" t="s">
        <v>115</v>
      </c>
      <c r="N3103" t="str">
        <f t="shared" si="288"/>
        <v>PO-103102</v>
      </c>
      <c r="O3103" t="str">
        <f t="shared" si="289"/>
        <v>Delivered</v>
      </c>
      <c r="P3103" t="str">
        <f t="shared" si="290"/>
        <v>WH-BOM</v>
      </c>
      <c r="Q3103" t="str">
        <f>VLOOKUP(C3103, Lookups!$A$2:$D$10, 2, FALSE())</f>
        <v>Premium Desks Ltd</v>
      </c>
      <c r="R3103" t="str">
        <f>_xlfn.XLOOKUP(D3103, Lookups!$A$12:$A$51, Lookups!$C$12:$C$51, "Unknown")</f>
        <v>Office Furniture</v>
      </c>
      <c r="S3103" t="str">
        <f>IF(ISBLANK(I3103), B3103+VLOOKUP(C3103, Lookups!$A$2:$D$10, 4, FALSE()), I3103)</f>
        <v>2026-02-16</v>
      </c>
      <c r="T3103">
        <f t="shared" si="291"/>
        <v>21</v>
      </c>
      <c r="U3103" t="str">
        <f t="shared" si="292"/>
        <v>Late</v>
      </c>
      <c r="V3103">
        <f t="shared" si="293"/>
        <v>0</v>
      </c>
    </row>
    <row r="3104" spans="1:22" x14ac:dyDescent="0.45">
      <c r="A3104" t="s">
        <v>3961</v>
      </c>
      <c r="B3104" t="s">
        <v>206</v>
      </c>
      <c r="C3104" t="s">
        <v>33</v>
      </c>
      <c r="D3104" t="s">
        <v>89</v>
      </c>
      <c r="E3104" t="s">
        <v>15</v>
      </c>
      <c r="F3104">
        <v>243</v>
      </c>
      <c r="G3104">
        <v>11309</v>
      </c>
      <c r="H3104">
        <v>2748087</v>
      </c>
      <c r="I3104" t="s">
        <v>590</v>
      </c>
      <c r="J3104" t="s">
        <v>590</v>
      </c>
      <c r="K3104">
        <v>243</v>
      </c>
      <c r="L3104">
        <v>0</v>
      </c>
      <c r="M3104" t="s">
        <v>115</v>
      </c>
      <c r="N3104" t="str">
        <f t="shared" si="288"/>
        <v>PO-103103</v>
      </c>
      <c r="O3104" t="str">
        <f t="shared" si="289"/>
        <v>Delivered</v>
      </c>
      <c r="P3104" t="str">
        <f t="shared" si="290"/>
        <v>WH-BOM</v>
      </c>
      <c r="Q3104" t="str">
        <f>VLOOKUP(C3104, Lookups!$A$2:$D$10, 2, FALSE())</f>
        <v>MegaFurnish</v>
      </c>
      <c r="R3104" t="str">
        <f>_xlfn.XLOOKUP(D3104, Lookups!$A$12:$A$51, Lookups!$C$12:$C$51, "Unknown")</f>
        <v>Office Furniture</v>
      </c>
      <c r="S3104" t="str">
        <f>IF(ISBLANK(I3104), B3104+VLOOKUP(C3104, Lookups!$A$2:$D$10, 4, FALSE()), I3104)</f>
        <v>2026-01-06</v>
      </c>
      <c r="T3104">
        <f t="shared" si="291"/>
        <v>30</v>
      </c>
      <c r="U3104" t="str">
        <f t="shared" si="292"/>
        <v>On-Time</v>
      </c>
      <c r="V3104">
        <f t="shared" si="293"/>
        <v>0</v>
      </c>
    </row>
    <row r="3105" spans="1:22" x14ac:dyDescent="0.45">
      <c r="A3105" t="s">
        <v>3962</v>
      </c>
      <c r="B3105" t="s">
        <v>388</v>
      </c>
      <c r="C3105" t="s">
        <v>37</v>
      </c>
      <c r="D3105" t="s">
        <v>78</v>
      </c>
      <c r="E3105" t="s">
        <v>16</v>
      </c>
      <c r="F3105">
        <v>205</v>
      </c>
      <c r="G3105">
        <v>9423</v>
      </c>
      <c r="H3105">
        <v>1931715</v>
      </c>
      <c r="I3105" t="s">
        <v>389</v>
      </c>
      <c r="J3105" t="s">
        <v>444</v>
      </c>
      <c r="K3105">
        <v>203</v>
      </c>
      <c r="L3105">
        <v>0</v>
      </c>
      <c r="M3105" t="s">
        <v>115</v>
      </c>
      <c r="N3105" t="str">
        <f t="shared" si="288"/>
        <v>PO-103104</v>
      </c>
      <c r="O3105" t="str">
        <f t="shared" si="289"/>
        <v>Delivered</v>
      </c>
      <c r="P3105" t="str">
        <f t="shared" si="290"/>
        <v>WH-DEL</v>
      </c>
      <c r="Q3105" t="str">
        <f>VLOOKUP(C3105, Lookups!$A$2:$D$10, 2, FALSE())</f>
        <v>Premium Desks Ltd</v>
      </c>
      <c r="R3105" t="str">
        <f>_xlfn.XLOOKUP(D3105, Lookups!$A$12:$A$51, Lookups!$C$12:$C$51, "Unknown")</f>
        <v>Office Furniture</v>
      </c>
      <c r="S3105" t="str">
        <f>IF(ISBLANK(I3105), B3105+VLOOKUP(C3105, Lookups!$A$2:$D$10, 4, FALSE()), I3105)</f>
        <v>2026-04-06</v>
      </c>
      <c r="T3105">
        <f t="shared" si="291"/>
        <v>18</v>
      </c>
      <c r="U3105" t="str">
        <f t="shared" si="292"/>
        <v>Late</v>
      </c>
      <c r="V3105">
        <f t="shared" si="293"/>
        <v>0</v>
      </c>
    </row>
    <row r="3106" spans="1:22" x14ac:dyDescent="0.45">
      <c r="A3106" t="s">
        <v>3963</v>
      </c>
      <c r="B3106" t="s">
        <v>1544</v>
      </c>
      <c r="C3106" t="s">
        <v>36</v>
      </c>
      <c r="D3106" t="s">
        <v>71</v>
      </c>
      <c r="E3106" t="s">
        <v>16</v>
      </c>
      <c r="F3106">
        <v>135</v>
      </c>
      <c r="G3106">
        <v>65379</v>
      </c>
      <c r="H3106">
        <v>8826165</v>
      </c>
      <c r="I3106" t="s">
        <v>188</v>
      </c>
      <c r="J3106" t="s">
        <v>188</v>
      </c>
      <c r="K3106">
        <v>135</v>
      </c>
      <c r="L3106">
        <v>0</v>
      </c>
      <c r="M3106" t="s">
        <v>115</v>
      </c>
      <c r="N3106" t="str">
        <f t="shared" si="288"/>
        <v>PO-103105</v>
      </c>
      <c r="O3106" t="str">
        <f t="shared" si="289"/>
        <v>Delivered</v>
      </c>
      <c r="P3106" t="str">
        <f t="shared" si="290"/>
        <v>WH-DEL</v>
      </c>
      <c r="Q3106" t="str">
        <f>VLOOKUP(C3106, Lookups!$A$2:$D$10, 2, FALSE())</f>
        <v>NextGen Hardware</v>
      </c>
      <c r="R3106" t="str">
        <f>_xlfn.XLOOKUP(D3106, Lookups!$A$12:$A$51, Lookups!$C$12:$C$51, "Unknown")</f>
        <v>Electronics</v>
      </c>
      <c r="S3106" t="str">
        <f>IF(ISBLANK(I3106), B3106+VLOOKUP(C3106, Lookups!$A$2:$D$10, 4, FALSE()), I3106)</f>
        <v>2025-02-25</v>
      </c>
      <c r="T3106">
        <f t="shared" si="291"/>
        <v>24</v>
      </c>
      <c r="U3106" t="str">
        <f t="shared" si="292"/>
        <v>On-Time</v>
      </c>
      <c r="V3106">
        <f t="shared" si="293"/>
        <v>0</v>
      </c>
    </row>
    <row r="3107" spans="1:22" x14ac:dyDescent="0.45">
      <c r="A3107" t="s">
        <v>3964</v>
      </c>
      <c r="B3107" t="s">
        <v>428</v>
      </c>
      <c r="C3107" t="s">
        <v>30</v>
      </c>
      <c r="D3107" t="s">
        <v>52</v>
      </c>
      <c r="E3107" t="s">
        <v>18</v>
      </c>
      <c r="F3107">
        <v>91</v>
      </c>
      <c r="G3107">
        <v>59592</v>
      </c>
      <c r="H3107">
        <v>5422872</v>
      </c>
      <c r="I3107" t="s">
        <v>225</v>
      </c>
      <c r="J3107" t="s">
        <v>225</v>
      </c>
      <c r="K3107">
        <v>71</v>
      </c>
      <c r="L3107">
        <v>0</v>
      </c>
      <c r="M3107" t="s">
        <v>115</v>
      </c>
      <c r="N3107" t="str">
        <f t="shared" si="288"/>
        <v>PO-103106</v>
      </c>
      <c r="O3107" t="str">
        <f t="shared" si="289"/>
        <v>Delivered</v>
      </c>
      <c r="P3107" t="str">
        <f t="shared" si="290"/>
        <v>WH-PUN</v>
      </c>
      <c r="Q3107" t="str">
        <f>VLOOKUP(C3107, Lookups!$A$2:$D$10, 2, FALSE())</f>
        <v>TechSupply Corp</v>
      </c>
      <c r="R3107" t="str">
        <f>_xlfn.XLOOKUP(D3107, Lookups!$A$12:$A$51, Lookups!$C$12:$C$51, "Unknown")</f>
        <v>Electronics</v>
      </c>
      <c r="S3107" t="str">
        <f>IF(ISBLANK(I3107), B3107+VLOOKUP(C3107, Lookups!$A$2:$D$10, 4, FALSE()), I3107)</f>
        <v>2026-07-31</v>
      </c>
      <c r="T3107">
        <f t="shared" si="291"/>
        <v>14</v>
      </c>
      <c r="U3107" t="str">
        <f t="shared" si="292"/>
        <v>On-Time</v>
      </c>
      <c r="V3107">
        <f t="shared" si="293"/>
        <v>0</v>
      </c>
    </row>
    <row r="3108" spans="1:22" x14ac:dyDescent="0.45">
      <c r="A3108" t="s">
        <v>3965</v>
      </c>
      <c r="B3108" t="s">
        <v>1456</v>
      </c>
      <c r="C3108" t="s">
        <v>35</v>
      </c>
      <c r="D3108" t="s">
        <v>91</v>
      </c>
      <c r="E3108" t="s">
        <v>18</v>
      </c>
      <c r="F3108">
        <v>244</v>
      </c>
      <c r="G3108">
        <v>6707</v>
      </c>
      <c r="H3108">
        <v>1636508</v>
      </c>
      <c r="I3108" t="s">
        <v>805</v>
      </c>
      <c r="J3108" t="s">
        <v>583</v>
      </c>
      <c r="K3108">
        <v>244</v>
      </c>
      <c r="L3108">
        <v>0</v>
      </c>
      <c r="M3108" t="s">
        <v>115</v>
      </c>
      <c r="N3108" t="str">
        <f t="shared" si="288"/>
        <v>PO-103107</v>
      </c>
      <c r="O3108" t="str">
        <f t="shared" si="289"/>
        <v>Delivered</v>
      </c>
      <c r="P3108" t="str">
        <f t="shared" si="290"/>
        <v>WH-PUN</v>
      </c>
      <c r="Q3108" t="str">
        <f>VLOOKUP(C3108, Lookups!$A$2:$D$10, 2, FALSE())</f>
        <v>Peripheral Source</v>
      </c>
      <c r="R3108" t="str">
        <f>_xlfn.XLOOKUP(D3108, Lookups!$A$12:$A$51, Lookups!$C$12:$C$51, "Unknown")</f>
        <v>Peripherals</v>
      </c>
      <c r="S3108" t="str">
        <f>IF(ISBLANK(I3108), B3108+VLOOKUP(C3108, Lookups!$A$2:$D$10, 4, FALSE()), I3108)</f>
        <v>2025-04-25</v>
      </c>
      <c r="T3108">
        <f t="shared" si="291"/>
        <v>11</v>
      </c>
      <c r="U3108" t="str">
        <f t="shared" si="292"/>
        <v>Late</v>
      </c>
      <c r="V3108">
        <f t="shared" si="293"/>
        <v>0</v>
      </c>
    </row>
    <row r="3109" spans="1:22" x14ac:dyDescent="0.45">
      <c r="A3109" t="s">
        <v>3966</v>
      </c>
      <c r="B3109" t="s">
        <v>2204</v>
      </c>
      <c r="C3109" t="s">
        <v>35</v>
      </c>
      <c r="D3109" t="s">
        <v>91</v>
      </c>
      <c r="E3109" t="s">
        <v>16</v>
      </c>
      <c r="F3109">
        <v>183</v>
      </c>
      <c r="G3109">
        <v>6707</v>
      </c>
      <c r="H3109">
        <v>1227381</v>
      </c>
      <c r="I3109" t="s">
        <v>434</v>
      </c>
      <c r="J3109" t="s">
        <v>1069</v>
      </c>
      <c r="K3109">
        <v>183</v>
      </c>
      <c r="L3109">
        <v>22</v>
      </c>
      <c r="M3109" t="s">
        <v>115</v>
      </c>
      <c r="N3109" t="str">
        <f t="shared" si="288"/>
        <v>PO-103108</v>
      </c>
      <c r="O3109" t="str">
        <f t="shared" si="289"/>
        <v>Delivered</v>
      </c>
      <c r="P3109" t="str">
        <f t="shared" si="290"/>
        <v>WH-DEL</v>
      </c>
      <c r="Q3109" t="str">
        <f>VLOOKUP(C3109, Lookups!$A$2:$D$10, 2, FALSE())</f>
        <v>Peripheral Source</v>
      </c>
      <c r="R3109" t="str">
        <f>_xlfn.XLOOKUP(D3109, Lookups!$A$12:$A$51, Lookups!$C$12:$C$51, "Unknown")</f>
        <v>Peripherals</v>
      </c>
      <c r="S3109" t="str">
        <f>IF(ISBLANK(I3109), B3109+VLOOKUP(C3109, Lookups!$A$2:$D$10, 4, FALSE()), I3109)</f>
        <v>2025-08-10</v>
      </c>
      <c r="T3109">
        <f t="shared" si="291"/>
        <v>14</v>
      </c>
      <c r="U3109" t="str">
        <f t="shared" si="292"/>
        <v>Late</v>
      </c>
      <c r="V3109">
        <f t="shared" si="293"/>
        <v>0.12021857923497267</v>
      </c>
    </row>
    <row r="3110" spans="1:22" x14ac:dyDescent="0.45">
      <c r="A3110" t="s">
        <v>3967</v>
      </c>
      <c r="B3110" t="s">
        <v>2277</v>
      </c>
      <c r="C3110" t="s">
        <v>35</v>
      </c>
      <c r="D3110" t="s">
        <v>75</v>
      </c>
      <c r="E3110" t="s">
        <v>17</v>
      </c>
      <c r="F3110">
        <v>56</v>
      </c>
      <c r="G3110">
        <v>4440</v>
      </c>
      <c r="H3110">
        <v>248640</v>
      </c>
      <c r="I3110" t="s">
        <v>535</v>
      </c>
      <c r="J3110" t="s">
        <v>535</v>
      </c>
      <c r="K3110">
        <v>40</v>
      </c>
      <c r="L3110">
        <v>0</v>
      </c>
      <c r="M3110" t="s">
        <v>115</v>
      </c>
      <c r="N3110" t="str">
        <f t="shared" si="288"/>
        <v>PO-103109</v>
      </c>
      <c r="O3110" t="str">
        <f t="shared" si="289"/>
        <v>Delivered</v>
      </c>
      <c r="P3110" t="str">
        <f t="shared" si="290"/>
        <v>WH-BLR</v>
      </c>
      <c r="Q3110" t="str">
        <f>VLOOKUP(C3110, Lookups!$A$2:$D$10, 2, FALSE())</f>
        <v>Peripheral Source</v>
      </c>
      <c r="R3110" t="str">
        <f>_xlfn.XLOOKUP(D3110, Lookups!$A$12:$A$51, Lookups!$C$12:$C$51, "Unknown")</f>
        <v>Peripherals</v>
      </c>
      <c r="S3110" t="str">
        <f>IF(ISBLANK(I3110), B3110+VLOOKUP(C3110, Lookups!$A$2:$D$10, 4, FALSE()), I3110)</f>
        <v>2026-05-08</v>
      </c>
      <c r="T3110">
        <f t="shared" si="291"/>
        <v>10</v>
      </c>
      <c r="U3110" t="str">
        <f t="shared" si="292"/>
        <v>On-Time</v>
      </c>
      <c r="V3110">
        <f t="shared" si="293"/>
        <v>0</v>
      </c>
    </row>
    <row r="3111" spans="1:22" x14ac:dyDescent="0.45">
      <c r="A3111" t="s">
        <v>3968</v>
      </c>
      <c r="B3111" t="s">
        <v>1415</v>
      </c>
      <c r="C3111" t="s">
        <v>35</v>
      </c>
      <c r="D3111" t="s">
        <v>75</v>
      </c>
      <c r="E3111" t="s">
        <v>17</v>
      </c>
      <c r="F3111">
        <v>131</v>
      </c>
      <c r="G3111">
        <v>4440</v>
      </c>
      <c r="H3111">
        <v>581640</v>
      </c>
      <c r="I3111" t="s">
        <v>422</v>
      </c>
      <c r="J3111" t="s">
        <v>591</v>
      </c>
      <c r="K3111">
        <v>131</v>
      </c>
      <c r="L3111">
        <v>0</v>
      </c>
      <c r="M3111" t="s">
        <v>115</v>
      </c>
      <c r="N3111" t="str">
        <f t="shared" si="288"/>
        <v>PO-103110</v>
      </c>
      <c r="O3111" t="str">
        <f t="shared" si="289"/>
        <v>Delivered</v>
      </c>
      <c r="P3111" t="str">
        <f t="shared" si="290"/>
        <v>WH-BLR</v>
      </c>
      <c r="Q3111" t="str">
        <f>VLOOKUP(C3111, Lookups!$A$2:$D$10, 2, FALSE())</f>
        <v>Peripheral Source</v>
      </c>
      <c r="R3111" t="str">
        <f>_xlfn.XLOOKUP(D3111, Lookups!$A$12:$A$51, Lookups!$C$12:$C$51, "Unknown")</f>
        <v>Peripherals</v>
      </c>
      <c r="S3111" t="str">
        <f>IF(ISBLANK(I3111), B3111+VLOOKUP(C3111, Lookups!$A$2:$D$10, 4, FALSE()), I3111)</f>
        <v>2026-01-19</v>
      </c>
      <c r="T3111">
        <f t="shared" si="291"/>
        <v>11</v>
      </c>
      <c r="U3111" t="str">
        <f t="shared" si="292"/>
        <v>Late</v>
      </c>
      <c r="V3111">
        <f t="shared" si="293"/>
        <v>0</v>
      </c>
    </row>
    <row r="3112" spans="1:22" x14ac:dyDescent="0.45">
      <c r="A3112" t="s">
        <v>3969</v>
      </c>
      <c r="B3112" t="s">
        <v>1331</v>
      </c>
      <c r="C3112" t="s">
        <v>30</v>
      </c>
      <c r="D3112" t="s">
        <v>52</v>
      </c>
      <c r="E3112" t="s">
        <v>18</v>
      </c>
      <c r="F3112">
        <v>181</v>
      </c>
      <c r="G3112">
        <v>59592</v>
      </c>
      <c r="H3112">
        <v>10786152</v>
      </c>
      <c r="I3112" t="s">
        <v>477</v>
      </c>
      <c r="J3112" t="s">
        <v>477</v>
      </c>
      <c r="K3112">
        <v>181</v>
      </c>
      <c r="L3112">
        <v>0</v>
      </c>
      <c r="M3112" t="s">
        <v>115</v>
      </c>
      <c r="N3112" t="str">
        <f t="shared" si="288"/>
        <v>PO-103111</v>
      </c>
      <c r="O3112" t="str">
        <f t="shared" si="289"/>
        <v>Delivered</v>
      </c>
      <c r="P3112" t="str">
        <f t="shared" si="290"/>
        <v>WH-PUN</v>
      </c>
      <c r="Q3112" t="str">
        <f>VLOOKUP(C3112, Lookups!$A$2:$D$10, 2, FALSE())</f>
        <v>TechSupply Corp</v>
      </c>
      <c r="R3112" t="str">
        <f>_xlfn.XLOOKUP(D3112, Lookups!$A$12:$A$51, Lookups!$C$12:$C$51, "Unknown")</f>
        <v>Electronics</v>
      </c>
      <c r="S3112" t="str">
        <f>IF(ISBLANK(I3112), B3112+VLOOKUP(C3112, Lookups!$A$2:$D$10, 4, FALSE()), I3112)</f>
        <v>2025-03-28</v>
      </c>
      <c r="T3112">
        <f t="shared" si="291"/>
        <v>14</v>
      </c>
      <c r="U3112" t="str">
        <f t="shared" si="292"/>
        <v>On-Time</v>
      </c>
      <c r="V3112">
        <f t="shared" si="293"/>
        <v>0</v>
      </c>
    </row>
    <row r="3113" spans="1:22" x14ac:dyDescent="0.45">
      <c r="A3113" t="s">
        <v>3970</v>
      </c>
      <c r="B3113" t="s">
        <v>937</v>
      </c>
      <c r="C3113" t="s">
        <v>35</v>
      </c>
      <c r="D3113" t="s">
        <v>72</v>
      </c>
      <c r="E3113" t="s">
        <v>18</v>
      </c>
      <c r="F3113">
        <v>63</v>
      </c>
      <c r="G3113">
        <v>7754</v>
      </c>
      <c r="H3113">
        <v>488502</v>
      </c>
      <c r="I3113" t="s">
        <v>752</v>
      </c>
      <c r="J3113" t="s">
        <v>753</v>
      </c>
      <c r="K3113">
        <v>63</v>
      </c>
      <c r="L3113">
        <v>0</v>
      </c>
      <c r="M3113" t="s">
        <v>115</v>
      </c>
      <c r="N3113" t="str">
        <f t="shared" si="288"/>
        <v>PO-103112</v>
      </c>
      <c r="O3113" t="str">
        <f t="shared" si="289"/>
        <v>Delivered</v>
      </c>
      <c r="P3113" t="str">
        <f t="shared" si="290"/>
        <v>WH-PUN</v>
      </c>
      <c r="Q3113" t="str">
        <f>VLOOKUP(C3113, Lookups!$A$2:$D$10, 2, FALSE())</f>
        <v>Peripheral Source</v>
      </c>
      <c r="R3113" t="str">
        <f>_xlfn.XLOOKUP(D3113, Lookups!$A$12:$A$51, Lookups!$C$12:$C$51, "Unknown")</f>
        <v>Peripherals</v>
      </c>
      <c r="S3113" t="str">
        <f>IF(ISBLANK(I3113), B3113+VLOOKUP(C3113, Lookups!$A$2:$D$10, 4, FALSE()), I3113)</f>
        <v>2025-12-22</v>
      </c>
      <c r="T3113">
        <f t="shared" si="291"/>
        <v>11</v>
      </c>
      <c r="U3113" t="str">
        <f t="shared" si="292"/>
        <v>Late</v>
      </c>
      <c r="V3113">
        <f t="shared" si="293"/>
        <v>0</v>
      </c>
    </row>
    <row r="3114" spans="1:22" x14ac:dyDescent="0.45">
      <c r="A3114" t="s">
        <v>3971</v>
      </c>
      <c r="B3114" t="s">
        <v>2009</v>
      </c>
      <c r="C3114" t="s">
        <v>30</v>
      </c>
      <c r="D3114" t="s">
        <v>53</v>
      </c>
      <c r="E3114" t="s">
        <v>18</v>
      </c>
      <c r="F3114">
        <v>247</v>
      </c>
      <c r="G3114">
        <v>81048</v>
      </c>
      <c r="H3114">
        <v>20018856</v>
      </c>
      <c r="I3114" t="s">
        <v>941</v>
      </c>
      <c r="J3114" t="s">
        <v>941</v>
      </c>
      <c r="K3114">
        <v>247</v>
      </c>
      <c r="L3114">
        <v>0</v>
      </c>
      <c r="M3114" t="s">
        <v>115</v>
      </c>
      <c r="N3114" t="str">
        <f t="shared" si="288"/>
        <v>PO-103113</v>
      </c>
      <c r="O3114" t="str">
        <f t="shared" si="289"/>
        <v>Delivered</v>
      </c>
      <c r="P3114" t="str">
        <f t="shared" si="290"/>
        <v>WH-PUN</v>
      </c>
      <c r="Q3114" t="str">
        <f>VLOOKUP(C3114, Lookups!$A$2:$D$10, 2, FALSE())</f>
        <v>TechSupply Corp</v>
      </c>
      <c r="R3114" t="str">
        <f>_xlfn.XLOOKUP(D3114, Lookups!$A$12:$A$51, Lookups!$C$12:$C$51, "Unknown")</f>
        <v>Electronics</v>
      </c>
      <c r="S3114" t="str">
        <f>IF(ISBLANK(I3114), B3114+VLOOKUP(C3114, Lookups!$A$2:$D$10, 4, FALSE()), I3114)</f>
        <v>2025-01-21</v>
      </c>
      <c r="T3114">
        <f t="shared" si="291"/>
        <v>14</v>
      </c>
      <c r="U3114" t="str">
        <f t="shared" si="292"/>
        <v>On-Time</v>
      </c>
      <c r="V3114">
        <f t="shared" si="293"/>
        <v>0</v>
      </c>
    </row>
    <row r="3115" spans="1:22" x14ac:dyDescent="0.45">
      <c r="A3115" t="s">
        <v>3972</v>
      </c>
      <c r="B3115" t="s">
        <v>693</v>
      </c>
      <c r="C3115" t="s">
        <v>31</v>
      </c>
      <c r="D3115" t="s">
        <v>56</v>
      </c>
      <c r="E3115" t="s">
        <v>17</v>
      </c>
      <c r="F3115">
        <v>59</v>
      </c>
      <c r="G3115">
        <v>39270</v>
      </c>
      <c r="H3115">
        <v>2316930</v>
      </c>
      <c r="K3115">
        <v>0</v>
      </c>
      <c r="L3115">
        <v>0</v>
      </c>
      <c r="M3115" t="s">
        <v>297</v>
      </c>
      <c r="N3115" t="str">
        <f t="shared" si="288"/>
        <v>PO-103114</v>
      </c>
      <c r="O3115" t="str">
        <f t="shared" si="289"/>
        <v>Open</v>
      </c>
      <c r="P3115" t="str">
        <f t="shared" si="290"/>
        <v>WH-BLR</v>
      </c>
      <c r="Q3115" t="str">
        <f>VLOOKUP(C3115, Lookups!$A$2:$D$10, 2, FALSE())</f>
        <v>Global Networks</v>
      </c>
      <c r="R3115" t="str">
        <f>_xlfn.XLOOKUP(D3115, Lookups!$A$12:$A$51, Lookups!$C$12:$C$51, "Unknown")</f>
        <v>Networking</v>
      </c>
      <c r="S3115">
        <f>IF(ISBLANK(I3115), B3115+VLOOKUP(C3115, Lookups!$A$2:$D$10, 4, FALSE()), I3115)</f>
        <v>46369</v>
      </c>
      <c r="T3115" t="str">
        <f t="shared" si="291"/>
        <v/>
      </c>
      <c r="U3115" t="str">
        <f t="shared" si="292"/>
        <v>Open</v>
      </c>
      <c r="V3115">
        <f t="shared" si="293"/>
        <v>0</v>
      </c>
    </row>
    <row r="3116" spans="1:22" x14ac:dyDescent="0.45">
      <c r="A3116" t="s">
        <v>3973</v>
      </c>
      <c r="B3116" t="s">
        <v>697</v>
      </c>
      <c r="C3116" t="s">
        <v>36</v>
      </c>
      <c r="D3116" t="s">
        <v>62</v>
      </c>
      <c r="E3116" t="s">
        <v>17</v>
      </c>
      <c r="F3116">
        <v>84</v>
      </c>
      <c r="G3116">
        <v>48478</v>
      </c>
      <c r="H3116">
        <v>4072152</v>
      </c>
      <c r="I3116" t="s">
        <v>266</v>
      </c>
      <c r="J3116" t="s">
        <v>379</v>
      </c>
      <c r="K3116">
        <v>84</v>
      </c>
      <c r="L3116">
        <v>0</v>
      </c>
      <c r="M3116" t="s">
        <v>115</v>
      </c>
      <c r="N3116" t="str">
        <f t="shared" si="288"/>
        <v>PO-103115</v>
      </c>
      <c r="O3116" t="str">
        <f t="shared" si="289"/>
        <v>Delivered</v>
      </c>
      <c r="P3116" t="str">
        <f t="shared" si="290"/>
        <v>WH-BLR</v>
      </c>
      <c r="Q3116" t="str">
        <f>VLOOKUP(C3116, Lookups!$A$2:$D$10, 2, FALSE())</f>
        <v>NextGen Hardware</v>
      </c>
      <c r="R3116" t="str">
        <f>_xlfn.XLOOKUP(D3116, Lookups!$A$12:$A$51, Lookups!$C$12:$C$51, "Unknown")</f>
        <v>Electronics</v>
      </c>
      <c r="S3116" t="str">
        <f>IF(ISBLANK(I3116), B3116+VLOOKUP(C3116, Lookups!$A$2:$D$10, 4, FALSE()), I3116)</f>
        <v>2025-02-15</v>
      </c>
      <c r="T3116">
        <f t="shared" si="291"/>
        <v>25</v>
      </c>
      <c r="U3116" t="str">
        <f t="shared" si="292"/>
        <v>Late</v>
      </c>
      <c r="V3116">
        <f t="shared" si="293"/>
        <v>0</v>
      </c>
    </row>
    <row r="3117" spans="1:22" x14ac:dyDescent="0.45">
      <c r="A3117" t="s">
        <v>3974</v>
      </c>
      <c r="B3117" t="s">
        <v>2937</v>
      </c>
      <c r="C3117" t="s">
        <v>32</v>
      </c>
      <c r="D3117" t="s">
        <v>84</v>
      </c>
      <c r="E3117" t="s">
        <v>15</v>
      </c>
      <c r="F3117">
        <v>85</v>
      </c>
      <c r="G3117">
        <v>7271</v>
      </c>
      <c r="H3117">
        <v>618035</v>
      </c>
      <c r="I3117" t="s">
        <v>505</v>
      </c>
      <c r="J3117" t="s">
        <v>1165</v>
      </c>
      <c r="K3117">
        <v>85</v>
      </c>
      <c r="L3117">
        <v>0</v>
      </c>
      <c r="M3117" t="s">
        <v>115</v>
      </c>
      <c r="N3117" t="str">
        <f t="shared" si="288"/>
        <v>PO-103116</v>
      </c>
      <c r="O3117" t="str">
        <f t="shared" si="289"/>
        <v>Delivered</v>
      </c>
      <c r="P3117" t="str">
        <f t="shared" si="290"/>
        <v>WH-BOM</v>
      </c>
      <c r="Q3117" t="str">
        <f>VLOOKUP(C3117, Lookups!$A$2:$D$10, 2, FALSE())</f>
        <v>OfficeDepot Pro</v>
      </c>
      <c r="R3117" t="str">
        <f>_xlfn.XLOOKUP(D3117, Lookups!$A$12:$A$51, Lookups!$C$12:$C$51, "Unknown")</f>
        <v>Peripherals</v>
      </c>
      <c r="S3117" t="str">
        <f>IF(ISBLANK(I3117), B3117+VLOOKUP(C3117, Lookups!$A$2:$D$10, 4, FALSE()), I3117)</f>
        <v>2025-04-11</v>
      </c>
      <c r="T3117">
        <f t="shared" si="291"/>
        <v>6</v>
      </c>
      <c r="U3117" t="str">
        <f t="shared" si="292"/>
        <v>On-Time</v>
      </c>
      <c r="V3117">
        <f t="shared" si="293"/>
        <v>0</v>
      </c>
    </row>
    <row r="3118" spans="1:22" x14ac:dyDescent="0.45">
      <c r="A3118" t="s">
        <v>3975</v>
      </c>
      <c r="B3118" t="s">
        <v>545</v>
      </c>
      <c r="C3118" t="s">
        <v>34</v>
      </c>
      <c r="D3118" t="s">
        <v>81</v>
      </c>
      <c r="E3118" t="s">
        <v>17</v>
      </c>
      <c r="F3118">
        <v>226</v>
      </c>
      <c r="G3118">
        <v>55328</v>
      </c>
      <c r="H3118">
        <v>12504128</v>
      </c>
      <c r="I3118" t="s">
        <v>859</v>
      </c>
      <c r="J3118" t="s">
        <v>752</v>
      </c>
      <c r="K3118">
        <v>226</v>
      </c>
      <c r="L3118">
        <v>13</v>
      </c>
      <c r="M3118" t="s">
        <v>115</v>
      </c>
      <c r="N3118" t="str">
        <f t="shared" si="288"/>
        <v>PO-103117</v>
      </c>
      <c r="O3118" t="str">
        <f t="shared" si="289"/>
        <v>Delivered</v>
      </c>
      <c r="P3118" t="str">
        <f t="shared" si="290"/>
        <v>WH-BLR</v>
      </c>
      <c r="Q3118" t="str">
        <f>VLOOKUP(C3118, Lookups!$A$2:$D$10, 2, FALSE())</f>
        <v>FastElectronics</v>
      </c>
      <c r="R3118" t="str">
        <f>_xlfn.XLOOKUP(D3118, Lookups!$A$12:$A$51, Lookups!$C$12:$C$51, "Unknown")</f>
        <v>Electronics</v>
      </c>
      <c r="S3118" t="str">
        <f>IF(ISBLANK(I3118), B3118+VLOOKUP(C3118, Lookups!$A$2:$D$10, 4, FALSE()), I3118)</f>
        <v>2025-12-21</v>
      </c>
      <c r="T3118">
        <f t="shared" si="291"/>
        <v>19</v>
      </c>
      <c r="U3118" t="str">
        <f t="shared" si="292"/>
        <v>Late</v>
      </c>
      <c r="V3118">
        <f t="shared" si="293"/>
        <v>5.7522123893805309E-2</v>
      </c>
    </row>
    <row r="3119" spans="1:22" x14ac:dyDescent="0.45">
      <c r="A3119" t="s">
        <v>3976</v>
      </c>
      <c r="B3119" t="s">
        <v>609</v>
      </c>
      <c r="C3119" t="s">
        <v>36</v>
      </c>
      <c r="D3119" t="s">
        <v>63</v>
      </c>
      <c r="E3119" t="s">
        <v>18</v>
      </c>
      <c r="F3119">
        <v>15</v>
      </c>
      <c r="G3119">
        <v>71062</v>
      </c>
      <c r="H3119">
        <v>1065930</v>
      </c>
      <c r="I3119" t="s">
        <v>610</v>
      </c>
      <c r="J3119" t="s">
        <v>610</v>
      </c>
      <c r="K3119">
        <v>15</v>
      </c>
      <c r="L3119">
        <v>0</v>
      </c>
      <c r="M3119" t="s">
        <v>115</v>
      </c>
      <c r="N3119" t="str">
        <f t="shared" si="288"/>
        <v>PO-103118</v>
      </c>
      <c r="O3119" t="str">
        <f t="shared" si="289"/>
        <v>Delivered</v>
      </c>
      <c r="P3119" t="str">
        <f t="shared" si="290"/>
        <v>WH-PUN</v>
      </c>
      <c r="Q3119" t="str">
        <f>VLOOKUP(C3119, Lookups!$A$2:$D$10, 2, FALSE())</f>
        <v>NextGen Hardware</v>
      </c>
      <c r="R3119" t="str">
        <f>_xlfn.XLOOKUP(D3119, Lookups!$A$12:$A$51, Lookups!$C$12:$C$51, "Unknown")</f>
        <v>Electronics</v>
      </c>
      <c r="S3119" t="str">
        <f>IF(ISBLANK(I3119), B3119+VLOOKUP(C3119, Lookups!$A$2:$D$10, 4, FALSE()), I3119)</f>
        <v>2025-10-26</v>
      </c>
      <c r="T3119">
        <f t="shared" si="291"/>
        <v>24</v>
      </c>
      <c r="U3119" t="str">
        <f t="shared" si="292"/>
        <v>On-Time</v>
      </c>
      <c r="V3119">
        <f t="shared" si="293"/>
        <v>0</v>
      </c>
    </row>
    <row r="3120" spans="1:22" x14ac:dyDescent="0.45">
      <c r="A3120" t="s">
        <v>3977</v>
      </c>
      <c r="B3120" t="s">
        <v>646</v>
      </c>
      <c r="C3120" t="s">
        <v>36</v>
      </c>
      <c r="D3120" t="s">
        <v>71</v>
      </c>
      <c r="E3120" t="s">
        <v>18</v>
      </c>
      <c r="F3120">
        <v>160</v>
      </c>
      <c r="G3120">
        <v>65379</v>
      </c>
      <c r="H3120">
        <v>10460640</v>
      </c>
      <c r="I3120" t="s">
        <v>182</v>
      </c>
      <c r="J3120" t="s">
        <v>182</v>
      </c>
      <c r="K3120">
        <v>160</v>
      </c>
      <c r="L3120">
        <v>0</v>
      </c>
      <c r="M3120" t="s">
        <v>115</v>
      </c>
      <c r="N3120" t="str">
        <f t="shared" si="288"/>
        <v>PO-103119</v>
      </c>
      <c r="O3120" t="str">
        <f t="shared" si="289"/>
        <v>Delivered</v>
      </c>
      <c r="P3120" t="str">
        <f t="shared" si="290"/>
        <v>WH-PUN</v>
      </c>
      <c r="Q3120" t="str">
        <f>VLOOKUP(C3120, Lookups!$A$2:$D$10, 2, FALSE())</f>
        <v>NextGen Hardware</v>
      </c>
      <c r="R3120" t="str">
        <f>_xlfn.XLOOKUP(D3120, Lookups!$A$12:$A$51, Lookups!$C$12:$C$51, "Unknown")</f>
        <v>Electronics</v>
      </c>
      <c r="S3120" t="str">
        <f>IF(ISBLANK(I3120), B3120+VLOOKUP(C3120, Lookups!$A$2:$D$10, 4, FALSE()), I3120)</f>
        <v>2026-10-31</v>
      </c>
      <c r="T3120">
        <f t="shared" si="291"/>
        <v>24</v>
      </c>
      <c r="U3120" t="str">
        <f t="shared" si="292"/>
        <v>On-Time</v>
      </c>
      <c r="V3120">
        <f t="shared" si="293"/>
        <v>0</v>
      </c>
    </row>
    <row r="3121" spans="1:22" x14ac:dyDescent="0.45">
      <c r="A3121" t="s">
        <v>3978</v>
      </c>
      <c r="B3121" t="s">
        <v>1170</v>
      </c>
      <c r="C3121" t="s">
        <v>30</v>
      </c>
      <c r="D3121" t="s">
        <v>59</v>
      </c>
      <c r="E3121" t="s">
        <v>18</v>
      </c>
      <c r="F3121">
        <v>203</v>
      </c>
      <c r="G3121">
        <v>48905</v>
      </c>
      <c r="H3121">
        <v>9927715</v>
      </c>
      <c r="K3121">
        <v>0</v>
      </c>
      <c r="L3121">
        <v>0</v>
      </c>
      <c r="M3121" t="s">
        <v>297</v>
      </c>
      <c r="N3121" t="str">
        <f t="shared" si="288"/>
        <v>PO-103120</v>
      </c>
      <c r="O3121" t="str">
        <f t="shared" si="289"/>
        <v>Open</v>
      </c>
      <c r="P3121" t="str">
        <f t="shared" si="290"/>
        <v>WH-PUN</v>
      </c>
      <c r="Q3121" t="str">
        <f>VLOOKUP(C3121, Lookups!$A$2:$D$10, 2, FALSE())</f>
        <v>TechSupply Corp</v>
      </c>
      <c r="R3121" t="str">
        <f>_xlfn.XLOOKUP(D3121, Lookups!$A$12:$A$51, Lookups!$C$12:$C$51, "Unknown")</f>
        <v>Electronics</v>
      </c>
      <c r="S3121">
        <f>IF(ISBLANK(I3121), B3121+VLOOKUP(C3121, Lookups!$A$2:$D$10, 4, FALSE()), I3121)</f>
        <v>46373</v>
      </c>
      <c r="T3121" t="str">
        <f t="shared" si="291"/>
        <v/>
      </c>
      <c r="U3121" t="str">
        <f t="shared" si="292"/>
        <v>Open</v>
      </c>
      <c r="V3121">
        <f t="shared" si="293"/>
        <v>0</v>
      </c>
    </row>
    <row r="3122" spans="1:22" x14ac:dyDescent="0.45">
      <c r="A3122" t="s">
        <v>3979</v>
      </c>
      <c r="B3122" t="s">
        <v>871</v>
      </c>
      <c r="C3122" t="s">
        <v>30</v>
      </c>
      <c r="D3122" t="s">
        <v>53</v>
      </c>
      <c r="E3122" t="s">
        <v>16</v>
      </c>
      <c r="F3122">
        <v>117</v>
      </c>
      <c r="G3122">
        <v>81048</v>
      </c>
      <c r="H3122">
        <v>9482616</v>
      </c>
      <c r="I3122" t="s">
        <v>231</v>
      </c>
      <c r="J3122" t="s">
        <v>1407</v>
      </c>
      <c r="K3122">
        <v>117</v>
      </c>
      <c r="L3122">
        <v>0</v>
      </c>
      <c r="M3122" t="s">
        <v>115</v>
      </c>
      <c r="N3122" t="str">
        <f t="shared" si="288"/>
        <v>PO-103121</v>
      </c>
      <c r="O3122" t="str">
        <f t="shared" si="289"/>
        <v>Delivered</v>
      </c>
      <c r="P3122" t="str">
        <f t="shared" si="290"/>
        <v>WH-DEL</v>
      </c>
      <c r="Q3122" t="str">
        <f>VLOOKUP(C3122, Lookups!$A$2:$D$10, 2, FALSE())</f>
        <v>TechSupply Corp</v>
      </c>
      <c r="R3122" t="str">
        <f>_xlfn.XLOOKUP(D3122, Lookups!$A$12:$A$51, Lookups!$C$12:$C$51, "Unknown")</f>
        <v>Electronics</v>
      </c>
      <c r="S3122" t="str">
        <f>IF(ISBLANK(I3122), B3122+VLOOKUP(C3122, Lookups!$A$2:$D$10, 4, FALSE()), I3122)</f>
        <v>2025-11-07</v>
      </c>
      <c r="T3122">
        <f t="shared" si="291"/>
        <v>15</v>
      </c>
      <c r="U3122" t="str">
        <f t="shared" si="292"/>
        <v>Late</v>
      </c>
      <c r="V3122">
        <f t="shared" si="293"/>
        <v>0</v>
      </c>
    </row>
    <row r="3123" spans="1:22" x14ac:dyDescent="0.45">
      <c r="A3123" t="s">
        <v>3980</v>
      </c>
      <c r="B3123" t="s">
        <v>1537</v>
      </c>
      <c r="C3123" t="s">
        <v>35</v>
      </c>
      <c r="D3123" t="s">
        <v>60</v>
      </c>
      <c r="E3123" t="s">
        <v>18</v>
      </c>
      <c r="F3123">
        <v>40</v>
      </c>
      <c r="G3123">
        <v>3291</v>
      </c>
      <c r="H3123">
        <v>131640</v>
      </c>
      <c r="I3123" t="s">
        <v>844</v>
      </c>
      <c r="J3123" t="s">
        <v>844</v>
      </c>
      <c r="K3123">
        <v>40</v>
      </c>
      <c r="L3123">
        <v>0</v>
      </c>
      <c r="M3123" t="s">
        <v>115</v>
      </c>
      <c r="N3123" t="str">
        <f t="shared" si="288"/>
        <v>PO-103122</v>
      </c>
      <c r="O3123" t="str">
        <f t="shared" si="289"/>
        <v>Delivered</v>
      </c>
      <c r="P3123" t="str">
        <f t="shared" si="290"/>
        <v>WH-PUN</v>
      </c>
      <c r="Q3123" t="str">
        <f>VLOOKUP(C3123, Lookups!$A$2:$D$10, 2, FALSE())</f>
        <v>Peripheral Source</v>
      </c>
      <c r="R3123" t="str">
        <f>_xlfn.XLOOKUP(D3123, Lookups!$A$12:$A$51, Lookups!$C$12:$C$51, "Unknown")</f>
        <v>Peripherals</v>
      </c>
      <c r="S3123" t="str">
        <f>IF(ISBLANK(I3123), B3123+VLOOKUP(C3123, Lookups!$A$2:$D$10, 4, FALSE()), I3123)</f>
        <v>2025-04-28</v>
      </c>
      <c r="T3123">
        <f t="shared" si="291"/>
        <v>10</v>
      </c>
      <c r="U3123" t="str">
        <f t="shared" si="292"/>
        <v>On-Time</v>
      </c>
      <c r="V3123">
        <f t="shared" si="293"/>
        <v>0</v>
      </c>
    </row>
    <row r="3124" spans="1:22" x14ac:dyDescent="0.45">
      <c r="A3124" t="s">
        <v>3981</v>
      </c>
      <c r="B3124" t="s">
        <v>732</v>
      </c>
      <c r="C3124" t="s">
        <v>36</v>
      </c>
      <c r="D3124" t="s">
        <v>62</v>
      </c>
      <c r="E3124" t="s">
        <v>16</v>
      </c>
      <c r="F3124">
        <v>235</v>
      </c>
      <c r="G3124">
        <v>48478</v>
      </c>
      <c r="H3124">
        <v>11392330</v>
      </c>
      <c r="I3124" t="s">
        <v>1530</v>
      </c>
      <c r="J3124" t="s">
        <v>533</v>
      </c>
      <c r="K3124">
        <v>235</v>
      </c>
      <c r="L3124">
        <v>0</v>
      </c>
      <c r="M3124" t="s">
        <v>927</v>
      </c>
      <c r="N3124" t="str">
        <f t="shared" si="288"/>
        <v>PO-103123</v>
      </c>
      <c r="O3124" t="str">
        <f t="shared" si="289"/>
        <v>Delivered</v>
      </c>
      <c r="P3124" t="str">
        <f t="shared" si="290"/>
        <v>WH-DEL</v>
      </c>
      <c r="Q3124" t="str">
        <f>VLOOKUP(C3124, Lookups!$A$2:$D$10, 2, FALSE())</f>
        <v>NextGen Hardware</v>
      </c>
      <c r="R3124" t="str">
        <f>_xlfn.XLOOKUP(D3124, Lookups!$A$12:$A$51, Lookups!$C$12:$C$51, "Unknown")</f>
        <v>Electronics</v>
      </c>
      <c r="S3124" t="str">
        <f>IF(ISBLANK(I3124), B3124+VLOOKUP(C3124, Lookups!$A$2:$D$10, 4, FALSE()), I3124)</f>
        <v>2025-07-12</v>
      </c>
      <c r="T3124">
        <f t="shared" si="291"/>
        <v>36</v>
      </c>
      <c r="U3124" t="str">
        <f t="shared" si="292"/>
        <v>Late</v>
      </c>
      <c r="V3124">
        <f t="shared" si="293"/>
        <v>0</v>
      </c>
    </row>
    <row r="3125" spans="1:22" x14ac:dyDescent="0.45">
      <c r="A3125" t="s">
        <v>3982</v>
      </c>
      <c r="B3125" t="s">
        <v>595</v>
      </c>
      <c r="C3125" t="s">
        <v>36</v>
      </c>
      <c r="D3125" t="s">
        <v>62</v>
      </c>
      <c r="E3125" t="s">
        <v>15</v>
      </c>
      <c r="F3125">
        <v>212</v>
      </c>
      <c r="G3125">
        <v>48478</v>
      </c>
      <c r="H3125">
        <v>10277336</v>
      </c>
      <c r="I3125" t="s">
        <v>397</v>
      </c>
      <c r="J3125" t="s">
        <v>2937</v>
      </c>
      <c r="K3125">
        <v>212</v>
      </c>
      <c r="L3125">
        <v>0</v>
      </c>
      <c r="M3125" t="s">
        <v>115</v>
      </c>
      <c r="N3125" t="str">
        <f t="shared" si="288"/>
        <v>PO-103124</v>
      </c>
      <c r="O3125" t="str">
        <f t="shared" si="289"/>
        <v>Delivered</v>
      </c>
      <c r="P3125" t="str">
        <f t="shared" si="290"/>
        <v>WH-BOM</v>
      </c>
      <c r="Q3125" t="str">
        <f>VLOOKUP(C3125, Lookups!$A$2:$D$10, 2, FALSE())</f>
        <v>NextGen Hardware</v>
      </c>
      <c r="R3125" t="str">
        <f>_xlfn.XLOOKUP(D3125, Lookups!$A$12:$A$51, Lookups!$C$12:$C$51, "Unknown")</f>
        <v>Electronics</v>
      </c>
      <c r="S3125" t="str">
        <f>IF(ISBLANK(I3125), B3125+VLOOKUP(C3125, Lookups!$A$2:$D$10, 4, FALSE()), I3125)</f>
        <v>2025-04-06</v>
      </c>
      <c r="T3125">
        <f t="shared" si="291"/>
        <v>22</v>
      </c>
      <c r="U3125" t="str">
        <f t="shared" si="292"/>
        <v>On-Time</v>
      </c>
      <c r="V3125">
        <f t="shared" si="293"/>
        <v>0</v>
      </c>
    </row>
    <row r="3126" spans="1:22" x14ac:dyDescent="0.45">
      <c r="A3126" t="s">
        <v>3983</v>
      </c>
      <c r="B3126" t="s">
        <v>494</v>
      </c>
      <c r="C3126" t="s">
        <v>36</v>
      </c>
      <c r="D3126" t="s">
        <v>90</v>
      </c>
      <c r="E3126" t="s">
        <v>15</v>
      </c>
      <c r="F3126">
        <v>245</v>
      </c>
      <c r="G3126">
        <v>81434</v>
      </c>
      <c r="H3126">
        <v>19951330</v>
      </c>
      <c r="I3126" t="s">
        <v>980</v>
      </c>
      <c r="J3126" t="s">
        <v>1198</v>
      </c>
      <c r="K3126">
        <v>245</v>
      </c>
      <c r="L3126">
        <v>0</v>
      </c>
      <c r="M3126" t="s">
        <v>115</v>
      </c>
      <c r="N3126" t="str">
        <f t="shared" si="288"/>
        <v>PO-103125</v>
      </c>
      <c r="O3126" t="str">
        <f t="shared" si="289"/>
        <v>Delivered</v>
      </c>
      <c r="P3126" t="str">
        <f t="shared" si="290"/>
        <v>WH-BOM</v>
      </c>
      <c r="Q3126" t="str">
        <f>VLOOKUP(C3126, Lookups!$A$2:$D$10, 2, FALSE())</f>
        <v>NextGen Hardware</v>
      </c>
      <c r="R3126" t="str">
        <f>_xlfn.XLOOKUP(D3126, Lookups!$A$12:$A$51, Lookups!$C$12:$C$51, "Unknown")</f>
        <v>Electronics</v>
      </c>
      <c r="S3126" t="str">
        <f>IF(ISBLANK(I3126), B3126+VLOOKUP(C3126, Lookups!$A$2:$D$10, 4, FALSE()), I3126)</f>
        <v>2026-10-12</v>
      </c>
      <c r="T3126">
        <f t="shared" si="291"/>
        <v>28</v>
      </c>
      <c r="U3126" t="str">
        <f t="shared" si="292"/>
        <v>Late</v>
      </c>
      <c r="V3126">
        <f t="shared" si="293"/>
        <v>0</v>
      </c>
    </row>
    <row r="3127" spans="1:22" x14ac:dyDescent="0.45">
      <c r="A3127" t="s">
        <v>3984</v>
      </c>
      <c r="B3127" t="s">
        <v>1065</v>
      </c>
      <c r="C3127" t="s">
        <v>37</v>
      </c>
      <c r="D3127" t="s">
        <v>83</v>
      </c>
      <c r="E3127" t="s">
        <v>16</v>
      </c>
      <c r="F3127">
        <v>250</v>
      </c>
      <c r="G3127">
        <v>19850</v>
      </c>
      <c r="H3127">
        <v>4962500</v>
      </c>
      <c r="I3127" t="s">
        <v>2246</v>
      </c>
      <c r="J3127" t="s">
        <v>176</v>
      </c>
      <c r="K3127">
        <v>250</v>
      </c>
      <c r="L3127">
        <v>0</v>
      </c>
      <c r="M3127" t="s">
        <v>115</v>
      </c>
      <c r="N3127" t="str">
        <f t="shared" si="288"/>
        <v>PO-103126</v>
      </c>
      <c r="O3127" t="str">
        <f t="shared" si="289"/>
        <v>Delivered</v>
      </c>
      <c r="P3127" t="str">
        <f t="shared" si="290"/>
        <v>WH-DEL</v>
      </c>
      <c r="Q3127" t="str">
        <f>VLOOKUP(C3127, Lookups!$A$2:$D$10, 2, FALSE())</f>
        <v>Premium Desks Ltd</v>
      </c>
      <c r="R3127" t="str">
        <f>_xlfn.XLOOKUP(D3127, Lookups!$A$12:$A$51, Lookups!$C$12:$C$51, "Unknown")</f>
        <v>Office Furniture</v>
      </c>
      <c r="S3127" t="str">
        <f>IF(ISBLANK(I3127), B3127+VLOOKUP(C3127, Lookups!$A$2:$D$10, 4, FALSE()), I3127)</f>
        <v>2026-08-06</v>
      </c>
      <c r="T3127">
        <f t="shared" si="291"/>
        <v>13</v>
      </c>
      <c r="U3127" t="str">
        <f t="shared" si="292"/>
        <v>Late</v>
      </c>
      <c r="V3127">
        <f t="shared" si="293"/>
        <v>0</v>
      </c>
    </row>
    <row r="3128" spans="1:22" x14ac:dyDescent="0.45">
      <c r="A3128" t="s">
        <v>3985</v>
      </c>
      <c r="B3128" t="s">
        <v>753</v>
      </c>
      <c r="C3128" t="s">
        <v>34</v>
      </c>
      <c r="D3128" t="s">
        <v>80</v>
      </c>
      <c r="E3128" t="s">
        <v>16</v>
      </c>
      <c r="F3128">
        <v>123</v>
      </c>
      <c r="G3128">
        <v>19090</v>
      </c>
      <c r="H3128">
        <v>2348070</v>
      </c>
      <c r="I3128" t="s">
        <v>836</v>
      </c>
      <c r="J3128" t="s">
        <v>837</v>
      </c>
      <c r="K3128">
        <v>123</v>
      </c>
      <c r="L3128">
        <v>0</v>
      </c>
      <c r="M3128" t="s">
        <v>115</v>
      </c>
      <c r="N3128" t="str">
        <f t="shared" si="288"/>
        <v>PO-103127</v>
      </c>
      <c r="O3128" t="str">
        <f t="shared" si="289"/>
        <v>Delivered</v>
      </c>
      <c r="P3128" t="str">
        <f t="shared" si="290"/>
        <v>WH-DEL</v>
      </c>
      <c r="Q3128" t="str">
        <f>VLOOKUP(C3128, Lookups!$A$2:$D$10, 2, FALSE())</f>
        <v>FastElectronics</v>
      </c>
      <c r="R3128" t="str">
        <f>_xlfn.XLOOKUP(D3128, Lookups!$A$12:$A$51, Lookups!$C$12:$C$51, "Unknown")</f>
        <v>Networking</v>
      </c>
      <c r="S3128" t="str">
        <f>IF(ISBLANK(I3128), B3128+VLOOKUP(C3128, Lookups!$A$2:$D$10, 4, FALSE()), I3128)</f>
        <v>2026-01-10</v>
      </c>
      <c r="T3128">
        <f t="shared" si="291"/>
        <v>19</v>
      </c>
      <c r="U3128" t="str">
        <f t="shared" si="292"/>
        <v>Late</v>
      </c>
      <c r="V3128">
        <f t="shared" si="293"/>
        <v>0</v>
      </c>
    </row>
    <row r="3129" spans="1:22" x14ac:dyDescent="0.45">
      <c r="A3129" t="s">
        <v>3986</v>
      </c>
      <c r="B3129" t="s">
        <v>889</v>
      </c>
      <c r="C3129" t="s">
        <v>34</v>
      </c>
      <c r="D3129" t="s">
        <v>58</v>
      </c>
      <c r="E3129" t="s">
        <v>16</v>
      </c>
      <c r="F3129">
        <v>112</v>
      </c>
      <c r="G3129">
        <v>100302</v>
      </c>
      <c r="H3129">
        <v>11233824</v>
      </c>
      <c r="I3129" t="s">
        <v>1005</v>
      </c>
      <c r="J3129" t="s">
        <v>231</v>
      </c>
      <c r="K3129">
        <v>112</v>
      </c>
      <c r="L3129">
        <v>0</v>
      </c>
      <c r="M3129" t="s">
        <v>115</v>
      </c>
      <c r="N3129" t="str">
        <f t="shared" si="288"/>
        <v>PO-103128</v>
      </c>
      <c r="O3129" t="str">
        <f t="shared" si="289"/>
        <v>Delivered</v>
      </c>
      <c r="P3129" t="str">
        <f t="shared" si="290"/>
        <v>WH-DEL</v>
      </c>
      <c r="Q3129" t="str">
        <f>VLOOKUP(C3129, Lookups!$A$2:$D$10, 2, FALSE())</f>
        <v>FastElectronics</v>
      </c>
      <c r="R3129" t="str">
        <f>_xlfn.XLOOKUP(D3129, Lookups!$A$12:$A$51, Lookups!$C$12:$C$51, "Unknown")</f>
        <v>Electronics</v>
      </c>
      <c r="S3129" t="str">
        <f>IF(ISBLANK(I3129), B3129+VLOOKUP(C3129, Lookups!$A$2:$D$10, 4, FALSE()), I3129)</f>
        <v>2025-11-06</v>
      </c>
      <c r="T3129">
        <f t="shared" si="291"/>
        <v>19</v>
      </c>
      <c r="U3129" t="str">
        <f t="shared" si="292"/>
        <v>Late</v>
      </c>
      <c r="V3129">
        <f t="shared" si="293"/>
        <v>0</v>
      </c>
    </row>
    <row r="3130" spans="1:22" x14ac:dyDescent="0.45">
      <c r="A3130" t="s">
        <v>3987</v>
      </c>
      <c r="B3130" t="s">
        <v>308</v>
      </c>
      <c r="C3130" t="s">
        <v>35</v>
      </c>
      <c r="D3130" t="s">
        <v>75</v>
      </c>
      <c r="E3130" t="s">
        <v>16</v>
      </c>
      <c r="F3130">
        <v>200</v>
      </c>
      <c r="G3130">
        <v>4440</v>
      </c>
      <c r="H3130">
        <v>888000</v>
      </c>
      <c r="I3130" t="s">
        <v>495</v>
      </c>
      <c r="J3130" t="s">
        <v>1519</v>
      </c>
      <c r="K3130">
        <v>200</v>
      </c>
      <c r="L3130">
        <v>0</v>
      </c>
      <c r="M3130" t="s">
        <v>115</v>
      </c>
      <c r="N3130" t="str">
        <f t="shared" si="288"/>
        <v>PO-103129</v>
      </c>
      <c r="O3130" t="str">
        <f t="shared" si="289"/>
        <v>Delivered</v>
      </c>
      <c r="P3130" t="str">
        <f t="shared" si="290"/>
        <v>WH-DEL</v>
      </c>
      <c r="Q3130" t="str">
        <f>VLOOKUP(C3130, Lookups!$A$2:$D$10, 2, FALSE())</f>
        <v>Peripheral Source</v>
      </c>
      <c r="R3130" t="str">
        <f>_xlfn.XLOOKUP(D3130, Lookups!$A$12:$A$51, Lookups!$C$12:$C$51, "Unknown")</f>
        <v>Peripherals</v>
      </c>
      <c r="S3130" t="str">
        <f>IF(ISBLANK(I3130), B3130+VLOOKUP(C3130, Lookups!$A$2:$D$10, 4, FALSE()), I3130)</f>
        <v>2026-09-23</v>
      </c>
      <c r="T3130">
        <f t="shared" si="291"/>
        <v>14</v>
      </c>
      <c r="U3130" t="str">
        <f t="shared" si="292"/>
        <v>Late</v>
      </c>
      <c r="V3130">
        <f t="shared" si="293"/>
        <v>0</v>
      </c>
    </row>
    <row r="3131" spans="1:22" x14ac:dyDescent="0.45">
      <c r="A3131" t="s">
        <v>3988</v>
      </c>
      <c r="B3131" t="s">
        <v>1433</v>
      </c>
      <c r="C3131" t="s">
        <v>35</v>
      </c>
      <c r="D3131" t="s">
        <v>65</v>
      </c>
      <c r="E3131" t="s">
        <v>18</v>
      </c>
      <c r="F3131">
        <v>30</v>
      </c>
      <c r="G3131">
        <v>4936</v>
      </c>
      <c r="H3131">
        <v>148080</v>
      </c>
      <c r="I3131" t="s">
        <v>1463</v>
      </c>
      <c r="J3131" t="s">
        <v>415</v>
      </c>
      <c r="K3131">
        <v>30</v>
      </c>
      <c r="L3131">
        <v>0</v>
      </c>
      <c r="M3131" t="s">
        <v>115</v>
      </c>
      <c r="N3131" t="str">
        <f t="shared" si="288"/>
        <v>PO-103130</v>
      </c>
      <c r="O3131" t="str">
        <f t="shared" si="289"/>
        <v>Delivered</v>
      </c>
      <c r="P3131" t="str">
        <f t="shared" si="290"/>
        <v>WH-PUN</v>
      </c>
      <c r="Q3131" t="str">
        <f>VLOOKUP(C3131, Lookups!$A$2:$D$10, 2, FALSE())</f>
        <v>Peripheral Source</v>
      </c>
      <c r="R3131" t="str">
        <f>_xlfn.XLOOKUP(D3131, Lookups!$A$12:$A$51, Lookups!$C$12:$C$51, "Unknown")</f>
        <v>Peripherals</v>
      </c>
      <c r="S3131" t="str">
        <f>IF(ISBLANK(I3131), B3131+VLOOKUP(C3131, Lookups!$A$2:$D$10, 4, FALSE()), I3131)</f>
        <v>2026-05-16</v>
      </c>
      <c r="T3131">
        <f t="shared" si="291"/>
        <v>11</v>
      </c>
      <c r="U3131" t="str">
        <f t="shared" si="292"/>
        <v>Late</v>
      </c>
      <c r="V3131">
        <f t="shared" si="293"/>
        <v>0</v>
      </c>
    </row>
    <row r="3132" spans="1:22" x14ac:dyDescent="0.45">
      <c r="A3132" t="s">
        <v>3989</v>
      </c>
      <c r="B3132" t="s">
        <v>1348</v>
      </c>
      <c r="C3132" t="s">
        <v>30</v>
      </c>
      <c r="D3132" t="s">
        <v>59</v>
      </c>
      <c r="E3132" t="s">
        <v>16</v>
      </c>
      <c r="F3132">
        <v>17</v>
      </c>
      <c r="G3132">
        <v>48905</v>
      </c>
      <c r="H3132">
        <v>831385</v>
      </c>
      <c r="I3132" t="s">
        <v>134</v>
      </c>
      <c r="J3132" t="s">
        <v>349</v>
      </c>
      <c r="K3132">
        <v>17</v>
      </c>
      <c r="L3132">
        <v>0</v>
      </c>
      <c r="M3132" t="s">
        <v>115</v>
      </c>
      <c r="N3132" t="str">
        <f t="shared" si="288"/>
        <v>PO-103131</v>
      </c>
      <c r="O3132" t="str">
        <f t="shared" si="289"/>
        <v>Delivered</v>
      </c>
      <c r="P3132" t="str">
        <f t="shared" si="290"/>
        <v>WH-DEL</v>
      </c>
      <c r="Q3132" t="str">
        <f>VLOOKUP(C3132, Lookups!$A$2:$D$10, 2, FALSE())</f>
        <v>TechSupply Corp</v>
      </c>
      <c r="R3132" t="str">
        <f>_xlfn.XLOOKUP(D3132, Lookups!$A$12:$A$51, Lookups!$C$12:$C$51, "Unknown")</f>
        <v>Electronics</v>
      </c>
      <c r="S3132" t="str">
        <f>IF(ISBLANK(I3132), B3132+VLOOKUP(C3132, Lookups!$A$2:$D$10, 4, FALSE()), I3132)</f>
        <v>2026-09-03</v>
      </c>
      <c r="T3132">
        <f t="shared" si="291"/>
        <v>15</v>
      </c>
      <c r="U3132" t="str">
        <f t="shared" si="292"/>
        <v>Late</v>
      </c>
      <c r="V3132">
        <f t="shared" si="293"/>
        <v>0</v>
      </c>
    </row>
    <row r="3133" spans="1:22" x14ac:dyDescent="0.45">
      <c r="A3133" t="s">
        <v>3990</v>
      </c>
      <c r="B3133" t="s">
        <v>213</v>
      </c>
      <c r="C3133" t="s">
        <v>30</v>
      </c>
      <c r="D3133" t="s">
        <v>86</v>
      </c>
      <c r="E3133" t="s">
        <v>17</v>
      </c>
      <c r="F3133">
        <v>240</v>
      </c>
      <c r="G3133">
        <v>74871</v>
      </c>
      <c r="H3133">
        <v>17969040</v>
      </c>
      <c r="I3133" t="s">
        <v>1187</v>
      </c>
      <c r="J3133" t="s">
        <v>1187</v>
      </c>
      <c r="K3133">
        <v>240</v>
      </c>
      <c r="L3133">
        <v>0</v>
      </c>
      <c r="M3133" t="s">
        <v>115</v>
      </c>
      <c r="N3133" t="str">
        <f t="shared" si="288"/>
        <v>PO-103132</v>
      </c>
      <c r="O3133" t="str">
        <f t="shared" si="289"/>
        <v>Delivered</v>
      </c>
      <c r="P3133" t="str">
        <f t="shared" si="290"/>
        <v>WH-BLR</v>
      </c>
      <c r="Q3133" t="str">
        <f>VLOOKUP(C3133, Lookups!$A$2:$D$10, 2, FALSE())</f>
        <v>TechSupply Corp</v>
      </c>
      <c r="R3133" t="str">
        <f>_xlfn.XLOOKUP(D3133, Lookups!$A$12:$A$51, Lookups!$C$12:$C$51, "Unknown")</f>
        <v>Electronics</v>
      </c>
      <c r="S3133" t="str">
        <f>IF(ISBLANK(I3133), B3133+VLOOKUP(C3133, Lookups!$A$2:$D$10, 4, FALSE()), I3133)</f>
        <v>2025-07-01</v>
      </c>
      <c r="T3133">
        <f t="shared" si="291"/>
        <v>14</v>
      </c>
      <c r="U3133" t="str">
        <f t="shared" si="292"/>
        <v>On-Time</v>
      </c>
      <c r="V3133">
        <f t="shared" si="293"/>
        <v>0</v>
      </c>
    </row>
    <row r="3134" spans="1:22" x14ac:dyDescent="0.45">
      <c r="A3134" t="s">
        <v>3991</v>
      </c>
      <c r="B3134" t="s">
        <v>441</v>
      </c>
      <c r="C3134" t="s">
        <v>30</v>
      </c>
      <c r="D3134" t="s">
        <v>88</v>
      </c>
      <c r="E3134" t="s">
        <v>17</v>
      </c>
      <c r="F3134">
        <v>40</v>
      </c>
      <c r="G3134">
        <v>75512</v>
      </c>
      <c r="H3134">
        <v>3020480</v>
      </c>
      <c r="I3134" t="s">
        <v>787</v>
      </c>
      <c r="J3134" t="s">
        <v>576</v>
      </c>
      <c r="K3134">
        <v>40</v>
      </c>
      <c r="L3134">
        <v>0</v>
      </c>
      <c r="M3134" t="s">
        <v>115</v>
      </c>
      <c r="N3134" t="str">
        <f t="shared" si="288"/>
        <v>PO-103133</v>
      </c>
      <c r="O3134" t="str">
        <f t="shared" si="289"/>
        <v>Delivered</v>
      </c>
      <c r="P3134" t="str">
        <f t="shared" si="290"/>
        <v>WH-BLR</v>
      </c>
      <c r="Q3134" t="str">
        <f>VLOOKUP(C3134, Lookups!$A$2:$D$10, 2, FALSE())</f>
        <v>TechSupply Corp</v>
      </c>
      <c r="R3134" t="str">
        <f>_xlfn.XLOOKUP(D3134, Lookups!$A$12:$A$51, Lookups!$C$12:$C$51, "Unknown")</f>
        <v>Electronics</v>
      </c>
      <c r="S3134" t="str">
        <f>IF(ISBLANK(I3134), B3134+VLOOKUP(C3134, Lookups!$A$2:$D$10, 4, FALSE()), I3134)</f>
        <v>2026-03-04</v>
      </c>
      <c r="T3134">
        <f t="shared" si="291"/>
        <v>15</v>
      </c>
      <c r="U3134" t="str">
        <f t="shared" si="292"/>
        <v>Late</v>
      </c>
      <c r="V3134">
        <f t="shared" si="293"/>
        <v>0</v>
      </c>
    </row>
    <row r="3135" spans="1:22" x14ac:dyDescent="0.45">
      <c r="A3135" t="s">
        <v>3992</v>
      </c>
      <c r="B3135" t="s">
        <v>514</v>
      </c>
      <c r="C3135" t="s">
        <v>31</v>
      </c>
      <c r="D3135" t="s">
        <v>85</v>
      </c>
      <c r="E3135" t="s">
        <v>18</v>
      </c>
      <c r="F3135">
        <v>225</v>
      </c>
      <c r="G3135">
        <v>16501</v>
      </c>
      <c r="H3135">
        <v>3712725</v>
      </c>
      <c r="I3135" t="s">
        <v>680</v>
      </c>
      <c r="J3135" t="s">
        <v>1740</v>
      </c>
      <c r="K3135">
        <v>225</v>
      </c>
      <c r="L3135">
        <v>31</v>
      </c>
      <c r="M3135" t="s">
        <v>115</v>
      </c>
      <c r="N3135" t="str">
        <f t="shared" si="288"/>
        <v>PO-103134</v>
      </c>
      <c r="O3135" t="str">
        <f t="shared" si="289"/>
        <v>Delivered</v>
      </c>
      <c r="P3135" t="str">
        <f t="shared" si="290"/>
        <v>WH-PUN</v>
      </c>
      <c r="Q3135" t="str">
        <f>VLOOKUP(C3135, Lookups!$A$2:$D$10, 2, FALSE())</f>
        <v>Global Networks</v>
      </c>
      <c r="R3135" t="str">
        <f>_xlfn.XLOOKUP(D3135, Lookups!$A$12:$A$51, Lookups!$C$12:$C$51, "Unknown")</f>
        <v>Networking</v>
      </c>
      <c r="S3135" t="str">
        <f>IF(ISBLANK(I3135), B3135+VLOOKUP(C3135, Lookups!$A$2:$D$10, 4, FALSE()), I3135)</f>
        <v>2026-08-04</v>
      </c>
      <c r="T3135">
        <f t="shared" si="291"/>
        <v>22</v>
      </c>
      <c r="U3135" t="str">
        <f t="shared" si="292"/>
        <v>Late</v>
      </c>
      <c r="V3135">
        <f t="shared" si="293"/>
        <v>0.13777777777777778</v>
      </c>
    </row>
    <row r="3136" spans="1:22" x14ac:dyDescent="0.45">
      <c r="A3136" t="s">
        <v>3993</v>
      </c>
      <c r="B3136" t="s">
        <v>842</v>
      </c>
      <c r="C3136" t="s">
        <v>37</v>
      </c>
      <c r="D3136" t="s">
        <v>79</v>
      </c>
      <c r="E3136" t="s">
        <v>16</v>
      </c>
      <c r="F3136">
        <v>154</v>
      </c>
      <c r="G3136">
        <v>23054</v>
      </c>
      <c r="H3136">
        <v>3550316</v>
      </c>
      <c r="I3136" t="s">
        <v>631</v>
      </c>
      <c r="J3136" t="s">
        <v>305</v>
      </c>
      <c r="K3136">
        <v>154</v>
      </c>
      <c r="L3136">
        <v>0</v>
      </c>
      <c r="M3136" t="s">
        <v>115</v>
      </c>
      <c r="N3136" t="str">
        <f t="shared" si="288"/>
        <v>PO-103135</v>
      </c>
      <c r="O3136" t="str">
        <f t="shared" si="289"/>
        <v>Delivered</v>
      </c>
      <c r="P3136" t="str">
        <f t="shared" si="290"/>
        <v>WH-DEL</v>
      </c>
      <c r="Q3136" t="str">
        <f>VLOOKUP(C3136, Lookups!$A$2:$D$10, 2, FALSE())</f>
        <v>Premium Desks Ltd</v>
      </c>
      <c r="R3136" t="str">
        <f>_xlfn.XLOOKUP(D3136, Lookups!$A$12:$A$51, Lookups!$C$12:$C$51, "Unknown")</f>
        <v>Office Furniture</v>
      </c>
      <c r="S3136" t="str">
        <f>IF(ISBLANK(I3136), B3136+VLOOKUP(C3136, Lookups!$A$2:$D$10, 4, FALSE()), I3136)</f>
        <v>2026-06-27</v>
      </c>
      <c r="T3136">
        <f t="shared" si="291"/>
        <v>13</v>
      </c>
      <c r="U3136" t="str">
        <f t="shared" si="292"/>
        <v>Late</v>
      </c>
      <c r="V3136">
        <f t="shared" si="293"/>
        <v>0</v>
      </c>
    </row>
    <row r="3137" spans="1:22" x14ac:dyDescent="0.45">
      <c r="A3137" t="s">
        <v>3994</v>
      </c>
      <c r="B3137" t="s">
        <v>929</v>
      </c>
      <c r="C3137" t="s">
        <v>33</v>
      </c>
      <c r="D3137" t="s">
        <v>89</v>
      </c>
      <c r="E3137" t="s">
        <v>15</v>
      </c>
      <c r="F3137">
        <v>200</v>
      </c>
      <c r="G3137">
        <v>11309</v>
      </c>
      <c r="H3137">
        <v>2261800</v>
      </c>
      <c r="I3137" t="s">
        <v>1430</v>
      </c>
      <c r="J3137" t="s">
        <v>579</v>
      </c>
      <c r="K3137">
        <v>200</v>
      </c>
      <c r="L3137">
        <v>0</v>
      </c>
      <c r="M3137" t="s">
        <v>115</v>
      </c>
      <c r="N3137" t="str">
        <f t="shared" si="288"/>
        <v>PO-103136</v>
      </c>
      <c r="O3137" t="str">
        <f t="shared" si="289"/>
        <v>Delivered</v>
      </c>
      <c r="P3137" t="str">
        <f t="shared" si="290"/>
        <v>WH-BOM</v>
      </c>
      <c r="Q3137" t="str">
        <f>VLOOKUP(C3137, Lookups!$A$2:$D$10, 2, FALSE())</f>
        <v>MegaFurnish</v>
      </c>
      <c r="R3137" t="str">
        <f>_xlfn.XLOOKUP(D3137, Lookups!$A$12:$A$51, Lookups!$C$12:$C$51, "Unknown")</f>
        <v>Office Furniture</v>
      </c>
      <c r="S3137" t="str">
        <f>IF(ISBLANK(I3137), B3137+VLOOKUP(C3137, Lookups!$A$2:$D$10, 4, FALSE()), I3137)</f>
        <v>2025-12-28</v>
      </c>
      <c r="T3137">
        <f t="shared" si="291"/>
        <v>31</v>
      </c>
      <c r="U3137" t="str">
        <f t="shared" si="292"/>
        <v>Late</v>
      </c>
      <c r="V3137">
        <f t="shared" si="293"/>
        <v>0</v>
      </c>
    </row>
    <row r="3138" spans="1:22" x14ac:dyDescent="0.45">
      <c r="A3138" t="s">
        <v>3995</v>
      </c>
      <c r="B3138" t="s">
        <v>610</v>
      </c>
      <c r="C3138" t="s">
        <v>34</v>
      </c>
      <c r="D3138" t="s">
        <v>68</v>
      </c>
      <c r="E3138" t="s">
        <v>18</v>
      </c>
      <c r="F3138">
        <v>81</v>
      </c>
      <c r="G3138">
        <v>41405</v>
      </c>
      <c r="H3138">
        <v>3353805</v>
      </c>
      <c r="I3138" t="s">
        <v>989</v>
      </c>
      <c r="J3138" t="s">
        <v>890</v>
      </c>
      <c r="K3138">
        <v>81</v>
      </c>
      <c r="L3138">
        <v>0</v>
      </c>
      <c r="M3138" t="s">
        <v>115</v>
      </c>
      <c r="N3138" t="str">
        <f t="shared" ref="N3138:N3201" si="294">TRIM(A3138)</f>
        <v>PO-103137</v>
      </c>
      <c r="O3138" t="str">
        <f t="shared" ref="O3138:O3201" si="295">PROPER(TRIM(M3138))</f>
        <v>Delivered</v>
      </c>
      <c r="P3138" t="str">
        <f t="shared" ref="P3138:P3201" si="296">TRIM(E3138)</f>
        <v>WH-PUN</v>
      </c>
      <c r="Q3138" t="str">
        <f>VLOOKUP(C3138, Lookups!$A$2:$D$10, 2, FALSE())</f>
        <v>FastElectronics</v>
      </c>
      <c r="R3138" t="str">
        <f>_xlfn.XLOOKUP(D3138, Lookups!$A$12:$A$51, Lookups!$C$12:$C$51, "Unknown")</f>
        <v>Networking</v>
      </c>
      <c r="S3138" t="str">
        <f>IF(ISBLANK(I3138), B3138+VLOOKUP(C3138, Lookups!$A$2:$D$10, 4, FALSE()), I3138)</f>
        <v>2025-11-13</v>
      </c>
      <c r="T3138">
        <f t="shared" ref="T3138:T3201" si="297">IF(ISBLANK(J3138), "", J3138-B3138)</f>
        <v>14</v>
      </c>
      <c r="U3138" t="str">
        <f t="shared" ref="U3138:U3201" si="298">IF(O3138="Open", "Open", IF(J3138&gt;S3138, "Late", "On-Time"))</f>
        <v>On-Time</v>
      </c>
      <c r="V3138">
        <f t="shared" ref="V3138:V3201" si="299">IF(K3138&gt;0, L3138/K3138, 0)</f>
        <v>0</v>
      </c>
    </row>
    <row r="3139" spans="1:22" x14ac:dyDescent="0.45">
      <c r="A3139" t="s">
        <v>3996</v>
      </c>
      <c r="B3139" t="s">
        <v>153</v>
      </c>
      <c r="C3139" t="s">
        <v>34</v>
      </c>
      <c r="D3139" t="s">
        <v>73</v>
      </c>
      <c r="E3139" t="s">
        <v>16</v>
      </c>
      <c r="F3139">
        <v>132</v>
      </c>
      <c r="G3139">
        <v>58396</v>
      </c>
      <c r="H3139">
        <v>7708272</v>
      </c>
      <c r="I3139" t="s">
        <v>404</v>
      </c>
      <c r="J3139" t="s">
        <v>404</v>
      </c>
      <c r="K3139">
        <v>108</v>
      </c>
      <c r="L3139">
        <v>0</v>
      </c>
      <c r="M3139" t="s">
        <v>115</v>
      </c>
      <c r="N3139" t="str">
        <f t="shared" si="294"/>
        <v>PO-103138</v>
      </c>
      <c r="O3139" t="str">
        <f t="shared" si="295"/>
        <v>Delivered</v>
      </c>
      <c r="P3139" t="str">
        <f t="shared" si="296"/>
        <v>WH-DEL</v>
      </c>
      <c r="Q3139" t="str">
        <f>VLOOKUP(C3139, Lookups!$A$2:$D$10, 2, FALSE())</f>
        <v>FastElectronics</v>
      </c>
      <c r="R3139" t="str">
        <f>_xlfn.XLOOKUP(D3139, Lookups!$A$12:$A$51, Lookups!$C$12:$C$51, "Unknown")</f>
        <v>Electronics</v>
      </c>
      <c r="S3139" t="str">
        <f>IF(ISBLANK(I3139), B3139+VLOOKUP(C3139, Lookups!$A$2:$D$10, 4, FALSE()), I3139)</f>
        <v>2025-10-25</v>
      </c>
      <c r="T3139">
        <f t="shared" si="297"/>
        <v>18</v>
      </c>
      <c r="U3139" t="str">
        <f t="shared" si="298"/>
        <v>On-Time</v>
      </c>
      <c r="V3139">
        <f t="shared" si="299"/>
        <v>0</v>
      </c>
    </row>
    <row r="3140" spans="1:22" x14ac:dyDescent="0.45">
      <c r="A3140" t="s">
        <v>3997</v>
      </c>
      <c r="B3140" t="s">
        <v>282</v>
      </c>
      <c r="C3140" t="s">
        <v>36</v>
      </c>
      <c r="D3140" t="s">
        <v>62</v>
      </c>
      <c r="E3140" t="s">
        <v>18</v>
      </c>
      <c r="F3140">
        <v>80</v>
      </c>
      <c r="G3140">
        <v>48478</v>
      </c>
      <c r="H3140">
        <v>3878240</v>
      </c>
      <c r="I3140" t="s">
        <v>737</v>
      </c>
      <c r="J3140" t="s">
        <v>1101</v>
      </c>
      <c r="K3140">
        <v>80</v>
      </c>
      <c r="L3140">
        <v>0</v>
      </c>
      <c r="M3140" t="s">
        <v>115</v>
      </c>
      <c r="N3140" t="str">
        <f t="shared" si="294"/>
        <v>PO-103139</v>
      </c>
      <c r="O3140" t="str">
        <f t="shared" si="295"/>
        <v>Delivered</v>
      </c>
      <c r="P3140" t="str">
        <f t="shared" si="296"/>
        <v>WH-PUN</v>
      </c>
      <c r="Q3140" t="str">
        <f>VLOOKUP(C3140, Lookups!$A$2:$D$10, 2, FALSE())</f>
        <v>NextGen Hardware</v>
      </c>
      <c r="R3140" t="str">
        <f>_xlfn.XLOOKUP(D3140, Lookups!$A$12:$A$51, Lookups!$C$12:$C$51, "Unknown")</f>
        <v>Electronics</v>
      </c>
      <c r="S3140" t="str">
        <f>IF(ISBLANK(I3140), B3140+VLOOKUP(C3140, Lookups!$A$2:$D$10, 4, FALSE()), I3140)</f>
        <v>2026-11-20</v>
      </c>
      <c r="T3140">
        <f t="shared" si="297"/>
        <v>25</v>
      </c>
      <c r="U3140" t="str">
        <f t="shared" si="298"/>
        <v>Late</v>
      </c>
      <c r="V3140">
        <f t="shared" si="299"/>
        <v>0</v>
      </c>
    </row>
    <row r="3141" spans="1:22" x14ac:dyDescent="0.45">
      <c r="A3141" t="s">
        <v>3998</v>
      </c>
      <c r="B3141" t="s">
        <v>1480</v>
      </c>
      <c r="C3141" t="s">
        <v>32</v>
      </c>
      <c r="D3141" t="s">
        <v>67</v>
      </c>
      <c r="E3141" t="s">
        <v>15</v>
      </c>
      <c r="F3141">
        <v>248</v>
      </c>
      <c r="G3141">
        <v>1553</v>
      </c>
      <c r="H3141">
        <v>385144</v>
      </c>
      <c r="I3141" t="s">
        <v>1428</v>
      </c>
      <c r="J3141" t="s">
        <v>1428</v>
      </c>
      <c r="K3141">
        <v>248</v>
      </c>
      <c r="L3141">
        <v>0</v>
      </c>
      <c r="M3141" t="s">
        <v>115</v>
      </c>
      <c r="N3141" t="str">
        <f t="shared" si="294"/>
        <v>PO-103140</v>
      </c>
      <c r="O3141" t="str">
        <f t="shared" si="295"/>
        <v>Delivered</v>
      </c>
      <c r="P3141" t="str">
        <f t="shared" si="296"/>
        <v>WH-BOM</v>
      </c>
      <c r="Q3141" t="str">
        <f>VLOOKUP(C3141, Lookups!$A$2:$D$10, 2, FALSE())</f>
        <v>OfficeDepot Pro</v>
      </c>
      <c r="R3141" t="str">
        <f>_xlfn.XLOOKUP(D3141, Lookups!$A$12:$A$51, Lookups!$C$12:$C$51, "Unknown")</f>
        <v>Peripherals</v>
      </c>
      <c r="S3141" t="str">
        <f>IF(ISBLANK(I3141), B3141+VLOOKUP(C3141, Lookups!$A$2:$D$10, 4, FALSE()), I3141)</f>
        <v>2026-09-28</v>
      </c>
      <c r="T3141">
        <f t="shared" si="297"/>
        <v>7</v>
      </c>
      <c r="U3141" t="str">
        <f t="shared" si="298"/>
        <v>On-Time</v>
      </c>
      <c r="V3141">
        <f t="shared" si="299"/>
        <v>0</v>
      </c>
    </row>
    <row r="3142" spans="1:22" x14ac:dyDescent="0.45">
      <c r="A3142" t="s">
        <v>3999</v>
      </c>
      <c r="B3142" t="s">
        <v>131</v>
      </c>
      <c r="C3142" t="s">
        <v>30</v>
      </c>
      <c r="D3142" t="s">
        <v>53</v>
      </c>
      <c r="E3142" t="s">
        <v>16</v>
      </c>
      <c r="F3142">
        <v>90</v>
      </c>
      <c r="G3142">
        <v>81048</v>
      </c>
      <c r="H3142">
        <v>7294320</v>
      </c>
      <c r="I3142" t="s">
        <v>1044</v>
      </c>
      <c r="J3142" t="s">
        <v>1044</v>
      </c>
      <c r="K3142">
        <v>90</v>
      </c>
      <c r="L3142">
        <v>11</v>
      </c>
      <c r="M3142" t="s">
        <v>115</v>
      </c>
      <c r="N3142" t="str">
        <f t="shared" si="294"/>
        <v>PO-103141</v>
      </c>
      <c r="O3142" t="str">
        <f t="shared" si="295"/>
        <v>Delivered</v>
      </c>
      <c r="P3142" t="str">
        <f t="shared" si="296"/>
        <v>WH-DEL</v>
      </c>
      <c r="Q3142" t="str">
        <f>VLOOKUP(C3142, Lookups!$A$2:$D$10, 2, FALSE())</f>
        <v>TechSupply Corp</v>
      </c>
      <c r="R3142" t="str">
        <f>_xlfn.XLOOKUP(D3142, Lookups!$A$12:$A$51, Lookups!$C$12:$C$51, "Unknown")</f>
        <v>Electronics</v>
      </c>
      <c r="S3142" t="str">
        <f>IF(ISBLANK(I3142), B3142+VLOOKUP(C3142, Lookups!$A$2:$D$10, 4, FALSE()), I3142)</f>
        <v>2026-08-10</v>
      </c>
      <c r="T3142">
        <f t="shared" si="297"/>
        <v>14</v>
      </c>
      <c r="U3142" t="str">
        <f t="shared" si="298"/>
        <v>On-Time</v>
      </c>
      <c r="V3142">
        <f t="shared" si="299"/>
        <v>0.12222222222222222</v>
      </c>
    </row>
    <row r="3143" spans="1:22" x14ac:dyDescent="0.45">
      <c r="A3143" t="s">
        <v>4000</v>
      </c>
      <c r="B3143" t="s">
        <v>1318</v>
      </c>
      <c r="C3143" t="s">
        <v>35</v>
      </c>
      <c r="D3143" t="s">
        <v>75</v>
      </c>
      <c r="E3143" t="s">
        <v>18</v>
      </c>
      <c r="F3143">
        <v>132</v>
      </c>
      <c r="G3143">
        <v>4440</v>
      </c>
      <c r="H3143">
        <v>586080</v>
      </c>
      <c r="I3143" t="s">
        <v>986</v>
      </c>
      <c r="J3143" t="s">
        <v>158</v>
      </c>
      <c r="K3143">
        <v>132</v>
      </c>
      <c r="L3143">
        <v>0</v>
      </c>
      <c r="M3143" t="s">
        <v>301</v>
      </c>
      <c r="N3143" t="str">
        <f t="shared" si="294"/>
        <v>PO-103142</v>
      </c>
      <c r="O3143" t="str">
        <f t="shared" si="295"/>
        <v>Delivered</v>
      </c>
      <c r="P3143" t="str">
        <f t="shared" si="296"/>
        <v>WH-PUN</v>
      </c>
      <c r="Q3143" t="str">
        <f>VLOOKUP(C3143, Lookups!$A$2:$D$10, 2, FALSE())</f>
        <v>Peripheral Source</v>
      </c>
      <c r="R3143" t="str">
        <f>_xlfn.XLOOKUP(D3143, Lookups!$A$12:$A$51, Lookups!$C$12:$C$51, "Unknown")</f>
        <v>Peripherals</v>
      </c>
      <c r="S3143" t="str">
        <f>IF(ISBLANK(I3143), B3143+VLOOKUP(C3143, Lookups!$A$2:$D$10, 4, FALSE()), I3143)</f>
        <v>2026-11-04</v>
      </c>
      <c r="T3143">
        <f t="shared" si="297"/>
        <v>11</v>
      </c>
      <c r="U3143" t="str">
        <f t="shared" si="298"/>
        <v>Late</v>
      </c>
      <c r="V3143">
        <f t="shared" si="299"/>
        <v>0</v>
      </c>
    </row>
    <row r="3144" spans="1:22" x14ac:dyDescent="0.45">
      <c r="A3144" t="s">
        <v>4001</v>
      </c>
      <c r="B3144" t="s">
        <v>455</v>
      </c>
      <c r="C3144" t="s">
        <v>35</v>
      </c>
      <c r="D3144" t="s">
        <v>91</v>
      </c>
      <c r="E3144" t="s">
        <v>913</v>
      </c>
      <c r="F3144">
        <v>224</v>
      </c>
      <c r="G3144">
        <v>6707</v>
      </c>
      <c r="H3144">
        <v>1502368</v>
      </c>
      <c r="I3144" t="s">
        <v>348</v>
      </c>
      <c r="J3144" t="s">
        <v>348</v>
      </c>
      <c r="K3144">
        <v>224</v>
      </c>
      <c r="L3144">
        <v>0</v>
      </c>
      <c r="M3144" t="s">
        <v>115</v>
      </c>
      <c r="N3144" t="str">
        <f t="shared" si="294"/>
        <v>PO-103143</v>
      </c>
      <c r="O3144" t="str">
        <f t="shared" si="295"/>
        <v>Delivered</v>
      </c>
      <c r="P3144" t="str">
        <f t="shared" si="296"/>
        <v>WH-DEL</v>
      </c>
      <c r="Q3144" t="str">
        <f>VLOOKUP(C3144, Lookups!$A$2:$D$10, 2, FALSE())</f>
        <v>Peripheral Source</v>
      </c>
      <c r="R3144" t="str">
        <f>_xlfn.XLOOKUP(D3144, Lookups!$A$12:$A$51, Lookups!$C$12:$C$51, "Unknown")</f>
        <v>Peripherals</v>
      </c>
      <c r="S3144" t="str">
        <f>IF(ISBLANK(I3144), B3144+VLOOKUP(C3144, Lookups!$A$2:$D$10, 4, FALSE()), I3144)</f>
        <v>2026-08-23</v>
      </c>
      <c r="T3144">
        <f t="shared" si="297"/>
        <v>10</v>
      </c>
      <c r="U3144" t="str">
        <f t="shared" si="298"/>
        <v>On-Time</v>
      </c>
      <c r="V3144">
        <f t="shared" si="299"/>
        <v>0</v>
      </c>
    </row>
    <row r="3145" spans="1:22" x14ac:dyDescent="0.45">
      <c r="A3145" t="s">
        <v>4002</v>
      </c>
      <c r="B3145" t="s">
        <v>203</v>
      </c>
      <c r="C3145" t="s">
        <v>35</v>
      </c>
      <c r="D3145" t="s">
        <v>91</v>
      </c>
      <c r="E3145" t="s">
        <v>18</v>
      </c>
      <c r="F3145">
        <v>187</v>
      </c>
      <c r="G3145">
        <v>6707</v>
      </c>
      <c r="H3145">
        <v>1254209</v>
      </c>
      <c r="I3145" t="s">
        <v>558</v>
      </c>
      <c r="J3145" t="s">
        <v>559</v>
      </c>
      <c r="K3145">
        <v>187</v>
      </c>
      <c r="L3145">
        <v>0</v>
      </c>
      <c r="M3145" t="s">
        <v>115</v>
      </c>
      <c r="N3145" t="str">
        <f t="shared" si="294"/>
        <v>PO-103144</v>
      </c>
      <c r="O3145" t="str">
        <f t="shared" si="295"/>
        <v>Delivered</v>
      </c>
      <c r="P3145" t="str">
        <f t="shared" si="296"/>
        <v>WH-PUN</v>
      </c>
      <c r="Q3145" t="str">
        <f>VLOOKUP(C3145, Lookups!$A$2:$D$10, 2, FALSE())</f>
        <v>Peripheral Source</v>
      </c>
      <c r="R3145" t="str">
        <f>_xlfn.XLOOKUP(D3145, Lookups!$A$12:$A$51, Lookups!$C$12:$C$51, "Unknown")</f>
        <v>Peripherals</v>
      </c>
      <c r="S3145" t="str">
        <f>IF(ISBLANK(I3145), B3145+VLOOKUP(C3145, Lookups!$A$2:$D$10, 4, FALSE()), I3145)</f>
        <v>2026-04-18</v>
      </c>
      <c r="T3145">
        <f t="shared" si="297"/>
        <v>11</v>
      </c>
      <c r="U3145" t="str">
        <f t="shared" si="298"/>
        <v>Late</v>
      </c>
      <c r="V3145">
        <f t="shared" si="299"/>
        <v>0</v>
      </c>
    </row>
    <row r="3146" spans="1:22" x14ac:dyDescent="0.45">
      <c r="A3146" t="s">
        <v>4003</v>
      </c>
      <c r="B3146" t="s">
        <v>1433</v>
      </c>
      <c r="C3146" t="s">
        <v>30</v>
      </c>
      <c r="D3146" t="s">
        <v>82</v>
      </c>
      <c r="E3146" t="s">
        <v>15</v>
      </c>
      <c r="F3146">
        <v>142</v>
      </c>
      <c r="G3146">
        <v>83427</v>
      </c>
      <c r="H3146">
        <v>11846634</v>
      </c>
      <c r="I3146" t="s">
        <v>529</v>
      </c>
      <c r="J3146" t="s">
        <v>1501</v>
      </c>
      <c r="K3146">
        <v>142</v>
      </c>
      <c r="L3146">
        <v>0</v>
      </c>
      <c r="M3146" t="s">
        <v>115</v>
      </c>
      <c r="N3146" t="str">
        <f t="shared" si="294"/>
        <v>PO-103145</v>
      </c>
      <c r="O3146" t="str">
        <f t="shared" si="295"/>
        <v>Delivered</v>
      </c>
      <c r="P3146" t="str">
        <f t="shared" si="296"/>
        <v>WH-BOM</v>
      </c>
      <c r="Q3146" t="str">
        <f>VLOOKUP(C3146, Lookups!$A$2:$D$10, 2, FALSE())</f>
        <v>TechSupply Corp</v>
      </c>
      <c r="R3146" t="str">
        <f>_xlfn.XLOOKUP(D3146, Lookups!$A$12:$A$51, Lookups!$C$12:$C$51, "Unknown")</f>
        <v>Electronics</v>
      </c>
      <c r="S3146" t="str">
        <f>IF(ISBLANK(I3146), B3146+VLOOKUP(C3146, Lookups!$A$2:$D$10, 4, FALSE()), I3146)</f>
        <v>2026-05-20</v>
      </c>
      <c r="T3146">
        <f t="shared" si="297"/>
        <v>15</v>
      </c>
      <c r="U3146" t="str">
        <f t="shared" si="298"/>
        <v>Late</v>
      </c>
      <c r="V3146">
        <f t="shared" si="299"/>
        <v>0</v>
      </c>
    </row>
    <row r="3147" spans="1:22" x14ac:dyDescent="0.45">
      <c r="A3147" t="s">
        <v>4004</v>
      </c>
      <c r="B3147" t="s">
        <v>484</v>
      </c>
      <c r="C3147" t="s">
        <v>37</v>
      </c>
      <c r="D3147" t="s">
        <v>78</v>
      </c>
      <c r="E3147" t="s">
        <v>15</v>
      </c>
      <c r="F3147">
        <v>113</v>
      </c>
      <c r="G3147">
        <v>9423</v>
      </c>
      <c r="H3147">
        <v>1064799</v>
      </c>
      <c r="I3147" t="s">
        <v>527</v>
      </c>
      <c r="J3147" t="s">
        <v>527</v>
      </c>
      <c r="K3147">
        <v>113</v>
      </c>
      <c r="L3147">
        <v>0</v>
      </c>
      <c r="M3147" t="s">
        <v>115</v>
      </c>
      <c r="N3147" t="str">
        <f t="shared" si="294"/>
        <v>PO-103146</v>
      </c>
      <c r="O3147" t="str">
        <f t="shared" si="295"/>
        <v>Delivered</v>
      </c>
      <c r="P3147" t="str">
        <f t="shared" si="296"/>
        <v>WH-BOM</v>
      </c>
      <c r="Q3147" t="str">
        <f>VLOOKUP(C3147, Lookups!$A$2:$D$10, 2, FALSE())</f>
        <v>Premium Desks Ltd</v>
      </c>
      <c r="R3147" t="str">
        <f>_xlfn.XLOOKUP(D3147, Lookups!$A$12:$A$51, Lookups!$C$12:$C$51, "Unknown")</f>
        <v>Office Furniture</v>
      </c>
      <c r="S3147" t="str">
        <f>IF(ISBLANK(I3147), B3147+VLOOKUP(C3147, Lookups!$A$2:$D$10, 4, FALSE()), I3147)</f>
        <v>2026-07-07</v>
      </c>
      <c r="T3147">
        <f t="shared" si="297"/>
        <v>12</v>
      </c>
      <c r="U3147" t="str">
        <f t="shared" si="298"/>
        <v>On-Time</v>
      </c>
      <c r="V3147">
        <f t="shared" si="299"/>
        <v>0</v>
      </c>
    </row>
    <row r="3148" spans="1:22" x14ac:dyDescent="0.45">
      <c r="A3148" t="s">
        <v>4005</v>
      </c>
      <c r="B3148" t="s">
        <v>908</v>
      </c>
      <c r="C3148" t="s">
        <v>30</v>
      </c>
      <c r="D3148" t="s">
        <v>59</v>
      </c>
      <c r="E3148" t="s">
        <v>16</v>
      </c>
      <c r="F3148">
        <v>12</v>
      </c>
      <c r="G3148">
        <v>48905</v>
      </c>
      <c r="H3148">
        <v>586860</v>
      </c>
      <c r="I3148" t="s">
        <v>130</v>
      </c>
      <c r="J3148" t="s">
        <v>130</v>
      </c>
      <c r="K3148">
        <v>12</v>
      </c>
      <c r="L3148">
        <v>0</v>
      </c>
      <c r="M3148" t="s">
        <v>115</v>
      </c>
      <c r="N3148" t="str">
        <f t="shared" si="294"/>
        <v>PO-103147</v>
      </c>
      <c r="O3148" t="str">
        <f t="shared" si="295"/>
        <v>Delivered</v>
      </c>
      <c r="P3148" t="str">
        <f t="shared" si="296"/>
        <v>WH-DEL</v>
      </c>
      <c r="Q3148" t="str">
        <f>VLOOKUP(C3148, Lookups!$A$2:$D$10, 2, FALSE())</f>
        <v>TechSupply Corp</v>
      </c>
      <c r="R3148" t="str">
        <f>_xlfn.XLOOKUP(D3148, Lookups!$A$12:$A$51, Lookups!$C$12:$C$51, "Unknown")</f>
        <v>Electronics</v>
      </c>
      <c r="S3148" t="str">
        <f>IF(ISBLANK(I3148), B3148+VLOOKUP(C3148, Lookups!$A$2:$D$10, 4, FALSE()), I3148)</f>
        <v>2026-07-15</v>
      </c>
      <c r="T3148">
        <f t="shared" si="297"/>
        <v>14</v>
      </c>
      <c r="U3148" t="str">
        <f t="shared" si="298"/>
        <v>On-Time</v>
      </c>
      <c r="V3148">
        <f t="shared" si="299"/>
        <v>0</v>
      </c>
    </row>
    <row r="3149" spans="1:22" x14ac:dyDescent="0.45">
      <c r="A3149" t="s">
        <v>4006</v>
      </c>
      <c r="B3149" t="s">
        <v>231</v>
      </c>
      <c r="C3149" t="s">
        <v>35</v>
      </c>
      <c r="D3149" t="s">
        <v>91</v>
      </c>
      <c r="E3149" t="s">
        <v>18</v>
      </c>
      <c r="F3149">
        <v>87</v>
      </c>
      <c r="G3149">
        <v>6707</v>
      </c>
      <c r="H3149">
        <v>583509</v>
      </c>
      <c r="I3149" t="s">
        <v>1596</v>
      </c>
      <c r="J3149" t="s">
        <v>544</v>
      </c>
      <c r="K3149">
        <v>87</v>
      </c>
      <c r="L3149">
        <v>0</v>
      </c>
      <c r="M3149" t="s">
        <v>115</v>
      </c>
      <c r="N3149" t="str">
        <f t="shared" si="294"/>
        <v>PO-103148</v>
      </c>
      <c r="O3149" t="str">
        <f t="shared" si="295"/>
        <v>Delivered</v>
      </c>
      <c r="P3149" t="str">
        <f t="shared" si="296"/>
        <v>WH-PUN</v>
      </c>
      <c r="Q3149" t="str">
        <f>VLOOKUP(C3149, Lookups!$A$2:$D$10, 2, FALSE())</f>
        <v>Peripheral Source</v>
      </c>
      <c r="R3149" t="str">
        <f>_xlfn.XLOOKUP(D3149, Lookups!$A$12:$A$51, Lookups!$C$12:$C$51, "Unknown")</f>
        <v>Peripherals</v>
      </c>
      <c r="S3149" t="str">
        <f>IF(ISBLANK(I3149), B3149+VLOOKUP(C3149, Lookups!$A$2:$D$10, 4, FALSE()), I3149)</f>
        <v>2025-11-17</v>
      </c>
      <c r="T3149">
        <f t="shared" si="297"/>
        <v>16</v>
      </c>
      <c r="U3149" t="str">
        <f t="shared" si="298"/>
        <v>Late</v>
      </c>
      <c r="V3149">
        <f t="shared" si="299"/>
        <v>0</v>
      </c>
    </row>
    <row r="3150" spans="1:22" x14ac:dyDescent="0.45">
      <c r="A3150" t="s">
        <v>4007</v>
      </c>
      <c r="B3150" t="s">
        <v>244</v>
      </c>
      <c r="C3150" t="s">
        <v>30</v>
      </c>
      <c r="D3150" t="s">
        <v>88</v>
      </c>
      <c r="E3150" t="s">
        <v>18</v>
      </c>
      <c r="F3150">
        <v>125</v>
      </c>
      <c r="G3150">
        <v>75512</v>
      </c>
      <c r="H3150">
        <v>9439000</v>
      </c>
      <c r="I3150" t="s">
        <v>404</v>
      </c>
      <c r="J3150" t="s">
        <v>898</v>
      </c>
      <c r="K3150">
        <v>125</v>
      </c>
      <c r="L3150">
        <v>0</v>
      </c>
      <c r="M3150" t="s">
        <v>115</v>
      </c>
      <c r="N3150" t="str">
        <f t="shared" si="294"/>
        <v>PO-103149</v>
      </c>
      <c r="O3150" t="str">
        <f t="shared" si="295"/>
        <v>Delivered</v>
      </c>
      <c r="P3150" t="str">
        <f t="shared" si="296"/>
        <v>WH-PUN</v>
      </c>
      <c r="Q3150" t="str">
        <f>VLOOKUP(C3150, Lookups!$A$2:$D$10, 2, FALSE())</f>
        <v>TechSupply Corp</v>
      </c>
      <c r="R3150" t="str">
        <f>_xlfn.XLOOKUP(D3150, Lookups!$A$12:$A$51, Lookups!$C$12:$C$51, "Unknown")</f>
        <v>Electronics</v>
      </c>
      <c r="S3150" t="str">
        <f>IF(ISBLANK(I3150), B3150+VLOOKUP(C3150, Lookups!$A$2:$D$10, 4, FALSE()), I3150)</f>
        <v>2025-10-25</v>
      </c>
      <c r="T3150">
        <f t="shared" si="297"/>
        <v>21</v>
      </c>
      <c r="U3150" t="str">
        <f t="shared" si="298"/>
        <v>Late</v>
      </c>
      <c r="V3150">
        <f t="shared" si="299"/>
        <v>0</v>
      </c>
    </row>
    <row r="3151" spans="1:22" x14ac:dyDescent="0.45">
      <c r="A3151" t="s">
        <v>4008</v>
      </c>
      <c r="B3151" t="s">
        <v>784</v>
      </c>
      <c r="C3151" t="s">
        <v>34</v>
      </c>
      <c r="D3151" t="s">
        <v>68</v>
      </c>
      <c r="E3151" t="s">
        <v>17</v>
      </c>
      <c r="F3151">
        <v>83</v>
      </c>
      <c r="G3151">
        <v>41405</v>
      </c>
      <c r="H3151">
        <v>3436615</v>
      </c>
      <c r="I3151" t="s">
        <v>978</v>
      </c>
      <c r="J3151" t="s">
        <v>600</v>
      </c>
      <c r="K3151">
        <v>83</v>
      </c>
      <c r="L3151">
        <v>0</v>
      </c>
      <c r="M3151" t="s">
        <v>115</v>
      </c>
      <c r="N3151" t="str">
        <f t="shared" si="294"/>
        <v>PO-103150</v>
      </c>
      <c r="O3151" t="str">
        <f t="shared" si="295"/>
        <v>Delivered</v>
      </c>
      <c r="P3151" t="str">
        <f t="shared" si="296"/>
        <v>WH-BLR</v>
      </c>
      <c r="Q3151" t="str">
        <f>VLOOKUP(C3151, Lookups!$A$2:$D$10, 2, FALSE())</f>
        <v>FastElectronics</v>
      </c>
      <c r="R3151" t="str">
        <f>_xlfn.XLOOKUP(D3151, Lookups!$A$12:$A$51, Lookups!$C$12:$C$51, "Unknown")</f>
        <v>Networking</v>
      </c>
      <c r="S3151" t="str">
        <f>IF(ISBLANK(I3151), B3151+VLOOKUP(C3151, Lookups!$A$2:$D$10, 4, FALSE()), I3151)</f>
        <v>2025-09-30</v>
      </c>
      <c r="T3151">
        <f t="shared" si="297"/>
        <v>21</v>
      </c>
      <c r="U3151" t="str">
        <f t="shared" si="298"/>
        <v>Late</v>
      </c>
      <c r="V3151">
        <f t="shared" si="299"/>
        <v>0</v>
      </c>
    </row>
    <row r="3152" spans="1:22" x14ac:dyDescent="0.45">
      <c r="A3152" t="s">
        <v>4009</v>
      </c>
      <c r="B3152" t="s">
        <v>764</v>
      </c>
      <c r="C3152" t="s">
        <v>30</v>
      </c>
      <c r="D3152" t="s">
        <v>86</v>
      </c>
      <c r="E3152" t="s">
        <v>15</v>
      </c>
      <c r="F3152">
        <v>227</v>
      </c>
      <c r="G3152">
        <v>74871</v>
      </c>
      <c r="H3152">
        <v>16995717</v>
      </c>
      <c r="I3152" t="s">
        <v>741</v>
      </c>
      <c r="J3152" t="s">
        <v>566</v>
      </c>
      <c r="K3152">
        <v>227</v>
      </c>
      <c r="L3152">
        <v>0</v>
      </c>
      <c r="M3152" t="s">
        <v>115</v>
      </c>
      <c r="N3152" t="str">
        <f t="shared" si="294"/>
        <v>PO-103151</v>
      </c>
      <c r="O3152" t="str">
        <f t="shared" si="295"/>
        <v>Delivered</v>
      </c>
      <c r="P3152" t="str">
        <f t="shared" si="296"/>
        <v>WH-BOM</v>
      </c>
      <c r="Q3152" t="str">
        <f>VLOOKUP(C3152, Lookups!$A$2:$D$10, 2, FALSE())</f>
        <v>TechSupply Corp</v>
      </c>
      <c r="R3152" t="str">
        <f>_xlfn.XLOOKUP(D3152, Lookups!$A$12:$A$51, Lookups!$C$12:$C$51, "Unknown")</f>
        <v>Electronics</v>
      </c>
      <c r="S3152" t="str">
        <f>IF(ISBLANK(I3152), B3152+VLOOKUP(C3152, Lookups!$A$2:$D$10, 4, FALSE()), I3152)</f>
        <v>2025-03-05</v>
      </c>
      <c r="T3152">
        <f t="shared" si="297"/>
        <v>18</v>
      </c>
      <c r="U3152" t="str">
        <f t="shared" si="298"/>
        <v>Late</v>
      </c>
      <c r="V3152">
        <f t="shared" si="299"/>
        <v>0</v>
      </c>
    </row>
    <row r="3153" spans="1:22" x14ac:dyDescent="0.45">
      <c r="A3153" t="s">
        <v>4010</v>
      </c>
      <c r="B3153" t="s">
        <v>403</v>
      </c>
      <c r="C3153" t="s">
        <v>32</v>
      </c>
      <c r="D3153" t="s">
        <v>84</v>
      </c>
      <c r="E3153" t="s">
        <v>16</v>
      </c>
      <c r="F3153">
        <v>146</v>
      </c>
      <c r="G3153">
        <v>7271</v>
      </c>
      <c r="H3153">
        <v>1061566</v>
      </c>
      <c r="I3153" t="s">
        <v>1129</v>
      </c>
      <c r="J3153" t="s">
        <v>356</v>
      </c>
      <c r="K3153">
        <v>146</v>
      </c>
      <c r="L3153">
        <v>0</v>
      </c>
      <c r="M3153" t="s">
        <v>115</v>
      </c>
      <c r="N3153" t="str">
        <f t="shared" si="294"/>
        <v>PO-103152</v>
      </c>
      <c r="O3153" t="str">
        <f t="shared" si="295"/>
        <v>Delivered</v>
      </c>
      <c r="P3153" t="str">
        <f t="shared" si="296"/>
        <v>WH-DEL</v>
      </c>
      <c r="Q3153" t="str">
        <f>VLOOKUP(C3153, Lookups!$A$2:$D$10, 2, FALSE())</f>
        <v>OfficeDepot Pro</v>
      </c>
      <c r="R3153" t="str">
        <f>_xlfn.XLOOKUP(D3153, Lookups!$A$12:$A$51, Lookups!$C$12:$C$51, "Unknown")</f>
        <v>Peripherals</v>
      </c>
      <c r="S3153" t="str">
        <f>IF(ISBLANK(I3153), B3153+VLOOKUP(C3153, Lookups!$A$2:$D$10, 4, FALSE()), I3153)</f>
        <v>2025-09-25</v>
      </c>
      <c r="T3153">
        <f t="shared" si="297"/>
        <v>9</v>
      </c>
      <c r="U3153" t="str">
        <f t="shared" si="298"/>
        <v>Late</v>
      </c>
      <c r="V3153">
        <f t="shared" si="299"/>
        <v>0</v>
      </c>
    </row>
    <row r="3154" spans="1:22" x14ac:dyDescent="0.45">
      <c r="A3154" t="s">
        <v>4011</v>
      </c>
      <c r="B3154" t="s">
        <v>940</v>
      </c>
      <c r="C3154" t="s">
        <v>34</v>
      </c>
      <c r="D3154" t="s">
        <v>74</v>
      </c>
      <c r="E3154" t="s">
        <v>16</v>
      </c>
      <c r="F3154">
        <v>229</v>
      </c>
      <c r="G3154">
        <v>94797</v>
      </c>
      <c r="H3154">
        <v>21708513</v>
      </c>
      <c r="I3154" t="s">
        <v>782</v>
      </c>
      <c r="J3154" t="s">
        <v>782</v>
      </c>
      <c r="K3154">
        <v>229</v>
      </c>
      <c r="L3154">
        <v>0</v>
      </c>
      <c r="M3154" t="s">
        <v>115</v>
      </c>
      <c r="N3154" t="str">
        <f t="shared" si="294"/>
        <v>PO-103153</v>
      </c>
      <c r="O3154" t="str">
        <f t="shared" si="295"/>
        <v>Delivered</v>
      </c>
      <c r="P3154" t="str">
        <f t="shared" si="296"/>
        <v>WH-DEL</v>
      </c>
      <c r="Q3154" t="str">
        <f>VLOOKUP(C3154, Lookups!$A$2:$D$10, 2, FALSE())</f>
        <v>FastElectronics</v>
      </c>
      <c r="R3154" t="str">
        <f>_xlfn.XLOOKUP(D3154, Lookups!$A$12:$A$51, Lookups!$C$12:$C$51, "Unknown")</f>
        <v>Electronics</v>
      </c>
      <c r="S3154" t="str">
        <f>IF(ISBLANK(I3154), B3154+VLOOKUP(C3154, Lookups!$A$2:$D$10, 4, FALSE()), I3154)</f>
        <v>2025-02-07</v>
      </c>
      <c r="T3154">
        <f t="shared" si="297"/>
        <v>18</v>
      </c>
      <c r="U3154" t="str">
        <f t="shared" si="298"/>
        <v>On-Time</v>
      </c>
      <c r="V3154">
        <f t="shared" si="299"/>
        <v>0</v>
      </c>
    </row>
    <row r="3155" spans="1:22" x14ac:dyDescent="0.45">
      <c r="A3155" t="s">
        <v>4012</v>
      </c>
      <c r="B3155" t="s">
        <v>882</v>
      </c>
      <c r="C3155" t="s">
        <v>37</v>
      </c>
      <c r="D3155" t="s">
        <v>79</v>
      </c>
      <c r="E3155" t="s">
        <v>18</v>
      </c>
      <c r="F3155">
        <v>163</v>
      </c>
      <c r="G3155">
        <v>23054</v>
      </c>
      <c r="H3155">
        <v>3757802</v>
      </c>
      <c r="I3155" t="s">
        <v>113</v>
      </c>
      <c r="J3155" t="s">
        <v>527</v>
      </c>
      <c r="K3155">
        <v>163</v>
      </c>
      <c r="L3155">
        <v>0</v>
      </c>
      <c r="M3155" t="s">
        <v>115</v>
      </c>
      <c r="N3155" t="str">
        <f t="shared" si="294"/>
        <v>PO-103154</v>
      </c>
      <c r="O3155" t="str">
        <f t="shared" si="295"/>
        <v>Delivered</v>
      </c>
      <c r="P3155" t="str">
        <f t="shared" si="296"/>
        <v>WH-PUN</v>
      </c>
      <c r="Q3155" t="str">
        <f>VLOOKUP(C3155, Lookups!$A$2:$D$10, 2, FALSE())</f>
        <v>Premium Desks Ltd</v>
      </c>
      <c r="R3155" t="str">
        <f>_xlfn.XLOOKUP(D3155, Lookups!$A$12:$A$51, Lookups!$C$12:$C$51, "Unknown")</f>
        <v>Office Furniture</v>
      </c>
      <c r="S3155" t="str">
        <f>IF(ISBLANK(I3155), B3155+VLOOKUP(C3155, Lookups!$A$2:$D$10, 4, FALSE()), I3155)</f>
        <v>2026-07-04</v>
      </c>
      <c r="T3155">
        <f t="shared" si="297"/>
        <v>15</v>
      </c>
      <c r="U3155" t="str">
        <f t="shared" si="298"/>
        <v>Late</v>
      </c>
      <c r="V3155">
        <f t="shared" si="299"/>
        <v>0</v>
      </c>
    </row>
    <row r="3156" spans="1:22" x14ac:dyDescent="0.45">
      <c r="A3156" t="s">
        <v>4013</v>
      </c>
      <c r="B3156" t="s">
        <v>1530</v>
      </c>
      <c r="C3156" t="s">
        <v>35</v>
      </c>
      <c r="D3156" t="s">
        <v>57</v>
      </c>
      <c r="E3156" t="s">
        <v>17</v>
      </c>
      <c r="F3156">
        <v>44</v>
      </c>
      <c r="G3156">
        <v>2212</v>
      </c>
      <c r="H3156">
        <v>97328</v>
      </c>
      <c r="I3156" t="s">
        <v>585</v>
      </c>
      <c r="J3156" t="s">
        <v>585</v>
      </c>
      <c r="K3156">
        <v>44</v>
      </c>
      <c r="L3156">
        <v>0</v>
      </c>
      <c r="M3156" t="s">
        <v>115</v>
      </c>
      <c r="N3156" t="str">
        <f t="shared" si="294"/>
        <v>PO-103155</v>
      </c>
      <c r="O3156" t="str">
        <f t="shared" si="295"/>
        <v>Delivered</v>
      </c>
      <c r="P3156" t="str">
        <f t="shared" si="296"/>
        <v>WH-BLR</v>
      </c>
      <c r="Q3156" t="str">
        <f>VLOOKUP(C3156, Lookups!$A$2:$D$10, 2, FALSE())</f>
        <v>Peripheral Source</v>
      </c>
      <c r="R3156" t="str">
        <f>_xlfn.XLOOKUP(D3156, Lookups!$A$12:$A$51, Lookups!$C$12:$C$51, "Unknown")</f>
        <v>Peripherals</v>
      </c>
      <c r="S3156" t="str">
        <f>IF(ISBLANK(I3156), B3156+VLOOKUP(C3156, Lookups!$A$2:$D$10, 4, FALSE()), I3156)</f>
        <v>2025-07-22</v>
      </c>
      <c r="T3156">
        <f t="shared" si="297"/>
        <v>10</v>
      </c>
      <c r="U3156" t="str">
        <f t="shared" si="298"/>
        <v>On-Time</v>
      </c>
      <c r="V3156">
        <f t="shared" si="299"/>
        <v>0</v>
      </c>
    </row>
    <row r="3157" spans="1:22" x14ac:dyDescent="0.45">
      <c r="A3157" t="s">
        <v>4014</v>
      </c>
      <c r="B3157" t="s">
        <v>1191</v>
      </c>
      <c r="C3157" t="s">
        <v>35</v>
      </c>
      <c r="D3157" t="s">
        <v>72</v>
      </c>
      <c r="E3157" t="s">
        <v>18</v>
      </c>
      <c r="F3157">
        <v>93</v>
      </c>
      <c r="G3157">
        <v>7754</v>
      </c>
      <c r="H3157">
        <v>721122</v>
      </c>
      <c r="I3157" t="s">
        <v>1451</v>
      </c>
      <c r="J3157" t="s">
        <v>2179</v>
      </c>
      <c r="K3157">
        <v>93</v>
      </c>
      <c r="L3157">
        <v>0</v>
      </c>
      <c r="M3157" t="s">
        <v>115</v>
      </c>
      <c r="N3157" t="str">
        <f t="shared" si="294"/>
        <v>PO-103156</v>
      </c>
      <c r="O3157" t="str">
        <f t="shared" si="295"/>
        <v>Delivered</v>
      </c>
      <c r="P3157" t="str">
        <f t="shared" si="296"/>
        <v>WH-PUN</v>
      </c>
      <c r="Q3157" t="str">
        <f>VLOOKUP(C3157, Lookups!$A$2:$D$10, 2, FALSE())</f>
        <v>Peripheral Source</v>
      </c>
      <c r="R3157" t="str">
        <f>_xlfn.XLOOKUP(D3157, Lookups!$A$12:$A$51, Lookups!$C$12:$C$51, "Unknown")</f>
        <v>Peripherals</v>
      </c>
      <c r="S3157" t="str">
        <f>IF(ISBLANK(I3157), B3157+VLOOKUP(C3157, Lookups!$A$2:$D$10, 4, FALSE()), I3157)</f>
        <v>2025-05-16</v>
      </c>
      <c r="T3157">
        <f t="shared" si="297"/>
        <v>11</v>
      </c>
      <c r="U3157" t="str">
        <f t="shared" si="298"/>
        <v>Late</v>
      </c>
      <c r="V3157">
        <f t="shared" si="299"/>
        <v>0</v>
      </c>
    </row>
    <row r="3158" spans="1:22" x14ac:dyDescent="0.45">
      <c r="A3158" t="s">
        <v>4015</v>
      </c>
      <c r="B3158" t="s">
        <v>685</v>
      </c>
      <c r="C3158" t="s">
        <v>31</v>
      </c>
      <c r="D3158" t="s">
        <v>85</v>
      </c>
      <c r="E3158" t="s">
        <v>18</v>
      </c>
      <c r="F3158">
        <v>226</v>
      </c>
      <c r="G3158">
        <v>16501</v>
      </c>
      <c r="H3158">
        <v>3729226</v>
      </c>
      <c r="I3158" t="s">
        <v>443</v>
      </c>
      <c r="J3158" t="s">
        <v>151</v>
      </c>
      <c r="K3158">
        <v>226</v>
      </c>
      <c r="L3158">
        <v>0</v>
      </c>
      <c r="M3158" t="s">
        <v>115</v>
      </c>
      <c r="N3158" t="str">
        <f t="shared" si="294"/>
        <v>PO-103157</v>
      </c>
      <c r="O3158" t="str">
        <f t="shared" si="295"/>
        <v>Delivered</v>
      </c>
      <c r="P3158" t="str">
        <f t="shared" si="296"/>
        <v>WH-PUN</v>
      </c>
      <c r="Q3158" t="str">
        <f>VLOOKUP(C3158, Lookups!$A$2:$D$10, 2, FALSE())</f>
        <v>Global Networks</v>
      </c>
      <c r="R3158" t="str">
        <f>_xlfn.XLOOKUP(D3158, Lookups!$A$12:$A$51, Lookups!$C$12:$C$51, "Unknown")</f>
        <v>Networking</v>
      </c>
      <c r="S3158" t="str">
        <f>IF(ISBLANK(I3158), B3158+VLOOKUP(C3158, Lookups!$A$2:$D$10, 4, FALSE()), I3158)</f>
        <v>2026-03-31</v>
      </c>
      <c r="T3158">
        <f t="shared" si="297"/>
        <v>35</v>
      </c>
      <c r="U3158" t="str">
        <f t="shared" si="298"/>
        <v>Late</v>
      </c>
      <c r="V3158">
        <f t="shared" si="299"/>
        <v>0</v>
      </c>
    </row>
    <row r="3159" spans="1:22" x14ac:dyDescent="0.45">
      <c r="A3159" t="s">
        <v>4016</v>
      </c>
      <c r="B3159" t="s">
        <v>177</v>
      </c>
      <c r="C3159" t="s">
        <v>31</v>
      </c>
      <c r="D3159" t="s">
        <v>64</v>
      </c>
      <c r="E3159" t="s">
        <v>16</v>
      </c>
      <c r="F3159">
        <v>67</v>
      </c>
      <c r="G3159">
        <v>36295</v>
      </c>
      <c r="H3159">
        <v>2431765</v>
      </c>
      <c r="I3159" t="s">
        <v>520</v>
      </c>
      <c r="J3159" t="s">
        <v>1119</v>
      </c>
      <c r="K3159">
        <v>67</v>
      </c>
      <c r="L3159">
        <v>0</v>
      </c>
      <c r="M3159" t="s">
        <v>115</v>
      </c>
      <c r="N3159" t="str">
        <f t="shared" si="294"/>
        <v>PO-103158</v>
      </c>
      <c r="O3159" t="str">
        <f t="shared" si="295"/>
        <v>Delivered</v>
      </c>
      <c r="P3159" t="str">
        <f t="shared" si="296"/>
        <v>WH-DEL</v>
      </c>
      <c r="Q3159" t="str">
        <f>VLOOKUP(C3159, Lookups!$A$2:$D$10, 2, FALSE())</f>
        <v>Global Networks</v>
      </c>
      <c r="R3159" t="str">
        <f>_xlfn.XLOOKUP(D3159, Lookups!$A$12:$A$51, Lookups!$C$12:$C$51, "Unknown")</f>
        <v>Networking</v>
      </c>
      <c r="S3159" t="str">
        <f>IF(ISBLANK(I3159), B3159+VLOOKUP(C3159, Lookups!$A$2:$D$10, 4, FALSE()), I3159)</f>
        <v>2026-08-29</v>
      </c>
      <c r="T3159">
        <f t="shared" si="297"/>
        <v>22</v>
      </c>
      <c r="U3159" t="str">
        <f t="shared" si="298"/>
        <v>Late</v>
      </c>
      <c r="V3159">
        <f t="shared" si="299"/>
        <v>0</v>
      </c>
    </row>
    <row r="3160" spans="1:22" x14ac:dyDescent="0.45">
      <c r="A3160" t="s">
        <v>4017</v>
      </c>
      <c r="B3160" t="s">
        <v>1087</v>
      </c>
      <c r="C3160" t="s">
        <v>30</v>
      </c>
      <c r="D3160" t="s">
        <v>61</v>
      </c>
      <c r="E3160" t="s">
        <v>15</v>
      </c>
      <c r="F3160">
        <v>33</v>
      </c>
      <c r="G3160">
        <v>111237</v>
      </c>
      <c r="H3160">
        <v>3670821</v>
      </c>
      <c r="I3160" t="s">
        <v>446</v>
      </c>
      <c r="J3160" t="s">
        <v>1574</v>
      </c>
      <c r="K3160">
        <v>33</v>
      </c>
      <c r="L3160">
        <v>0</v>
      </c>
      <c r="M3160" t="s">
        <v>115</v>
      </c>
      <c r="N3160" t="str">
        <f t="shared" si="294"/>
        <v>PO-103159</v>
      </c>
      <c r="O3160" t="str">
        <f t="shared" si="295"/>
        <v>Delivered</v>
      </c>
      <c r="P3160" t="str">
        <f t="shared" si="296"/>
        <v>WH-BOM</v>
      </c>
      <c r="Q3160" t="str">
        <f>VLOOKUP(C3160, Lookups!$A$2:$D$10, 2, FALSE())</f>
        <v>TechSupply Corp</v>
      </c>
      <c r="R3160" t="str">
        <f>_xlfn.XLOOKUP(D3160, Lookups!$A$12:$A$51, Lookups!$C$12:$C$51, "Unknown")</f>
        <v>Electronics</v>
      </c>
      <c r="S3160" t="str">
        <f>IF(ISBLANK(I3160), B3160+VLOOKUP(C3160, Lookups!$A$2:$D$10, 4, FALSE()), I3160)</f>
        <v>2025-11-29</v>
      </c>
      <c r="T3160">
        <f t="shared" si="297"/>
        <v>15</v>
      </c>
      <c r="U3160" t="str">
        <f t="shared" si="298"/>
        <v>Late</v>
      </c>
      <c r="V3160">
        <f t="shared" si="299"/>
        <v>0</v>
      </c>
    </row>
    <row r="3161" spans="1:22" x14ac:dyDescent="0.45">
      <c r="A3161" t="s">
        <v>4018</v>
      </c>
      <c r="B3161" t="s">
        <v>2554</v>
      </c>
      <c r="C3161" t="s">
        <v>35</v>
      </c>
      <c r="D3161" t="s">
        <v>57</v>
      </c>
      <c r="E3161" t="s">
        <v>18</v>
      </c>
      <c r="F3161">
        <v>232</v>
      </c>
      <c r="G3161">
        <v>2212</v>
      </c>
      <c r="H3161">
        <v>513184</v>
      </c>
      <c r="I3161" t="s">
        <v>127</v>
      </c>
      <c r="J3161" t="s">
        <v>127</v>
      </c>
      <c r="K3161">
        <v>232</v>
      </c>
      <c r="L3161">
        <v>0</v>
      </c>
      <c r="M3161" t="s">
        <v>115</v>
      </c>
      <c r="N3161" t="str">
        <f t="shared" si="294"/>
        <v>PO-103160</v>
      </c>
      <c r="O3161" t="str">
        <f t="shared" si="295"/>
        <v>Delivered</v>
      </c>
      <c r="P3161" t="str">
        <f t="shared" si="296"/>
        <v>WH-PUN</v>
      </c>
      <c r="Q3161" t="str">
        <f>VLOOKUP(C3161, Lookups!$A$2:$D$10, 2, FALSE())</f>
        <v>Peripheral Source</v>
      </c>
      <c r="R3161" t="str">
        <f>_xlfn.XLOOKUP(D3161, Lookups!$A$12:$A$51, Lookups!$C$12:$C$51, "Unknown")</f>
        <v>Peripherals</v>
      </c>
      <c r="S3161" t="str">
        <f>IF(ISBLANK(I3161), B3161+VLOOKUP(C3161, Lookups!$A$2:$D$10, 4, FALSE()), I3161)</f>
        <v>2026-02-02</v>
      </c>
      <c r="T3161">
        <f t="shared" si="297"/>
        <v>10</v>
      </c>
      <c r="U3161" t="str">
        <f t="shared" si="298"/>
        <v>On-Time</v>
      </c>
      <c r="V3161">
        <f t="shared" si="299"/>
        <v>0</v>
      </c>
    </row>
    <row r="3162" spans="1:22" x14ac:dyDescent="0.45">
      <c r="A3162" t="s">
        <v>4019</v>
      </c>
      <c r="B3162" t="s">
        <v>548</v>
      </c>
      <c r="C3162" t="s">
        <v>36</v>
      </c>
      <c r="D3162" t="s">
        <v>55</v>
      </c>
      <c r="E3162" t="s">
        <v>18</v>
      </c>
      <c r="F3162">
        <v>82</v>
      </c>
      <c r="G3162">
        <v>58434</v>
      </c>
      <c r="H3162">
        <v>4791588</v>
      </c>
      <c r="I3162" t="s">
        <v>721</v>
      </c>
      <c r="J3162" t="s">
        <v>861</v>
      </c>
      <c r="K3162">
        <v>60</v>
      </c>
      <c r="L3162">
        <v>8</v>
      </c>
      <c r="M3162" t="s">
        <v>115</v>
      </c>
      <c r="N3162" t="str">
        <f t="shared" si="294"/>
        <v>PO-103161</v>
      </c>
      <c r="O3162" t="str">
        <f t="shared" si="295"/>
        <v>Delivered</v>
      </c>
      <c r="P3162" t="str">
        <f t="shared" si="296"/>
        <v>WH-PUN</v>
      </c>
      <c r="Q3162" t="str">
        <f>VLOOKUP(C3162, Lookups!$A$2:$D$10, 2, FALSE())</f>
        <v>NextGen Hardware</v>
      </c>
      <c r="R3162" t="str">
        <f>_xlfn.XLOOKUP(D3162, Lookups!$A$12:$A$51, Lookups!$C$12:$C$51, "Unknown")</f>
        <v>Electronics</v>
      </c>
      <c r="S3162" t="str">
        <f>IF(ISBLANK(I3162), B3162+VLOOKUP(C3162, Lookups!$A$2:$D$10, 4, FALSE()), I3162)</f>
        <v>2026-02-01</v>
      </c>
      <c r="T3162">
        <f t="shared" si="297"/>
        <v>29</v>
      </c>
      <c r="U3162" t="str">
        <f t="shared" si="298"/>
        <v>Late</v>
      </c>
      <c r="V3162">
        <f t="shared" si="299"/>
        <v>0.13333333333333333</v>
      </c>
    </row>
    <row r="3163" spans="1:22" x14ac:dyDescent="0.45">
      <c r="A3163" t="s">
        <v>4020</v>
      </c>
      <c r="B3163" t="s">
        <v>568</v>
      </c>
      <c r="C3163" t="s">
        <v>36</v>
      </c>
      <c r="D3163" t="s">
        <v>63</v>
      </c>
      <c r="E3163" t="s">
        <v>18</v>
      </c>
      <c r="F3163">
        <v>104</v>
      </c>
      <c r="G3163">
        <v>71062</v>
      </c>
      <c r="H3163">
        <v>7390448</v>
      </c>
      <c r="I3163" t="s">
        <v>600</v>
      </c>
      <c r="J3163" t="s">
        <v>600</v>
      </c>
      <c r="K3163">
        <v>104</v>
      </c>
      <c r="L3163">
        <v>0</v>
      </c>
      <c r="M3163" t="s">
        <v>115</v>
      </c>
      <c r="N3163" t="str">
        <f t="shared" si="294"/>
        <v>PO-103162</v>
      </c>
      <c r="O3163" t="str">
        <f t="shared" si="295"/>
        <v>Delivered</v>
      </c>
      <c r="P3163" t="str">
        <f t="shared" si="296"/>
        <v>WH-PUN</v>
      </c>
      <c r="Q3163" t="str">
        <f>VLOOKUP(C3163, Lookups!$A$2:$D$10, 2, FALSE())</f>
        <v>NextGen Hardware</v>
      </c>
      <c r="R3163" t="str">
        <f>_xlfn.XLOOKUP(D3163, Lookups!$A$12:$A$51, Lookups!$C$12:$C$51, "Unknown")</f>
        <v>Electronics</v>
      </c>
      <c r="S3163" t="str">
        <f>IF(ISBLANK(I3163), B3163+VLOOKUP(C3163, Lookups!$A$2:$D$10, 4, FALSE()), I3163)</f>
        <v>2025-10-03</v>
      </c>
      <c r="T3163">
        <f t="shared" si="297"/>
        <v>24</v>
      </c>
      <c r="U3163" t="str">
        <f t="shared" si="298"/>
        <v>On-Time</v>
      </c>
      <c r="V3163">
        <f t="shared" si="299"/>
        <v>0</v>
      </c>
    </row>
    <row r="3164" spans="1:22" x14ac:dyDescent="0.45">
      <c r="A3164" t="s">
        <v>4021</v>
      </c>
      <c r="B3164" t="s">
        <v>707</v>
      </c>
      <c r="C3164" t="s">
        <v>35</v>
      </c>
      <c r="D3164" t="s">
        <v>75</v>
      </c>
      <c r="E3164" t="s">
        <v>17</v>
      </c>
      <c r="F3164">
        <v>119</v>
      </c>
      <c r="G3164">
        <v>4440</v>
      </c>
      <c r="H3164">
        <v>528360</v>
      </c>
      <c r="I3164" t="s">
        <v>538</v>
      </c>
      <c r="J3164" t="s">
        <v>538</v>
      </c>
      <c r="K3164">
        <v>119</v>
      </c>
      <c r="L3164">
        <v>0</v>
      </c>
      <c r="M3164" t="s">
        <v>115</v>
      </c>
      <c r="N3164" t="str">
        <f t="shared" si="294"/>
        <v>PO-103163</v>
      </c>
      <c r="O3164" t="str">
        <f t="shared" si="295"/>
        <v>Delivered</v>
      </c>
      <c r="P3164" t="str">
        <f t="shared" si="296"/>
        <v>WH-BLR</v>
      </c>
      <c r="Q3164" t="str">
        <f>VLOOKUP(C3164, Lookups!$A$2:$D$10, 2, FALSE())</f>
        <v>Peripheral Source</v>
      </c>
      <c r="R3164" t="str">
        <f>_xlfn.XLOOKUP(D3164, Lookups!$A$12:$A$51, Lookups!$C$12:$C$51, "Unknown")</f>
        <v>Peripherals</v>
      </c>
      <c r="S3164" t="str">
        <f>IF(ISBLANK(I3164), B3164+VLOOKUP(C3164, Lookups!$A$2:$D$10, 4, FALSE()), I3164)</f>
        <v>2026-01-24</v>
      </c>
      <c r="T3164">
        <f t="shared" si="297"/>
        <v>10</v>
      </c>
      <c r="U3164" t="str">
        <f t="shared" si="298"/>
        <v>On-Time</v>
      </c>
      <c r="V3164">
        <f t="shared" si="299"/>
        <v>0</v>
      </c>
    </row>
    <row r="3165" spans="1:22" x14ac:dyDescent="0.45">
      <c r="A3165" t="s">
        <v>4022</v>
      </c>
      <c r="B3165" t="s">
        <v>1069</v>
      </c>
      <c r="C3165" t="s">
        <v>30</v>
      </c>
      <c r="D3165" t="s">
        <v>86</v>
      </c>
      <c r="E3165" t="s">
        <v>17</v>
      </c>
      <c r="F3165">
        <v>198</v>
      </c>
      <c r="G3165">
        <v>74871</v>
      </c>
      <c r="H3165">
        <v>14824458</v>
      </c>
      <c r="I3165" t="s">
        <v>236</v>
      </c>
      <c r="J3165" t="s">
        <v>393</v>
      </c>
      <c r="K3165">
        <v>198</v>
      </c>
      <c r="L3165">
        <v>0</v>
      </c>
      <c r="M3165" t="s">
        <v>115</v>
      </c>
      <c r="N3165" t="str">
        <f t="shared" si="294"/>
        <v>PO-103164</v>
      </c>
      <c r="O3165" t="str">
        <f t="shared" si="295"/>
        <v>Delivered</v>
      </c>
      <c r="P3165" t="str">
        <f t="shared" si="296"/>
        <v>WH-BLR</v>
      </c>
      <c r="Q3165" t="str">
        <f>VLOOKUP(C3165, Lookups!$A$2:$D$10, 2, FALSE())</f>
        <v>TechSupply Corp</v>
      </c>
      <c r="R3165" t="str">
        <f>_xlfn.XLOOKUP(D3165, Lookups!$A$12:$A$51, Lookups!$C$12:$C$51, "Unknown")</f>
        <v>Electronics</v>
      </c>
      <c r="S3165" t="str">
        <f>IF(ISBLANK(I3165), B3165+VLOOKUP(C3165, Lookups!$A$2:$D$10, 4, FALSE()), I3165)</f>
        <v>2025-08-28</v>
      </c>
      <c r="T3165">
        <f t="shared" si="297"/>
        <v>15</v>
      </c>
      <c r="U3165" t="str">
        <f t="shared" si="298"/>
        <v>Late</v>
      </c>
      <c r="V3165">
        <f t="shared" si="299"/>
        <v>0</v>
      </c>
    </row>
    <row r="3166" spans="1:22" x14ac:dyDescent="0.45">
      <c r="A3166" t="s">
        <v>4023</v>
      </c>
      <c r="B3166" t="s">
        <v>1005</v>
      </c>
      <c r="C3166" t="s">
        <v>36</v>
      </c>
      <c r="D3166" t="s">
        <v>55</v>
      </c>
      <c r="E3166" t="s">
        <v>15</v>
      </c>
      <c r="F3166">
        <v>233</v>
      </c>
      <c r="G3166">
        <v>58434</v>
      </c>
      <c r="H3166">
        <v>13615122</v>
      </c>
      <c r="I3166" t="s">
        <v>1574</v>
      </c>
      <c r="J3166" t="s">
        <v>1574</v>
      </c>
      <c r="K3166">
        <v>233</v>
      </c>
      <c r="L3166">
        <v>0</v>
      </c>
      <c r="M3166" t="s">
        <v>115</v>
      </c>
      <c r="N3166" t="str">
        <f t="shared" si="294"/>
        <v>PO-103165</v>
      </c>
      <c r="O3166" t="str">
        <f t="shared" si="295"/>
        <v>Delivered</v>
      </c>
      <c r="P3166" t="str">
        <f t="shared" si="296"/>
        <v>WH-BOM</v>
      </c>
      <c r="Q3166" t="str">
        <f>VLOOKUP(C3166, Lookups!$A$2:$D$10, 2, FALSE())</f>
        <v>NextGen Hardware</v>
      </c>
      <c r="R3166" t="str">
        <f>_xlfn.XLOOKUP(D3166, Lookups!$A$12:$A$51, Lookups!$C$12:$C$51, "Unknown")</f>
        <v>Electronics</v>
      </c>
      <c r="S3166" t="str">
        <f>IF(ISBLANK(I3166), B3166+VLOOKUP(C3166, Lookups!$A$2:$D$10, 4, FALSE()), I3166)</f>
        <v>2025-11-30</v>
      </c>
      <c r="T3166">
        <f t="shared" si="297"/>
        <v>24</v>
      </c>
      <c r="U3166" t="str">
        <f t="shared" si="298"/>
        <v>On-Time</v>
      </c>
      <c r="V3166">
        <f t="shared" si="299"/>
        <v>0</v>
      </c>
    </row>
    <row r="3167" spans="1:22" x14ac:dyDescent="0.45">
      <c r="A3167" t="s">
        <v>4024</v>
      </c>
      <c r="B3167" t="s">
        <v>1028</v>
      </c>
      <c r="C3167" t="s">
        <v>30</v>
      </c>
      <c r="D3167" t="s">
        <v>59</v>
      </c>
      <c r="E3167" t="s">
        <v>17</v>
      </c>
      <c r="F3167">
        <v>183</v>
      </c>
      <c r="G3167">
        <v>48905</v>
      </c>
      <c r="H3167">
        <v>8949615</v>
      </c>
      <c r="I3167" t="s">
        <v>495</v>
      </c>
      <c r="J3167" t="s">
        <v>1480</v>
      </c>
      <c r="K3167">
        <v>183</v>
      </c>
      <c r="L3167">
        <v>0</v>
      </c>
      <c r="M3167" t="s">
        <v>115</v>
      </c>
      <c r="N3167" t="str">
        <f t="shared" si="294"/>
        <v>PO-103166</v>
      </c>
      <c r="O3167" t="str">
        <f t="shared" si="295"/>
        <v>Delivered</v>
      </c>
      <c r="P3167" t="str">
        <f t="shared" si="296"/>
        <v>WH-BLR</v>
      </c>
      <c r="Q3167" t="str">
        <f>VLOOKUP(C3167, Lookups!$A$2:$D$10, 2, FALSE())</f>
        <v>TechSupply Corp</v>
      </c>
      <c r="R3167" t="str">
        <f>_xlfn.XLOOKUP(D3167, Lookups!$A$12:$A$51, Lookups!$C$12:$C$51, "Unknown")</f>
        <v>Electronics</v>
      </c>
      <c r="S3167" t="str">
        <f>IF(ISBLANK(I3167), B3167+VLOOKUP(C3167, Lookups!$A$2:$D$10, 4, FALSE()), I3167)</f>
        <v>2026-09-23</v>
      </c>
      <c r="T3167">
        <f t="shared" si="297"/>
        <v>12</v>
      </c>
      <c r="U3167" t="str">
        <f t="shared" si="298"/>
        <v>On-Time</v>
      </c>
      <c r="V3167">
        <f t="shared" si="299"/>
        <v>0</v>
      </c>
    </row>
    <row r="3168" spans="1:22" x14ac:dyDescent="0.45">
      <c r="A3168" t="s">
        <v>4025</v>
      </c>
      <c r="B3168" t="s">
        <v>846</v>
      </c>
      <c r="C3168" t="s">
        <v>34</v>
      </c>
      <c r="D3168" t="s">
        <v>68</v>
      </c>
      <c r="E3168" t="s">
        <v>16</v>
      </c>
      <c r="F3168">
        <v>97</v>
      </c>
      <c r="G3168">
        <v>41405</v>
      </c>
      <c r="H3168">
        <v>4016285</v>
      </c>
      <c r="I3168" t="s">
        <v>158</v>
      </c>
      <c r="J3168" t="s">
        <v>734</v>
      </c>
      <c r="K3168">
        <v>97</v>
      </c>
      <c r="L3168">
        <v>0</v>
      </c>
      <c r="M3168" t="s">
        <v>115</v>
      </c>
      <c r="N3168" t="str">
        <f t="shared" si="294"/>
        <v>PO-103167</v>
      </c>
      <c r="O3168" t="str">
        <f t="shared" si="295"/>
        <v>Delivered</v>
      </c>
      <c r="P3168" t="str">
        <f t="shared" si="296"/>
        <v>WH-DEL</v>
      </c>
      <c r="Q3168" t="str">
        <f>VLOOKUP(C3168, Lookups!$A$2:$D$10, 2, FALSE())</f>
        <v>FastElectronics</v>
      </c>
      <c r="R3168" t="str">
        <f>_xlfn.XLOOKUP(D3168, Lookups!$A$12:$A$51, Lookups!$C$12:$C$51, "Unknown")</f>
        <v>Networking</v>
      </c>
      <c r="S3168" t="str">
        <f>IF(ISBLANK(I3168), B3168+VLOOKUP(C3168, Lookups!$A$2:$D$10, 4, FALSE()), I3168)</f>
        <v>2026-11-05</v>
      </c>
      <c r="T3168">
        <f t="shared" si="297"/>
        <v>19</v>
      </c>
      <c r="U3168" t="str">
        <f t="shared" si="298"/>
        <v>Late</v>
      </c>
      <c r="V3168">
        <f t="shared" si="299"/>
        <v>0</v>
      </c>
    </row>
    <row r="3169" spans="1:22" x14ac:dyDescent="0.45">
      <c r="A3169" t="s">
        <v>4026</v>
      </c>
      <c r="B3169" t="s">
        <v>954</v>
      </c>
      <c r="C3169" t="s">
        <v>37</v>
      </c>
      <c r="D3169" t="s">
        <v>79</v>
      </c>
      <c r="E3169" t="s">
        <v>15</v>
      </c>
      <c r="F3169">
        <v>137</v>
      </c>
      <c r="G3169">
        <v>23054</v>
      </c>
      <c r="H3169">
        <v>3158398</v>
      </c>
      <c r="I3169" t="s">
        <v>675</v>
      </c>
      <c r="J3169" t="s">
        <v>675</v>
      </c>
      <c r="K3169">
        <v>137</v>
      </c>
      <c r="L3169">
        <v>0</v>
      </c>
      <c r="M3169" t="s">
        <v>115</v>
      </c>
      <c r="N3169" t="str">
        <f t="shared" si="294"/>
        <v>PO-103168</v>
      </c>
      <c r="O3169" t="str">
        <f t="shared" si="295"/>
        <v>Delivered</v>
      </c>
      <c r="P3169" t="str">
        <f t="shared" si="296"/>
        <v>WH-BOM</v>
      </c>
      <c r="Q3169" t="str">
        <f>VLOOKUP(C3169, Lookups!$A$2:$D$10, 2, FALSE())</f>
        <v>Premium Desks Ltd</v>
      </c>
      <c r="R3169" t="str">
        <f>_xlfn.XLOOKUP(D3169, Lookups!$A$12:$A$51, Lookups!$C$12:$C$51, "Unknown")</f>
        <v>Office Furniture</v>
      </c>
      <c r="S3169" t="str">
        <f>IF(ISBLANK(I3169), B3169+VLOOKUP(C3169, Lookups!$A$2:$D$10, 4, FALSE()), I3169)</f>
        <v>2026-11-28</v>
      </c>
      <c r="T3169">
        <f t="shared" si="297"/>
        <v>12</v>
      </c>
      <c r="U3169" t="str">
        <f t="shared" si="298"/>
        <v>On-Time</v>
      </c>
      <c r="V3169">
        <f t="shared" si="299"/>
        <v>0</v>
      </c>
    </row>
    <row r="3170" spans="1:22" x14ac:dyDescent="0.45">
      <c r="A3170" t="s">
        <v>4027</v>
      </c>
      <c r="B3170" t="s">
        <v>1410</v>
      </c>
      <c r="C3170" t="s">
        <v>35</v>
      </c>
      <c r="D3170" t="s">
        <v>70</v>
      </c>
      <c r="E3170" t="s">
        <v>18</v>
      </c>
      <c r="F3170">
        <v>213</v>
      </c>
      <c r="G3170">
        <v>4287</v>
      </c>
      <c r="H3170">
        <v>913131</v>
      </c>
      <c r="I3170" t="s">
        <v>125</v>
      </c>
      <c r="J3170" t="s">
        <v>125</v>
      </c>
      <c r="K3170">
        <v>213</v>
      </c>
      <c r="L3170">
        <v>0</v>
      </c>
      <c r="M3170" t="s">
        <v>115</v>
      </c>
      <c r="N3170" t="str">
        <f t="shared" si="294"/>
        <v>PO-103169</v>
      </c>
      <c r="O3170" t="str">
        <f t="shared" si="295"/>
        <v>Delivered</v>
      </c>
      <c r="P3170" t="str">
        <f t="shared" si="296"/>
        <v>WH-PUN</v>
      </c>
      <c r="Q3170" t="str">
        <f>VLOOKUP(C3170, Lookups!$A$2:$D$10, 2, FALSE())</f>
        <v>Peripheral Source</v>
      </c>
      <c r="R3170" t="str">
        <f>_xlfn.XLOOKUP(D3170, Lookups!$A$12:$A$51, Lookups!$C$12:$C$51, "Unknown")</f>
        <v>Peripherals</v>
      </c>
      <c r="S3170" t="str">
        <f>IF(ISBLANK(I3170), B3170+VLOOKUP(C3170, Lookups!$A$2:$D$10, 4, FALSE()), I3170)</f>
        <v>2026-06-13</v>
      </c>
      <c r="T3170">
        <f t="shared" si="297"/>
        <v>10</v>
      </c>
      <c r="U3170" t="str">
        <f t="shared" si="298"/>
        <v>On-Time</v>
      </c>
      <c r="V3170">
        <f t="shared" si="299"/>
        <v>0</v>
      </c>
    </row>
    <row r="3171" spans="1:22" x14ac:dyDescent="0.45">
      <c r="A3171" t="s">
        <v>4028</v>
      </c>
      <c r="B3171" t="s">
        <v>265</v>
      </c>
      <c r="C3171" t="s">
        <v>34</v>
      </c>
      <c r="D3171" t="s">
        <v>81</v>
      </c>
      <c r="E3171" t="s">
        <v>17</v>
      </c>
      <c r="F3171">
        <v>168</v>
      </c>
      <c r="G3171">
        <v>55328</v>
      </c>
      <c r="H3171">
        <v>9295104</v>
      </c>
      <c r="I3171" t="s">
        <v>430</v>
      </c>
      <c r="J3171" t="s">
        <v>497</v>
      </c>
      <c r="K3171">
        <v>168</v>
      </c>
      <c r="L3171">
        <v>23</v>
      </c>
      <c r="M3171" t="s">
        <v>115</v>
      </c>
      <c r="N3171" t="str">
        <f t="shared" si="294"/>
        <v>PO-103170</v>
      </c>
      <c r="O3171" t="str">
        <f t="shared" si="295"/>
        <v>Delivered</v>
      </c>
      <c r="P3171" t="str">
        <f t="shared" si="296"/>
        <v>WH-BLR</v>
      </c>
      <c r="Q3171" t="str">
        <f>VLOOKUP(C3171, Lookups!$A$2:$D$10, 2, FALSE())</f>
        <v>FastElectronics</v>
      </c>
      <c r="R3171" t="str">
        <f>_xlfn.XLOOKUP(D3171, Lookups!$A$12:$A$51, Lookups!$C$12:$C$51, "Unknown")</f>
        <v>Electronics</v>
      </c>
      <c r="S3171" t="str">
        <f>IF(ISBLANK(I3171), B3171+VLOOKUP(C3171, Lookups!$A$2:$D$10, 4, FALSE()), I3171)</f>
        <v>2025-03-04</v>
      </c>
      <c r="T3171">
        <f t="shared" si="297"/>
        <v>33</v>
      </c>
      <c r="U3171" t="str">
        <f t="shared" si="298"/>
        <v>Late</v>
      </c>
      <c r="V3171">
        <f t="shared" si="299"/>
        <v>0.13690476190476192</v>
      </c>
    </row>
    <row r="3172" spans="1:22" x14ac:dyDescent="0.45">
      <c r="A3172" t="s">
        <v>4029</v>
      </c>
      <c r="B3172" t="s">
        <v>1026</v>
      </c>
      <c r="C3172" t="s">
        <v>35</v>
      </c>
      <c r="D3172" t="s">
        <v>60</v>
      </c>
      <c r="E3172" t="s">
        <v>17</v>
      </c>
      <c r="F3172">
        <v>23</v>
      </c>
      <c r="G3172">
        <v>3291</v>
      </c>
      <c r="H3172">
        <v>75693</v>
      </c>
      <c r="I3172" t="s">
        <v>224</v>
      </c>
      <c r="J3172" t="s">
        <v>514</v>
      </c>
      <c r="K3172">
        <v>23</v>
      </c>
      <c r="L3172">
        <v>0</v>
      </c>
      <c r="M3172" t="s">
        <v>115</v>
      </c>
      <c r="N3172" t="str">
        <f t="shared" si="294"/>
        <v>PO-103171</v>
      </c>
      <c r="O3172" t="str">
        <f t="shared" si="295"/>
        <v>Delivered</v>
      </c>
      <c r="P3172" t="str">
        <f t="shared" si="296"/>
        <v>WH-BLR</v>
      </c>
      <c r="Q3172" t="str">
        <f>VLOOKUP(C3172, Lookups!$A$2:$D$10, 2, FALSE())</f>
        <v>Peripheral Source</v>
      </c>
      <c r="R3172" t="str">
        <f>_xlfn.XLOOKUP(D3172, Lookups!$A$12:$A$51, Lookups!$C$12:$C$51, "Unknown")</f>
        <v>Peripherals</v>
      </c>
      <c r="S3172" t="str">
        <f>IF(ISBLANK(I3172), B3172+VLOOKUP(C3172, Lookups!$A$2:$D$10, 4, FALSE()), I3172)</f>
        <v>2026-07-13</v>
      </c>
      <c r="T3172">
        <f t="shared" si="297"/>
        <v>11</v>
      </c>
      <c r="U3172" t="str">
        <f t="shared" si="298"/>
        <v>Late</v>
      </c>
      <c r="V3172">
        <f t="shared" si="299"/>
        <v>0</v>
      </c>
    </row>
    <row r="3173" spans="1:22" x14ac:dyDescent="0.45">
      <c r="A3173" t="s">
        <v>4030</v>
      </c>
      <c r="B3173" t="s">
        <v>640</v>
      </c>
      <c r="C3173" t="s">
        <v>31</v>
      </c>
      <c r="D3173" t="s">
        <v>56</v>
      </c>
      <c r="E3173" t="s">
        <v>16</v>
      </c>
      <c r="F3173">
        <v>25</v>
      </c>
      <c r="G3173">
        <v>39270</v>
      </c>
      <c r="H3173">
        <v>981750</v>
      </c>
      <c r="I3173" t="s">
        <v>851</v>
      </c>
      <c r="J3173" t="s">
        <v>851</v>
      </c>
      <c r="K3173">
        <v>25</v>
      </c>
      <c r="L3173">
        <v>0</v>
      </c>
      <c r="M3173" t="s">
        <v>301</v>
      </c>
      <c r="N3173" t="str">
        <f t="shared" si="294"/>
        <v>PO-103172</v>
      </c>
      <c r="O3173" t="str">
        <f t="shared" si="295"/>
        <v>Delivered</v>
      </c>
      <c r="P3173" t="str">
        <f t="shared" si="296"/>
        <v>WH-DEL</v>
      </c>
      <c r="Q3173" t="str">
        <f>VLOOKUP(C3173, Lookups!$A$2:$D$10, 2, FALSE())</f>
        <v>Global Networks</v>
      </c>
      <c r="R3173" t="str">
        <f>_xlfn.XLOOKUP(D3173, Lookups!$A$12:$A$51, Lookups!$C$12:$C$51, "Unknown")</f>
        <v>Networking</v>
      </c>
      <c r="S3173" t="str">
        <f>IF(ISBLANK(I3173), B3173+VLOOKUP(C3173, Lookups!$A$2:$D$10, 4, FALSE()), I3173)</f>
        <v>2026-01-16</v>
      </c>
      <c r="T3173">
        <f t="shared" si="297"/>
        <v>21</v>
      </c>
      <c r="U3173" t="str">
        <f t="shared" si="298"/>
        <v>On-Time</v>
      </c>
      <c r="V3173">
        <f t="shared" si="299"/>
        <v>0</v>
      </c>
    </row>
    <row r="3174" spans="1:22" x14ac:dyDescent="0.45">
      <c r="A3174" t="s">
        <v>4031</v>
      </c>
      <c r="B3174" t="s">
        <v>1082</v>
      </c>
      <c r="C3174" t="s">
        <v>34</v>
      </c>
      <c r="D3174" t="s">
        <v>58</v>
      </c>
      <c r="E3174" t="s">
        <v>17</v>
      </c>
      <c r="F3174">
        <v>207</v>
      </c>
      <c r="G3174">
        <v>100302</v>
      </c>
      <c r="H3174">
        <v>20762514</v>
      </c>
      <c r="I3174" t="s">
        <v>1106</v>
      </c>
      <c r="J3174" t="s">
        <v>1106</v>
      </c>
      <c r="K3174">
        <v>207</v>
      </c>
      <c r="L3174">
        <v>0</v>
      </c>
      <c r="M3174" t="s">
        <v>115</v>
      </c>
      <c r="N3174" t="str">
        <f t="shared" si="294"/>
        <v>PO-103173</v>
      </c>
      <c r="O3174" t="str">
        <f t="shared" si="295"/>
        <v>Delivered</v>
      </c>
      <c r="P3174" t="str">
        <f t="shared" si="296"/>
        <v>WH-BLR</v>
      </c>
      <c r="Q3174" t="str">
        <f>VLOOKUP(C3174, Lookups!$A$2:$D$10, 2, FALSE())</f>
        <v>FastElectronics</v>
      </c>
      <c r="R3174" t="str">
        <f>_xlfn.XLOOKUP(D3174, Lookups!$A$12:$A$51, Lookups!$C$12:$C$51, "Unknown")</f>
        <v>Electronics</v>
      </c>
      <c r="S3174" t="str">
        <f>IF(ISBLANK(I3174), B3174+VLOOKUP(C3174, Lookups!$A$2:$D$10, 4, FALSE()), I3174)</f>
        <v>2025-05-10</v>
      </c>
      <c r="T3174">
        <f t="shared" si="297"/>
        <v>18</v>
      </c>
      <c r="U3174" t="str">
        <f t="shared" si="298"/>
        <v>On-Time</v>
      </c>
      <c r="V3174">
        <f t="shared" si="299"/>
        <v>0</v>
      </c>
    </row>
    <row r="3175" spans="1:22" x14ac:dyDescent="0.45">
      <c r="A3175" t="s">
        <v>4032</v>
      </c>
      <c r="B3175" t="s">
        <v>1673</v>
      </c>
      <c r="C3175" t="s">
        <v>30</v>
      </c>
      <c r="D3175" t="s">
        <v>52</v>
      </c>
      <c r="E3175" t="s">
        <v>16</v>
      </c>
      <c r="F3175">
        <v>40</v>
      </c>
      <c r="G3175">
        <v>59592</v>
      </c>
      <c r="H3175">
        <v>2383680</v>
      </c>
      <c r="I3175" t="s">
        <v>394</v>
      </c>
      <c r="J3175" t="s">
        <v>1783</v>
      </c>
      <c r="K3175">
        <v>40</v>
      </c>
      <c r="L3175">
        <v>0</v>
      </c>
      <c r="M3175" t="s">
        <v>115</v>
      </c>
      <c r="N3175" t="str">
        <f t="shared" si="294"/>
        <v>PO-103174</v>
      </c>
      <c r="O3175" t="str">
        <f t="shared" si="295"/>
        <v>Delivered</v>
      </c>
      <c r="P3175" t="str">
        <f t="shared" si="296"/>
        <v>WH-DEL</v>
      </c>
      <c r="Q3175" t="str">
        <f>VLOOKUP(C3175, Lookups!$A$2:$D$10, 2, FALSE())</f>
        <v>TechSupply Corp</v>
      </c>
      <c r="R3175" t="str">
        <f>_xlfn.XLOOKUP(D3175, Lookups!$A$12:$A$51, Lookups!$C$12:$C$51, "Unknown")</f>
        <v>Electronics</v>
      </c>
      <c r="S3175" t="str">
        <f>IF(ISBLANK(I3175), B3175+VLOOKUP(C3175, Lookups!$A$2:$D$10, 4, FALSE()), I3175)</f>
        <v>2025-09-16</v>
      </c>
      <c r="T3175">
        <f t="shared" si="297"/>
        <v>15</v>
      </c>
      <c r="U3175" t="str">
        <f t="shared" si="298"/>
        <v>Late</v>
      </c>
      <c r="V3175">
        <f t="shared" si="299"/>
        <v>0</v>
      </c>
    </row>
    <row r="3176" spans="1:22" x14ac:dyDescent="0.45">
      <c r="A3176" t="s">
        <v>4033</v>
      </c>
      <c r="B3176" t="s">
        <v>134</v>
      </c>
      <c r="C3176" t="s">
        <v>34</v>
      </c>
      <c r="D3176" t="s">
        <v>68</v>
      </c>
      <c r="E3176" t="s">
        <v>17</v>
      </c>
      <c r="F3176">
        <v>238</v>
      </c>
      <c r="G3176">
        <v>41405</v>
      </c>
      <c r="H3176">
        <v>9854390</v>
      </c>
      <c r="I3176" t="s">
        <v>1480</v>
      </c>
      <c r="J3176" t="s">
        <v>1480</v>
      </c>
      <c r="K3176">
        <v>238</v>
      </c>
      <c r="L3176">
        <v>0</v>
      </c>
      <c r="M3176" t="s">
        <v>115</v>
      </c>
      <c r="N3176" t="str">
        <f t="shared" si="294"/>
        <v>PO-103175</v>
      </c>
      <c r="O3176" t="str">
        <f t="shared" si="295"/>
        <v>Delivered</v>
      </c>
      <c r="P3176" t="str">
        <f t="shared" si="296"/>
        <v>WH-BLR</v>
      </c>
      <c r="Q3176" t="str">
        <f>VLOOKUP(C3176, Lookups!$A$2:$D$10, 2, FALSE())</f>
        <v>FastElectronics</v>
      </c>
      <c r="R3176" t="str">
        <f>_xlfn.XLOOKUP(D3176, Lookups!$A$12:$A$51, Lookups!$C$12:$C$51, "Unknown")</f>
        <v>Networking</v>
      </c>
      <c r="S3176" t="str">
        <f>IF(ISBLANK(I3176), B3176+VLOOKUP(C3176, Lookups!$A$2:$D$10, 4, FALSE()), I3176)</f>
        <v>2026-09-21</v>
      </c>
      <c r="T3176">
        <f t="shared" si="297"/>
        <v>18</v>
      </c>
      <c r="U3176" t="str">
        <f t="shared" si="298"/>
        <v>On-Time</v>
      </c>
      <c r="V3176">
        <f t="shared" si="299"/>
        <v>0</v>
      </c>
    </row>
    <row r="3177" spans="1:22" x14ac:dyDescent="0.45">
      <c r="A3177" t="s">
        <v>4034</v>
      </c>
      <c r="B3177" t="s">
        <v>403</v>
      </c>
      <c r="C3177" t="s">
        <v>30</v>
      </c>
      <c r="D3177" t="s">
        <v>53</v>
      </c>
      <c r="E3177" t="s">
        <v>15</v>
      </c>
      <c r="F3177">
        <v>159</v>
      </c>
      <c r="G3177">
        <v>81048</v>
      </c>
      <c r="H3177">
        <v>12886632</v>
      </c>
      <c r="I3177" t="s">
        <v>609</v>
      </c>
      <c r="J3177" t="s">
        <v>609</v>
      </c>
      <c r="K3177">
        <v>159</v>
      </c>
      <c r="L3177">
        <v>0</v>
      </c>
      <c r="M3177" t="s">
        <v>115</v>
      </c>
      <c r="N3177" t="str">
        <f t="shared" si="294"/>
        <v>PO-103176</v>
      </c>
      <c r="O3177" t="str">
        <f t="shared" si="295"/>
        <v>Delivered</v>
      </c>
      <c r="P3177" t="str">
        <f t="shared" si="296"/>
        <v>WH-BOM</v>
      </c>
      <c r="Q3177" t="str">
        <f>VLOOKUP(C3177, Lookups!$A$2:$D$10, 2, FALSE())</f>
        <v>TechSupply Corp</v>
      </c>
      <c r="R3177" t="str">
        <f>_xlfn.XLOOKUP(D3177, Lookups!$A$12:$A$51, Lookups!$C$12:$C$51, "Unknown")</f>
        <v>Electronics</v>
      </c>
      <c r="S3177" t="str">
        <f>IF(ISBLANK(I3177), B3177+VLOOKUP(C3177, Lookups!$A$2:$D$10, 4, FALSE()), I3177)</f>
        <v>2025-10-02</v>
      </c>
      <c r="T3177">
        <f t="shared" si="297"/>
        <v>14</v>
      </c>
      <c r="U3177" t="str">
        <f t="shared" si="298"/>
        <v>On-Time</v>
      </c>
      <c r="V3177">
        <f t="shared" si="299"/>
        <v>0</v>
      </c>
    </row>
    <row r="3178" spans="1:22" x14ac:dyDescent="0.45">
      <c r="A3178" t="s">
        <v>4035</v>
      </c>
      <c r="B3178" t="s">
        <v>1225</v>
      </c>
      <c r="C3178" t="s">
        <v>30</v>
      </c>
      <c r="D3178" t="s">
        <v>82</v>
      </c>
      <c r="E3178" t="s">
        <v>18</v>
      </c>
      <c r="F3178">
        <v>72</v>
      </c>
      <c r="G3178">
        <v>83427</v>
      </c>
      <c r="H3178">
        <v>6006744</v>
      </c>
      <c r="I3178" t="s">
        <v>430</v>
      </c>
      <c r="J3178" t="s">
        <v>497</v>
      </c>
      <c r="K3178">
        <v>72</v>
      </c>
      <c r="L3178">
        <v>0</v>
      </c>
      <c r="M3178" t="s">
        <v>115</v>
      </c>
      <c r="N3178" t="str">
        <f t="shared" si="294"/>
        <v>PO-103177</v>
      </c>
      <c r="O3178" t="str">
        <f t="shared" si="295"/>
        <v>Delivered</v>
      </c>
      <c r="P3178" t="str">
        <f t="shared" si="296"/>
        <v>WH-PUN</v>
      </c>
      <c r="Q3178" t="str">
        <f>VLOOKUP(C3178, Lookups!$A$2:$D$10, 2, FALSE())</f>
        <v>TechSupply Corp</v>
      </c>
      <c r="R3178" t="str">
        <f>_xlfn.XLOOKUP(D3178, Lookups!$A$12:$A$51, Lookups!$C$12:$C$51, "Unknown")</f>
        <v>Electronics</v>
      </c>
      <c r="S3178" t="str">
        <f>IF(ISBLANK(I3178), B3178+VLOOKUP(C3178, Lookups!$A$2:$D$10, 4, FALSE()), I3178)</f>
        <v>2025-03-04</v>
      </c>
      <c r="T3178">
        <f t="shared" si="297"/>
        <v>29</v>
      </c>
      <c r="U3178" t="str">
        <f t="shared" si="298"/>
        <v>Late</v>
      </c>
      <c r="V3178">
        <f t="shared" si="299"/>
        <v>0</v>
      </c>
    </row>
    <row r="3179" spans="1:22" x14ac:dyDescent="0.45">
      <c r="A3179" t="s">
        <v>4036</v>
      </c>
      <c r="B3179" t="s">
        <v>489</v>
      </c>
      <c r="C3179" t="s">
        <v>34</v>
      </c>
      <c r="D3179" t="s">
        <v>54</v>
      </c>
      <c r="E3179" t="s">
        <v>16</v>
      </c>
      <c r="F3179">
        <v>204</v>
      </c>
      <c r="G3179">
        <v>22314</v>
      </c>
      <c r="H3179">
        <v>4552056</v>
      </c>
      <c r="I3179" t="s">
        <v>266</v>
      </c>
      <c r="J3179" t="s">
        <v>266</v>
      </c>
      <c r="K3179">
        <v>204</v>
      </c>
      <c r="L3179">
        <v>0</v>
      </c>
      <c r="M3179" t="s">
        <v>115</v>
      </c>
      <c r="N3179" t="str">
        <f t="shared" si="294"/>
        <v>PO-103178</v>
      </c>
      <c r="O3179" t="str">
        <f t="shared" si="295"/>
        <v>Delivered</v>
      </c>
      <c r="P3179" t="str">
        <f t="shared" si="296"/>
        <v>WH-DEL</v>
      </c>
      <c r="Q3179" t="str">
        <f>VLOOKUP(C3179, Lookups!$A$2:$D$10, 2, FALSE())</f>
        <v>FastElectronics</v>
      </c>
      <c r="R3179" t="str">
        <f>_xlfn.XLOOKUP(D3179, Lookups!$A$12:$A$51, Lookups!$C$12:$C$51, "Unknown")</f>
        <v>Networking</v>
      </c>
      <c r="S3179" t="str">
        <f>IF(ISBLANK(I3179), B3179+VLOOKUP(C3179, Lookups!$A$2:$D$10, 4, FALSE()), I3179)</f>
        <v>2025-02-15</v>
      </c>
      <c r="T3179">
        <f t="shared" si="297"/>
        <v>18</v>
      </c>
      <c r="U3179" t="str">
        <f t="shared" si="298"/>
        <v>On-Time</v>
      </c>
      <c r="V3179">
        <f t="shared" si="299"/>
        <v>0</v>
      </c>
    </row>
    <row r="3180" spans="1:22" x14ac:dyDescent="0.45">
      <c r="A3180" t="s">
        <v>4037</v>
      </c>
      <c r="B3180" t="s">
        <v>161</v>
      </c>
      <c r="C3180" t="s">
        <v>34</v>
      </c>
      <c r="D3180" t="s">
        <v>76</v>
      </c>
      <c r="E3180" t="s">
        <v>16</v>
      </c>
      <c r="F3180">
        <v>16</v>
      </c>
      <c r="G3180">
        <v>26270</v>
      </c>
      <c r="H3180">
        <v>420320</v>
      </c>
      <c r="I3180" t="s">
        <v>636</v>
      </c>
      <c r="J3180" t="s">
        <v>1187</v>
      </c>
      <c r="K3180">
        <v>16</v>
      </c>
      <c r="L3180">
        <v>0</v>
      </c>
      <c r="M3180" t="s">
        <v>115</v>
      </c>
      <c r="N3180" t="str">
        <f t="shared" si="294"/>
        <v>PO-103179</v>
      </c>
      <c r="O3180" t="str">
        <f t="shared" si="295"/>
        <v>Delivered</v>
      </c>
      <c r="P3180" t="str">
        <f t="shared" si="296"/>
        <v>WH-DEL</v>
      </c>
      <c r="Q3180" t="str">
        <f>VLOOKUP(C3180, Lookups!$A$2:$D$10, 2, FALSE())</f>
        <v>FastElectronics</v>
      </c>
      <c r="R3180" t="str">
        <f>_xlfn.XLOOKUP(D3180, Lookups!$A$12:$A$51, Lookups!$C$12:$C$51, "Unknown")</f>
        <v>Networking</v>
      </c>
      <c r="S3180" t="str">
        <f>IF(ISBLANK(I3180), B3180+VLOOKUP(C3180, Lookups!$A$2:$D$10, 4, FALSE()), I3180)</f>
        <v>2025-06-30</v>
      </c>
      <c r="T3180">
        <f t="shared" si="297"/>
        <v>19</v>
      </c>
      <c r="U3180" t="str">
        <f t="shared" si="298"/>
        <v>Late</v>
      </c>
      <c r="V3180">
        <f t="shared" si="299"/>
        <v>0</v>
      </c>
    </row>
    <row r="3181" spans="1:22" x14ac:dyDescent="0.45">
      <c r="A3181" t="s">
        <v>4038</v>
      </c>
      <c r="B3181" t="s">
        <v>859</v>
      </c>
      <c r="C3181" t="s">
        <v>34</v>
      </c>
      <c r="D3181" t="s">
        <v>76</v>
      </c>
      <c r="E3181" t="s">
        <v>16</v>
      </c>
      <c r="F3181">
        <v>237</v>
      </c>
      <c r="G3181">
        <v>26270</v>
      </c>
      <c r="H3181">
        <v>6225990</v>
      </c>
      <c r="I3181" t="s">
        <v>548</v>
      </c>
      <c r="J3181" t="s">
        <v>1415</v>
      </c>
      <c r="K3181">
        <v>237</v>
      </c>
      <c r="L3181">
        <v>0</v>
      </c>
      <c r="M3181" t="s">
        <v>115</v>
      </c>
      <c r="N3181" t="str">
        <f t="shared" si="294"/>
        <v>PO-103180</v>
      </c>
      <c r="O3181" t="str">
        <f t="shared" si="295"/>
        <v>Delivered</v>
      </c>
      <c r="P3181" t="str">
        <f t="shared" si="296"/>
        <v>WH-DEL</v>
      </c>
      <c r="Q3181" t="str">
        <f>VLOOKUP(C3181, Lookups!$A$2:$D$10, 2, FALSE())</f>
        <v>FastElectronics</v>
      </c>
      <c r="R3181" t="str">
        <f>_xlfn.XLOOKUP(D3181, Lookups!$A$12:$A$51, Lookups!$C$12:$C$51, "Unknown")</f>
        <v>Networking</v>
      </c>
      <c r="S3181" t="str">
        <f>IF(ISBLANK(I3181), B3181+VLOOKUP(C3181, Lookups!$A$2:$D$10, 4, FALSE()), I3181)</f>
        <v>2026-01-08</v>
      </c>
      <c r="T3181">
        <f t="shared" si="297"/>
        <v>19</v>
      </c>
      <c r="U3181" t="str">
        <f t="shared" si="298"/>
        <v>Late</v>
      </c>
      <c r="V3181">
        <f t="shared" si="299"/>
        <v>0</v>
      </c>
    </row>
    <row r="3182" spans="1:22" x14ac:dyDescent="0.45">
      <c r="A3182" t="s">
        <v>4039</v>
      </c>
      <c r="B3182" t="s">
        <v>577</v>
      </c>
      <c r="C3182" t="s">
        <v>30</v>
      </c>
      <c r="D3182" t="s">
        <v>86</v>
      </c>
      <c r="E3182" t="s">
        <v>16</v>
      </c>
      <c r="F3182">
        <v>223</v>
      </c>
      <c r="G3182">
        <v>74871</v>
      </c>
      <c r="H3182">
        <v>16696233</v>
      </c>
      <c r="I3182" t="s">
        <v>150</v>
      </c>
      <c r="J3182" t="s">
        <v>150</v>
      </c>
      <c r="K3182">
        <v>223</v>
      </c>
      <c r="L3182">
        <v>0</v>
      </c>
      <c r="M3182" t="s">
        <v>115</v>
      </c>
      <c r="N3182" t="str">
        <f t="shared" si="294"/>
        <v>PO-103181</v>
      </c>
      <c r="O3182" t="str">
        <f t="shared" si="295"/>
        <v>Delivered</v>
      </c>
      <c r="P3182" t="str">
        <f t="shared" si="296"/>
        <v>WH-DEL</v>
      </c>
      <c r="Q3182" t="str">
        <f>VLOOKUP(C3182, Lookups!$A$2:$D$10, 2, FALSE())</f>
        <v>TechSupply Corp</v>
      </c>
      <c r="R3182" t="str">
        <f>_xlfn.XLOOKUP(D3182, Lookups!$A$12:$A$51, Lookups!$C$12:$C$51, "Unknown")</f>
        <v>Electronics</v>
      </c>
      <c r="S3182" t="str">
        <f>IF(ISBLANK(I3182), B3182+VLOOKUP(C3182, Lookups!$A$2:$D$10, 4, FALSE()), I3182)</f>
        <v>2026-04-13</v>
      </c>
      <c r="T3182">
        <f t="shared" si="297"/>
        <v>14</v>
      </c>
      <c r="U3182" t="str">
        <f t="shared" si="298"/>
        <v>On-Time</v>
      </c>
      <c r="V3182">
        <f t="shared" si="299"/>
        <v>0</v>
      </c>
    </row>
    <row r="3183" spans="1:22" x14ac:dyDescent="0.45">
      <c r="A3183" t="s">
        <v>4040</v>
      </c>
      <c r="B3183" t="s">
        <v>871</v>
      </c>
      <c r="C3183" t="s">
        <v>35</v>
      </c>
      <c r="D3183" t="s">
        <v>65</v>
      </c>
      <c r="E3183" t="s">
        <v>15</v>
      </c>
      <c r="F3183">
        <v>17</v>
      </c>
      <c r="G3183">
        <v>4936</v>
      </c>
      <c r="H3183">
        <v>83912</v>
      </c>
      <c r="I3183" t="s">
        <v>471</v>
      </c>
      <c r="J3183" t="s">
        <v>551</v>
      </c>
      <c r="K3183">
        <v>16</v>
      </c>
      <c r="L3183">
        <v>0</v>
      </c>
      <c r="M3183" t="s">
        <v>115</v>
      </c>
      <c r="N3183" t="str">
        <f t="shared" si="294"/>
        <v>PO-103182</v>
      </c>
      <c r="O3183" t="str">
        <f t="shared" si="295"/>
        <v>Delivered</v>
      </c>
      <c r="P3183" t="str">
        <f t="shared" si="296"/>
        <v>WH-BOM</v>
      </c>
      <c r="Q3183" t="str">
        <f>VLOOKUP(C3183, Lookups!$A$2:$D$10, 2, FALSE())</f>
        <v>Peripheral Source</v>
      </c>
      <c r="R3183" t="str">
        <f>_xlfn.XLOOKUP(D3183, Lookups!$A$12:$A$51, Lookups!$C$12:$C$51, "Unknown")</f>
        <v>Peripherals</v>
      </c>
      <c r="S3183" t="str">
        <f>IF(ISBLANK(I3183), B3183+VLOOKUP(C3183, Lookups!$A$2:$D$10, 4, FALSE()), I3183)</f>
        <v>2025-11-03</v>
      </c>
      <c r="T3183">
        <f t="shared" si="297"/>
        <v>11</v>
      </c>
      <c r="U3183" t="str">
        <f t="shared" si="298"/>
        <v>Late</v>
      </c>
      <c r="V3183">
        <f t="shared" si="299"/>
        <v>0</v>
      </c>
    </row>
    <row r="3184" spans="1:22" x14ac:dyDescent="0.45">
      <c r="A3184" t="s">
        <v>4041</v>
      </c>
      <c r="B3184" t="s">
        <v>1430</v>
      </c>
      <c r="C3184" t="s">
        <v>34</v>
      </c>
      <c r="D3184" t="s">
        <v>80</v>
      </c>
      <c r="E3184" t="s">
        <v>18</v>
      </c>
      <c r="F3184">
        <v>145</v>
      </c>
      <c r="G3184">
        <v>19090</v>
      </c>
      <c r="H3184">
        <v>2768050</v>
      </c>
      <c r="I3184" t="s">
        <v>261</v>
      </c>
      <c r="J3184" t="s">
        <v>261</v>
      </c>
      <c r="K3184">
        <v>145</v>
      </c>
      <c r="L3184">
        <v>0</v>
      </c>
      <c r="M3184" t="s">
        <v>115</v>
      </c>
      <c r="N3184" t="str">
        <f t="shared" si="294"/>
        <v>PO-103183</v>
      </c>
      <c r="O3184" t="str">
        <f t="shared" si="295"/>
        <v>Delivered</v>
      </c>
      <c r="P3184" t="str">
        <f t="shared" si="296"/>
        <v>WH-PUN</v>
      </c>
      <c r="Q3184" t="str">
        <f>VLOOKUP(C3184, Lookups!$A$2:$D$10, 2, FALSE())</f>
        <v>FastElectronics</v>
      </c>
      <c r="R3184" t="str">
        <f>_xlfn.XLOOKUP(D3184, Lookups!$A$12:$A$51, Lookups!$C$12:$C$51, "Unknown")</f>
        <v>Networking</v>
      </c>
      <c r="S3184" t="str">
        <f>IF(ISBLANK(I3184), B3184+VLOOKUP(C3184, Lookups!$A$2:$D$10, 4, FALSE()), I3184)</f>
        <v>2026-01-15</v>
      </c>
      <c r="T3184">
        <f t="shared" si="297"/>
        <v>18</v>
      </c>
      <c r="U3184" t="str">
        <f t="shared" si="298"/>
        <v>On-Time</v>
      </c>
      <c r="V3184">
        <f t="shared" si="299"/>
        <v>0</v>
      </c>
    </row>
    <row r="3185" spans="1:22" x14ac:dyDescent="0.45">
      <c r="A3185" t="s">
        <v>4042</v>
      </c>
      <c r="B3185" t="s">
        <v>411</v>
      </c>
      <c r="C3185" t="s">
        <v>36</v>
      </c>
      <c r="D3185" t="s">
        <v>63</v>
      </c>
      <c r="E3185" t="s">
        <v>16</v>
      </c>
      <c r="F3185">
        <v>164</v>
      </c>
      <c r="G3185">
        <v>71062</v>
      </c>
      <c r="H3185">
        <v>11654168</v>
      </c>
      <c r="I3185" t="s">
        <v>417</v>
      </c>
      <c r="J3185" t="s">
        <v>417</v>
      </c>
      <c r="K3185">
        <v>91</v>
      </c>
      <c r="L3185">
        <v>0</v>
      </c>
      <c r="M3185" t="s">
        <v>115</v>
      </c>
      <c r="N3185" t="str">
        <f t="shared" si="294"/>
        <v>PO-103184</v>
      </c>
      <c r="O3185" t="str">
        <f t="shared" si="295"/>
        <v>Delivered</v>
      </c>
      <c r="P3185" t="str">
        <f t="shared" si="296"/>
        <v>WH-DEL</v>
      </c>
      <c r="Q3185" t="str">
        <f>VLOOKUP(C3185, Lookups!$A$2:$D$10, 2, FALSE())</f>
        <v>NextGen Hardware</v>
      </c>
      <c r="R3185" t="str">
        <f>_xlfn.XLOOKUP(D3185, Lookups!$A$12:$A$51, Lookups!$C$12:$C$51, "Unknown")</f>
        <v>Electronics</v>
      </c>
      <c r="S3185" t="str">
        <f>IF(ISBLANK(I3185), B3185+VLOOKUP(C3185, Lookups!$A$2:$D$10, 4, FALSE()), I3185)</f>
        <v>2026-06-02</v>
      </c>
      <c r="T3185">
        <f t="shared" si="297"/>
        <v>24</v>
      </c>
      <c r="U3185" t="str">
        <f t="shared" si="298"/>
        <v>On-Time</v>
      </c>
      <c r="V3185">
        <f t="shared" si="299"/>
        <v>0</v>
      </c>
    </row>
    <row r="3186" spans="1:22" x14ac:dyDescent="0.45">
      <c r="A3186" t="s">
        <v>4043</v>
      </c>
      <c r="B3186" t="s">
        <v>1562</v>
      </c>
      <c r="C3186" t="s">
        <v>37</v>
      </c>
      <c r="D3186" t="s">
        <v>79</v>
      </c>
      <c r="E3186" t="s">
        <v>17</v>
      </c>
      <c r="F3186">
        <v>171</v>
      </c>
      <c r="G3186">
        <v>23054</v>
      </c>
      <c r="H3186">
        <v>3942234</v>
      </c>
      <c r="I3186" t="s">
        <v>1295</v>
      </c>
      <c r="J3186" t="s">
        <v>454</v>
      </c>
      <c r="K3186">
        <v>171</v>
      </c>
      <c r="L3186">
        <v>0</v>
      </c>
      <c r="M3186" t="s">
        <v>115</v>
      </c>
      <c r="N3186" t="str">
        <f t="shared" si="294"/>
        <v>PO-103185</v>
      </c>
      <c r="O3186" t="str">
        <f t="shared" si="295"/>
        <v>Delivered</v>
      </c>
      <c r="P3186" t="str">
        <f t="shared" si="296"/>
        <v>WH-BLR</v>
      </c>
      <c r="Q3186" t="str">
        <f>VLOOKUP(C3186, Lookups!$A$2:$D$10, 2, FALSE())</f>
        <v>Premium Desks Ltd</v>
      </c>
      <c r="R3186" t="str">
        <f>_xlfn.XLOOKUP(D3186, Lookups!$A$12:$A$51, Lookups!$C$12:$C$51, "Unknown")</f>
        <v>Office Furniture</v>
      </c>
      <c r="S3186" t="str">
        <f>IF(ISBLANK(I3186), B3186+VLOOKUP(C3186, Lookups!$A$2:$D$10, 4, FALSE()), I3186)</f>
        <v>2026-08-11</v>
      </c>
      <c r="T3186">
        <f t="shared" si="297"/>
        <v>13</v>
      </c>
      <c r="U3186" t="str">
        <f t="shared" si="298"/>
        <v>Late</v>
      </c>
      <c r="V3186">
        <f t="shared" si="299"/>
        <v>0</v>
      </c>
    </row>
    <row r="3187" spans="1:22" x14ac:dyDescent="0.45">
      <c r="A3187" t="s">
        <v>4044</v>
      </c>
      <c r="B3187" t="s">
        <v>766</v>
      </c>
      <c r="C3187" t="s">
        <v>30</v>
      </c>
      <c r="D3187" t="s">
        <v>53</v>
      </c>
      <c r="E3187" t="s">
        <v>18</v>
      </c>
      <c r="F3187">
        <v>202</v>
      </c>
      <c r="G3187">
        <v>81048</v>
      </c>
      <c r="H3187">
        <v>16371696</v>
      </c>
      <c r="I3187" t="s">
        <v>767</v>
      </c>
      <c r="K3187">
        <v>0</v>
      </c>
      <c r="L3187">
        <v>0</v>
      </c>
      <c r="M3187" t="s">
        <v>297</v>
      </c>
      <c r="N3187" t="str">
        <f t="shared" si="294"/>
        <v>PO-103186</v>
      </c>
      <c r="O3187" t="str">
        <f t="shared" si="295"/>
        <v>Open</v>
      </c>
      <c r="P3187" t="str">
        <f t="shared" si="296"/>
        <v>WH-PUN</v>
      </c>
      <c r="Q3187" t="str">
        <f>VLOOKUP(C3187, Lookups!$A$2:$D$10, 2, FALSE())</f>
        <v>TechSupply Corp</v>
      </c>
      <c r="R3187" t="str">
        <f>_xlfn.XLOOKUP(D3187, Lookups!$A$12:$A$51, Lookups!$C$12:$C$51, "Unknown")</f>
        <v>Electronics</v>
      </c>
      <c r="S3187" t="str">
        <f>IF(ISBLANK(I3187), B3187+VLOOKUP(C3187, Lookups!$A$2:$D$10, 4, FALSE()), I3187)</f>
        <v>2026-12-24</v>
      </c>
      <c r="T3187" t="str">
        <f t="shared" si="297"/>
        <v/>
      </c>
      <c r="U3187" t="str">
        <f t="shared" si="298"/>
        <v>Open</v>
      </c>
      <c r="V3187">
        <f t="shared" si="299"/>
        <v>0</v>
      </c>
    </row>
    <row r="3188" spans="1:22" x14ac:dyDescent="0.45">
      <c r="A3188" t="s">
        <v>4045</v>
      </c>
      <c r="B3188" t="s">
        <v>755</v>
      </c>
      <c r="C3188" t="s">
        <v>34</v>
      </c>
      <c r="D3188" t="s">
        <v>76</v>
      </c>
      <c r="E3188" t="s">
        <v>18</v>
      </c>
      <c r="F3188">
        <v>10</v>
      </c>
      <c r="G3188">
        <v>26270</v>
      </c>
      <c r="H3188">
        <v>262700</v>
      </c>
      <c r="I3188" t="s">
        <v>937</v>
      </c>
      <c r="J3188" t="s">
        <v>937</v>
      </c>
      <c r="K3188">
        <v>10</v>
      </c>
      <c r="L3188">
        <v>0</v>
      </c>
      <c r="M3188" t="s">
        <v>115</v>
      </c>
      <c r="N3188" t="str">
        <f t="shared" si="294"/>
        <v>PO-103187</v>
      </c>
      <c r="O3188" t="str">
        <f t="shared" si="295"/>
        <v>Delivered</v>
      </c>
      <c r="P3188" t="str">
        <f t="shared" si="296"/>
        <v>WH-PUN</v>
      </c>
      <c r="Q3188" t="str">
        <f>VLOOKUP(C3188, Lookups!$A$2:$D$10, 2, FALSE())</f>
        <v>FastElectronics</v>
      </c>
      <c r="R3188" t="str">
        <f>_xlfn.XLOOKUP(D3188, Lookups!$A$12:$A$51, Lookups!$C$12:$C$51, "Unknown")</f>
        <v>Networking</v>
      </c>
      <c r="S3188" t="str">
        <f>IF(ISBLANK(I3188), B3188+VLOOKUP(C3188, Lookups!$A$2:$D$10, 4, FALSE()), I3188)</f>
        <v>2025-12-12</v>
      </c>
      <c r="T3188">
        <f t="shared" si="297"/>
        <v>18</v>
      </c>
      <c r="U3188" t="str">
        <f t="shared" si="298"/>
        <v>On-Time</v>
      </c>
      <c r="V3188">
        <f t="shared" si="299"/>
        <v>0</v>
      </c>
    </row>
    <row r="3189" spans="1:22" x14ac:dyDescent="0.45">
      <c r="A3189" t="s">
        <v>4046</v>
      </c>
      <c r="B3189" t="s">
        <v>1041</v>
      </c>
      <c r="C3189" t="s">
        <v>32</v>
      </c>
      <c r="D3189" t="s">
        <v>84</v>
      </c>
      <c r="E3189" t="s">
        <v>18</v>
      </c>
      <c r="F3189">
        <v>101</v>
      </c>
      <c r="G3189">
        <v>7271</v>
      </c>
      <c r="H3189">
        <v>734371</v>
      </c>
      <c r="I3189" t="s">
        <v>1401</v>
      </c>
      <c r="J3189" t="s">
        <v>1318</v>
      </c>
      <c r="K3189">
        <v>87</v>
      </c>
      <c r="L3189">
        <v>0</v>
      </c>
      <c r="M3189" t="s">
        <v>115</v>
      </c>
      <c r="N3189" t="str">
        <f t="shared" si="294"/>
        <v>PO-103188</v>
      </c>
      <c r="O3189" t="str">
        <f t="shared" si="295"/>
        <v>Delivered</v>
      </c>
      <c r="P3189" t="str">
        <f t="shared" si="296"/>
        <v>WH-PUN</v>
      </c>
      <c r="Q3189" t="str">
        <f>VLOOKUP(C3189, Lookups!$A$2:$D$10, 2, FALSE())</f>
        <v>OfficeDepot Pro</v>
      </c>
      <c r="R3189" t="str">
        <f>_xlfn.XLOOKUP(D3189, Lookups!$A$12:$A$51, Lookups!$C$12:$C$51, "Unknown")</f>
        <v>Peripherals</v>
      </c>
      <c r="S3189" t="str">
        <f>IF(ISBLANK(I3189), B3189+VLOOKUP(C3189, Lookups!$A$2:$D$10, 4, FALSE()), I3189)</f>
        <v>2026-10-24</v>
      </c>
      <c r="T3189">
        <f t="shared" si="297"/>
        <v>8</v>
      </c>
      <c r="U3189" t="str">
        <f t="shared" si="298"/>
        <v>Late</v>
      </c>
      <c r="V3189">
        <f t="shared" si="299"/>
        <v>0</v>
      </c>
    </row>
    <row r="3190" spans="1:22" x14ac:dyDescent="0.45">
      <c r="A3190" t="s">
        <v>4047</v>
      </c>
      <c r="B3190" t="s">
        <v>184</v>
      </c>
      <c r="C3190" t="s">
        <v>35</v>
      </c>
      <c r="D3190" t="s">
        <v>60</v>
      </c>
      <c r="E3190" t="s">
        <v>15</v>
      </c>
      <c r="F3190">
        <v>134</v>
      </c>
      <c r="G3190">
        <v>3291</v>
      </c>
      <c r="H3190">
        <v>440994</v>
      </c>
      <c r="I3190" t="s">
        <v>439</v>
      </c>
      <c r="J3190" t="s">
        <v>439</v>
      </c>
      <c r="K3190">
        <v>118</v>
      </c>
      <c r="L3190">
        <v>0</v>
      </c>
      <c r="M3190" t="s">
        <v>115</v>
      </c>
      <c r="N3190" t="str">
        <f t="shared" si="294"/>
        <v>PO-103189</v>
      </c>
      <c r="O3190" t="str">
        <f t="shared" si="295"/>
        <v>Delivered</v>
      </c>
      <c r="P3190" t="str">
        <f t="shared" si="296"/>
        <v>WH-BOM</v>
      </c>
      <c r="Q3190" t="str">
        <f>VLOOKUP(C3190, Lookups!$A$2:$D$10, 2, FALSE())</f>
        <v>Peripheral Source</v>
      </c>
      <c r="R3190" t="str">
        <f>_xlfn.XLOOKUP(D3190, Lookups!$A$12:$A$51, Lookups!$C$12:$C$51, "Unknown")</f>
        <v>Peripherals</v>
      </c>
      <c r="S3190" t="str">
        <f>IF(ISBLANK(I3190), B3190+VLOOKUP(C3190, Lookups!$A$2:$D$10, 4, FALSE()), I3190)</f>
        <v>2025-02-12</v>
      </c>
      <c r="T3190">
        <f t="shared" si="297"/>
        <v>10</v>
      </c>
      <c r="U3190" t="str">
        <f t="shared" si="298"/>
        <v>On-Time</v>
      </c>
      <c r="V3190">
        <f t="shared" si="299"/>
        <v>0</v>
      </c>
    </row>
    <row r="3191" spans="1:22" x14ac:dyDescent="0.45">
      <c r="A3191" t="s">
        <v>4048</v>
      </c>
      <c r="B3191" t="s">
        <v>348</v>
      </c>
      <c r="C3191" t="s">
        <v>36</v>
      </c>
      <c r="D3191" t="s">
        <v>55</v>
      </c>
      <c r="E3191" t="s">
        <v>18</v>
      </c>
      <c r="F3191">
        <v>83</v>
      </c>
      <c r="G3191">
        <v>58434</v>
      </c>
      <c r="H3191">
        <v>4850022</v>
      </c>
      <c r="I3191" t="s">
        <v>521</v>
      </c>
      <c r="J3191" t="s">
        <v>450</v>
      </c>
      <c r="K3191">
        <v>83</v>
      </c>
      <c r="L3191">
        <v>0</v>
      </c>
      <c r="M3191" t="s">
        <v>115</v>
      </c>
      <c r="N3191" t="str">
        <f t="shared" si="294"/>
        <v>PO-103190</v>
      </c>
      <c r="O3191" t="str">
        <f t="shared" si="295"/>
        <v>Delivered</v>
      </c>
      <c r="P3191" t="str">
        <f t="shared" si="296"/>
        <v>WH-PUN</v>
      </c>
      <c r="Q3191" t="str">
        <f>VLOOKUP(C3191, Lookups!$A$2:$D$10, 2, FALSE())</f>
        <v>NextGen Hardware</v>
      </c>
      <c r="R3191" t="str">
        <f>_xlfn.XLOOKUP(D3191, Lookups!$A$12:$A$51, Lookups!$C$12:$C$51, "Unknown")</f>
        <v>Electronics</v>
      </c>
      <c r="S3191" t="str">
        <f>IF(ISBLANK(I3191), B3191+VLOOKUP(C3191, Lookups!$A$2:$D$10, 4, FALSE()), I3191)</f>
        <v>2026-09-16</v>
      </c>
      <c r="T3191">
        <f t="shared" si="297"/>
        <v>20</v>
      </c>
      <c r="U3191" t="str">
        <f t="shared" si="298"/>
        <v>On-Time</v>
      </c>
      <c r="V3191">
        <f t="shared" si="299"/>
        <v>0</v>
      </c>
    </row>
    <row r="3192" spans="1:22" x14ac:dyDescent="0.45">
      <c r="A3192" t="s">
        <v>4049</v>
      </c>
      <c r="B3192" t="s">
        <v>194</v>
      </c>
      <c r="C3192" t="s">
        <v>34</v>
      </c>
      <c r="D3192" t="s">
        <v>68</v>
      </c>
      <c r="E3192" t="s">
        <v>18</v>
      </c>
      <c r="F3192">
        <v>136</v>
      </c>
      <c r="G3192">
        <v>41405</v>
      </c>
      <c r="H3192">
        <v>5631080</v>
      </c>
      <c r="I3192" t="s">
        <v>1279</v>
      </c>
      <c r="J3192" t="s">
        <v>130</v>
      </c>
      <c r="K3192">
        <v>106</v>
      </c>
      <c r="L3192">
        <v>0</v>
      </c>
      <c r="M3192" t="s">
        <v>115</v>
      </c>
      <c r="N3192" t="str">
        <f t="shared" si="294"/>
        <v>PO-103191</v>
      </c>
      <c r="O3192" t="str">
        <f t="shared" si="295"/>
        <v>Delivered</v>
      </c>
      <c r="P3192" t="str">
        <f t="shared" si="296"/>
        <v>WH-PUN</v>
      </c>
      <c r="Q3192" t="str">
        <f>VLOOKUP(C3192, Lookups!$A$2:$D$10, 2, FALSE())</f>
        <v>FastElectronics</v>
      </c>
      <c r="R3192" t="str">
        <f>_xlfn.XLOOKUP(D3192, Lookups!$A$12:$A$51, Lookups!$C$12:$C$51, "Unknown")</f>
        <v>Networking</v>
      </c>
      <c r="S3192" t="str">
        <f>IF(ISBLANK(I3192), B3192+VLOOKUP(C3192, Lookups!$A$2:$D$10, 4, FALSE()), I3192)</f>
        <v>2026-07-18</v>
      </c>
      <c r="T3192">
        <f t="shared" si="297"/>
        <v>15</v>
      </c>
      <c r="U3192" t="str">
        <f t="shared" si="298"/>
        <v>On-Time</v>
      </c>
      <c r="V3192">
        <f t="shared" si="299"/>
        <v>0</v>
      </c>
    </row>
    <row r="3193" spans="1:22" x14ac:dyDescent="0.45">
      <c r="A3193" t="s">
        <v>4050</v>
      </c>
      <c r="B3193" t="s">
        <v>569</v>
      </c>
      <c r="C3193" t="s">
        <v>37</v>
      </c>
      <c r="D3193" t="s">
        <v>69</v>
      </c>
      <c r="E3193" t="s">
        <v>15</v>
      </c>
      <c r="F3193">
        <v>184</v>
      </c>
      <c r="G3193">
        <v>13231</v>
      </c>
      <c r="H3193">
        <v>2434504</v>
      </c>
      <c r="I3193" t="s">
        <v>1252</v>
      </c>
      <c r="J3193" t="s">
        <v>1252</v>
      </c>
      <c r="K3193">
        <v>184</v>
      </c>
      <c r="L3193">
        <v>0</v>
      </c>
      <c r="M3193" t="s">
        <v>115</v>
      </c>
      <c r="N3193" t="str">
        <f t="shared" si="294"/>
        <v>PO-103192</v>
      </c>
      <c r="O3193" t="str">
        <f t="shared" si="295"/>
        <v>Delivered</v>
      </c>
      <c r="P3193" t="str">
        <f t="shared" si="296"/>
        <v>WH-BOM</v>
      </c>
      <c r="Q3193" t="str">
        <f>VLOOKUP(C3193, Lookups!$A$2:$D$10, 2, FALSE())</f>
        <v>Premium Desks Ltd</v>
      </c>
      <c r="R3193" t="str">
        <f>_xlfn.XLOOKUP(D3193, Lookups!$A$12:$A$51, Lookups!$C$12:$C$51, "Unknown")</f>
        <v>Office Furniture</v>
      </c>
      <c r="S3193" t="str">
        <f>IF(ISBLANK(I3193), B3193+VLOOKUP(C3193, Lookups!$A$2:$D$10, 4, FALSE()), I3193)</f>
        <v>2025-10-01</v>
      </c>
      <c r="T3193">
        <f t="shared" si="297"/>
        <v>12</v>
      </c>
      <c r="U3193" t="str">
        <f t="shared" si="298"/>
        <v>On-Time</v>
      </c>
      <c r="V3193">
        <f t="shared" si="299"/>
        <v>0</v>
      </c>
    </row>
    <row r="3194" spans="1:22" x14ac:dyDescent="0.45">
      <c r="A3194" t="s">
        <v>4051</v>
      </c>
      <c r="B3194" t="s">
        <v>289</v>
      </c>
      <c r="C3194" t="s">
        <v>35</v>
      </c>
      <c r="D3194" t="s">
        <v>91</v>
      </c>
      <c r="E3194" t="s">
        <v>15</v>
      </c>
      <c r="F3194">
        <v>40</v>
      </c>
      <c r="G3194">
        <v>6707</v>
      </c>
      <c r="H3194">
        <v>268280</v>
      </c>
      <c r="I3194" t="s">
        <v>2065</v>
      </c>
      <c r="J3194" t="s">
        <v>419</v>
      </c>
      <c r="K3194">
        <v>40</v>
      </c>
      <c r="L3194">
        <v>0</v>
      </c>
      <c r="M3194" t="s">
        <v>115</v>
      </c>
      <c r="N3194" t="str">
        <f t="shared" si="294"/>
        <v>PO-103193</v>
      </c>
      <c r="O3194" t="str">
        <f t="shared" si="295"/>
        <v>Delivered</v>
      </c>
      <c r="P3194" t="str">
        <f t="shared" si="296"/>
        <v>WH-BOM</v>
      </c>
      <c r="Q3194" t="str">
        <f>VLOOKUP(C3194, Lookups!$A$2:$D$10, 2, FALSE())</f>
        <v>Peripheral Source</v>
      </c>
      <c r="R3194" t="str">
        <f>_xlfn.XLOOKUP(D3194, Lookups!$A$12:$A$51, Lookups!$C$12:$C$51, "Unknown")</f>
        <v>Peripherals</v>
      </c>
      <c r="S3194" t="str">
        <f>IF(ISBLANK(I3194), B3194+VLOOKUP(C3194, Lookups!$A$2:$D$10, 4, FALSE()), I3194)</f>
        <v>2026-07-19</v>
      </c>
      <c r="T3194">
        <f t="shared" si="297"/>
        <v>12</v>
      </c>
      <c r="U3194" t="str">
        <f t="shared" si="298"/>
        <v>Late</v>
      </c>
      <c r="V3194">
        <f t="shared" si="299"/>
        <v>0</v>
      </c>
    </row>
    <row r="3195" spans="1:22" x14ac:dyDescent="0.45">
      <c r="A3195" t="s">
        <v>4052</v>
      </c>
      <c r="B3195" t="s">
        <v>1463</v>
      </c>
      <c r="C3195" t="s">
        <v>36</v>
      </c>
      <c r="D3195" t="s">
        <v>63</v>
      </c>
      <c r="E3195" t="s">
        <v>15</v>
      </c>
      <c r="F3195">
        <v>198</v>
      </c>
      <c r="G3195">
        <v>71062</v>
      </c>
      <c r="H3195">
        <v>14070276</v>
      </c>
      <c r="I3195" t="s">
        <v>303</v>
      </c>
      <c r="J3195" t="s">
        <v>375</v>
      </c>
      <c r="K3195">
        <v>198</v>
      </c>
      <c r="L3195">
        <v>0</v>
      </c>
      <c r="M3195" t="s">
        <v>115</v>
      </c>
      <c r="N3195" t="str">
        <f t="shared" si="294"/>
        <v>PO-103194</v>
      </c>
      <c r="O3195" t="str">
        <f t="shared" si="295"/>
        <v>Delivered</v>
      </c>
      <c r="P3195" t="str">
        <f t="shared" si="296"/>
        <v>WH-BOM</v>
      </c>
      <c r="Q3195" t="str">
        <f>VLOOKUP(C3195, Lookups!$A$2:$D$10, 2, FALSE())</f>
        <v>NextGen Hardware</v>
      </c>
      <c r="R3195" t="str">
        <f>_xlfn.XLOOKUP(D3195, Lookups!$A$12:$A$51, Lookups!$C$12:$C$51, "Unknown")</f>
        <v>Electronics</v>
      </c>
      <c r="S3195" t="str">
        <f>IF(ISBLANK(I3195), B3195+VLOOKUP(C3195, Lookups!$A$2:$D$10, 4, FALSE()), I3195)</f>
        <v>2026-06-09</v>
      </c>
      <c r="T3195">
        <f t="shared" si="297"/>
        <v>25</v>
      </c>
      <c r="U3195" t="str">
        <f t="shared" si="298"/>
        <v>Late</v>
      </c>
      <c r="V3195">
        <f t="shared" si="299"/>
        <v>0</v>
      </c>
    </row>
    <row r="3196" spans="1:22" x14ac:dyDescent="0.45">
      <c r="A3196" t="s">
        <v>4053</v>
      </c>
      <c r="B3196" t="s">
        <v>1168</v>
      </c>
      <c r="C3196" t="s">
        <v>31</v>
      </c>
      <c r="D3196" t="s">
        <v>77</v>
      </c>
      <c r="E3196" t="s">
        <v>18</v>
      </c>
      <c r="F3196">
        <v>179</v>
      </c>
      <c r="G3196">
        <v>23667</v>
      </c>
      <c r="H3196">
        <v>4236393</v>
      </c>
      <c r="I3196" t="s">
        <v>571</v>
      </c>
      <c r="J3196" t="s">
        <v>1377</v>
      </c>
      <c r="K3196">
        <v>92</v>
      </c>
      <c r="L3196">
        <v>0</v>
      </c>
      <c r="M3196" t="s">
        <v>115</v>
      </c>
      <c r="N3196" t="str">
        <f t="shared" si="294"/>
        <v>PO-103195</v>
      </c>
      <c r="O3196" t="str">
        <f t="shared" si="295"/>
        <v>Delivered</v>
      </c>
      <c r="P3196" t="str">
        <f t="shared" si="296"/>
        <v>WH-PUN</v>
      </c>
      <c r="Q3196" t="str">
        <f>VLOOKUP(C3196, Lookups!$A$2:$D$10, 2, FALSE())</f>
        <v>Global Networks</v>
      </c>
      <c r="R3196" t="str">
        <f>_xlfn.XLOOKUP(D3196, Lookups!$A$12:$A$51, Lookups!$C$12:$C$51, "Unknown")</f>
        <v>Networking</v>
      </c>
      <c r="S3196" t="str">
        <f>IF(ISBLANK(I3196), B3196+VLOOKUP(C3196, Lookups!$A$2:$D$10, 4, FALSE()), I3196)</f>
        <v>2025-04-16</v>
      </c>
      <c r="T3196">
        <f t="shared" si="297"/>
        <v>22</v>
      </c>
      <c r="U3196" t="str">
        <f t="shared" si="298"/>
        <v>Late</v>
      </c>
      <c r="V3196">
        <f t="shared" si="299"/>
        <v>0</v>
      </c>
    </row>
    <row r="3197" spans="1:22" x14ac:dyDescent="0.45">
      <c r="A3197" t="s">
        <v>4054</v>
      </c>
      <c r="B3197" t="s">
        <v>1044</v>
      </c>
      <c r="C3197" t="s">
        <v>31</v>
      </c>
      <c r="D3197" t="s">
        <v>66</v>
      </c>
      <c r="E3197" t="s">
        <v>17</v>
      </c>
      <c r="F3197">
        <v>56</v>
      </c>
      <c r="G3197">
        <v>29719</v>
      </c>
      <c r="H3197">
        <v>1664264</v>
      </c>
      <c r="I3197" t="s">
        <v>1271</v>
      </c>
      <c r="J3197" t="s">
        <v>555</v>
      </c>
      <c r="K3197">
        <v>56</v>
      </c>
      <c r="L3197">
        <v>0</v>
      </c>
      <c r="M3197" t="s">
        <v>115</v>
      </c>
      <c r="N3197" t="str">
        <f t="shared" si="294"/>
        <v>PO-103196</v>
      </c>
      <c r="O3197" t="str">
        <f t="shared" si="295"/>
        <v>Delivered</v>
      </c>
      <c r="P3197" t="str">
        <f t="shared" si="296"/>
        <v>WH-BLR</v>
      </c>
      <c r="Q3197" t="str">
        <f>VLOOKUP(C3197, Lookups!$A$2:$D$10, 2, FALSE())</f>
        <v>Global Networks</v>
      </c>
      <c r="R3197" t="str">
        <f>_xlfn.XLOOKUP(D3197, Lookups!$A$12:$A$51, Lookups!$C$12:$C$51, "Unknown")</f>
        <v>Networking</v>
      </c>
      <c r="S3197" t="str">
        <f>IF(ISBLANK(I3197), B3197+VLOOKUP(C3197, Lookups!$A$2:$D$10, 4, FALSE()), I3197)</f>
        <v>2026-08-31</v>
      </c>
      <c r="T3197">
        <f t="shared" si="297"/>
        <v>22</v>
      </c>
      <c r="U3197" t="str">
        <f t="shared" si="298"/>
        <v>Late</v>
      </c>
      <c r="V3197">
        <f t="shared" si="299"/>
        <v>0</v>
      </c>
    </row>
    <row r="3198" spans="1:22" x14ac:dyDescent="0.45">
      <c r="A3198" t="s">
        <v>4055</v>
      </c>
      <c r="B3198" t="s">
        <v>1202</v>
      </c>
      <c r="C3198" t="s">
        <v>30</v>
      </c>
      <c r="D3198" t="s">
        <v>86</v>
      </c>
      <c r="E3198" t="s">
        <v>16</v>
      </c>
      <c r="F3198">
        <v>37</v>
      </c>
      <c r="G3198">
        <v>74871</v>
      </c>
      <c r="H3198">
        <v>2770227</v>
      </c>
      <c r="I3198" t="s">
        <v>711</v>
      </c>
      <c r="J3198" t="s">
        <v>711</v>
      </c>
      <c r="K3198">
        <v>18</v>
      </c>
      <c r="L3198">
        <v>2</v>
      </c>
      <c r="M3198" t="s">
        <v>115</v>
      </c>
      <c r="N3198" t="str">
        <f t="shared" si="294"/>
        <v>PO-103197</v>
      </c>
      <c r="O3198" t="str">
        <f t="shared" si="295"/>
        <v>Delivered</v>
      </c>
      <c r="P3198" t="str">
        <f t="shared" si="296"/>
        <v>WH-DEL</v>
      </c>
      <c r="Q3198" t="str">
        <f>VLOOKUP(C3198, Lookups!$A$2:$D$10, 2, FALSE())</f>
        <v>TechSupply Corp</v>
      </c>
      <c r="R3198" t="str">
        <f>_xlfn.XLOOKUP(D3198, Lookups!$A$12:$A$51, Lookups!$C$12:$C$51, "Unknown")</f>
        <v>Electronics</v>
      </c>
      <c r="S3198" t="str">
        <f>IF(ISBLANK(I3198), B3198+VLOOKUP(C3198, Lookups!$A$2:$D$10, 4, FALSE()), I3198)</f>
        <v>2025-02-09</v>
      </c>
      <c r="T3198">
        <f t="shared" si="297"/>
        <v>14</v>
      </c>
      <c r="U3198" t="str">
        <f t="shared" si="298"/>
        <v>On-Time</v>
      </c>
      <c r="V3198">
        <f t="shared" si="299"/>
        <v>0.1111111111111111</v>
      </c>
    </row>
    <row r="3199" spans="1:22" x14ac:dyDescent="0.45">
      <c r="A3199" t="s">
        <v>4056</v>
      </c>
      <c r="B3199" t="s">
        <v>1164</v>
      </c>
      <c r="C3199" t="s">
        <v>31</v>
      </c>
      <c r="D3199" t="s">
        <v>85</v>
      </c>
      <c r="E3199" t="s">
        <v>16</v>
      </c>
      <c r="F3199">
        <v>55</v>
      </c>
      <c r="G3199">
        <v>16501</v>
      </c>
      <c r="H3199">
        <v>907555</v>
      </c>
      <c r="I3199" t="s">
        <v>268</v>
      </c>
      <c r="J3199" t="s">
        <v>1377</v>
      </c>
      <c r="K3199">
        <v>55</v>
      </c>
      <c r="L3199">
        <v>0</v>
      </c>
      <c r="M3199" t="s">
        <v>115</v>
      </c>
      <c r="N3199" t="str">
        <f t="shared" si="294"/>
        <v>PO-103198</v>
      </c>
      <c r="O3199" t="str">
        <f t="shared" si="295"/>
        <v>Delivered</v>
      </c>
      <c r="P3199" t="str">
        <f t="shared" si="296"/>
        <v>WH-DEL</v>
      </c>
      <c r="Q3199" t="str">
        <f>VLOOKUP(C3199, Lookups!$A$2:$D$10, 2, FALSE())</f>
        <v>Global Networks</v>
      </c>
      <c r="R3199" t="str">
        <f>_xlfn.XLOOKUP(D3199, Lookups!$A$12:$A$51, Lookups!$C$12:$C$51, "Unknown")</f>
        <v>Networking</v>
      </c>
      <c r="S3199" t="str">
        <f>IF(ISBLANK(I3199), B3199+VLOOKUP(C3199, Lookups!$A$2:$D$10, 4, FALSE()), I3199)</f>
        <v>2025-04-13</v>
      </c>
      <c r="T3199">
        <f t="shared" si="297"/>
        <v>25</v>
      </c>
      <c r="U3199" t="str">
        <f t="shared" si="298"/>
        <v>Late</v>
      </c>
      <c r="V3199">
        <f t="shared" si="299"/>
        <v>0</v>
      </c>
    </row>
    <row r="3200" spans="1:22" x14ac:dyDescent="0.45">
      <c r="A3200" t="s">
        <v>4057</v>
      </c>
      <c r="B3200" t="s">
        <v>286</v>
      </c>
      <c r="C3200" t="s">
        <v>37</v>
      </c>
      <c r="D3200" t="s">
        <v>83</v>
      </c>
      <c r="E3200" t="s">
        <v>17</v>
      </c>
      <c r="F3200">
        <v>27</v>
      </c>
      <c r="G3200">
        <v>19850</v>
      </c>
      <c r="H3200">
        <v>535950</v>
      </c>
      <c r="I3200" t="s">
        <v>1331</v>
      </c>
      <c r="J3200" t="s">
        <v>1090</v>
      </c>
      <c r="K3200">
        <v>27</v>
      </c>
      <c r="L3200">
        <v>0</v>
      </c>
      <c r="M3200" t="s">
        <v>115</v>
      </c>
      <c r="N3200" t="str">
        <f t="shared" si="294"/>
        <v>PO-103199</v>
      </c>
      <c r="O3200" t="str">
        <f t="shared" si="295"/>
        <v>Delivered</v>
      </c>
      <c r="P3200" t="str">
        <f t="shared" si="296"/>
        <v>WH-BLR</v>
      </c>
      <c r="Q3200" t="str">
        <f>VLOOKUP(C3200, Lookups!$A$2:$D$10, 2, FALSE())</f>
        <v>Premium Desks Ltd</v>
      </c>
      <c r="R3200" t="str">
        <f>_xlfn.XLOOKUP(D3200, Lookups!$A$12:$A$51, Lookups!$C$12:$C$51, "Unknown")</f>
        <v>Office Furniture</v>
      </c>
      <c r="S3200" t="str">
        <f>IF(ISBLANK(I3200), B3200+VLOOKUP(C3200, Lookups!$A$2:$D$10, 4, FALSE()), I3200)</f>
        <v>2025-03-14</v>
      </c>
      <c r="T3200">
        <f t="shared" si="297"/>
        <v>13</v>
      </c>
      <c r="U3200" t="str">
        <f t="shared" si="298"/>
        <v>Late</v>
      </c>
      <c r="V3200">
        <f t="shared" si="299"/>
        <v>0</v>
      </c>
    </row>
    <row r="3201" spans="1:22" x14ac:dyDescent="0.45">
      <c r="A3201" t="s">
        <v>4058</v>
      </c>
      <c r="B3201" t="s">
        <v>609</v>
      </c>
      <c r="C3201" t="s">
        <v>35</v>
      </c>
      <c r="D3201" t="s">
        <v>65</v>
      </c>
      <c r="E3201" t="s">
        <v>15</v>
      </c>
      <c r="F3201">
        <v>150</v>
      </c>
      <c r="G3201">
        <v>4936</v>
      </c>
      <c r="H3201">
        <v>740400</v>
      </c>
      <c r="I3201" t="s">
        <v>332</v>
      </c>
      <c r="J3201" t="s">
        <v>2110</v>
      </c>
      <c r="K3201">
        <v>150</v>
      </c>
      <c r="L3201">
        <v>0</v>
      </c>
      <c r="M3201" t="s">
        <v>115</v>
      </c>
      <c r="N3201" t="str">
        <f t="shared" si="294"/>
        <v>PO-103200</v>
      </c>
      <c r="O3201" t="str">
        <f t="shared" si="295"/>
        <v>Delivered</v>
      </c>
      <c r="P3201" t="str">
        <f t="shared" si="296"/>
        <v>WH-BOM</v>
      </c>
      <c r="Q3201" t="str">
        <f>VLOOKUP(C3201, Lookups!$A$2:$D$10, 2, FALSE())</f>
        <v>Peripheral Source</v>
      </c>
      <c r="R3201" t="str">
        <f>_xlfn.XLOOKUP(D3201, Lookups!$A$12:$A$51, Lookups!$C$12:$C$51, "Unknown")</f>
        <v>Peripherals</v>
      </c>
      <c r="S3201" t="str">
        <f>IF(ISBLANK(I3201), B3201+VLOOKUP(C3201, Lookups!$A$2:$D$10, 4, FALSE()), I3201)</f>
        <v>2025-10-12</v>
      </c>
      <c r="T3201">
        <f t="shared" si="297"/>
        <v>11</v>
      </c>
      <c r="U3201" t="str">
        <f t="shared" si="298"/>
        <v>Late</v>
      </c>
      <c r="V3201">
        <f t="shared" si="299"/>
        <v>0</v>
      </c>
    </row>
    <row r="3202" spans="1:22" x14ac:dyDescent="0.45">
      <c r="A3202" t="s">
        <v>4059</v>
      </c>
      <c r="B3202" t="s">
        <v>393</v>
      </c>
      <c r="C3202" t="s">
        <v>34</v>
      </c>
      <c r="D3202" t="s">
        <v>58</v>
      </c>
      <c r="E3202" t="s">
        <v>18</v>
      </c>
      <c r="F3202">
        <v>135</v>
      </c>
      <c r="G3202">
        <v>100302</v>
      </c>
      <c r="H3202">
        <v>13540770</v>
      </c>
      <c r="I3202" t="s">
        <v>394</v>
      </c>
      <c r="J3202" t="s">
        <v>1475</v>
      </c>
      <c r="K3202">
        <v>135</v>
      </c>
      <c r="L3202">
        <v>0</v>
      </c>
      <c r="M3202" t="s">
        <v>115</v>
      </c>
      <c r="N3202" t="str">
        <f t="shared" ref="N3202:N3265" si="300">TRIM(A3202)</f>
        <v>PO-103201</v>
      </c>
      <c r="O3202" t="str">
        <f t="shared" ref="O3202:O3265" si="301">PROPER(TRIM(M3202))</f>
        <v>Delivered</v>
      </c>
      <c r="P3202" t="str">
        <f t="shared" ref="P3202:P3265" si="302">TRIM(E3202)</f>
        <v>WH-PUN</v>
      </c>
      <c r="Q3202" t="str">
        <f>VLOOKUP(C3202, Lookups!$A$2:$D$10, 2, FALSE())</f>
        <v>FastElectronics</v>
      </c>
      <c r="R3202" t="str">
        <f>_xlfn.XLOOKUP(D3202, Lookups!$A$12:$A$51, Lookups!$C$12:$C$51, "Unknown")</f>
        <v>Electronics</v>
      </c>
      <c r="S3202" t="str">
        <f>IF(ISBLANK(I3202), B3202+VLOOKUP(C3202, Lookups!$A$2:$D$10, 4, FALSE()), I3202)</f>
        <v>2025-09-16</v>
      </c>
      <c r="T3202">
        <f t="shared" ref="T3202:T3265" si="303">IF(ISBLANK(J3202), "", J3202-B3202)</f>
        <v>22</v>
      </c>
      <c r="U3202" t="str">
        <f t="shared" ref="U3202:U3265" si="304">IF(O3202="Open", "Open", IF(J3202&gt;S3202, "Late", "On-Time"))</f>
        <v>Late</v>
      </c>
      <c r="V3202">
        <f t="shared" ref="V3202:V3265" si="305">IF(K3202&gt;0, L3202/K3202, 0)</f>
        <v>0</v>
      </c>
    </row>
    <row r="3203" spans="1:22" x14ac:dyDescent="0.45">
      <c r="A3203" t="s">
        <v>4060</v>
      </c>
      <c r="B3203" t="s">
        <v>394</v>
      </c>
      <c r="C3203" t="s">
        <v>37</v>
      </c>
      <c r="D3203" t="s">
        <v>69</v>
      </c>
      <c r="E3203" t="s">
        <v>18</v>
      </c>
      <c r="F3203">
        <v>39</v>
      </c>
      <c r="G3203">
        <v>13231</v>
      </c>
      <c r="H3203">
        <v>516009</v>
      </c>
      <c r="I3203" t="s">
        <v>729</v>
      </c>
      <c r="J3203" t="s">
        <v>978</v>
      </c>
      <c r="K3203">
        <v>39</v>
      </c>
      <c r="L3203">
        <v>4</v>
      </c>
      <c r="M3203" t="s">
        <v>115</v>
      </c>
      <c r="N3203" t="str">
        <f t="shared" si="300"/>
        <v>PO-103202</v>
      </c>
      <c r="O3203" t="str">
        <f t="shared" si="301"/>
        <v>Delivered</v>
      </c>
      <c r="P3203" t="str">
        <f t="shared" si="302"/>
        <v>WH-PUN</v>
      </c>
      <c r="Q3203" t="str">
        <f>VLOOKUP(C3203, Lookups!$A$2:$D$10, 2, FALSE())</f>
        <v>Premium Desks Ltd</v>
      </c>
      <c r="R3203" t="str">
        <f>_xlfn.XLOOKUP(D3203, Lookups!$A$12:$A$51, Lookups!$C$12:$C$51, "Unknown")</f>
        <v>Office Furniture</v>
      </c>
      <c r="S3203" t="str">
        <f>IF(ISBLANK(I3203), B3203+VLOOKUP(C3203, Lookups!$A$2:$D$10, 4, FALSE()), I3203)</f>
        <v>2025-09-28</v>
      </c>
      <c r="T3203">
        <f t="shared" si="303"/>
        <v>14</v>
      </c>
      <c r="U3203" t="str">
        <f t="shared" si="304"/>
        <v>Late</v>
      </c>
      <c r="V3203">
        <f t="shared" si="305"/>
        <v>0.10256410256410256</v>
      </c>
    </row>
    <row r="3204" spans="1:22" x14ac:dyDescent="0.45">
      <c r="A3204" t="s">
        <v>4061</v>
      </c>
      <c r="B3204" t="s">
        <v>157</v>
      </c>
      <c r="C3204" t="s">
        <v>32</v>
      </c>
      <c r="D3204" t="s">
        <v>67</v>
      </c>
      <c r="E3204" t="s">
        <v>18</v>
      </c>
      <c r="F3204">
        <v>242</v>
      </c>
      <c r="G3204">
        <v>1553</v>
      </c>
      <c r="H3204">
        <v>375826</v>
      </c>
      <c r="I3204" t="s">
        <v>692</v>
      </c>
      <c r="J3204" t="s">
        <v>692</v>
      </c>
      <c r="K3204">
        <v>136</v>
      </c>
      <c r="L3204">
        <v>0</v>
      </c>
      <c r="M3204" t="s">
        <v>115</v>
      </c>
      <c r="N3204" t="str">
        <f t="shared" si="300"/>
        <v>PO-103203</v>
      </c>
      <c r="O3204" t="str">
        <f t="shared" si="301"/>
        <v>Delivered</v>
      </c>
      <c r="P3204" t="str">
        <f t="shared" si="302"/>
        <v>WH-PUN</v>
      </c>
      <c r="Q3204" t="str">
        <f>VLOOKUP(C3204, Lookups!$A$2:$D$10, 2, FALSE())</f>
        <v>OfficeDepot Pro</v>
      </c>
      <c r="R3204" t="str">
        <f>_xlfn.XLOOKUP(D3204, Lookups!$A$12:$A$51, Lookups!$C$12:$C$51, "Unknown")</f>
        <v>Peripherals</v>
      </c>
      <c r="S3204" t="str">
        <f>IF(ISBLANK(I3204), B3204+VLOOKUP(C3204, Lookups!$A$2:$D$10, 4, FALSE()), I3204)</f>
        <v>2026-10-29</v>
      </c>
      <c r="T3204">
        <f t="shared" si="303"/>
        <v>7</v>
      </c>
      <c r="U3204" t="str">
        <f t="shared" si="304"/>
        <v>On-Time</v>
      </c>
      <c r="V3204">
        <f t="shared" si="305"/>
        <v>0</v>
      </c>
    </row>
    <row r="3205" spans="1:22" x14ac:dyDescent="0.45">
      <c r="A3205" t="s">
        <v>4062</v>
      </c>
      <c r="B3205" t="s">
        <v>564</v>
      </c>
      <c r="C3205" t="s">
        <v>36</v>
      </c>
      <c r="D3205" t="s">
        <v>55</v>
      </c>
      <c r="E3205" t="s">
        <v>18</v>
      </c>
      <c r="F3205">
        <v>51</v>
      </c>
      <c r="G3205">
        <v>58434</v>
      </c>
      <c r="H3205">
        <v>2980134</v>
      </c>
      <c r="I3205" t="s">
        <v>380</v>
      </c>
      <c r="J3205" t="s">
        <v>380</v>
      </c>
      <c r="K3205">
        <v>51</v>
      </c>
      <c r="L3205">
        <v>0</v>
      </c>
      <c r="M3205" t="s">
        <v>115</v>
      </c>
      <c r="N3205" t="str">
        <f t="shared" si="300"/>
        <v>PO-103204</v>
      </c>
      <c r="O3205" t="str">
        <f t="shared" si="301"/>
        <v>Delivered</v>
      </c>
      <c r="P3205" t="str">
        <f t="shared" si="302"/>
        <v>WH-PUN</v>
      </c>
      <c r="Q3205" t="str">
        <f>VLOOKUP(C3205, Lookups!$A$2:$D$10, 2, FALSE())</f>
        <v>NextGen Hardware</v>
      </c>
      <c r="R3205" t="str">
        <f>_xlfn.XLOOKUP(D3205, Lookups!$A$12:$A$51, Lookups!$C$12:$C$51, "Unknown")</f>
        <v>Electronics</v>
      </c>
      <c r="S3205" t="str">
        <f>IF(ISBLANK(I3205), B3205+VLOOKUP(C3205, Lookups!$A$2:$D$10, 4, FALSE()), I3205)</f>
        <v>2025-03-06</v>
      </c>
      <c r="T3205">
        <f t="shared" si="303"/>
        <v>24</v>
      </c>
      <c r="U3205" t="str">
        <f t="shared" si="304"/>
        <v>On-Time</v>
      </c>
      <c r="V3205">
        <f t="shared" si="305"/>
        <v>0</v>
      </c>
    </row>
    <row r="3206" spans="1:22" x14ac:dyDescent="0.45">
      <c r="A3206" t="s">
        <v>4063</v>
      </c>
      <c r="B3206" t="s">
        <v>1428</v>
      </c>
      <c r="C3206" t="s">
        <v>30</v>
      </c>
      <c r="D3206" t="s">
        <v>86</v>
      </c>
      <c r="E3206" t="s">
        <v>15</v>
      </c>
      <c r="F3206">
        <v>195</v>
      </c>
      <c r="G3206">
        <v>74871</v>
      </c>
      <c r="H3206">
        <v>14599845</v>
      </c>
      <c r="I3206" t="s">
        <v>980</v>
      </c>
      <c r="J3206" t="s">
        <v>920</v>
      </c>
      <c r="K3206">
        <v>195</v>
      </c>
      <c r="L3206">
        <v>0</v>
      </c>
      <c r="M3206" t="s">
        <v>115</v>
      </c>
      <c r="N3206" t="str">
        <f t="shared" si="300"/>
        <v>PO-103205</v>
      </c>
      <c r="O3206" t="str">
        <f t="shared" si="301"/>
        <v>Delivered</v>
      </c>
      <c r="P3206" t="str">
        <f t="shared" si="302"/>
        <v>WH-BOM</v>
      </c>
      <c r="Q3206" t="str">
        <f>VLOOKUP(C3206, Lookups!$A$2:$D$10, 2, FALSE())</f>
        <v>TechSupply Corp</v>
      </c>
      <c r="R3206" t="str">
        <f>_xlfn.XLOOKUP(D3206, Lookups!$A$12:$A$51, Lookups!$C$12:$C$51, "Unknown")</f>
        <v>Electronics</v>
      </c>
      <c r="S3206" t="str">
        <f>IF(ISBLANK(I3206), B3206+VLOOKUP(C3206, Lookups!$A$2:$D$10, 4, FALSE()), I3206)</f>
        <v>2026-10-12</v>
      </c>
      <c r="T3206">
        <f t="shared" si="303"/>
        <v>17</v>
      </c>
      <c r="U3206" t="str">
        <f t="shared" si="304"/>
        <v>Late</v>
      </c>
      <c r="V3206">
        <f t="shared" si="305"/>
        <v>0</v>
      </c>
    </row>
    <row r="3207" spans="1:22" x14ac:dyDescent="0.45">
      <c r="A3207" t="s">
        <v>4064</v>
      </c>
      <c r="B3207" t="s">
        <v>164</v>
      </c>
      <c r="C3207" t="s">
        <v>37</v>
      </c>
      <c r="D3207" t="s">
        <v>69</v>
      </c>
      <c r="E3207" t="s">
        <v>18</v>
      </c>
      <c r="F3207">
        <v>173</v>
      </c>
      <c r="G3207">
        <v>13231</v>
      </c>
      <c r="H3207">
        <v>2288963</v>
      </c>
      <c r="I3207" t="s">
        <v>1206</v>
      </c>
      <c r="J3207" t="s">
        <v>441</v>
      </c>
      <c r="K3207">
        <v>173</v>
      </c>
      <c r="L3207">
        <v>0</v>
      </c>
      <c r="M3207" t="s">
        <v>115</v>
      </c>
      <c r="N3207" t="str">
        <f t="shared" si="300"/>
        <v>PO-103206</v>
      </c>
      <c r="O3207" t="str">
        <f t="shared" si="301"/>
        <v>Delivered</v>
      </c>
      <c r="P3207" t="str">
        <f t="shared" si="302"/>
        <v>WH-PUN</v>
      </c>
      <c r="Q3207" t="str">
        <f>VLOOKUP(C3207, Lookups!$A$2:$D$10, 2, FALSE())</f>
        <v>Premium Desks Ltd</v>
      </c>
      <c r="R3207" t="str">
        <f>_xlfn.XLOOKUP(D3207, Lookups!$A$12:$A$51, Lookups!$C$12:$C$51, "Unknown")</f>
        <v>Office Furniture</v>
      </c>
      <c r="S3207" t="str">
        <f>IF(ISBLANK(I3207), B3207+VLOOKUP(C3207, Lookups!$A$2:$D$10, 4, FALSE()), I3207)</f>
        <v>2026-02-17</v>
      </c>
      <c r="T3207">
        <f t="shared" si="303"/>
        <v>13</v>
      </c>
      <c r="U3207" t="str">
        <f t="shared" si="304"/>
        <v>Late</v>
      </c>
      <c r="V3207">
        <f t="shared" si="305"/>
        <v>0</v>
      </c>
    </row>
    <row r="3208" spans="1:22" x14ac:dyDescent="0.45">
      <c r="A3208" t="s">
        <v>4065</v>
      </c>
      <c r="B3208" t="s">
        <v>261</v>
      </c>
      <c r="C3208" t="s">
        <v>34</v>
      </c>
      <c r="D3208" t="s">
        <v>81</v>
      </c>
      <c r="E3208" t="s">
        <v>17</v>
      </c>
      <c r="F3208">
        <v>125</v>
      </c>
      <c r="G3208">
        <v>55328</v>
      </c>
      <c r="H3208">
        <v>6916000</v>
      </c>
      <c r="I3208" t="s">
        <v>127</v>
      </c>
      <c r="J3208" t="s">
        <v>127</v>
      </c>
      <c r="K3208">
        <v>125</v>
      </c>
      <c r="L3208">
        <v>0</v>
      </c>
      <c r="M3208" t="s">
        <v>115</v>
      </c>
      <c r="N3208" t="str">
        <f t="shared" si="300"/>
        <v>PO-103207</v>
      </c>
      <c r="O3208" t="str">
        <f t="shared" si="301"/>
        <v>Delivered</v>
      </c>
      <c r="P3208" t="str">
        <f t="shared" si="302"/>
        <v>WH-BLR</v>
      </c>
      <c r="Q3208" t="str">
        <f>VLOOKUP(C3208, Lookups!$A$2:$D$10, 2, FALSE())</f>
        <v>FastElectronics</v>
      </c>
      <c r="R3208" t="str">
        <f>_xlfn.XLOOKUP(D3208, Lookups!$A$12:$A$51, Lookups!$C$12:$C$51, "Unknown")</f>
        <v>Electronics</v>
      </c>
      <c r="S3208" t="str">
        <f>IF(ISBLANK(I3208), B3208+VLOOKUP(C3208, Lookups!$A$2:$D$10, 4, FALSE()), I3208)</f>
        <v>2026-02-02</v>
      </c>
      <c r="T3208">
        <f t="shared" si="303"/>
        <v>18</v>
      </c>
      <c r="U3208" t="str">
        <f t="shared" si="304"/>
        <v>On-Time</v>
      </c>
      <c r="V3208">
        <f t="shared" si="305"/>
        <v>0</v>
      </c>
    </row>
    <row r="3209" spans="1:22" x14ac:dyDescent="0.45">
      <c r="A3209" t="s">
        <v>4066</v>
      </c>
      <c r="B3209" t="s">
        <v>663</v>
      </c>
      <c r="C3209" t="s">
        <v>34</v>
      </c>
      <c r="D3209" t="s">
        <v>81</v>
      </c>
      <c r="E3209" t="s">
        <v>17</v>
      </c>
      <c r="F3209">
        <v>172</v>
      </c>
      <c r="G3209">
        <v>55328</v>
      </c>
      <c r="H3209">
        <v>9516416</v>
      </c>
      <c r="I3209" t="s">
        <v>1401</v>
      </c>
      <c r="J3209" t="s">
        <v>1318</v>
      </c>
      <c r="K3209">
        <v>172</v>
      </c>
      <c r="L3209">
        <v>0</v>
      </c>
      <c r="M3209" t="s">
        <v>927</v>
      </c>
      <c r="N3209" t="str">
        <f t="shared" si="300"/>
        <v>PO-103208</v>
      </c>
      <c r="O3209" t="str">
        <f t="shared" si="301"/>
        <v>Delivered</v>
      </c>
      <c r="P3209" t="str">
        <f t="shared" si="302"/>
        <v>WH-BLR</v>
      </c>
      <c r="Q3209" t="str">
        <f>VLOOKUP(C3209, Lookups!$A$2:$D$10, 2, FALSE())</f>
        <v>FastElectronics</v>
      </c>
      <c r="R3209" t="str">
        <f>_xlfn.XLOOKUP(D3209, Lookups!$A$12:$A$51, Lookups!$C$12:$C$51, "Unknown")</f>
        <v>Electronics</v>
      </c>
      <c r="S3209" t="str">
        <f>IF(ISBLANK(I3209), B3209+VLOOKUP(C3209, Lookups!$A$2:$D$10, 4, FALSE()), I3209)</f>
        <v>2026-10-24</v>
      </c>
      <c r="T3209">
        <f t="shared" si="303"/>
        <v>19</v>
      </c>
      <c r="U3209" t="str">
        <f t="shared" si="304"/>
        <v>Late</v>
      </c>
      <c r="V3209">
        <f t="shared" si="305"/>
        <v>0</v>
      </c>
    </row>
    <row r="3210" spans="1:22" x14ac:dyDescent="0.45">
      <c r="A3210" t="s">
        <v>4067</v>
      </c>
      <c r="B3210" t="s">
        <v>396</v>
      </c>
      <c r="C3210" t="s">
        <v>30</v>
      </c>
      <c r="D3210" t="s">
        <v>53</v>
      </c>
      <c r="E3210" t="s">
        <v>16</v>
      </c>
      <c r="F3210">
        <v>200</v>
      </c>
      <c r="G3210">
        <v>81048</v>
      </c>
      <c r="H3210">
        <v>16209600</v>
      </c>
      <c r="I3210" t="s">
        <v>1165</v>
      </c>
      <c r="J3210" t="s">
        <v>505</v>
      </c>
      <c r="K3210">
        <v>200</v>
      </c>
      <c r="L3210">
        <v>0</v>
      </c>
      <c r="M3210" t="s">
        <v>115</v>
      </c>
      <c r="N3210" t="str">
        <f t="shared" si="300"/>
        <v>PO-103209</v>
      </c>
      <c r="O3210" t="str">
        <f t="shared" si="301"/>
        <v>Delivered</v>
      </c>
      <c r="P3210" t="str">
        <f t="shared" si="302"/>
        <v>WH-DEL</v>
      </c>
      <c r="Q3210" t="str">
        <f>VLOOKUP(C3210, Lookups!$A$2:$D$10, 2, FALSE())</f>
        <v>TechSupply Corp</v>
      </c>
      <c r="R3210" t="str">
        <f>_xlfn.XLOOKUP(D3210, Lookups!$A$12:$A$51, Lookups!$C$12:$C$51, "Unknown")</f>
        <v>Electronics</v>
      </c>
      <c r="S3210" t="str">
        <f>IF(ISBLANK(I3210), B3210+VLOOKUP(C3210, Lookups!$A$2:$D$10, 4, FALSE()), I3210)</f>
        <v>2025-04-10</v>
      </c>
      <c r="T3210">
        <f t="shared" si="303"/>
        <v>15</v>
      </c>
      <c r="U3210" t="str">
        <f t="shared" si="304"/>
        <v>Late</v>
      </c>
      <c r="V3210">
        <f t="shared" si="305"/>
        <v>0</v>
      </c>
    </row>
    <row r="3211" spans="1:22" x14ac:dyDescent="0.45">
      <c r="A3211" t="s">
        <v>4068</v>
      </c>
      <c r="B3211" t="s">
        <v>128</v>
      </c>
      <c r="C3211" t="s">
        <v>35</v>
      </c>
      <c r="D3211" t="s">
        <v>72</v>
      </c>
      <c r="E3211" t="s">
        <v>16</v>
      </c>
      <c r="F3211">
        <v>65</v>
      </c>
      <c r="G3211">
        <v>7754</v>
      </c>
      <c r="H3211">
        <v>504010</v>
      </c>
      <c r="I3211" t="s">
        <v>705</v>
      </c>
      <c r="J3211" t="s">
        <v>705</v>
      </c>
      <c r="K3211">
        <v>65</v>
      </c>
      <c r="L3211">
        <v>0</v>
      </c>
      <c r="M3211" t="s">
        <v>115</v>
      </c>
      <c r="N3211" t="str">
        <f t="shared" si="300"/>
        <v>PO-103210</v>
      </c>
      <c r="O3211" t="str">
        <f t="shared" si="301"/>
        <v>Delivered</v>
      </c>
      <c r="P3211" t="str">
        <f t="shared" si="302"/>
        <v>WH-DEL</v>
      </c>
      <c r="Q3211" t="str">
        <f>VLOOKUP(C3211, Lookups!$A$2:$D$10, 2, FALSE())</f>
        <v>Peripheral Source</v>
      </c>
      <c r="R3211" t="str">
        <f>_xlfn.XLOOKUP(D3211, Lookups!$A$12:$A$51, Lookups!$C$12:$C$51, "Unknown")</f>
        <v>Peripherals</v>
      </c>
      <c r="S3211" t="str">
        <f>IF(ISBLANK(I3211), B3211+VLOOKUP(C3211, Lookups!$A$2:$D$10, 4, FALSE()), I3211)</f>
        <v>2026-02-26</v>
      </c>
      <c r="T3211">
        <f t="shared" si="303"/>
        <v>10</v>
      </c>
      <c r="U3211" t="str">
        <f t="shared" si="304"/>
        <v>On-Time</v>
      </c>
      <c r="V3211">
        <f t="shared" si="305"/>
        <v>0</v>
      </c>
    </row>
    <row r="3212" spans="1:22" x14ac:dyDescent="0.45">
      <c r="A3212" t="s">
        <v>4069</v>
      </c>
      <c r="B3212" t="s">
        <v>760</v>
      </c>
      <c r="C3212" t="s">
        <v>34</v>
      </c>
      <c r="D3212" t="s">
        <v>68</v>
      </c>
      <c r="E3212" t="s">
        <v>16</v>
      </c>
      <c r="F3212">
        <v>16</v>
      </c>
      <c r="G3212">
        <v>41405</v>
      </c>
      <c r="H3212">
        <v>662480</v>
      </c>
      <c r="I3212" t="s">
        <v>1300</v>
      </c>
      <c r="J3212" t="s">
        <v>1300</v>
      </c>
      <c r="K3212">
        <v>15</v>
      </c>
      <c r="L3212">
        <v>0</v>
      </c>
      <c r="M3212" t="s">
        <v>115</v>
      </c>
      <c r="N3212" t="str">
        <f t="shared" si="300"/>
        <v>PO-103211</v>
      </c>
      <c r="O3212" t="str">
        <f t="shared" si="301"/>
        <v>Delivered</v>
      </c>
      <c r="P3212" t="str">
        <f t="shared" si="302"/>
        <v>WH-DEL</v>
      </c>
      <c r="Q3212" t="str">
        <f>VLOOKUP(C3212, Lookups!$A$2:$D$10, 2, FALSE())</f>
        <v>FastElectronics</v>
      </c>
      <c r="R3212" t="str">
        <f>_xlfn.XLOOKUP(D3212, Lookups!$A$12:$A$51, Lookups!$C$12:$C$51, "Unknown")</f>
        <v>Networking</v>
      </c>
      <c r="S3212" t="str">
        <f>IF(ISBLANK(I3212), B3212+VLOOKUP(C3212, Lookups!$A$2:$D$10, 4, FALSE()), I3212)</f>
        <v>2025-08-05</v>
      </c>
      <c r="T3212">
        <f t="shared" si="303"/>
        <v>18</v>
      </c>
      <c r="U3212" t="str">
        <f t="shared" si="304"/>
        <v>On-Time</v>
      </c>
      <c r="V3212">
        <f t="shared" si="305"/>
        <v>0</v>
      </c>
    </row>
    <row r="3213" spans="1:22" x14ac:dyDescent="0.45">
      <c r="A3213" t="s">
        <v>4070</v>
      </c>
      <c r="B3213" t="s">
        <v>120</v>
      </c>
      <c r="C3213" t="s">
        <v>30</v>
      </c>
      <c r="D3213" t="s">
        <v>53</v>
      </c>
      <c r="E3213" t="s">
        <v>16</v>
      </c>
      <c r="F3213">
        <v>110</v>
      </c>
      <c r="G3213">
        <v>81048</v>
      </c>
      <c r="H3213">
        <v>8915280</v>
      </c>
      <c r="I3213" t="s">
        <v>121</v>
      </c>
      <c r="J3213" t="s">
        <v>1273</v>
      </c>
      <c r="K3213">
        <v>110</v>
      </c>
      <c r="L3213">
        <v>0</v>
      </c>
      <c r="M3213" t="s">
        <v>115</v>
      </c>
      <c r="N3213" t="str">
        <f t="shared" si="300"/>
        <v>PO-103212</v>
      </c>
      <c r="O3213" t="str">
        <f t="shared" si="301"/>
        <v>Delivered</v>
      </c>
      <c r="P3213" t="str">
        <f t="shared" si="302"/>
        <v>WH-DEL</v>
      </c>
      <c r="Q3213" t="str">
        <f>VLOOKUP(C3213, Lookups!$A$2:$D$10, 2, FALSE())</f>
        <v>TechSupply Corp</v>
      </c>
      <c r="R3213" t="str">
        <f>_xlfn.XLOOKUP(D3213, Lookups!$A$12:$A$51, Lookups!$C$12:$C$51, "Unknown")</f>
        <v>Electronics</v>
      </c>
      <c r="S3213" t="str">
        <f>IF(ISBLANK(I3213), B3213+VLOOKUP(C3213, Lookups!$A$2:$D$10, 4, FALSE()), I3213)</f>
        <v>2025-01-17</v>
      </c>
      <c r="T3213">
        <f t="shared" si="303"/>
        <v>15</v>
      </c>
      <c r="U3213" t="str">
        <f t="shared" si="304"/>
        <v>Late</v>
      </c>
      <c r="V3213">
        <f t="shared" si="305"/>
        <v>0</v>
      </c>
    </row>
    <row r="3214" spans="1:22" x14ac:dyDescent="0.45">
      <c r="A3214" t="s">
        <v>4071</v>
      </c>
      <c r="B3214" t="s">
        <v>752</v>
      </c>
      <c r="C3214" t="s">
        <v>31</v>
      </c>
      <c r="D3214" t="s">
        <v>64</v>
      </c>
      <c r="E3214" t="s">
        <v>18</v>
      </c>
      <c r="F3214">
        <v>216</v>
      </c>
      <c r="G3214">
        <v>36295</v>
      </c>
      <c r="H3214">
        <v>7839720</v>
      </c>
      <c r="I3214" t="s">
        <v>580</v>
      </c>
      <c r="J3214" t="s">
        <v>580</v>
      </c>
      <c r="K3214">
        <v>216</v>
      </c>
      <c r="L3214">
        <v>0</v>
      </c>
      <c r="M3214" t="s">
        <v>115</v>
      </c>
      <c r="N3214" t="str">
        <f t="shared" si="300"/>
        <v>PO-103213</v>
      </c>
      <c r="O3214" t="str">
        <f t="shared" si="301"/>
        <v>Delivered</v>
      </c>
      <c r="P3214" t="str">
        <f t="shared" si="302"/>
        <v>WH-PUN</v>
      </c>
      <c r="Q3214" t="str">
        <f>VLOOKUP(C3214, Lookups!$A$2:$D$10, 2, FALSE())</f>
        <v>Global Networks</v>
      </c>
      <c r="R3214" t="str">
        <f>_xlfn.XLOOKUP(D3214, Lookups!$A$12:$A$51, Lookups!$C$12:$C$51, "Unknown")</f>
        <v>Networking</v>
      </c>
      <c r="S3214" t="str">
        <f>IF(ISBLANK(I3214), B3214+VLOOKUP(C3214, Lookups!$A$2:$D$10, 4, FALSE()), I3214)</f>
        <v>2026-01-12</v>
      </c>
      <c r="T3214">
        <f t="shared" si="303"/>
        <v>21</v>
      </c>
      <c r="U3214" t="str">
        <f t="shared" si="304"/>
        <v>On-Time</v>
      </c>
      <c r="V3214">
        <f t="shared" si="305"/>
        <v>0</v>
      </c>
    </row>
    <row r="3215" spans="1:22" x14ac:dyDescent="0.45">
      <c r="A3215" t="s">
        <v>4072</v>
      </c>
      <c r="B3215" t="s">
        <v>518</v>
      </c>
      <c r="C3215" t="s">
        <v>34</v>
      </c>
      <c r="D3215" t="s">
        <v>73</v>
      </c>
      <c r="E3215" t="s">
        <v>15</v>
      </c>
      <c r="F3215">
        <v>36</v>
      </c>
      <c r="G3215">
        <v>58396</v>
      </c>
      <c r="H3215">
        <v>2102256</v>
      </c>
      <c r="I3215" t="s">
        <v>473</v>
      </c>
      <c r="J3215" t="s">
        <v>473</v>
      </c>
      <c r="K3215">
        <v>36</v>
      </c>
      <c r="L3215">
        <v>0</v>
      </c>
      <c r="M3215" t="s">
        <v>115</v>
      </c>
      <c r="N3215" t="str">
        <f t="shared" si="300"/>
        <v>PO-103214</v>
      </c>
      <c r="O3215" t="str">
        <f t="shared" si="301"/>
        <v>Delivered</v>
      </c>
      <c r="P3215" t="str">
        <f t="shared" si="302"/>
        <v>WH-BOM</v>
      </c>
      <c r="Q3215" t="str">
        <f>VLOOKUP(C3215, Lookups!$A$2:$D$10, 2, FALSE())</f>
        <v>FastElectronics</v>
      </c>
      <c r="R3215" t="str">
        <f>_xlfn.XLOOKUP(D3215, Lookups!$A$12:$A$51, Lookups!$C$12:$C$51, "Unknown")</f>
        <v>Electronics</v>
      </c>
      <c r="S3215" t="str">
        <f>IF(ISBLANK(I3215), B3215+VLOOKUP(C3215, Lookups!$A$2:$D$10, 4, FALSE()), I3215)</f>
        <v>2025-06-10</v>
      </c>
      <c r="T3215">
        <f t="shared" si="303"/>
        <v>18</v>
      </c>
      <c r="U3215" t="str">
        <f t="shared" si="304"/>
        <v>On-Time</v>
      </c>
      <c r="V3215">
        <f t="shared" si="305"/>
        <v>0</v>
      </c>
    </row>
    <row r="3216" spans="1:22" x14ac:dyDescent="0.45">
      <c r="A3216" t="s">
        <v>4073</v>
      </c>
      <c r="B3216" t="s">
        <v>561</v>
      </c>
      <c r="C3216" t="s">
        <v>31</v>
      </c>
      <c r="D3216" t="s">
        <v>64</v>
      </c>
      <c r="E3216" t="s">
        <v>17</v>
      </c>
      <c r="F3216">
        <v>139</v>
      </c>
      <c r="G3216">
        <v>36295</v>
      </c>
      <c r="H3216">
        <v>5045005</v>
      </c>
      <c r="I3216" t="s">
        <v>431</v>
      </c>
      <c r="J3216" t="s">
        <v>432</v>
      </c>
      <c r="K3216">
        <v>139</v>
      </c>
      <c r="L3216">
        <v>0</v>
      </c>
      <c r="M3216" t="s">
        <v>115</v>
      </c>
      <c r="N3216" t="str">
        <f t="shared" si="300"/>
        <v>PO-103215</v>
      </c>
      <c r="O3216" t="str">
        <f t="shared" si="301"/>
        <v>Delivered</v>
      </c>
      <c r="P3216" t="str">
        <f t="shared" si="302"/>
        <v>WH-BLR</v>
      </c>
      <c r="Q3216" t="str">
        <f>VLOOKUP(C3216, Lookups!$A$2:$D$10, 2, FALSE())</f>
        <v>Global Networks</v>
      </c>
      <c r="R3216" t="str">
        <f>_xlfn.XLOOKUP(D3216, Lookups!$A$12:$A$51, Lookups!$C$12:$C$51, "Unknown")</f>
        <v>Networking</v>
      </c>
      <c r="S3216" t="str">
        <f>IF(ISBLANK(I3216), B3216+VLOOKUP(C3216, Lookups!$A$2:$D$10, 4, FALSE()), I3216)</f>
        <v>2025-03-16</v>
      </c>
      <c r="T3216">
        <f t="shared" si="303"/>
        <v>30</v>
      </c>
      <c r="U3216" t="str">
        <f t="shared" si="304"/>
        <v>Late</v>
      </c>
      <c r="V3216">
        <f t="shared" si="305"/>
        <v>0</v>
      </c>
    </row>
    <row r="3217" spans="1:22" x14ac:dyDescent="0.45">
      <c r="A3217" t="s">
        <v>4074</v>
      </c>
      <c r="B3217" t="s">
        <v>127</v>
      </c>
      <c r="C3217" t="s">
        <v>31</v>
      </c>
      <c r="D3217" t="s">
        <v>66</v>
      </c>
      <c r="E3217" t="s">
        <v>16</v>
      </c>
      <c r="F3217">
        <v>231</v>
      </c>
      <c r="G3217">
        <v>29719</v>
      </c>
      <c r="H3217">
        <v>6865089</v>
      </c>
      <c r="I3217" t="s">
        <v>330</v>
      </c>
      <c r="J3217" t="s">
        <v>1395</v>
      </c>
      <c r="K3217">
        <v>231</v>
      </c>
      <c r="L3217">
        <v>0</v>
      </c>
      <c r="M3217" t="s">
        <v>115</v>
      </c>
      <c r="N3217" t="str">
        <f t="shared" si="300"/>
        <v>PO-103216</v>
      </c>
      <c r="O3217" t="str">
        <f t="shared" si="301"/>
        <v>Delivered</v>
      </c>
      <c r="P3217" t="str">
        <f t="shared" si="302"/>
        <v>WH-DEL</v>
      </c>
      <c r="Q3217" t="str">
        <f>VLOOKUP(C3217, Lookups!$A$2:$D$10, 2, FALSE())</f>
        <v>Global Networks</v>
      </c>
      <c r="R3217" t="str">
        <f>_xlfn.XLOOKUP(D3217, Lookups!$A$12:$A$51, Lookups!$C$12:$C$51, "Unknown")</f>
        <v>Networking</v>
      </c>
      <c r="S3217" t="str">
        <f>IF(ISBLANK(I3217), B3217+VLOOKUP(C3217, Lookups!$A$2:$D$10, 4, FALSE()), I3217)</f>
        <v>2026-02-23</v>
      </c>
      <c r="T3217">
        <f t="shared" si="303"/>
        <v>35</v>
      </c>
      <c r="U3217" t="str">
        <f t="shared" si="304"/>
        <v>Late</v>
      </c>
      <c r="V3217">
        <f t="shared" si="305"/>
        <v>0</v>
      </c>
    </row>
    <row r="3218" spans="1:22" x14ac:dyDescent="0.45">
      <c r="A3218" t="s">
        <v>4075</v>
      </c>
      <c r="B3218" t="s">
        <v>198</v>
      </c>
      <c r="C3218" t="s">
        <v>36</v>
      </c>
      <c r="D3218" t="s">
        <v>87</v>
      </c>
      <c r="E3218" t="s">
        <v>15</v>
      </c>
      <c r="F3218">
        <v>147</v>
      </c>
      <c r="G3218">
        <v>82930</v>
      </c>
      <c r="H3218">
        <v>12190710</v>
      </c>
      <c r="I3218" t="s">
        <v>199</v>
      </c>
      <c r="J3218" t="s">
        <v>809</v>
      </c>
      <c r="K3218">
        <v>147</v>
      </c>
      <c r="L3218">
        <v>6</v>
      </c>
      <c r="M3218" t="s">
        <v>115</v>
      </c>
      <c r="N3218" t="str">
        <f t="shared" si="300"/>
        <v>PO-103217</v>
      </c>
      <c r="O3218" t="str">
        <f t="shared" si="301"/>
        <v>Delivered</v>
      </c>
      <c r="P3218" t="str">
        <f t="shared" si="302"/>
        <v>WH-BOM</v>
      </c>
      <c r="Q3218" t="str">
        <f>VLOOKUP(C3218, Lookups!$A$2:$D$10, 2, FALSE())</f>
        <v>NextGen Hardware</v>
      </c>
      <c r="R3218" t="str">
        <f>_xlfn.XLOOKUP(D3218, Lookups!$A$12:$A$51, Lookups!$C$12:$C$51, "Unknown")</f>
        <v>Electronics</v>
      </c>
      <c r="S3218" t="str">
        <f>IF(ISBLANK(I3218), B3218+VLOOKUP(C3218, Lookups!$A$2:$D$10, 4, FALSE()), I3218)</f>
        <v>2025-10-16</v>
      </c>
      <c r="T3218">
        <f t="shared" si="303"/>
        <v>25</v>
      </c>
      <c r="U3218" t="str">
        <f t="shared" si="304"/>
        <v>Late</v>
      </c>
      <c r="V3218">
        <f t="shared" si="305"/>
        <v>4.0816326530612242E-2</v>
      </c>
    </row>
    <row r="3219" spans="1:22" x14ac:dyDescent="0.45">
      <c r="A3219" t="s">
        <v>4076</v>
      </c>
      <c r="B3219" t="s">
        <v>580</v>
      </c>
      <c r="C3219" t="s">
        <v>32</v>
      </c>
      <c r="D3219" t="s">
        <v>84</v>
      </c>
      <c r="E3219" t="s">
        <v>15</v>
      </c>
      <c r="F3219">
        <v>87</v>
      </c>
      <c r="G3219">
        <v>7271</v>
      </c>
      <c r="H3219">
        <v>632577</v>
      </c>
      <c r="I3219" t="s">
        <v>422</v>
      </c>
      <c r="J3219" t="s">
        <v>422</v>
      </c>
      <c r="K3219">
        <v>63</v>
      </c>
      <c r="L3219">
        <v>0</v>
      </c>
      <c r="M3219" t="s">
        <v>115</v>
      </c>
      <c r="N3219" t="str">
        <f t="shared" si="300"/>
        <v>PO-103218</v>
      </c>
      <c r="O3219" t="str">
        <f t="shared" si="301"/>
        <v>Delivered</v>
      </c>
      <c r="P3219" t="str">
        <f t="shared" si="302"/>
        <v>WH-BOM</v>
      </c>
      <c r="Q3219" t="str">
        <f>VLOOKUP(C3219, Lookups!$A$2:$D$10, 2, FALSE())</f>
        <v>OfficeDepot Pro</v>
      </c>
      <c r="R3219" t="str">
        <f>_xlfn.XLOOKUP(D3219, Lookups!$A$12:$A$51, Lookups!$C$12:$C$51, "Unknown")</f>
        <v>Peripherals</v>
      </c>
      <c r="S3219" t="str">
        <f>IF(ISBLANK(I3219), B3219+VLOOKUP(C3219, Lookups!$A$2:$D$10, 4, FALSE()), I3219)</f>
        <v>2026-01-19</v>
      </c>
      <c r="T3219">
        <f t="shared" si="303"/>
        <v>7</v>
      </c>
      <c r="U3219" t="str">
        <f t="shared" si="304"/>
        <v>On-Time</v>
      </c>
      <c r="V3219">
        <f t="shared" si="305"/>
        <v>0</v>
      </c>
    </row>
    <row r="3220" spans="1:22" x14ac:dyDescent="0.45">
      <c r="A3220" t="s">
        <v>4077</v>
      </c>
      <c r="B3220" t="s">
        <v>963</v>
      </c>
      <c r="C3220" t="s">
        <v>30</v>
      </c>
      <c r="D3220" t="s">
        <v>82</v>
      </c>
      <c r="E3220" t="s">
        <v>16</v>
      </c>
      <c r="F3220">
        <v>33</v>
      </c>
      <c r="G3220">
        <v>83427</v>
      </c>
      <c r="H3220">
        <v>2753091</v>
      </c>
      <c r="I3220" t="s">
        <v>1432</v>
      </c>
      <c r="J3220" t="s">
        <v>1048</v>
      </c>
      <c r="K3220">
        <v>33</v>
      </c>
      <c r="L3220">
        <v>0</v>
      </c>
      <c r="M3220" t="s">
        <v>115</v>
      </c>
      <c r="N3220" t="str">
        <f t="shared" si="300"/>
        <v>PO-103219</v>
      </c>
      <c r="O3220" t="str">
        <f t="shared" si="301"/>
        <v>Delivered</v>
      </c>
      <c r="P3220" t="str">
        <f t="shared" si="302"/>
        <v>WH-DEL</v>
      </c>
      <c r="Q3220" t="str">
        <f>VLOOKUP(C3220, Lookups!$A$2:$D$10, 2, FALSE())</f>
        <v>TechSupply Corp</v>
      </c>
      <c r="R3220" t="str">
        <f>_xlfn.XLOOKUP(D3220, Lookups!$A$12:$A$51, Lookups!$C$12:$C$51, "Unknown")</f>
        <v>Electronics</v>
      </c>
      <c r="S3220" t="str">
        <f>IF(ISBLANK(I3220), B3220+VLOOKUP(C3220, Lookups!$A$2:$D$10, 4, FALSE()), I3220)</f>
        <v>2026-05-05</v>
      </c>
      <c r="T3220">
        <f t="shared" si="303"/>
        <v>23</v>
      </c>
      <c r="U3220" t="str">
        <f t="shared" si="304"/>
        <v>Late</v>
      </c>
      <c r="V3220">
        <f t="shared" si="305"/>
        <v>0</v>
      </c>
    </row>
    <row r="3221" spans="1:22" x14ac:dyDescent="0.45">
      <c r="A3221" t="s">
        <v>4078</v>
      </c>
      <c r="B3221" t="s">
        <v>1454</v>
      </c>
      <c r="C3221" t="s">
        <v>30</v>
      </c>
      <c r="D3221" t="s">
        <v>52</v>
      </c>
      <c r="E3221" t="s">
        <v>15</v>
      </c>
      <c r="F3221">
        <v>227</v>
      </c>
      <c r="G3221">
        <v>59592</v>
      </c>
      <c r="H3221">
        <v>13527384</v>
      </c>
      <c r="I3221" t="s">
        <v>961</v>
      </c>
      <c r="J3221" t="s">
        <v>353</v>
      </c>
      <c r="K3221">
        <v>227</v>
      </c>
      <c r="L3221">
        <v>0</v>
      </c>
      <c r="M3221" t="s">
        <v>115</v>
      </c>
      <c r="N3221" t="str">
        <f t="shared" si="300"/>
        <v>PO-103220</v>
      </c>
      <c r="O3221" t="str">
        <f t="shared" si="301"/>
        <v>Delivered</v>
      </c>
      <c r="P3221" t="str">
        <f t="shared" si="302"/>
        <v>WH-BOM</v>
      </c>
      <c r="Q3221" t="str">
        <f>VLOOKUP(C3221, Lookups!$A$2:$D$10, 2, FALSE())</f>
        <v>TechSupply Corp</v>
      </c>
      <c r="R3221" t="str">
        <f>_xlfn.XLOOKUP(D3221, Lookups!$A$12:$A$51, Lookups!$C$12:$C$51, "Unknown")</f>
        <v>Electronics</v>
      </c>
      <c r="S3221" t="str">
        <f>IF(ISBLANK(I3221), B3221+VLOOKUP(C3221, Lookups!$A$2:$D$10, 4, FALSE()), I3221)</f>
        <v>2025-05-03</v>
      </c>
      <c r="T3221">
        <f t="shared" si="303"/>
        <v>15</v>
      </c>
      <c r="U3221" t="str">
        <f t="shared" si="304"/>
        <v>Late</v>
      </c>
      <c r="V3221">
        <f t="shared" si="305"/>
        <v>0</v>
      </c>
    </row>
    <row r="3222" spans="1:22" x14ac:dyDescent="0.45">
      <c r="A3222" t="s">
        <v>4079</v>
      </c>
      <c r="B3222" t="s">
        <v>235</v>
      </c>
      <c r="C3222" t="s">
        <v>35</v>
      </c>
      <c r="D3222" t="s">
        <v>75</v>
      </c>
      <c r="E3222" t="s">
        <v>16</v>
      </c>
      <c r="F3222">
        <v>31</v>
      </c>
      <c r="G3222">
        <v>4440</v>
      </c>
      <c r="H3222">
        <v>137640</v>
      </c>
      <c r="I3222" t="s">
        <v>173</v>
      </c>
      <c r="J3222" t="s">
        <v>1604</v>
      </c>
      <c r="K3222">
        <v>31</v>
      </c>
      <c r="L3222">
        <v>0</v>
      </c>
      <c r="M3222" t="s">
        <v>115</v>
      </c>
      <c r="N3222" t="str">
        <f t="shared" si="300"/>
        <v>PO-103221</v>
      </c>
      <c r="O3222" t="str">
        <f t="shared" si="301"/>
        <v>Delivered</v>
      </c>
      <c r="P3222" t="str">
        <f t="shared" si="302"/>
        <v>WH-DEL</v>
      </c>
      <c r="Q3222" t="str">
        <f>VLOOKUP(C3222, Lookups!$A$2:$D$10, 2, FALSE())</f>
        <v>Peripheral Source</v>
      </c>
      <c r="R3222" t="str">
        <f>_xlfn.XLOOKUP(D3222, Lookups!$A$12:$A$51, Lookups!$C$12:$C$51, "Unknown")</f>
        <v>Peripherals</v>
      </c>
      <c r="S3222" t="str">
        <f>IF(ISBLANK(I3222), B3222+VLOOKUP(C3222, Lookups!$A$2:$D$10, 4, FALSE()), I3222)</f>
        <v>2025-09-06</v>
      </c>
      <c r="T3222">
        <f t="shared" si="303"/>
        <v>11</v>
      </c>
      <c r="U3222" t="str">
        <f t="shared" si="304"/>
        <v>Late</v>
      </c>
      <c r="V3222">
        <f t="shared" si="305"/>
        <v>0</v>
      </c>
    </row>
    <row r="3223" spans="1:22" x14ac:dyDescent="0.45">
      <c r="A3223" t="s">
        <v>4080</v>
      </c>
      <c r="B3223" t="s">
        <v>203</v>
      </c>
      <c r="C3223" t="s">
        <v>30</v>
      </c>
      <c r="D3223" t="s">
        <v>59</v>
      </c>
      <c r="E3223" t="s">
        <v>15</v>
      </c>
      <c r="F3223">
        <v>13</v>
      </c>
      <c r="G3223">
        <v>48905</v>
      </c>
      <c r="H3223">
        <v>635765</v>
      </c>
      <c r="I3223" t="s">
        <v>1221</v>
      </c>
      <c r="J3223" t="s">
        <v>1221</v>
      </c>
      <c r="K3223">
        <v>13</v>
      </c>
      <c r="L3223">
        <v>0</v>
      </c>
      <c r="M3223" t="s">
        <v>115</v>
      </c>
      <c r="N3223" t="str">
        <f t="shared" si="300"/>
        <v>PO-103222</v>
      </c>
      <c r="O3223" t="str">
        <f t="shared" si="301"/>
        <v>Delivered</v>
      </c>
      <c r="P3223" t="str">
        <f t="shared" si="302"/>
        <v>WH-BOM</v>
      </c>
      <c r="Q3223" t="str">
        <f>VLOOKUP(C3223, Lookups!$A$2:$D$10, 2, FALSE())</f>
        <v>TechSupply Corp</v>
      </c>
      <c r="R3223" t="str">
        <f>_xlfn.XLOOKUP(D3223, Lookups!$A$12:$A$51, Lookups!$C$12:$C$51, "Unknown")</f>
        <v>Electronics</v>
      </c>
      <c r="S3223" t="str">
        <f>IF(ISBLANK(I3223), B3223+VLOOKUP(C3223, Lookups!$A$2:$D$10, 4, FALSE()), I3223)</f>
        <v>2026-04-22</v>
      </c>
      <c r="T3223">
        <f t="shared" si="303"/>
        <v>14</v>
      </c>
      <c r="U3223" t="str">
        <f t="shared" si="304"/>
        <v>On-Time</v>
      </c>
      <c r="V3223">
        <f t="shared" si="305"/>
        <v>0</v>
      </c>
    </row>
    <row r="3224" spans="1:22" x14ac:dyDescent="0.45">
      <c r="A3224" t="s">
        <v>4081</v>
      </c>
      <c r="B3224" t="s">
        <v>304</v>
      </c>
      <c r="C3224" t="s">
        <v>37</v>
      </c>
      <c r="D3224" t="s">
        <v>79</v>
      </c>
      <c r="E3224" t="s">
        <v>326</v>
      </c>
      <c r="F3224">
        <v>117</v>
      </c>
      <c r="G3224">
        <v>23054</v>
      </c>
      <c r="H3224">
        <v>2697318</v>
      </c>
      <c r="I3224" t="s">
        <v>114</v>
      </c>
      <c r="J3224" t="s">
        <v>883</v>
      </c>
      <c r="K3224">
        <v>117</v>
      </c>
      <c r="L3224">
        <v>0</v>
      </c>
      <c r="M3224" t="s">
        <v>115</v>
      </c>
      <c r="N3224" t="str">
        <f t="shared" si="300"/>
        <v>PO-103223</v>
      </c>
      <c r="O3224" t="str">
        <f t="shared" si="301"/>
        <v>Delivered</v>
      </c>
      <c r="P3224" t="str">
        <f t="shared" si="302"/>
        <v>WH-BLR</v>
      </c>
      <c r="Q3224" t="str">
        <f>VLOOKUP(C3224, Lookups!$A$2:$D$10, 2, FALSE())</f>
        <v>Premium Desks Ltd</v>
      </c>
      <c r="R3224" t="str">
        <f>_xlfn.XLOOKUP(D3224, Lookups!$A$12:$A$51, Lookups!$C$12:$C$51, "Unknown")</f>
        <v>Office Furniture</v>
      </c>
      <c r="S3224" t="str">
        <f>IF(ISBLANK(I3224), B3224+VLOOKUP(C3224, Lookups!$A$2:$D$10, 4, FALSE()), I3224)</f>
        <v>2026-07-05</v>
      </c>
      <c r="T3224">
        <f t="shared" si="303"/>
        <v>13</v>
      </c>
      <c r="U3224" t="str">
        <f t="shared" si="304"/>
        <v>Late</v>
      </c>
      <c r="V3224">
        <f t="shared" si="305"/>
        <v>0</v>
      </c>
    </row>
    <row r="3225" spans="1:22" x14ac:dyDescent="0.45">
      <c r="A3225" t="s">
        <v>4082</v>
      </c>
      <c r="B3225" t="s">
        <v>393</v>
      </c>
      <c r="C3225" t="s">
        <v>34</v>
      </c>
      <c r="D3225" t="s">
        <v>74</v>
      </c>
      <c r="E3225" t="s">
        <v>17</v>
      </c>
      <c r="F3225">
        <v>119</v>
      </c>
      <c r="G3225">
        <v>94797</v>
      </c>
      <c r="H3225">
        <v>11280843</v>
      </c>
      <c r="I3225" t="s">
        <v>394</v>
      </c>
      <c r="J3225" t="s">
        <v>1783</v>
      </c>
      <c r="K3225">
        <v>119</v>
      </c>
      <c r="L3225">
        <v>0</v>
      </c>
      <c r="M3225" t="s">
        <v>115</v>
      </c>
      <c r="N3225" t="str">
        <f t="shared" si="300"/>
        <v>PO-103224</v>
      </c>
      <c r="O3225" t="str">
        <f t="shared" si="301"/>
        <v>Delivered</v>
      </c>
      <c r="P3225" t="str">
        <f t="shared" si="302"/>
        <v>WH-BLR</v>
      </c>
      <c r="Q3225" t="str">
        <f>VLOOKUP(C3225, Lookups!$A$2:$D$10, 2, FALSE())</f>
        <v>FastElectronics</v>
      </c>
      <c r="R3225" t="str">
        <f>_xlfn.XLOOKUP(D3225, Lookups!$A$12:$A$51, Lookups!$C$12:$C$51, "Unknown")</f>
        <v>Electronics</v>
      </c>
      <c r="S3225" t="str">
        <f>IF(ISBLANK(I3225), B3225+VLOOKUP(C3225, Lookups!$A$2:$D$10, 4, FALSE()), I3225)</f>
        <v>2025-09-16</v>
      </c>
      <c r="T3225">
        <f t="shared" si="303"/>
        <v>19</v>
      </c>
      <c r="U3225" t="str">
        <f t="shared" si="304"/>
        <v>Late</v>
      </c>
      <c r="V3225">
        <f t="shared" si="305"/>
        <v>0</v>
      </c>
    </row>
    <row r="3226" spans="1:22" x14ac:dyDescent="0.45">
      <c r="A3226" t="s">
        <v>4083</v>
      </c>
      <c r="B3226" t="s">
        <v>715</v>
      </c>
      <c r="C3226" t="s">
        <v>34</v>
      </c>
      <c r="D3226" t="s">
        <v>73</v>
      </c>
      <c r="E3226" t="s">
        <v>16</v>
      </c>
      <c r="F3226">
        <v>91</v>
      </c>
      <c r="G3226">
        <v>58396</v>
      </c>
      <c r="H3226">
        <v>5314036</v>
      </c>
      <c r="I3226" t="s">
        <v>648</v>
      </c>
      <c r="J3226" t="s">
        <v>739</v>
      </c>
      <c r="K3226">
        <v>91</v>
      </c>
      <c r="L3226">
        <v>0</v>
      </c>
      <c r="M3226" t="s">
        <v>115</v>
      </c>
      <c r="N3226" t="str">
        <f t="shared" si="300"/>
        <v>PO-103225</v>
      </c>
      <c r="O3226" t="str">
        <f t="shared" si="301"/>
        <v>Delivered</v>
      </c>
      <c r="P3226" t="str">
        <f t="shared" si="302"/>
        <v>WH-DEL</v>
      </c>
      <c r="Q3226" t="str">
        <f>VLOOKUP(C3226, Lookups!$A$2:$D$10, 2, FALSE())</f>
        <v>FastElectronics</v>
      </c>
      <c r="R3226" t="str">
        <f>_xlfn.XLOOKUP(D3226, Lookups!$A$12:$A$51, Lookups!$C$12:$C$51, "Unknown")</f>
        <v>Electronics</v>
      </c>
      <c r="S3226" t="str">
        <f>IF(ISBLANK(I3226), B3226+VLOOKUP(C3226, Lookups!$A$2:$D$10, 4, FALSE()), I3226)</f>
        <v>2025-07-28</v>
      </c>
      <c r="T3226">
        <f t="shared" si="303"/>
        <v>19</v>
      </c>
      <c r="U3226" t="str">
        <f t="shared" si="304"/>
        <v>Late</v>
      </c>
      <c r="V3226">
        <f t="shared" si="305"/>
        <v>0</v>
      </c>
    </row>
    <row r="3227" spans="1:22" x14ac:dyDescent="0.45">
      <c r="A3227" t="s">
        <v>4084</v>
      </c>
      <c r="B3227" t="s">
        <v>846</v>
      </c>
      <c r="C3227" t="s">
        <v>37</v>
      </c>
      <c r="D3227" t="s">
        <v>83</v>
      </c>
      <c r="E3227" t="s">
        <v>18</v>
      </c>
      <c r="F3227">
        <v>217</v>
      </c>
      <c r="G3227">
        <v>19850</v>
      </c>
      <c r="H3227">
        <v>4307450</v>
      </c>
      <c r="I3227" t="s">
        <v>736</v>
      </c>
      <c r="J3227" t="s">
        <v>182</v>
      </c>
      <c r="K3227">
        <v>188</v>
      </c>
      <c r="L3227">
        <v>0</v>
      </c>
      <c r="M3227" t="s">
        <v>115</v>
      </c>
      <c r="N3227" t="str">
        <f t="shared" si="300"/>
        <v>PO-103226</v>
      </c>
      <c r="O3227" t="str">
        <f t="shared" si="301"/>
        <v>Delivered</v>
      </c>
      <c r="P3227" t="str">
        <f t="shared" si="302"/>
        <v>WH-PUN</v>
      </c>
      <c r="Q3227" t="str">
        <f>VLOOKUP(C3227, Lookups!$A$2:$D$10, 2, FALSE())</f>
        <v>Premium Desks Ltd</v>
      </c>
      <c r="R3227" t="str">
        <f>_xlfn.XLOOKUP(D3227, Lookups!$A$12:$A$51, Lookups!$C$12:$C$51, "Unknown")</f>
        <v>Office Furniture</v>
      </c>
      <c r="S3227" t="str">
        <f>IF(ISBLANK(I3227), B3227+VLOOKUP(C3227, Lookups!$A$2:$D$10, 4, FALSE()), I3227)</f>
        <v>2026-10-30</v>
      </c>
      <c r="T3227">
        <f t="shared" si="303"/>
        <v>13</v>
      </c>
      <c r="U3227" t="str">
        <f t="shared" si="304"/>
        <v>Late</v>
      </c>
      <c r="V3227">
        <f t="shared" si="305"/>
        <v>0</v>
      </c>
    </row>
    <row r="3228" spans="1:22" x14ac:dyDescent="0.45">
      <c r="A3228" t="s">
        <v>4085</v>
      </c>
      <c r="B3228" t="s">
        <v>612</v>
      </c>
      <c r="C3228" t="s">
        <v>31</v>
      </c>
      <c r="D3228" t="s">
        <v>66</v>
      </c>
      <c r="E3228" t="s">
        <v>16</v>
      </c>
      <c r="F3228">
        <v>181</v>
      </c>
      <c r="G3228">
        <v>29719</v>
      </c>
      <c r="H3228">
        <v>5379139</v>
      </c>
      <c r="I3228" t="s">
        <v>188</v>
      </c>
      <c r="J3228" t="s">
        <v>185</v>
      </c>
      <c r="K3228">
        <v>181</v>
      </c>
      <c r="L3228">
        <v>9</v>
      </c>
      <c r="M3228" t="s">
        <v>115</v>
      </c>
      <c r="N3228" t="str">
        <f t="shared" si="300"/>
        <v>PO-103227</v>
      </c>
      <c r="O3228" t="str">
        <f t="shared" si="301"/>
        <v>Delivered</v>
      </c>
      <c r="P3228" t="str">
        <f t="shared" si="302"/>
        <v>WH-DEL</v>
      </c>
      <c r="Q3228" t="str">
        <f>VLOOKUP(C3228, Lookups!$A$2:$D$10, 2, FALSE())</f>
        <v>Global Networks</v>
      </c>
      <c r="R3228" t="str">
        <f>_xlfn.XLOOKUP(D3228, Lookups!$A$12:$A$51, Lookups!$C$12:$C$51, "Unknown")</f>
        <v>Networking</v>
      </c>
      <c r="S3228" t="str">
        <f>IF(ISBLANK(I3228), B3228+VLOOKUP(C3228, Lookups!$A$2:$D$10, 4, FALSE()), I3228)</f>
        <v>2025-02-25</v>
      </c>
      <c r="T3228">
        <f t="shared" si="303"/>
        <v>22</v>
      </c>
      <c r="U3228" t="str">
        <f t="shared" si="304"/>
        <v>Late</v>
      </c>
      <c r="V3228">
        <f t="shared" si="305"/>
        <v>4.9723756906077346E-2</v>
      </c>
    </row>
    <row r="3229" spans="1:22" x14ac:dyDescent="0.45">
      <c r="A3229" t="s">
        <v>4086</v>
      </c>
      <c r="B3229" t="s">
        <v>296</v>
      </c>
      <c r="C3229" t="s">
        <v>30</v>
      </c>
      <c r="D3229" t="s">
        <v>53</v>
      </c>
      <c r="E3229" t="s">
        <v>17</v>
      </c>
      <c r="F3229">
        <v>192</v>
      </c>
      <c r="G3229">
        <v>81048</v>
      </c>
      <c r="H3229">
        <v>15561216</v>
      </c>
      <c r="I3229" t="s">
        <v>2097</v>
      </c>
      <c r="J3229" t="s">
        <v>2097</v>
      </c>
      <c r="K3229">
        <v>192</v>
      </c>
      <c r="L3229">
        <v>0</v>
      </c>
      <c r="M3229" t="s">
        <v>115</v>
      </c>
      <c r="N3229" t="str">
        <f t="shared" si="300"/>
        <v>PO-103228</v>
      </c>
      <c r="O3229" t="str">
        <f t="shared" si="301"/>
        <v>Delivered</v>
      </c>
      <c r="P3229" t="str">
        <f t="shared" si="302"/>
        <v>WH-BLR</v>
      </c>
      <c r="Q3229" t="str">
        <f>VLOOKUP(C3229, Lookups!$A$2:$D$10, 2, FALSE())</f>
        <v>TechSupply Corp</v>
      </c>
      <c r="R3229" t="str">
        <f>_xlfn.XLOOKUP(D3229, Lookups!$A$12:$A$51, Lookups!$C$12:$C$51, "Unknown")</f>
        <v>Electronics</v>
      </c>
      <c r="S3229" t="str">
        <f>IF(ISBLANK(I3229), B3229+VLOOKUP(C3229, Lookups!$A$2:$D$10, 4, FALSE()), I3229)</f>
        <v>2026-12-08</v>
      </c>
      <c r="T3229">
        <f t="shared" si="303"/>
        <v>14</v>
      </c>
      <c r="U3229" t="str">
        <f t="shared" si="304"/>
        <v>On-Time</v>
      </c>
      <c r="V3229">
        <f t="shared" si="305"/>
        <v>0</v>
      </c>
    </row>
    <row r="3230" spans="1:22" x14ac:dyDescent="0.45">
      <c r="A3230" t="s">
        <v>4087</v>
      </c>
      <c r="B3230" t="s">
        <v>640</v>
      </c>
      <c r="C3230" t="s">
        <v>34</v>
      </c>
      <c r="D3230" t="s">
        <v>58</v>
      </c>
      <c r="E3230" t="s">
        <v>18</v>
      </c>
      <c r="F3230">
        <v>196</v>
      </c>
      <c r="G3230">
        <v>100302</v>
      </c>
      <c r="H3230">
        <v>19659192</v>
      </c>
      <c r="I3230" t="s">
        <v>341</v>
      </c>
      <c r="J3230" t="s">
        <v>341</v>
      </c>
      <c r="K3230">
        <v>196</v>
      </c>
      <c r="L3230">
        <v>10</v>
      </c>
      <c r="M3230" t="s">
        <v>115</v>
      </c>
      <c r="N3230" t="str">
        <f t="shared" si="300"/>
        <v>PO-103229</v>
      </c>
      <c r="O3230" t="str">
        <f t="shared" si="301"/>
        <v>Delivered</v>
      </c>
      <c r="P3230" t="str">
        <f t="shared" si="302"/>
        <v>WH-PUN</v>
      </c>
      <c r="Q3230" t="str">
        <f>VLOOKUP(C3230, Lookups!$A$2:$D$10, 2, FALSE())</f>
        <v>FastElectronics</v>
      </c>
      <c r="R3230" t="str">
        <f>_xlfn.XLOOKUP(D3230, Lookups!$A$12:$A$51, Lookups!$C$12:$C$51, "Unknown")</f>
        <v>Electronics</v>
      </c>
      <c r="S3230" t="str">
        <f>IF(ISBLANK(I3230), B3230+VLOOKUP(C3230, Lookups!$A$2:$D$10, 4, FALSE()), I3230)</f>
        <v>2026-01-13</v>
      </c>
      <c r="T3230">
        <f t="shared" si="303"/>
        <v>18</v>
      </c>
      <c r="U3230" t="str">
        <f t="shared" si="304"/>
        <v>On-Time</v>
      </c>
      <c r="V3230">
        <f t="shared" si="305"/>
        <v>5.1020408163265307E-2</v>
      </c>
    </row>
    <row r="3231" spans="1:22" x14ac:dyDescent="0.45">
      <c r="A3231" t="s">
        <v>4088</v>
      </c>
      <c r="B3231" t="s">
        <v>798</v>
      </c>
      <c r="C3231" t="s">
        <v>37</v>
      </c>
      <c r="D3231" t="s">
        <v>83</v>
      </c>
      <c r="E3231" t="s">
        <v>16</v>
      </c>
      <c r="F3231">
        <v>96</v>
      </c>
      <c r="G3231">
        <v>19850</v>
      </c>
      <c r="H3231">
        <v>1905600</v>
      </c>
      <c r="I3231" t="s">
        <v>412</v>
      </c>
      <c r="J3231" t="s">
        <v>1314</v>
      </c>
      <c r="K3231">
        <v>53</v>
      </c>
      <c r="L3231">
        <v>0</v>
      </c>
      <c r="M3231" t="s">
        <v>115</v>
      </c>
      <c r="N3231" t="str">
        <f t="shared" si="300"/>
        <v>PO-103230</v>
      </c>
      <c r="O3231" t="str">
        <f t="shared" si="301"/>
        <v>Delivered</v>
      </c>
      <c r="P3231" t="str">
        <f t="shared" si="302"/>
        <v>WH-DEL</v>
      </c>
      <c r="Q3231" t="str">
        <f>VLOOKUP(C3231, Lookups!$A$2:$D$10, 2, FALSE())</f>
        <v>Premium Desks Ltd</v>
      </c>
      <c r="R3231" t="str">
        <f>_xlfn.XLOOKUP(D3231, Lookups!$A$12:$A$51, Lookups!$C$12:$C$51, "Unknown")</f>
        <v>Office Furniture</v>
      </c>
      <c r="S3231" t="str">
        <f>IF(ISBLANK(I3231), B3231+VLOOKUP(C3231, Lookups!$A$2:$D$10, 4, FALSE()), I3231)</f>
        <v>2026-05-27</v>
      </c>
      <c r="T3231">
        <f t="shared" si="303"/>
        <v>13</v>
      </c>
      <c r="U3231" t="str">
        <f t="shared" si="304"/>
        <v>Late</v>
      </c>
      <c r="V3231">
        <f t="shared" si="305"/>
        <v>0</v>
      </c>
    </row>
    <row r="3232" spans="1:22" x14ac:dyDescent="0.45">
      <c r="A3232" t="s">
        <v>4089</v>
      </c>
      <c r="B3232" t="s">
        <v>750</v>
      </c>
      <c r="C3232" t="s">
        <v>36</v>
      </c>
      <c r="D3232" t="s">
        <v>90</v>
      </c>
      <c r="E3232" t="s">
        <v>17</v>
      </c>
      <c r="F3232">
        <v>185</v>
      </c>
      <c r="G3232">
        <v>81434</v>
      </c>
      <c r="H3232">
        <v>15065290</v>
      </c>
      <c r="I3232" t="s">
        <v>671</v>
      </c>
      <c r="J3232" t="s">
        <v>671</v>
      </c>
      <c r="K3232">
        <v>185</v>
      </c>
      <c r="L3232">
        <v>0</v>
      </c>
      <c r="M3232" t="s">
        <v>115</v>
      </c>
      <c r="N3232" t="str">
        <f t="shared" si="300"/>
        <v>PO-103231</v>
      </c>
      <c r="O3232" t="str">
        <f t="shared" si="301"/>
        <v>Delivered</v>
      </c>
      <c r="P3232" t="str">
        <f t="shared" si="302"/>
        <v>WH-BLR</v>
      </c>
      <c r="Q3232" t="str">
        <f>VLOOKUP(C3232, Lookups!$A$2:$D$10, 2, FALSE())</f>
        <v>NextGen Hardware</v>
      </c>
      <c r="R3232" t="str">
        <f>_xlfn.XLOOKUP(D3232, Lookups!$A$12:$A$51, Lookups!$C$12:$C$51, "Unknown")</f>
        <v>Electronics</v>
      </c>
      <c r="S3232" t="str">
        <f>IF(ISBLANK(I3232), B3232+VLOOKUP(C3232, Lookups!$A$2:$D$10, 4, FALSE()), I3232)</f>
        <v>2026-11-13</v>
      </c>
      <c r="T3232">
        <f t="shared" si="303"/>
        <v>24</v>
      </c>
      <c r="U3232" t="str">
        <f t="shared" si="304"/>
        <v>On-Time</v>
      </c>
      <c r="V3232">
        <f t="shared" si="305"/>
        <v>0</v>
      </c>
    </row>
    <row r="3233" spans="1:22" x14ac:dyDescent="0.45">
      <c r="A3233" t="s">
        <v>4090</v>
      </c>
      <c r="B3233" t="s">
        <v>610</v>
      </c>
      <c r="C3233" t="s">
        <v>35</v>
      </c>
      <c r="D3233" t="s">
        <v>57</v>
      </c>
      <c r="E3233" t="s">
        <v>18</v>
      </c>
      <c r="F3233">
        <v>42</v>
      </c>
      <c r="G3233">
        <v>2212</v>
      </c>
      <c r="H3233">
        <v>92904</v>
      </c>
      <c r="I3233" t="s">
        <v>462</v>
      </c>
      <c r="J3233" t="s">
        <v>462</v>
      </c>
      <c r="K3233">
        <v>42</v>
      </c>
      <c r="L3233">
        <v>0</v>
      </c>
      <c r="M3233" t="s">
        <v>115</v>
      </c>
      <c r="N3233" t="str">
        <f t="shared" si="300"/>
        <v>PO-103232</v>
      </c>
      <c r="O3233" t="str">
        <f t="shared" si="301"/>
        <v>Delivered</v>
      </c>
      <c r="P3233" t="str">
        <f t="shared" si="302"/>
        <v>WH-PUN</v>
      </c>
      <c r="Q3233" t="str">
        <f>VLOOKUP(C3233, Lookups!$A$2:$D$10, 2, FALSE())</f>
        <v>Peripheral Source</v>
      </c>
      <c r="R3233" t="str">
        <f>_xlfn.XLOOKUP(D3233, Lookups!$A$12:$A$51, Lookups!$C$12:$C$51, "Unknown")</f>
        <v>Peripherals</v>
      </c>
      <c r="S3233" t="str">
        <f>IF(ISBLANK(I3233), B3233+VLOOKUP(C3233, Lookups!$A$2:$D$10, 4, FALSE()), I3233)</f>
        <v>2025-11-05</v>
      </c>
      <c r="T3233">
        <f t="shared" si="303"/>
        <v>10</v>
      </c>
      <c r="U3233" t="str">
        <f t="shared" si="304"/>
        <v>On-Time</v>
      </c>
      <c r="V3233">
        <f t="shared" si="305"/>
        <v>0</v>
      </c>
    </row>
    <row r="3234" spans="1:22" x14ac:dyDescent="0.45">
      <c r="A3234" t="s">
        <v>4091</v>
      </c>
      <c r="B3234" t="s">
        <v>376</v>
      </c>
      <c r="C3234" t="s">
        <v>35</v>
      </c>
      <c r="D3234" t="s">
        <v>57</v>
      </c>
      <c r="E3234" t="s">
        <v>17</v>
      </c>
      <c r="F3234">
        <v>194</v>
      </c>
      <c r="G3234">
        <v>2212</v>
      </c>
      <c r="H3234">
        <v>429128</v>
      </c>
      <c r="I3234" t="s">
        <v>112</v>
      </c>
      <c r="J3234" t="s">
        <v>2281</v>
      </c>
      <c r="K3234">
        <v>194</v>
      </c>
      <c r="L3234">
        <v>0</v>
      </c>
      <c r="M3234" t="s">
        <v>115</v>
      </c>
      <c r="N3234" t="str">
        <f t="shared" si="300"/>
        <v>PO-103233</v>
      </c>
      <c r="O3234" t="str">
        <f t="shared" si="301"/>
        <v>Delivered</v>
      </c>
      <c r="P3234" t="str">
        <f t="shared" si="302"/>
        <v>WH-BLR</v>
      </c>
      <c r="Q3234" t="str">
        <f>VLOOKUP(C3234, Lookups!$A$2:$D$10, 2, FALSE())</f>
        <v>Peripheral Source</v>
      </c>
      <c r="R3234" t="str">
        <f>_xlfn.XLOOKUP(D3234, Lookups!$A$12:$A$51, Lookups!$C$12:$C$51, "Unknown")</f>
        <v>Peripherals</v>
      </c>
      <c r="S3234" t="str">
        <f>IF(ISBLANK(I3234), B3234+VLOOKUP(C3234, Lookups!$A$2:$D$10, 4, FALSE()), I3234)</f>
        <v>2026-06-16</v>
      </c>
      <c r="T3234">
        <f t="shared" si="303"/>
        <v>11</v>
      </c>
      <c r="U3234" t="str">
        <f t="shared" si="304"/>
        <v>Late</v>
      </c>
      <c r="V3234">
        <f t="shared" si="305"/>
        <v>0</v>
      </c>
    </row>
    <row r="3235" spans="1:22" x14ac:dyDescent="0.45">
      <c r="A3235" t="s">
        <v>4092</v>
      </c>
      <c r="B3235" t="s">
        <v>1549</v>
      </c>
      <c r="C3235" t="s">
        <v>30</v>
      </c>
      <c r="D3235" t="s">
        <v>53</v>
      </c>
      <c r="E3235" t="s">
        <v>15</v>
      </c>
      <c r="F3235">
        <v>99</v>
      </c>
      <c r="G3235">
        <v>81048</v>
      </c>
      <c r="H3235">
        <v>8023752</v>
      </c>
      <c r="I3235" t="s">
        <v>2204</v>
      </c>
      <c r="J3235" t="s">
        <v>2204</v>
      </c>
      <c r="K3235">
        <v>99</v>
      </c>
      <c r="L3235">
        <v>0</v>
      </c>
      <c r="M3235" t="s">
        <v>115</v>
      </c>
      <c r="N3235" t="str">
        <f t="shared" si="300"/>
        <v>PO-103234</v>
      </c>
      <c r="O3235" t="str">
        <f t="shared" si="301"/>
        <v>Delivered</v>
      </c>
      <c r="P3235" t="str">
        <f t="shared" si="302"/>
        <v>WH-BOM</v>
      </c>
      <c r="Q3235" t="str">
        <f>VLOOKUP(C3235, Lookups!$A$2:$D$10, 2, FALSE())</f>
        <v>TechSupply Corp</v>
      </c>
      <c r="R3235" t="str">
        <f>_xlfn.XLOOKUP(D3235, Lookups!$A$12:$A$51, Lookups!$C$12:$C$51, "Unknown")</f>
        <v>Electronics</v>
      </c>
      <c r="S3235" t="str">
        <f>IF(ISBLANK(I3235), B3235+VLOOKUP(C3235, Lookups!$A$2:$D$10, 4, FALSE()), I3235)</f>
        <v>2025-07-31</v>
      </c>
      <c r="T3235">
        <f t="shared" si="303"/>
        <v>14</v>
      </c>
      <c r="U3235" t="str">
        <f t="shared" si="304"/>
        <v>On-Time</v>
      </c>
      <c r="V3235">
        <f t="shared" si="305"/>
        <v>0</v>
      </c>
    </row>
    <row r="3236" spans="1:22" x14ac:dyDescent="0.45">
      <c r="A3236" t="s">
        <v>4093</v>
      </c>
      <c r="B3236" t="s">
        <v>1740</v>
      </c>
      <c r="C3236" t="s">
        <v>35</v>
      </c>
      <c r="D3236" t="s">
        <v>65</v>
      </c>
      <c r="E3236" t="s">
        <v>18</v>
      </c>
      <c r="F3236">
        <v>73</v>
      </c>
      <c r="G3236">
        <v>4936</v>
      </c>
      <c r="H3236">
        <v>360328</v>
      </c>
      <c r="I3236" t="s">
        <v>334</v>
      </c>
      <c r="J3236" t="s">
        <v>334</v>
      </c>
      <c r="K3236">
        <v>73</v>
      </c>
      <c r="L3236">
        <v>0</v>
      </c>
      <c r="M3236" t="s">
        <v>115</v>
      </c>
      <c r="N3236" t="str">
        <f t="shared" si="300"/>
        <v>PO-103235</v>
      </c>
      <c r="O3236" t="str">
        <f t="shared" si="301"/>
        <v>Delivered</v>
      </c>
      <c r="P3236" t="str">
        <f t="shared" si="302"/>
        <v>WH-PUN</v>
      </c>
      <c r="Q3236" t="str">
        <f>VLOOKUP(C3236, Lookups!$A$2:$D$10, 2, FALSE())</f>
        <v>Peripheral Source</v>
      </c>
      <c r="R3236" t="str">
        <f>_xlfn.XLOOKUP(D3236, Lookups!$A$12:$A$51, Lookups!$C$12:$C$51, "Unknown")</f>
        <v>Peripherals</v>
      </c>
      <c r="S3236" t="str">
        <f>IF(ISBLANK(I3236), B3236+VLOOKUP(C3236, Lookups!$A$2:$D$10, 4, FALSE()), I3236)</f>
        <v>2026-08-15</v>
      </c>
      <c r="T3236">
        <f t="shared" si="303"/>
        <v>10</v>
      </c>
      <c r="U3236" t="str">
        <f t="shared" si="304"/>
        <v>On-Time</v>
      </c>
      <c r="V3236">
        <f t="shared" si="305"/>
        <v>0</v>
      </c>
    </row>
    <row r="3237" spans="1:22" x14ac:dyDescent="0.45">
      <c r="A3237" t="s">
        <v>4094</v>
      </c>
      <c r="B3237" t="s">
        <v>958</v>
      </c>
      <c r="C3237" t="s">
        <v>34</v>
      </c>
      <c r="D3237" t="s">
        <v>80</v>
      </c>
      <c r="E3237" t="s">
        <v>16</v>
      </c>
      <c r="F3237">
        <v>82</v>
      </c>
      <c r="G3237">
        <v>19090</v>
      </c>
      <c r="H3237">
        <v>1565380</v>
      </c>
      <c r="I3237" t="s">
        <v>125</v>
      </c>
      <c r="J3237" t="s">
        <v>391</v>
      </c>
      <c r="K3237">
        <v>82</v>
      </c>
      <c r="L3237">
        <v>0</v>
      </c>
      <c r="M3237" t="s">
        <v>115</v>
      </c>
      <c r="N3237" t="str">
        <f t="shared" si="300"/>
        <v>PO-103236</v>
      </c>
      <c r="O3237" t="str">
        <f t="shared" si="301"/>
        <v>Delivered</v>
      </c>
      <c r="P3237" t="str">
        <f t="shared" si="302"/>
        <v>WH-DEL</v>
      </c>
      <c r="Q3237" t="str">
        <f>VLOOKUP(C3237, Lookups!$A$2:$D$10, 2, FALSE())</f>
        <v>FastElectronics</v>
      </c>
      <c r="R3237" t="str">
        <f>_xlfn.XLOOKUP(D3237, Lookups!$A$12:$A$51, Lookups!$C$12:$C$51, "Unknown")</f>
        <v>Networking</v>
      </c>
      <c r="S3237" t="str">
        <f>IF(ISBLANK(I3237), B3237+VLOOKUP(C3237, Lookups!$A$2:$D$10, 4, FALSE()), I3237)</f>
        <v>2026-06-13</v>
      </c>
      <c r="T3237">
        <f t="shared" si="303"/>
        <v>19</v>
      </c>
      <c r="U3237" t="str">
        <f t="shared" si="304"/>
        <v>Late</v>
      </c>
      <c r="V3237">
        <f t="shared" si="305"/>
        <v>0</v>
      </c>
    </row>
    <row r="3238" spans="1:22" x14ac:dyDescent="0.45">
      <c r="A3238" t="s">
        <v>4095</v>
      </c>
      <c r="B3238" t="s">
        <v>1496</v>
      </c>
      <c r="C3238" t="s">
        <v>34</v>
      </c>
      <c r="D3238" t="s">
        <v>81</v>
      </c>
      <c r="E3238" t="s">
        <v>18</v>
      </c>
      <c r="F3238">
        <v>46</v>
      </c>
      <c r="G3238">
        <v>55328</v>
      </c>
      <c r="H3238">
        <v>2545088</v>
      </c>
      <c r="I3238" t="s">
        <v>365</v>
      </c>
      <c r="J3238" t="s">
        <v>203</v>
      </c>
      <c r="K3238">
        <v>46</v>
      </c>
      <c r="L3238">
        <v>0</v>
      </c>
      <c r="M3238" t="s">
        <v>115</v>
      </c>
      <c r="N3238" t="str">
        <f t="shared" si="300"/>
        <v>PO-103237</v>
      </c>
      <c r="O3238" t="str">
        <f t="shared" si="301"/>
        <v>Delivered</v>
      </c>
      <c r="P3238" t="str">
        <f t="shared" si="302"/>
        <v>WH-PUN</v>
      </c>
      <c r="Q3238" t="str">
        <f>VLOOKUP(C3238, Lookups!$A$2:$D$10, 2, FALSE())</f>
        <v>FastElectronics</v>
      </c>
      <c r="R3238" t="str">
        <f>_xlfn.XLOOKUP(D3238, Lookups!$A$12:$A$51, Lookups!$C$12:$C$51, "Unknown")</f>
        <v>Electronics</v>
      </c>
      <c r="S3238" t="str">
        <f>IF(ISBLANK(I3238), B3238+VLOOKUP(C3238, Lookups!$A$2:$D$10, 4, FALSE()), I3238)</f>
        <v>2026-03-29</v>
      </c>
      <c r="T3238">
        <f t="shared" si="303"/>
        <v>28</v>
      </c>
      <c r="U3238" t="str">
        <f t="shared" si="304"/>
        <v>Late</v>
      </c>
      <c r="V3238">
        <f t="shared" si="305"/>
        <v>0</v>
      </c>
    </row>
    <row r="3239" spans="1:22" x14ac:dyDescent="0.45">
      <c r="A3239" t="s">
        <v>4096</v>
      </c>
      <c r="B3239" t="s">
        <v>697</v>
      </c>
      <c r="C3239" t="s">
        <v>35</v>
      </c>
      <c r="D3239" t="s">
        <v>91</v>
      </c>
      <c r="E3239" t="s">
        <v>18</v>
      </c>
      <c r="F3239">
        <v>83</v>
      </c>
      <c r="G3239">
        <v>6707</v>
      </c>
      <c r="H3239">
        <v>556681</v>
      </c>
      <c r="I3239" t="s">
        <v>1544</v>
      </c>
      <c r="J3239" t="s">
        <v>1544</v>
      </c>
      <c r="K3239">
        <v>83</v>
      </c>
      <c r="L3239">
        <v>0</v>
      </c>
      <c r="M3239" t="s">
        <v>115</v>
      </c>
      <c r="N3239" t="str">
        <f t="shared" si="300"/>
        <v>PO-103238</v>
      </c>
      <c r="O3239" t="str">
        <f t="shared" si="301"/>
        <v>Delivered</v>
      </c>
      <c r="P3239" t="str">
        <f t="shared" si="302"/>
        <v>WH-PUN</v>
      </c>
      <c r="Q3239" t="str">
        <f>VLOOKUP(C3239, Lookups!$A$2:$D$10, 2, FALSE())</f>
        <v>Peripheral Source</v>
      </c>
      <c r="R3239" t="str">
        <f>_xlfn.XLOOKUP(D3239, Lookups!$A$12:$A$51, Lookups!$C$12:$C$51, "Unknown")</f>
        <v>Peripherals</v>
      </c>
      <c r="S3239" t="str">
        <f>IF(ISBLANK(I3239), B3239+VLOOKUP(C3239, Lookups!$A$2:$D$10, 4, FALSE()), I3239)</f>
        <v>2025-02-01</v>
      </c>
      <c r="T3239">
        <f t="shared" si="303"/>
        <v>10</v>
      </c>
      <c r="U3239" t="str">
        <f t="shared" si="304"/>
        <v>On-Time</v>
      </c>
      <c r="V3239">
        <f t="shared" si="305"/>
        <v>0</v>
      </c>
    </row>
    <row r="3240" spans="1:22" x14ac:dyDescent="0.45">
      <c r="A3240" t="s">
        <v>4097</v>
      </c>
      <c r="B3240" t="s">
        <v>164</v>
      </c>
      <c r="C3240" t="s">
        <v>31</v>
      </c>
      <c r="D3240" t="s">
        <v>85</v>
      </c>
      <c r="E3240" t="s">
        <v>16</v>
      </c>
      <c r="F3240">
        <v>196</v>
      </c>
      <c r="G3240">
        <v>16501</v>
      </c>
      <c r="H3240">
        <v>3234196</v>
      </c>
      <c r="I3240" t="s">
        <v>705</v>
      </c>
      <c r="J3240" t="s">
        <v>503</v>
      </c>
      <c r="K3240">
        <v>190</v>
      </c>
      <c r="L3240">
        <v>0</v>
      </c>
      <c r="M3240" t="s">
        <v>115</v>
      </c>
      <c r="N3240" t="str">
        <f t="shared" si="300"/>
        <v>PO-103239</v>
      </c>
      <c r="O3240" t="str">
        <f t="shared" si="301"/>
        <v>Delivered</v>
      </c>
      <c r="P3240" t="str">
        <f t="shared" si="302"/>
        <v>WH-DEL</v>
      </c>
      <c r="Q3240" t="str">
        <f>VLOOKUP(C3240, Lookups!$A$2:$D$10, 2, FALSE())</f>
        <v>Global Networks</v>
      </c>
      <c r="R3240" t="str">
        <f>_xlfn.XLOOKUP(D3240, Lookups!$A$12:$A$51, Lookups!$C$12:$C$51, "Unknown")</f>
        <v>Networking</v>
      </c>
      <c r="S3240" t="str">
        <f>IF(ISBLANK(I3240), B3240+VLOOKUP(C3240, Lookups!$A$2:$D$10, 4, FALSE()), I3240)</f>
        <v>2026-02-26</v>
      </c>
      <c r="T3240">
        <f t="shared" si="303"/>
        <v>22</v>
      </c>
      <c r="U3240" t="str">
        <f t="shared" si="304"/>
        <v>Late</v>
      </c>
      <c r="V3240">
        <f t="shared" si="305"/>
        <v>0</v>
      </c>
    </row>
    <row r="3241" spans="1:22" x14ac:dyDescent="0.45">
      <c r="A3241" t="s">
        <v>4098</v>
      </c>
      <c r="B3241" t="s">
        <v>487</v>
      </c>
      <c r="C3241" t="s">
        <v>33</v>
      </c>
      <c r="D3241" t="s">
        <v>89</v>
      </c>
      <c r="E3241" t="s">
        <v>17</v>
      </c>
      <c r="F3241">
        <v>36</v>
      </c>
      <c r="G3241">
        <v>11309</v>
      </c>
      <c r="H3241">
        <v>407124</v>
      </c>
      <c r="I3241" t="s">
        <v>271</v>
      </c>
      <c r="J3241" t="s">
        <v>271</v>
      </c>
      <c r="K3241">
        <v>36</v>
      </c>
      <c r="L3241">
        <v>0</v>
      </c>
      <c r="M3241" t="s">
        <v>115</v>
      </c>
      <c r="N3241" t="str">
        <f t="shared" si="300"/>
        <v>PO-103240</v>
      </c>
      <c r="O3241" t="str">
        <f t="shared" si="301"/>
        <v>Delivered</v>
      </c>
      <c r="P3241" t="str">
        <f t="shared" si="302"/>
        <v>WH-BLR</v>
      </c>
      <c r="Q3241" t="str">
        <f>VLOOKUP(C3241, Lookups!$A$2:$D$10, 2, FALSE())</f>
        <v>MegaFurnish</v>
      </c>
      <c r="R3241" t="str">
        <f>_xlfn.XLOOKUP(D3241, Lookups!$A$12:$A$51, Lookups!$C$12:$C$51, "Unknown")</f>
        <v>Office Furniture</v>
      </c>
      <c r="S3241" t="str">
        <f>IF(ISBLANK(I3241), B3241+VLOOKUP(C3241, Lookups!$A$2:$D$10, 4, FALSE()), I3241)</f>
        <v>2025-07-26</v>
      </c>
      <c r="T3241">
        <f t="shared" si="303"/>
        <v>30</v>
      </c>
      <c r="U3241" t="str">
        <f t="shared" si="304"/>
        <v>On-Time</v>
      </c>
      <c r="V3241">
        <f t="shared" si="305"/>
        <v>0</v>
      </c>
    </row>
    <row r="3242" spans="1:22" x14ac:dyDescent="0.45">
      <c r="A3242" t="s">
        <v>4099</v>
      </c>
      <c r="B3242" t="s">
        <v>952</v>
      </c>
      <c r="C3242" t="s">
        <v>36</v>
      </c>
      <c r="D3242" t="s">
        <v>71</v>
      </c>
      <c r="E3242" t="s">
        <v>17</v>
      </c>
      <c r="F3242">
        <v>77</v>
      </c>
      <c r="G3242">
        <v>65379</v>
      </c>
      <c r="H3242">
        <v>5034183</v>
      </c>
      <c r="I3242" t="s">
        <v>683</v>
      </c>
      <c r="J3242" t="s">
        <v>683</v>
      </c>
      <c r="K3242">
        <v>77</v>
      </c>
      <c r="L3242">
        <v>0</v>
      </c>
      <c r="M3242" t="s">
        <v>115</v>
      </c>
      <c r="N3242" t="str">
        <f t="shared" si="300"/>
        <v>PO-103241</v>
      </c>
      <c r="O3242" t="str">
        <f t="shared" si="301"/>
        <v>Delivered</v>
      </c>
      <c r="P3242" t="str">
        <f t="shared" si="302"/>
        <v>WH-BLR</v>
      </c>
      <c r="Q3242" t="str">
        <f>VLOOKUP(C3242, Lookups!$A$2:$D$10, 2, FALSE())</f>
        <v>NextGen Hardware</v>
      </c>
      <c r="R3242" t="str">
        <f>_xlfn.XLOOKUP(D3242, Lookups!$A$12:$A$51, Lookups!$C$12:$C$51, "Unknown")</f>
        <v>Electronics</v>
      </c>
      <c r="S3242" t="str">
        <f>IF(ISBLANK(I3242), B3242+VLOOKUP(C3242, Lookups!$A$2:$D$10, 4, FALSE()), I3242)</f>
        <v>2026-08-17</v>
      </c>
      <c r="T3242">
        <f t="shared" si="303"/>
        <v>24</v>
      </c>
      <c r="U3242" t="str">
        <f t="shared" si="304"/>
        <v>On-Time</v>
      </c>
      <c r="V3242">
        <f t="shared" si="305"/>
        <v>0</v>
      </c>
    </row>
    <row r="3243" spans="1:22" x14ac:dyDescent="0.45">
      <c r="A3243" t="s">
        <v>4100</v>
      </c>
      <c r="B3243" t="s">
        <v>2381</v>
      </c>
      <c r="C3243" t="s">
        <v>31</v>
      </c>
      <c r="D3243" t="s">
        <v>66</v>
      </c>
      <c r="E3243" t="s">
        <v>15</v>
      </c>
      <c r="F3243">
        <v>230</v>
      </c>
      <c r="G3243">
        <v>29719</v>
      </c>
      <c r="H3243">
        <v>6835370</v>
      </c>
      <c r="I3243" t="s">
        <v>435</v>
      </c>
      <c r="J3243" t="s">
        <v>310</v>
      </c>
      <c r="K3243">
        <v>230</v>
      </c>
      <c r="L3243">
        <v>0</v>
      </c>
      <c r="M3243" t="s">
        <v>115</v>
      </c>
      <c r="N3243" t="str">
        <f t="shared" si="300"/>
        <v>PO-103242</v>
      </c>
      <c r="O3243" t="str">
        <f t="shared" si="301"/>
        <v>Delivered</v>
      </c>
      <c r="P3243" t="str">
        <f t="shared" si="302"/>
        <v>WH-BOM</v>
      </c>
      <c r="Q3243" t="str">
        <f>VLOOKUP(C3243, Lookups!$A$2:$D$10, 2, FALSE())</f>
        <v>Global Networks</v>
      </c>
      <c r="R3243" t="str">
        <f>_xlfn.XLOOKUP(D3243, Lookups!$A$12:$A$51, Lookups!$C$12:$C$51, "Unknown")</f>
        <v>Networking</v>
      </c>
      <c r="S3243" t="str">
        <f>IF(ISBLANK(I3243), B3243+VLOOKUP(C3243, Lookups!$A$2:$D$10, 4, FALSE()), I3243)</f>
        <v>2025-08-20</v>
      </c>
      <c r="T3243">
        <f t="shared" si="303"/>
        <v>22</v>
      </c>
      <c r="U3243" t="str">
        <f t="shared" si="304"/>
        <v>Late</v>
      </c>
      <c r="V3243">
        <f t="shared" si="305"/>
        <v>0</v>
      </c>
    </row>
    <row r="3244" spans="1:22" x14ac:dyDescent="0.45">
      <c r="A3244" t="s">
        <v>4101</v>
      </c>
      <c r="B3244" t="s">
        <v>175</v>
      </c>
      <c r="C3244" t="s">
        <v>34</v>
      </c>
      <c r="D3244" t="s">
        <v>81</v>
      </c>
      <c r="E3244" t="s">
        <v>18</v>
      </c>
      <c r="F3244">
        <v>113</v>
      </c>
      <c r="G3244">
        <v>55328</v>
      </c>
      <c r="H3244">
        <v>6252064</v>
      </c>
      <c r="I3244" t="s">
        <v>334</v>
      </c>
      <c r="J3244" t="s">
        <v>1295</v>
      </c>
      <c r="K3244">
        <v>113</v>
      </c>
      <c r="L3244">
        <v>0</v>
      </c>
      <c r="M3244" t="s">
        <v>115</v>
      </c>
      <c r="N3244" t="str">
        <f t="shared" si="300"/>
        <v>PO-103243</v>
      </c>
      <c r="O3244" t="str">
        <f t="shared" si="301"/>
        <v>Delivered</v>
      </c>
      <c r="P3244" t="str">
        <f t="shared" si="302"/>
        <v>WH-PUN</v>
      </c>
      <c r="Q3244" t="str">
        <f>VLOOKUP(C3244, Lookups!$A$2:$D$10, 2, FALSE())</f>
        <v>FastElectronics</v>
      </c>
      <c r="R3244" t="str">
        <f>_xlfn.XLOOKUP(D3244, Lookups!$A$12:$A$51, Lookups!$C$12:$C$51, "Unknown")</f>
        <v>Electronics</v>
      </c>
      <c r="S3244" t="str">
        <f>IF(ISBLANK(I3244), B3244+VLOOKUP(C3244, Lookups!$A$2:$D$10, 4, FALSE()), I3244)</f>
        <v>2026-08-15</v>
      </c>
      <c r="T3244">
        <f t="shared" si="303"/>
        <v>14</v>
      </c>
      <c r="U3244" t="str">
        <f t="shared" si="304"/>
        <v>On-Time</v>
      </c>
      <c r="V3244">
        <f t="shared" si="305"/>
        <v>0</v>
      </c>
    </row>
    <row r="3245" spans="1:22" x14ac:dyDescent="0.45">
      <c r="A3245" t="s">
        <v>4102</v>
      </c>
      <c r="B3245" t="s">
        <v>365</v>
      </c>
      <c r="C3245" t="s">
        <v>34</v>
      </c>
      <c r="D3245" t="s">
        <v>68</v>
      </c>
      <c r="E3245" t="s">
        <v>17</v>
      </c>
      <c r="F3245">
        <v>245</v>
      </c>
      <c r="G3245">
        <v>41405</v>
      </c>
      <c r="H3245">
        <v>10144225</v>
      </c>
      <c r="I3245" t="s">
        <v>366</v>
      </c>
      <c r="J3245" t="s">
        <v>855</v>
      </c>
      <c r="K3245">
        <v>245</v>
      </c>
      <c r="L3245">
        <v>0</v>
      </c>
      <c r="M3245" t="s">
        <v>115</v>
      </c>
      <c r="N3245" t="str">
        <f t="shared" si="300"/>
        <v>PO-103244</v>
      </c>
      <c r="O3245" t="str">
        <f t="shared" si="301"/>
        <v>Delivered</v>
      </c>
      <c r="P3245" t="str">
        <f t="shared" si="302"/>
        <v>WH-BLR</v>
      </c>
      <c r="Q3245" t="str">
        <f>VLOOKUP(C3245, Lookups!$A$2:$D$10, 2, FALSE())</f>
        <v>FastElectronics</v>
      </c>
      <c r="R3245" t="str">
        <f>_xlfn.XLOOKUP(D3245, Lookups!$A$12:$A$51, Lookups!$C$12:$C$51, "Unknown")</f>
        <v>Networking</v>
      </c>
      <c r="S3245" t="str">
        <f>IF(ISBLANK(I3245), B3245+VLOOKUP(C3245, Lookups!$A$2:$D$10, 4, FALSE()), I3245)</f>
        <v>2026-04-16</v>
      </c>
      <c r="T3245">
        <f t="shared" si="303"/>
        <v>19</v>
      </c>
      <c r="U3245" t="str">
        <f t="shared" si="304"/>
        <v>Late</v>
      </c>
      <c r="V3245">
        <f t="shared" si="305"/>
        <v>0</v>
      </c>
    </row>
    <row r="3246" spans="1:22" x14ac:dyDescent="0.45">
      <c r="A3246" t="s">
        <v>4103</v>
      </c>
      <c r="B3246" t="s">
        <v>278</v>
      </c>
      <c r="C3246" t="s">
        <v>36</v>
      </c>
      <c r="D3246" t="s">
        <v>71</v>
      </c>
      <c r="E3246" t="s">
        <v>18</v>
      </c>
      <c r="F3246">
        <v>226</v>
      </c>
      <c r="G3246">
        <v>65379</v>
      </c>
      <c r="H3246">
        <v>14775654</v>
      </c>
      <c r="I3246" t="s">
        <v>328</v>
      </c>
      <c r="J3246" t="s">
        <v>169</v>
      </c>
      <c r="K3246">
        <v>226</v>
      </c>
      <c r="L3246">
        <v>0</v>
      </c>
      <c r="M3246" t="s">
        <v>115</v>
      </c>
      <c r="N3246" t="str">
        <f t="shared" si="300"/>
        <v>PO-103245</v>
      </c>
      <c r="O3246" t="str">
        <f t="shared" si="301"/>
        <v>Delivered</v>
      </c>
      <c r="P3246" t="str">
        <f t="shared" si="302"/>
        <v>WH-PUN</v>
      </c>
      <c r="Q3246" t="str">
        <f>VLOOKUP(C3246, Lookups!$A$2:$D$10, 2, FALSE())</f>
        <v>NextGen Hardware</v>
      </c>
      <c r="R3246" t="str">
        <f>_xlfn.XLOOKUP(D3246, Lookups!$A$12:$A$51, Lookups!$C$12:$C$51, "Unknown")</f>
        <v>Electronics</v>
      </c>
      <c r="S3246" t="str">
        <f>IF(ISBLANK(I3246), B3246+VLOOKUP(C3246, Lookups!$A$2:$D$10, 4, FALSE()), I3246)</f>
        <v>2025-06-06</v>
      </c>
      <c r="T3246">
        <f t="shared" si="303"/>
        <v>25</v>
      </c>
      <c r="U3246" t="str">
        <f t="shared" si="304"/>
        <v>Late</v>
      </c>
      <c r="V3246">
        <f t="shared" si="305"/>
        <v>0</v>
      </c>
    </row>
    <row r="3247" spans="1:22" x14ac:dyDescent="0.45">
      <c r="A3247" t="s">
        <v>4104</v>
      </c>
      <c r="B3247" t="s">
        <v>1119</v>
      </c>
      <c r="C3247" t="s">
        <v>36</v>
      </c>
      <c r="D3247" t="s">
        <v>63</v>
      </c>
      <c r="E3247" t="s">
        <v>15</v>
      </c>
      <c r="F3247">
        <v>132</v>
      </c>
      <c r="G3247">
        <v>71062</v>
      </c>
      <c r="H3247">
        <v>9380184</v>
      </c>
      <c r="I3247" t="s">
        <v>495</v>
      </c>
      <c r="J3247" t="s">
        <v>976</v>
      </c>
      <c r="K3247">
        <v>132</v>
      </c>
      <c r="L3247">
        <v>0</v>
      </c>
      <c r="M3247" t="s">
        <v>115</v>
      </c>
      <c r="N3247" t="str">
        <f t="shared" si="300"/>
        <v>PO-103246</v>
      </c>
      <c r="O3247" t="str">
        <f t="shared" si="301"/>
        <v>Delivered</v>
      </c>
      <c r="P3247" t="str">
        <f t="shared" si="302"/>
        <v>WH-BOM</v>
      </c>
      <c r="Q3247" t="str">
        <f>VLOOKUP(C3247, Lookups!$A$2:$D$10, 2, FALSE())</f>
        <v>NextGen Hardware</v>
      </c>
      <c r="R3247" t="str">
        <f>_xlfn.XLOOKUP(D3247, Lookups!$A$12:$A$51, Lookups!$C$12:$C$51, "Unknown")</f>
        <v>Electronics</v>
      </c>
      <c r="S3247" t="str">
        <f>IF(ISBLANK(I3247), B3247+VLOOKUP(C3247, Lookups!$A$2:$D$10, 4, FALSE()), I3247)</f>
        <v>2026-09-23</v>
      </c>
      <c r="T3247">
        <f t="shared" si="303"/>
        <v>25</v>
      </c>
      <c r="U3247" t="str">
        <f t="shared" si="304"/>
        <v>Late</v>
      </c>
      <c r="V3247">
        <f t="shared" si="305"/>
        <v>0</v>
      </c>
    </row>
    <row r="3248" spans="1:22" x14ac:dyDescent="0.45">
      <c r="A3248" t="s">
        <v>4105</v>
      </c>
      <c r="B3248" t="s">
        <v>986</v>
      </c>
      <c r="C3248" t="s">
        <v>30</v>
      </c>
      <c r="D3248" t="s">
        <v>61</v>
      </c>
      <c r="E3248" t="s">
        <v>17</v>
      </c>
      <c r="F3248">
        <v>93</v>
      </c>
      <c r="G3248">
        <v>111237</v>
      </c>
      <c r="H3248">
        <v>10345041</v>
      </c>
      <c r="I3248" t="s">
        <v>1126</v>
      </c>
      <c r="J3248" t="s">
        <v>674</v>
      </c>
      <c r="K3248">
        <v>86</v>
      </c>
      <c r="L3248">
        <v>0</v>
      </c>
      <c r="M3248" t="s">
        <v>115</v>
      </c>
      <c r="N3248" t="str">
        <f t="shared" si="300"/>
        <v>PO-103247</v>
      </c>
      <c r="O3248" t="str">
        <f t="shared" si="301"/>
        <v>Delivered</v>
      </c>
      <c r="P3248" t="str">
        <f t="shared" si="302"/>
        <v>WH-BLR</v>
      </c>
      <c r="Q3248" t="str">
        <f>VLOOKUP(C3248, Lookups!$A$2:$D$10, 2, FALSE())</f>
        <v>TechSupply Corp</v>
      </c>
      <c r="R3248" t="str">
        <f>_xlfn.XLOOKUP(D3248, Lookups!$A$12:$A$51, Lookups!$C$12:$C$51, "Unknown")</f>
        <v>Electronics</v>
      </c>
      <c r="S3248" t="str">
        <f>IF(ISBLANK(I3248), B3248+VLOOKUP(C3248, Lookups!$A$2:$D$10, 4, FALSE()), I3248)</f>
        <v>2026-11-18</v>
      </c>
      <c r="T3248">
        <f t="shared" si="303"/>
        <v>15</v>
      </c>
      <c r="U3248" t="str">
        <f t="shared" si="304"/>
        <v>Late</v>
      </c>
      <c r="V3248">
        <f t="shared" si="305"/>
        <v>0</v>
      </c>
    </row>
    <row r="3249" spans="1:22" x14ac:dyDescent="0.45">
      <c r="A3249" t="s">
        <v>4106</v>
      </c>
      <c r="B3249" t="s">
        <v>2834</v>
      </c>
      <c r="C3249" t="s">
        <v>30</v>
      </c>
      <c r="D3249" t="s">
        <v>53</v>
      </c>
      <c r="E3249" t="s">
        <v>17</v>
      </c>
      <c r="F3249">
        <v>216</v>
      </c>
      <c r="G3249">
        <v>81048</v>
      </c>
      <c r="H3249">
        <v>17506368</v>
      </c>
      <c r="I3249" t="s">
        <v>697</v>
      </c>
      <c r="J3249" t="s">
        <v>466</v>
      </c>
      <c r="K3249">
        <v>216</v>
      </c>
      <c r="L3249">
        <v>0</v>
      </c>
      <c r="M3249" t="s">
        <v>115</v>
      </c>
      <c r="N3249" t="str">
        <f t="shared" si="300"/>
        <v>PO-103248</v>
      </c>
      <c r="O3249" t="str">
        <f t="shared" si="301"/>
        <v>Delivered</v>
      </c>
      <c r="P3249" t="str">
        <f t="shared" si="302"/>
        <v>WH-BLR</v>
      </c>
      <c r="Q3249" t="str">
        <f>VLOOKUP(C3249, Lookups!$A$2:$D$10, 2, FALSE())</f>
        <v>TechSupply Corp</v>
      </c>
      <c r="R3249" t="str">
        <f>_xlfn.XLOOKUP(D3249, Lookups!$A$12:$A$51, Lookups!$C$12:$C$51, "Unknown")</f>
        <v>Electronics</v>
      </c>
      <c r="S3249" t="str">
        <f>IF(ISBLANK(I3249), B3249+VLOOKUP(C3249, Lookups!$A$2:$D$10, 4, FALSE()), I3249)</f>
        <v>2025-01-22</v>
      </c>
      <c r="T3249">
        <f t="shared" si="303"/>
        <v>15</v>
      </c>
      <c r="U3249" t="str">
        <f t="shared" si="304"/>
        <v>Late</v>
      </c>
      <c r="V3249">
        <f t="shared" si="305"/>
        <v>0</v>
      </c>
    </row>
    <row r="3250" spans="1:22" x14ac:dyDescent="0.45">
      <c r="A3250" t="s">
        <v>4107</v>
      </c>
      <c r="B3250" t="s">
        <v>265</v>
      </c>
      <c r="C3250" t="s">
        <v>37</v>
      </c>
      <c r="D3250" t="s">
        <v>83</v>
      </c>
      <c r="E3250" t="s">
        <v>18</v>
      </c>
      <c r="F3250">
        <v>117</v>
      </c>
      <c r="G3250">
        <v>19850</v>
      </c>
      <c r="H3250">
        <v>2322450</v>
      </c>
      <c r="I3250" t="s">
        <v>185</v>
      </c>
      <c r="J3250" t="s">
        <v>299</v>
      </c>
      <c r="K3250">
        <v>117</v>
      </c>
      <c r="L3250">
        <v>0</v>
      </c>
      <c r="M3250" t="s">
        <v>115</v>
      </c>
      <c r="N3250" t="str">
        <f t="shared" si="300"/>
        <v>PO-103249</v>
      </c>
      <c r="O3250" t="str">
        <f t="shared" si="301"/>
        <v>Delivered</v>
      </c>
      <c r="P3250" t="str">
        <f t="shared" si="302"/>
        <v>WH-PUN</v>
      </c>
      <c r="Q3250" t="str">
        <f>VLOOKUP(C3250, Lookups!$A$2:$D$10, 2, FALSE())</f>
        <v>Premium Desks Ltd</v>
      </c>
      <c r="R3250" t="str">
        <f>_xlfn.XLOOKUP(D3250, Lookups!$A$12:$A$51, Lookups!$C$12:$C$51, "Unknown")</f>
        <v>Office Furniture</v>
      </c>
      <c r="S3250" t="str">
        <f>IF(ISBLANK(I3250), B3250+VLOOKUP(C3250, Lookups!$A$2:$D$10, 4, FALSE()), I3250)</f>
        <v>2025-02-26</v>
      </c>
      <c r="T3250">
        <f t="shared" si="303"/>
        <v>13</v>
      </c>
      <c r="U3250" t="str">
        <f t="shared" si="304"/>
        <v>Late</v>
      </c>
      <c r="V3250">
        <f t="shared" si="305"/>
        <v>0</v>
      </c>
    </row>
    <row r="3251" spans="1:22" x14ac:dyDescent="0.45">
      <c r="A3251" t="s">
        <v>4108</v>
      </c>
      <c r="B3251" t="s">
        <v>224</v>
      </c>
      <c r="C3251" t="s">
        <v>32</v>
      </c>
      <c r="D3251" t="s">
        <v>67</v>
      </c>
      <c r="E3251" t="s">
        <v>15</v>
      </c>
      <c r="F3251">
        <v>55</v>
      </c>
      <c r="G3251">
        <v>1553</v>
      </c>
      <c r="H3251">
        <v>85415</v>
      </c>
      <c r="I3251" t="s">
        <v>679</v>
      </c>
      <c r="J3251" t="s">
        <v>679</v>
      </c>
      <c r="K3251">
        <v>55</v>
      </c>
      <c r="L3251">
        <v>0</v>
      </c>
      <c r="M3251" t="s">
        <v>115</v>
      </c>
      <c r="N3251" t="str">
        <f t="shared" si="300"/>
        <v>PO-103250</v>
      </c>
      <c r="O3251" t="str">
        <f t="shared" si="301"/>
        <v>Delivered</v>
      </c>
      <c r="P3251" t="str">
        <f t="shared" si="302"/>
        <v>WH-BOM</v>
      </c>
      <c r="Q3251" t="str">
        <f>VLOOKUP(C3251, Lookups!$A$2:$D$10, 2, FALSE())</f>
        <v>OfficeDepot Pro</v>
      </c>
      <c r="R3251" t="str">
        <f>_xlfn.XLOOKUP(D3251, Lookups!$A$12:$A$51, Lookups!$C$12:$C$51, "Unknown")</f>
        <v>Peripherals</v>
      </c>
      <c r="S3251" t="str">
        <f>IF(ISBLANK(I3251), B3251+VLOOKUP(C3251, Lookups!$A$2:$D$10, 4, FALSE()), I3251)</f>
        <v>2026-07-20</v>
      </c>
      <c r="T3251">
        <f t="shared" si="303"/>
        <v>7</v>
      </c>
      <c r="U3251" t="str">
        <f t="shared" si="304"/>
        <v>On-Time</v>
      </c>
      <c r="V3251">
        <f t="shared" si="305"/>
        <v>0</v>
      </c>
    </row>
    <row r="3252" spans="1:22" x14ac:dyDescent="0.45">
      <c r="A3252" t="s">
        <v>4109</v>
      </c>
      <c r="B3252" t="s">
        <v>1641</v>
      </c>
      <c r="C3252" t="s">
        <v>34</v>
      </c>
      <c r="D3252" t="s">
        <v>74</v>
      </c>
      <c r="E3252" t="s">
        <v>17</v>
      </c>
      <c r="F3252">
        <v>148</v>
      </c>
      <c r="G3252">
        <v>94797</v>
      </c>
      <c r="H3252">
        <v>14029956</v>
      </c>
      <c r="I3252" t="s">
        <v>250</v>
      </c>
      <c r="J3252" t="s">
        <v>1236</v>
      </c>
      <c r="K3252">
        <v>148</v>
      </c>
      <c r="L3252">
        <v>0</v>
      </c>
      <c r="M3252" t="s">
        <v>115</v>
      </c>
      <c r="N3252" t="str">
        <f t="shared" si="300"/>
        <v>PO-103251</v>
      </c>
      <c r="O3252" t="str">
        <f t="shared" si="301"/>
        <v>Delivered</v>
      </c>
      <c r="P3252" t="str">
        <f t="shared" si="302"/>
        <v>WH-BLR</v>
      </c>
      <c r="Q3252" t="str">
        <f>VLOOKUP(C3252, Lookups!$A$2:$D$10, 2, FALSE())</f>
        <v>FastElectronics</v>
      </c>
      <c r="R3252" t="str">
        <f>_xlfn.XLOOKUP(D3252, Lookups!$A$12:$A$51, Lookups!$C$12:$C$51, "Unknown")</f>
        <v>Electronics</v>
      </c>
      <c r="S3252" t="str">
        <f>IF(ISBLANK(I3252), B3252+VLOOKUP(C3252, Lookups!$A$2:$D$10, 4, FALSE()), I3252)</f>
        <v>2025-08-08</v>
      </c>
      <c r="T3252">
        <f t="shared" si="303"/>
        <v>33</v>
      </c>
      <c r="U3252" t="str">
        <f t="shared" si="304"/>
        <v>Late</v>
      </c>
      <c r="V3252">
        <f t="shared" si="305"/>
        <v>0</v>
      </c>
    </row>
    <row r="3253" spans="1:22" x14ac:dyDescent="0.45">
      <c r="A3253" t="s">
        <v>4110</v>
      </c>
      <c r="B3253" t="s">
        <v>549</v>
      </c>
      <c r="C3253" t="s">
        <v>35</v>
      </c>
      <c r="D3253" t="s">
        <v>60</v>
      </c>
      <c r="E3253" t="s">
        <v>17</v>
      </c>
      <c r="F3253">
        <v>221</v>
      </c>
      <c r="G3253">
        <v>3291</v>
      </c>
      <c r="H3253">
        <v>727311</v>
      </c>
      <c r="I3253" t="s">
        <v>508</v>
      </c>
      <c r="J3253" t="s">
        <v>508</v>
      </c>
      <c r="K3253">
        <v>221</v>
      </c>
      <c r="L3253">
        <v>13</v>
      </c>
      <c r="M3253" t="s">
        <v>115</v>
      </c>
      <c r="N3253" t="str">
        <f t="shared" si="300"/>
        <v>PO-103252</v>
      </c>
      <c r="O3253" t="str">
        <f t="shared" si="301"/>
        <v>Delivered</v>
      </c>
      <c r="P3253" t="str">
        <f t="shared" si="302"/>
        <v>WH-BLR</v>
      </c>
      <c r="Q3253" t="str">
        <f>VLOOKUP(C3253, Lookups!$A$2:$D$10, 2, FALSE())</f>
        <v>Peripheral Source</v>
      </c>
      <c r="R3253" t="str">
        <f>_xlfn.XLOOKUP(D3253, Lookups!$A$12:$A$51, Lookups!$C$12:$C$51, "Unknown")</f>
        <v>Peripherals</v>
      </c>
      <c r="S3253" t="str">
        <f>IF(ISBLANK(I3253), B3253+VLOOKUP(C3253, Lookups!$A$2:$D$10, 4, FALSE()), I3253)</f>
        <v>2026-01-17</v>
      </c>
      <c r="T3253">
        <f t="shared" si="303"/>
        <v>10</v>
      </c>
      <c r="U3253" t="str">
        <f t="shared" si="304"/>
        <v>On-Time</v>
      </c>
      <c r="V3253">
        <f t="shared" si="305"/>
        <v>5.8823529411764705E-2</v>
      </c>
    </row>
    <row r="3254" spans="1:22" x14ac:dyDescent="0.45">
      <c r="A3254" t="s">
        <v>4111</v>
      </c>
      <c r="B3254" t="s">
        <v>1415</v>
      </c>
      <c r="C3254" t="s">
        <v>32</v>
      </c>
      <c r="D3254" t="s">
        <v>67</v>
      </c>
      <c r="E3254" t="s">
        <v>17</v>
      </c>
      <c r="F3254">
        <v>37</v>
      </c>
      <c r="G3254">
        <v>1553</v>
      </c>
      <c r="H3254">
        <v>57461</v>
      </c>
      <c r="I3254" t="s">
        <v>851</v>
      </c>
      <c r="J3254" t="s">
        <v>508</v>
      </c>
      <c r="K3254">
        <v>37</v>
      </c>
      <c r="L3254">
        <v>0</v>
      </c>
      <c r="M3254" t="s">
        <v>115</v>
      </c>
      <c r="N3254" t="str">
        <f t="shared" si="300"/>
        <v>PO-103253</v>
      </c>
      <c r="O3254" t="str">
        <f t="shared" si="301"/>
        <v>Delivered</v>
      </c>
      <c r="P3254" t="str">
        <f t="shared" si="302"/>
        <v>WH-BLR</v>
      </c>
      <c r="Q3254" t="str">
        <f>VLOOKUP(C3254, Lookups!$A$2:$D$10, 2, FALSE())</f>
        <v>OfficeDepot Pro</v>
      </c>
      <c r="R3254" t="str">
        <f>_xlfn.XLOOKUP(D3254, Lookups!$A$12:$A$51, Lookups!$C$12:$C$51, "Unknown")</f>
        <v>Peripherals</v>
      </c>
      <c r="S3254" t="str">
        <f>IF(ISBLANK(I3254), B3254+VLOOKUP(C3254, Lookups!$A$2:$D$10, 4, FALSE()), I3254)</f>
        <v>2026-01-16</v>
      </c>
      <c r="T3254">
        <f t="shared" si="303"/>
        <v>8</v>
      </c>
      <c r="U3254" t="str">
        <f t="shared" si="304"/>
        <v>Late</v>
      </c>
      <c r="V3254">
        <f t="shared" si="305"/>
        <v>0</v>
      </c>
    </row>
    <row r="3255" spans="1:22" x14ac:dyDescent="0.45">
      <c r="A3255" t="s">
        <v>4112</v>
      </c>
      <c r="B3255" t="s">
        <v>138</v>
      </c>
      <c r="C3255" t="s">
        <v>34</v>
      </c>
      <c r="D3255" t="s">
        <v>58</v>
      </c>
      <c r="E3255" t="s">
        <v>15</v>
      </c>
      <c r="F3255">
        <v>175</v>
      </c>
      <c r="G3255">
        <v>100302</v>
      </c>
      <c r="H3255">
        <v>17552850</v>
      </c>
      <c r="I3255" t="s">
        <v>319</v>
      </c>
      <c r="J3255" t="s">
        <v>319</v>
      </c>
      <c r="K3255">
        <v>99</v>
      </c>
      <c r="L3255">
        <v>0</v>
      </c>
      <c r="M3255" t="s">
        <v>115</v>
      </c>
      <c r="N3255" t="str">
        <f t="shared" si="300"/>
        <v>PO-103254</v>
      </c>
      <c r="O3255" t="str">
        <f t="shared" si="301"/>
        <v>Delivered</v>
      </c>
      <c r="P3255" t="str">
        <f t="shared" si="302"/>
        <v>WH-BOM</v>
      </c>
      <c r="Q3255" t="str">
        <f>VLOOKUP(C3255, Lookups!$A$2:$D$10, 2, FALSE())</f>
        <v>FastElectronics</v>
      </c>
      <c r="R3255" t="str">
        <f>_xlfn.XLOOKUP(D3255, Lookups!$A$12:$A$51, Lookups!$C$12:$C$51, "Unknown")</f>
        <v>Electronics</v>
      </c>
      <c r="S3255" t="str">
        <f>IF(ISBLANK(I3255), B3255+VLOOKUP(C3255, Lookups!$A$2:$D$10, 4, FALSE()), I3255)</f>
        <v>2025-10-14</v>
      </c>
      <c r="T3255">
        <f t="shared" si="303"/>
        <v>18</v>
      </c>
      <c r="U3255" t="str">
        <f t="shared" si="304"/>
        <v>On-Time</v>
      </c>
      <c r="V3255">
        <f t="shared" si="305"/>
        <v>0</v>
      </c>
    </row>
    <row r="3256" spans="1:22" x14ac:dyDescent="0.45">
      <c r="A3256" t="s">
        <v>4113</v>
      </c>
      <c r="B3256" t="s">
        <v>559</v>
      </c>
      <c r="C3256" t="s">
        <v>31</v>
      </c>
      <c r="D3256" t="s">
        <v>66</v>
      </c>
      <c r="E3256" t="s">
        <v>15</v>
      </c>
      <c r="F3256">
        <v>171</v>
      </c>
      <c r="G3256">
        <v>29719</v>
      </c>
      <c r="H3256">
        <v>5081949</v>
      </c>
      <c r="I3256" t="s">
        <v>900</v>
      </c>
      <c r="J3256" t="s">
        <v>1501</v>
      </c>
      <c r="K3256">
        <v>171</v>
      </c>
      <c r="L3256">
        <v>0</v>
      </c>
      <c r="M3256" t="s">
        <v>115</v>
      </c>
      <c r="N3256" t="str">
        <f t="shared" si="300"/>
        <v>PO-103255</v>
      </c>
      <c r="O3256" t="str">
        <f t="shared" si="301"/>
        <v>Delivered</v>
      </c>
      <c r="P3256" t="str">
        <f t="shared" si="302"/>
        <v>WH-BOM</v>
      </c>
      <c r="Q3256" t="str">
        <f>VLOOKUP(C3256, Lookups!$A$2:$D$10, 2, FALSE())</f>
        <v>Global Networks</v>
      </c>
      <c r="R3256" t="str">
        <f>_xlfn.XLOOKUP(D3256, Lookups!$A$12:$A$51, Lookups!$C$12:$C$51, "Unknown")</f>
        <v>Networking</v>
      </c>
      <c r="S3256" t="str">
        <f>IF(ISBLANK(I3256), B3256+VLOOKUP(C3256, Lookups!$A$2:$D$10, 4, FALSE()), I3256)</f>
        <v>2026-05-10</v>
      </c>
      <c r="T3256">
        <f t="shared" si="303"/>
        <v>32</v>
      </c>
      <c r="U3256" t="str">
        <f t="shared" si="304"/>
        <v>Late</v>
      </c>
      <c r="V3256">
        <f t="shared" si="305"/>
        <v>0</v>
      </c>
    </row>
    <row r="3257" spans="1:22" x14ac:dyDescent="0.45">
      <c r="A3257" t="s">
        <v>4114</v>
      </c>
      <c r="B3257" t="s">
        <v>1596</v>
      </c>
      <c r="C3257" t="s">
        <v>31</v>
      </c>
      <c r="D3257" t="s">
        <v>85</v>
      </c>
      <c r="E3257" t="s">
        <v>17</v>
      </c>
      <c r="F3257">
        <v>82</v>
      </c>
      <c r="G3257">
        <v>16501</v>
      </c>
      <c r="H3257">
        <v>1353082</v>
      </c>
      <c r="I3257" t="s">
        <v>400</v>
      </c>
      <c r="J3257" t="s">
        <v>400</v>
      </c>
      <c r="K3257">
        <v>82</v>
      </c>
      <c r="L3257">
        <v>0</v>
      </c>
      <c r="M3257" t="s">
        <v>115</v>
      </c>
      <c r="N3257" t="str">
        <f t="shared" si="300"/>
        <v>PO-103256</v>
      </c>
      <c r="O3257" t="str">
        <f t="shared" si="301"/>
        <v>Delivered</v>
      </c>
      <c r="P3257" t="str">
        <f t="shared" si="302"/>
        <v>WH-BLR</v>
      </c>
      <c r="Q3257" t="str">
        <f>VLOOKUP(C3257, Lookups!$A$2:$D$10, 2, FALSE())</f>
        <v>Global Networks</v>
      </c>
      <c r="R3257" t="str">
        <f>_xlfn.XLOOKUP(D3257, Lookups!$A$12:$A$51, Lookups!$C$12:$C$51, "Unknown")</f>
        <v>Networking</v>
      </c>
      <c r="S3257" t="str">
        <f>IF(ISBLANK(I3257), B3257+VLOOKUP(C3257, Lookups!$A$2:$D$10, 4, FALSE()), I3257)</f>
        <v>2025-12-08</v>
      </c>
      <c r="T3257">
        <f t="shared" si="303"/>
        <v>21</v>
      </c>
      <c r="U3257" t="str">
        <f t="shared" si="304"/>
        <v>On-Time</v>
      </c>
      <c r="V3257">
        <f t="shared" si="305"/>
        <v>0</v>
      </c>
    </row>
    <row r="3258" spans="1:22" x14ac:dyDescent="0.45">
      <c r="A3258" t="s">
        <v>4115</v>
      </c>
      <c r="B3258" t="s">
        <v>856</v>
      </c>
      <c r="C3258" t="s">
        <v>31</v>
      </c>
      <c r="D3258" t="s">
        <v>56</v>
      </c>
      <c r="E3258" t="s">
        <v>16</v>
      </c>
      <c r="F3258">
        <v>236</v>
      </c>
      <c r="G3258">
        <v>39270</v>
      </c>
      <c r="H3258">
        <v>9267720</v>
      </c>
      <c r="I3258" t="s">
        <v>1405</v>
      </c>
      <c r="J3258" t="s">
        <v>1508</v>
      </c>
      <c r="K3258">
        <v>236</v>
      </c>
      <c r="L3258">
        <v>0</v>
      </c>
      <c r="M3258" t="s">
        <v>115</v>
      </c>
      <c r="N3258" t="str">
        <f t="shared" si="300"/>
        <v>PO-103257</v>
      </c>
      <c r="O3258" t="str">
        <f t="shared" si="301"/>
        <v>Delivered</v>
      </c>
      <c r="P3258" t="str">
        <f t="shared" si="302"/>
        <v>WH-DEL</v>
      </c>
      <c r="Q3258" t="str">
        <f>VLOOKUP(C3258, Lookups!$A$2:$D$10, 2, FALSE())</f>
        <v>Global Networks</v>
      </c>
      <c r="R3258" t="str">
        <f>_xlfn.XLOOKUP(D3258, Lookups!$A$12:$A$51, Lookups!$C$12:$C$51, "Unknown")</f>
        <v>Networking</v>
      </c>
      <c r="S3258" t="str">
        <f>IF(ISBLANK(I3258), B3258+VLOOKUP(C3258, Lookups!$A$2:$D$10, 4, FALSE()), I3258)</f>
        <v>2026-05-23</v>
      </c>
      <c r="T3258">
        <f t="shared" si="303"/>
        <v>22</v>
      </c>
      <c r="U3258" t="str">
        <f t="shared" si="304"/>
        <v>Late</v>
      </c>
      <c r="V3258">
        <f t="shared" si="305"/>
        <v>0</v>
      </c>
    </row>
    <row r="3259" spans="1:22" x14ac:dyDescent="0.45">
      <c r="A3259" t="s">
        <v>4116</v>
      </c>
      <c r="B3259" t="s">
        <v>1416</v>
      </c>
      <c r="C3259" t="s">
        <v>32</v>
      </c>
      <c r="D3259" t="s">
        <v>84</v>
      </c>
      <c r="E3259" t="s">
        <v>17</v>
      </c>
      <c r="F3259">
        <v>59</v>
      </c>
      <c r="G3259">
        <v>7271</v>
      </c>
      <c r="H3259">
        <v>428989</v>
      </c>
      <c r="I3259" t="s">
        <v>861</v>
      </c>
      <c r="J3259" t="s">
        <v>861</v>
      </c>
      <c r="K3259">
        <v>59</v>
      </c>
      <c r="L3259">
        <v>0</v>
      </c>
      <c r="M3259" t="s">
        <v>115</v>
      </c>
      <c r="N3259" t="str">
        <f t="shared" si="300"/>
        <v>PO-103258</v>
      </c>
      <c r="O3259" t="str">
        <f t="shared" si="301"/>
        <v>Delivered</v>
      </c>
      <c r="P3259" t="str">
        <f t="shared" si="302"/>
        <v>WH-BLR</v>
      </c>
      <c r="Q3259" t="str">
        <f>VLOOKUP(C3259, Lookups!$A$2:$D$10, 2, FALSE())</f>
        <v>OfficeDepot Pro</v>
      </c>
      <c r="R3259" t="str">
        <f>_xlfn.XLOOKUP(D3259, Lookups!$A$12:$A$51, Lookups!$C$12:$C$51, "Unknown")</f>
        <v>Peripherals</v>
      </c>
      <c r="S3259" t="str">
        <f>IF(ISBLANK(I3259), B3259+VLOOKUP(C3259, Lookups!$A$2:$D$10, 4, FALSE()), I3259)</f>
        <v>2026-02-06</v>
      </c>
      <c r="T3259">
        <f t="shared" si="303"/>
        <v>7</v>
      </c>
      <c r="U3259" t="str">
        <f t="shared" si="304"/>
        <v>On-Time</v>
      </c>
      <c r="V3259">
        <f t="shared" si="305"/>
        <v>0</v>
      </c>
    </row>
    <row r="3260" spans="1:22" x14ac:dyDescent="0.45">
      <c r="A3260" t="s">
        <v>4117</v>
      </c>
      <c r="B3260" t="s">
        <v>540</v>
      </c>
      <c r="C3260" t="s">
        <v>35</v>
      </c>
      <c r="D3260" t="s">
        <v>70</v>
      </c>
      <c r="E3260" t="s">
        <v>17</v>
      </c>
      <c r="F3260">
        <v>134</v>
      </c>
      <c r="G3260">
        <v>4287</v>
      </c>
      <c r="H3260">
        <v>574458</v>
      </c>
      <c r="I3260" t="s">
        <v>855</v>
      </c>
      <c r="J3260" t="s">
        <v>558</v>
      </c>
      <c r="K3260">
        <v>134</v>
      </c>
      <c r="L3260">
        <v>7</v>
      </c>
      <c r="M3260" t="s">
        <v>115</v>
      </c>
      <c r="N3260" t="str">
        <f t="shared" si="300"/>
        <v>PO-103259</v>
      </c>
      <c r="O3260" t="str">
        <f t="shared" si="301"/>
        <v>Delivered</v>
      </c>
      <c r="P3260" t="str">
        <f t="shared" si="302"/>
        <v>WH-BLR</v>
      </c>
      <c r="Q3260" t="str">
        <f>VLOOKUP(C3260, Lookups!$A$2:$D$10, 2, FALSE())</f>
        <v>Peripheral Source</v>
      </c>
      <c r="R3260" t="str">
        <f>_xlfn.XLOOKUP(D3260, Lookups!$A$12:$A$51, Lookups!$C$12:$C$51, "Unknown")</f>
        <v>Peripherals</v>
      </c>
      <c r="S3260" t="str">
        <f>IF(ISBLANK(I3260), B3260+VLOOKUP(C3260, Lookups!$A$2:$D$10, 4, FALSE()), I3260)</f>
        <v>2026-04-17</v>
      </c>
      <c r="T3260">
        <f t="shared" si="303"/>
        <v>11</v>
      </c>
      <c r="U3260" t="str">
        <f t="shared" si="304"/>
        <v>Late</v>
      </c>
      <c r="V3260">
        <f t="shared" si="305"/>
        <v>5.2238805970149252E-2</v>
      </c>
    </row>
    <row r="3261" spans="1:22" x14ac:dyDescent="0.45">
      <c r="A3261" t="s">
        <v>4118</v>
      </c>
      <c r="B3261" t="s">
        <v>1051</v>
      </c>
      <c r="C3261" t="s">
        <v>30</v>
      </c>
      <c r="D3261" t="s">
        <v>86</v>
      </c>
      <c r="E3261" t="s">
        <v>16</v>
      </c>
      <c r="F3261">
        <v>52</v>
      </c>
      <c r="G3261">
        <v>74871</v>
      </c>
      <c r="H3261">
        <v>3893292</v>
      </c>
      <c r="I3261" t="s">
        <v>438</v>
      </c>
      <c r="J3261" t="s">
        <v>438</v>
      </c>
      <c r="K3261">
        <v>52</v>
      </c>
      <c r="L3261">
        <v>0</v>
      </c>
      <c r="M3261" t="s">
        <v>115</v>
      </c>
      <c r="N3261" t="str">
        <f t="shared" si="300"/>
        <v>PO-103260</v>
      </c>
      <c r="O3261" t="str">
        <f t="shared" si="301"/>
        <v>Delivered</v>
      </c>
      <c r="P3261" t="str">
        <f t="shared" si="302"/>
        <v>WH-DEL</v>
      </c>
      <c r="Q3261" t="str">
        <f>VLOOKUP(C3261, Lookups!$A$2:$D$10, 2, FALSE())</f>
        <v>TechSupply Corp</v>
      </c>
      <c r="R3261" t="str">
        <f>_xlfn.XLOOKUP(D3261, Lookups!$A$12:$A$51, Lookups!$C$12:$C$51, "Unknown")</f>
        <v>Electronics</v>
      </c>
      <c r="S3261" t="str">
        <f>IF(ISBLANK(I3261), B3261+VLOOKUP(C3261, Lookups!$A$2:$D$10, 4, FALSE()), I3261)</f>
        <v>2025-02-13</v>
      </c>
      <c r="T3261">
        <f t="shared" si="303"/>
        <v>14</v>
      </c>
      <c r="U3261" t="str">
        <f t="shared" si="304"/>
        <v>On-Time</v>
      </c>
      <c r="V3261">
        <f t="shared" si="305"/>
        <v>0</v>
      </c>
    </row>
    <row r="3262" spans="1:22" x14ac:dyDescent="0.45">
      <c r="A3262" t="s">
        <v>4119</v>
      </c>
      <c r="B3262" t="s">
        <v>1165</v>
      </c>
      <c r="C3262" t="s">
        <v>36</v>
      </c>
      <c r="D3262" t="s">
        <v>90</v>
      </c>
      <c r="E3262" t="s">
        <v>18</v>
      </c>
      <c r="F3262">
        <v>93</v>
      </c>
      <c r="G3262">
        <v>81434</v>
      </c>
      <c r="H3262">
        <v>7573362</v>
      </c>
      <c r="I3262" t="s">
        <v>353</v>
      </c>
      <c r="J3262" t="s">
        <v>354</v>
      </c>
      <c r="K3262">
        <v>90</v>
      </c>
      <c r="L3262">
        <v>0</v>
      </c>
      <c r="M3262" t="s">
        <v>115</v>
      </c>
      <c r="N3262" t="str">
        <f t="shared" si="300"/>
        <v>PO-103261</v>
      </c>
      <c r="O3262" t="str">
        <f t="shared" si="301"/>
        <v>Delivered</v>
      </c>
      <c r="P3262" t="str">
        <f t="shared" si="302"/>
        <v>WH-PUN</v>
      </c>
      <c r="Q3262" t="str">
        <f>VLOOKUP(C3262, Lookups!$A$2:$D$10, 2, FALSE())</f>
        <v>NextGen Hardware</v>
      </c>
      <c r="R3262" t="str">
        <f>_xlfn.XLOOKUP(D3262, Lookups!$A$12:$A$51, Lookups!$C$12:$C$51, "Unknown")</f>
        <v>Electronics</v>
      </c>
      <c r="S3262" t="str">
        <f>IF(ISBLANK(I3262), B3262+VLOOKUP(C3262, Lookups!$A$2:$D$10, 4, FALSE()), I3262)</f>
        <v>2025-05-04</v>
      </c>
      <c r="T3262">
        <f t="shared" si="303"/>
        <v>25</v>
      </c>
      <c r="U3262" t="str">
        <f t="shared" si="304"/>
        <v>Late</v>
      </c>
      <c r="V3262">
        <f t="shared" si="305"/>
        <v>0</v>
      </c>
    </row>
    <row r="3263" spans="1:22" x14ac:dyDescent="0.45">
      <c r="A3263" t="s">
        <v>4120</v>
      </c>
      <c r="B3263" t="s">
        <v>963</v>
      </c>
      <c r="C3263" t="s">
        <v>37</v>
      </c>
      <c r="D3263" t="s">
        <v>78</v>
      </c>
      <c r="E3263" t="s">
        <v>17</v>
      </c>
      <c r="F3263">
        <v>92</v>
      </c>
      <c r="G3263">
        <v>9423</v>
      </c>
      <c r="H3263">
        <v>866916</v>
      </c>
      <c r="I3263" t="s">
        <v>1227</v>
      </c>
      <c r="J3263" t="s">
        <v>863</v>
      </c>
      <c r="K3263">
        <v>92</v>
      </c>
      <c r="L3263">
        <v>0</v>
      </c>
      <c r="M3263" t="s">
        <v>115</v>
      </c>
      <c r="N3263" t="str">
        <f t="shared" si="300"/>
        <v>PO-103262</v>
      </c>
      <c r="O3263" t="str">
        <f t="shared" si="301"/>
        <v>Delivered</v>
      </c>
      <c r="P3263" t="str">
        <f t="shared" si="302"/>
        <v>WH-BLR</v>
      </c>
      <c r="Q3263" t="str">
        <f>VLOOKUP(C3263, Lookups!$A$2:$D$10, 2, FALSE())</f>
        <v>Premium Desks Ltd</v>
      </c>
      <c r="R3263" t="str">
        <f>_xlfn.XLOOKUP(D3263, Lookups!$A$12:$A$51, Lookups!$C$12:$C$51, "Unknown")</f>
        <v>Office Furniture</v>
      </c>
      <c r="S3263" t="str">
        <f>IF(ISBLANK(I3263), B3263+VLOOKUP(C3263, Lookups!$A$2:$D$10, 4, FALSE()), I3263)</f>
        <v>2026-05-03</v>
      </c>
      <c r="T3263">
        <f t="shared" si="303"/>
        <v>20</v>
      </c>
      <c r="U3263" t="str">
        <f t="shared" si="304"/>
        <v>Late</v>
      </c>
      <c r="V3263">
        <f t="shared" si="305"/>
        <v>0</v>
      </c>
    </row>
    <row r="3264" spans="1:22" x14ac:dyDescent="0.45">
      <c r="A3264" t="s">
        <v>4121</v>
      </c>
      <c r="B3264" t="s">
        <v>278</v>
      </c>
      <c r="C3264" t="s">
        <v>31</v>
      </c>
      <c r="D3264" t="s">
        <v>85</v>
      </c>
      <c r="E3264" t="s">
        <v>15</v>
      </c>
      <c r="F3264">
        <v>247</v>
      </c>
      <c r="G3264">
        <v>16501</v>
      </c>
      <c r="H3264">
        <v>4075747</v>
      </c>
      <c r="I3264" t="s">
        <v>1440</v>
      </c>
      <c r="J3264" t="s">
        <v>162</v>
      </c>
      <c r="K3264">
        <v>247</v>
      </c>
      <c r="L3264">
        <v>0</v>
      </c>
      <c r="M3264" t="s">
        <v>115</v>
      </c>
      <c r="N3264" t="str">
        <f t="shared" si="300"/>
        <v>PO-103263</v>
      </c>
      <c r="O3264" t="str">
        <f t="shared" si="301"/>
        <v>Delivered</v>
      </c>
      <c r="P3264" t="str">
        <f t="shared" si="302"/>
        <v>WH-BOM</v>
      </c>
      <c r="Q3264" t="str">
        <f>VLOOKUP(C3264, Lookups!$A$2:$D$10, 2, FALSE())</f>
        <v>Global Networks</v>
      </c>
      <c r="R3264" t="str">
        <f>_xlfn.XLOOKUP(D3264, Lookups!$A$12:$A$51, Lookups!$C$12:$C$51, "Unknown")</f>
        <v>Networking</v>
      </c>
      <c r="S3264" t="str">
        <f>IF(ISBLANK(I3264), B3264+VLOOKUP(C3264, Lookups!$A$2:$D$10, 4, FALSE()), I3264)</f>
        <v>2025-06-03</v>
      </c>
      <c r="T3264">
        <f t="shared" si="303"/>
        <v>31</v>
      </c>
      <c r="U3264" t="str">
        <f t="shared" si="304"/>
        <v>Late</v>
      </c>
      <c r="V3264">
        <f t="shared" si="305"/>
        <v>0</v>
      </c>
    </row>
    <row r="3265" spans="1:22" x14ac:dyDescent="0.45">
      <c r="A3265" t="s">
        <v>4122</v>
      </c>
      <c r="B3265" t="s">
        <v>1442</v>
      </c>
      <c r="C3265" t="s">
        <v>37</v>
      </c>
      <c r="D3265" t="s">
        <v>78</v>
      </c>
      <c r="E3265" t="s">
        <v>15</v>
      </c>
      <c r="F3265">
        <v>13</v>
      </c>
      <c r="G3265">
        <v>9423</v>
      </c>
      <c r="H3265">
        <v>122499</v>
      </c>
      <c r="I3265" t="s">
        <v>458</v>
      </c>
      <c r="J3265" t="s">
        <v>469</v>
      </c>
      <c r="K3265">
        <v>13</v>
      </c>
      <c r="L3265">
        <v>0</v>
      </c>
      <c r="M3265" t="s">
        <v>115</v>
      </c>
      <c r="N3265" t="str">
        <f t="shared" si="300"/>
        <v>PO-103264</v>
      </c>
      <c r="O3265" t="str">
        <f t="shared" si="301"/>
        <v>Delivered</v>
      </c>
      <c r="P3265" t="str">
        <f t="shared" si="302"/>
        <v>WH-BOM</v>
      </c>
      <c r="Q3265" t="str">
        <f>VLOOKUP(C3265, Lookups!$A$2:$D$10, 2, FALSE())</f>
        <v>Premium Desks Ltd</v>
      </c>
      <c r="R3265" t="str">
        <f>_xlfn.XLOOKUP(D3265, Lookups!$A$12:$A$51, Lookups!$C$12:$C$51, "Unknown")</f>
        <v>Office Furniture</v>
      </c>
      <c r="S3265" t="str">
        <f>IF(ISBLANK(I3265), B3265+VLOOKUP(C3265, Lookups!$A$2:$D$10, 4, FALSE()), I3265)</f>
        <v>2025-07-14</v>
      </c>
      <c r="T3265">
        <f t="shared" si="303"/>
        <v>13</v>
      </c>
      <c r="U3265" t="str">
        <f t="shared" si="304"/>
        <v>Late</v>
      </c>
      <c r="V3265">
        <f t="shared" si="305"/>
        <v>0</v>
      </c>
    </row>
    <row r="3266" spans="1:22" x14ac:dyDescent="0.45">
      <c r="A3266" t="s">
        <v>4123</v>
      </c>
      <c r="B3266" t="s">
        <v>353</v>
      </c>
      <c r="C3266" t="s">
        <v>31</v>
      </c>
      <c r="D3266" t="s">
        <v>85</v>
      </c>
      <c r="E3266" t="s">
        <v>15</v>
      </c>
      <c r="F3266">
        <v>11</v>
      </c>
      <c r="G3266">
        <v>16501</v>
      </c>
      <c r="H3266">
        <v>181511</v>
      </c>
      <c r="I3266" t="s">
        <v>1329</v>
      </c>
      <c r="J3266" t="s">
        <v>1329</v>
      </c>
      <c r="K3266">
        <v>6</v>
      </c>
      <c r="L3266">
        <v>0</v>
      </c>
      <c r="M3266" t="s">
        <v>115</v>
      </c>
      <c r="N3266" t="str">
        <f t="shared" ref="N3266:N3329" si="306">TRIM(A3266)</f>
        <v>PO-103265</v>
      </c>
      <c r="O3266" t="str">
        <f t="shared" ref="O3266:O3329" si="307">PROPER(TRIM(M3266))</f>
        <v>Delivered</v>
      </c>
      <c r="P3266" t="str">
        <f t="shared" ref="P3266:P3329" si="308">TRIM(E3266)</f>
        <v>WH-BOM</v>
      </c>
      <c r="Q3266" t="str">
        <f>VLOOKUP(C3266, Lookups!$A$2:$D$10, 2, FALSE())</f>
        <v>Global Networks</v>
      </c>
      <c r="R3266" t="str">
        <f>_xlfn.XLOOKUP(D3266, Lookups!$A$12:$A$51, Lookups!$C$12:$C$51, "Unknown")</f>
        <v>Networking</v>
      </c>
      <c r="S3266" t="str">
        <f>IF(ISBLANK(I3266), B3266+VLOOKUP(C3266, Lookups!$A$2:$D$10, 4, FALSE()), I3266)</f>
        <v>2025-05-25</v>
      </c>
      <c r="T3266">
        <f t="shared" ref="T3266:T3329" si="309">IF(ISBLANK(J3266), "", J3266-B3266)</f>
        <v>21</v>
      </c>
      <c r="U3266" t="str">
        <f t="shared" ref="U3266:U3329" si="310">IF(O3266="Open", "Open", IF(J3266&gt;S3266, "Late", "On-Time"))</f>
        <v>On-Time</v>
      </c>
      <c r="V3266">
        <f t="shared" ref="V3266:V3329" si="311">IF(K3266&gt;0, L3266/K3266, 0)</f>
        <v>0</v>
      </c>
    </row>
    <row r="3267" spans="1:22" x14ac:dyDescent="0.45">
      <c r="A3267" t="s">
        <v>4124</v>
      </c>
      <c r="B3267" t="s">
        <v>169</v>
      </c>
      <c r="C3267" t="s">
        <v>30</v>
      </c>
      <c r="D3267" t="s">
        <v>86</v>
      </c>
      <c r="E3267" t="s">
        <v>18</v>
      </c>
      <c r="F3267">
        <v>231</v>
      </c>
      <c r="G3267">
        <v>74871</v>
      </c>
      <c r="H3267">
        <v>17295201</v>
      </c>
      <c r="I3267" t="s">
        <v>211</v>
      </c>
      <c r="J3267" t="s">
        <v>1639</v>
      </c>
      <c r="K3267">
        <v>231</v>
      </c>
      <c r="L3267">
        <v>0</v>
      </c>
      <c r="M3267" t="s">
        <v>115</v>
      </c>
      <c r="N3267" t="str">
        <f t="shared" si="306"/>
        <v>PO-103266</v>
      </c>
      <c r="O3267" t="str">
        <f t="shared" si="307"/>
        <v>Delivered</v>
      </c>
      <c r="P3267" t="str">
        <f t="shared" si="308"/>
        <v>WH-PUN</v>
      </c>
      <c r="Q3267" t="str">
        <f>VLOOKUP(C3267, Lookups!$A$2:$D$10, 2, FALSE())</f>
        <v>TechSupply Corp</v>
      </c>
      <c r="R3267" t="str">
        <f>_xlfn.XLOOKUP(D3267, Lookups!$A$12:$A$51, Lookups!$C$12:$C$51, "Unknown")</f>
        <v>Electronics</v>
      </c>
      <c r="S3267" t="str">
        <f>IF(ISBLANK(I3267), B3267+VLOOKUP(C3267, Lookups!$A$2:$D$10, 4, FALSE()), I3267)</f>
        <v>2025-06-21</v>
      </c>
      <c r="T3267">
        <f t="shared" si="309"/>
        <v>15</v>
      </c>
      <c r="U3267" t="str">
        <f t="shared" si="310"/>
        <v>Late</v>
      </c>
      <c r="V3267">
        <f t="shared" si="311"/>
        <v>0</v>
      </c>
    </row>
    <row r="3268" spans="1:22" x14ac:dyDescent="0.45">
      <c r="A3268" t="s">
        <v>4125</v>
      </c>
      <c r="B3268" t="s">
        <v>1822</v>
      </c>
      <c r="C3268" t="s">
        <v>30</v>
      </c>
      <c r="D3268" t="s">
        <v>61</v>
      </c>
      <c r="E3268" t="s">
        <v>15</v>
      </c>
      <c r="F3268">
        <v>242</v>
      </c>
      <c r="G3268">
        <v>111237</v>
      </c>
      <c r="H3268">
        <v>26919354</v>
      </c>
      <c r="I3268" t="s">
        <v>1024</v>
      </c>
      <c r="J3268" t="s">
        <v>1024</v>
      </c>
      <c r="K3268">
        <v>130</v>
      </c>
      <c r="L3268">
        <v>18</v>
      </c>
      <c r="M3268" t="s">
        <v>115</v>
      </c>
      <c r="N3268" t="str">
        <f t="shared" si="306"/>
        <v>PO-103267</v>
      </c>
      <c r="O3268" t="str">
        <f t="shared" si="307"/>
        <v>Delivered</v>
      </c>
      <c r="P3268" t="str">
        <f t="shared" si="308"/>
        <v>WH-BOM</v>
      </c>
      <c r="Q3268" t="str">
        <f>VLOOKUP(C3268, Lookups!$A$2:$D$10, 2, FALSE())</f>
        <v>TechSupply Corp</v>
      </c>
      <c r="R3268" t="str">
        <f>_xlfn.XLOOKUP(D3268, Lookups!$A$12:$A$51, Lookups!$C$12:$C$51, "Unknown")</f>
        <v>Electronics</v>
      </c>
      <c r="S3268" t="str">
        <f>IF(ISBLANK(I3268), B3268+VLOOKUP(C3268, Lookups!$A$2:$D$10, 4, FALSE()), I3268)</f>
        <v>2026-11-17</v>
      </c>
      <c r="T3268">
        <f t="shared" si="309"/>
        <v>14</v>
      </c>
      <c r="U3268" t="str">
        <f t="shared" si="310"/>
        <v>On-Time</v>
      </c>
      <c r="V3268">
        <f t="shared" si="311"/>
        <v>0.13846153846153847</v>
      </c>
    </row>
    <row r="3269" spans="1:22" x14ac:dyDescent="0.45">
      <c r="A3269" t="s">
        <v>4126</v>
      </c>
      <c r="B3269" t="s">
        <v>380</v>
      </c>
      <c r="C3269" t="s">
        <v>37</v>
      </c>
      <c r="D3269" t="s">
        <v>79</v>
      </c>
      <c r="E3269" t="s">
        <v>16</v>
      </c>
      <c r="F3269">
        <v>250</v>
      </c>
      <c r="G3269">
        <v>23054</v>
      </c>
      <c r="H3269">
        <v>5763500</v>
      </c>
      <c r="I3269" t="s">
        <v>1736</v>
      </c>
      <c r="J3269" t="s">
        <v>498</v>
      </c>
      <c r="K3269">
        <v>250</v>
      </c>
      <c r="L3269">
        <v>0</v>
      </c>
      <c r="M3269" t="s">
        <v>115</v>
      </c>
      <c r="N3269" t="str">
        <f t="shared" si="306"/>
        <v>PO-103268</v>
      </c>
      <c r="O3269" t="str">
        <f t="shared" si="307"/>
        <v>Delivered</v>
      </c>
      <c r="P3269" t="str">
        <f t="shared" si="308"/>
        <v>WH-DEL</v>
      </c>
      <c r="Q3269" t="str">
        <f>VLOOKUP(C3269, Lookups!$A$2:$D$10, 2, FALSE())</f>
        <v>Premium Desks Ltd</v>
      </c>
      <c r="R3269" t="str">
        <f>_xlfn.XLOOKUP(D3269, Lookups!$A$12:$A$51, Lookups!$C$12:$C$51, "Unknown")</f>
        <v>Office Furniture</v>
      </c>
      <c r="S3269" t="str">
        <f>IF(ISBLANK(I3269), B3269+VLOOKUP(C3269, Lookups!$A$2:$D$10, 4, FALSE()), I3269)</f>
        <v>2025-03-18</v>
      </c>
      <c r="T3269">
        <f t="shared" si="309"/>
        <v>27</v>
      </c>
      <c r="U3269" t="str">
        <f t="shared" si="310"/>
        <v>Late</v>
      </c>
      <c r="V3269">
        <f t="shared" si="311"/>
        <v>0</v>
      </c>
    </row>
    <row r="3270" spans="1:22" x14ac:dyDescent="0.45">
      <c r="A3270" t="s">
        <v>4127</v>
      </c>
      <c r="B3270" t="s">
        <v>281</v>
      </c>
      <c r="C3270" t="s">
        <v>31</v>
      </c>
      <c r="D3270" t="s">
        <v>77</v>
      </c>
      <c r="E3270" t="s">
        <v>16</v>
      </c>
      <c r="F3270">
        <v>38</v>
      </c>
      <c r="G3270">
        <v>23667</v>
      </c>
      <c r="H3270">
        <v>899346</v>
      </c>
      <c r="I3270" t="s">
        <v>954</v>
      </c>
      <c r="J3270" t="s">
        <v>954</v>
      </c>
      <c r="K3270">
        <v>38</v>
      </c>
      <c r="L3270">
        <v>0</v>
      </c>
      <c r="M3270" t="s">
        <v>115</v>
      </c>
      <c r="N3270" t="str">
        <f t="shared" si="306"/>
        <v>PO-103269</v>
      </c>
      <c r="O3270" t="str">
        <f t="shared" si="307"/>
        <v>Delivered</v>
      </c>
      <c r="P3270" t="str">
        <f t="shared" si="308"/>
        <v>WH-DEL</v>
      </c>
      <c r="Q3270" t="str">
        <f>VLOOKUP(C3270, Lookups!$A$2:$D$10, 2, FALSE())</f>
        <v>Global Networks</v>
      </c>
      <c r="R3270" t="str">
        <f>_xlfn.XLOOKUP(D3270, Lookups!$A$12:$A$51, Lookups!$C$12:$C$51, "Unknown")</f>
        <v>Networking</v>
      </c>
      <c r="S3270" t="str">
        <f>IF(ISBLANK(I3270), B3270+VLOOKUP(C3270, Lookups!$A$2:$D$10, 4, FALSE()), I3270)</f>
        <v>2026-11-16</v>
      </c>
      <c r="T3270">
        <f t="shared" si="309"/>
        <v>21</v>
      </c>
      <c r="U3270" t="str">
        <f t="shared" si="310"/>
        <v>On-Time</v>
      </c>
      <c r="V3270">
        <f t="shared" si="311"/>
        <v>0</v>
      </c>
    </row>
    <row r="3271" spans="1:22" x14ac:dyDescent="0.45">
      <c r="A3271" t="s">
        <v>4128</v>
      </c>
      <c r="B3271" t="s">
        <v>665</v>
      </c>
      <c r="C3271" t="s">
        <v>33</v>
      </c>
      <c r="D3271" t="s">
        <v>89</v>
      </c>
      <c r="E3271" t="s">
        <v>245</v>
      </c>
      <c r="F3271">
        <v>124</v>
      </c>
      <c r="G3271">
        <v>11309</v>
      </c>
      <c r="H3271">
        <v>1402316</v>
      </c>
      <c r="I3271" t="s">
        <v>1165</v>
      </c>
      <c r="J3271" t="s">
        <v>352</v>
      </c>
      <c r="K3271">
        <v>124</v>
      </c>
      <c r="L3271">
        <v>0</v>
      </c>
      <c r="M3271" t="s">
        <v>115</v>
      </c>
      <c r="N3271" t="str">
        <f t="shared" si="306"/>
        <v>PO-103270</v>
      </c>
      <c r="O3271" t="str">
        <f t="shared" si="307"/>
        <v>Delivered</v>
      </c>
      <c r="P3271" t="str">
        <f t="shared" si="308"/>
        <v>WH-BOM</v>
      </c>
      <c r="Q3271" t="str">
        <f>VLOOKUP(C3271, Lookups!$A$2:$D$10, 2, FALSE())</f>
        <v>MegaFurnish</v>
      </c>
      <c r="R3271" t="str">
        <f>_xlfn.XLOOKUP(D3271, Lookups!$A$12:$A$51, Lookups!$C$12:$C$51, "Unknown")</f>
        <v>Office Furniture</v>
      </c>
      <c r="S3271" t="str">
        <f>IF(ISBLANK(I3271), B3271+VLOOKUP(C3271, Lookups!$A$2:$D$10, 4, FALSE()), I3271)</f>
        <v>2025-04-10</v>
      </c>
      <c r="T3271">
        <f t="shared" si="309"/>
        <v>44</v>
      </c>
      <c r="U3271" t="str">
        <f t="shared" si="310"/>
        <v>Late</v>
      </c>
      <c r="V3271">
        <f t="shared" si="311"/>
        <v>0</v>
      </c>
    </row>
    <row r="3272" spans="1:22" x14ac:dyDescent="0.45">
      <c r="A3272" t="s">
        <v>4129</v>
      </c>
      <c r="B3272" t="s">
        <v>1551</v>
      </c>
      <c r="C3272" t="s">
        <v>35</v>
      </c>
      <c r="D3272" t="s">
        <v>91</v>
      </c>
      <c r="E3272" t="s">
        <v>16</v>
      </c>
      <c r="F3272">
        <v>222</v>
      </c>
      <c r="G3272">
        <v>6707</v>
      </c>
      <c r="H3272">
        <v>1488954</v>
      </c>
      <c r="I3272" t="s">
        <v>993</v>
      </c>
      <c r="J3272" t="s">
        <v>524</v>
      </c>
      <c r="K3272">
        <v>222</v>
      </c>
      <c r="L3272">
        <v>0</v>
      </c>
      <c r="M3272" t="s">
        <v>115</v>
      </c>
      <c r="N3272" t="str">
        <f t="shared" si="306"/>
        <v>PO-103271</v>
      </c>
      <c r="O3272" t="str">
        <f t="shared" si="307"/>
        <v>Delivered</v>
      </c>
      <c r="P3272" t="str">
        <f t="shared" si="308"/>
        <v>WH-DEL</v>
      </c>
      <c r="Q3272" t="str">
        <f>VLOOKUP(C3272, Lookups!$A$2:$D$10, 2, FALSE())</f>
        <v>Peripheral Source</v>
      </c>
      <c r="R3272" t="str">
        <f>_xlfn.XLOOKUP(D3272, Lookups!$A$12:$A$51, Lookups!$C$12:$C$51, "Unknown")</f>
        <v>Peripherals</v>
      </c>
      <c r="S3272" t="str">
        <f>IF(ISBLANK(I3272), B3272+VLOOKUP(C3272, Lookups!$A$2:$D$10, 4, FALSE()), I3272)</f>
        <v>2025-05-28</v>
      </c>
      <c r="T3272">
        <f t="shared" si="309"/>
        <v>11</v>
      </c>
      <c r="U3272" t="str">
        <f t="shared" si="310"/>
        <v>Late</v>
      </c>
      <c r="V3272">
        <f t="shared" si="311"/>
        <v>0</v>
      </c>
    </row>
    <row r="3273" spans="1:22" x14ac:dyDescent="0.45">
      <c r="A3273" t="s">
        <v>4130</v>
      </c>
      <c r="B3273" t="s">
        <v>903</v>
      </c>
      <c r="C3273" t="s">
        <v>36</v>
      </c>
      <c r="D3273" t="s">
        <v>87</v>
      </c>
      <c r="E3273" t="s">
        <v>18</v>
      </c>
      <c r="F3273">
        <v>65</v>
      </c>
      <c r="G3273">
        <v>82930</v>
      </c>
      <c r="H3273">
        <v>5390450</v>
      </c>
      <c r="I3273" t="s">
        <v>877</v>
      </c>
      <c r="J3273" t="s">
        <v>877</v>
      </c>
      <c r="K3273">
        <v>65</v>
      </c>
      <c r="L3273">
        <v>0</v>
      </c>
      <c r="M3273" t="s">
        <v>115</v>
      </c>
      <c r="N3273" t="str">
        <f t="shared" si="306"/>
        <v>PO-103272</v>
      </c>
      <c r="O3273" t="str">
        <f t="shared" si="307"/>
        <v>Delivered</v>
      </c>
      <c r="P3273" t="str">
        <f t="shared" si="308"/>
        <v>WH-PUN</v>
      </c>
      <c r="Q3273" t="str">
        <f>VLOOKUP(C3273, Lookups!$A$2:$D$10, 2, FALSE())</f>
        <v>NextGen Hardware</v>
      </c>
      <c r="R3273" t="str">
        <f>_xlfn.XLOOKUP(D3273, Lookups!$A$12:$A$51, Lookups!$C$12:$C$51, "Unknown")</f>
        <v>Electronics</v>
      </c>
      <c r="S3273" t="str">
        <f>IF(ISBLANK(I3273), B3273+VLOOKUP(C3273, Lookups!$A$2:$D$10, 4, FALSE()), I3273)</f>
        <v>2026-12-04</v>
      </c>
      <c r="T3273">
        <f t="shared" si="309"/>
        <v>24</v>
      </c>
      <c r="U3273" t="str">
        <f t="shared" si="310"/>
        <v>On-Time</v>
      </c>
      <c r="V3273">
        <f t="shared" si="311"/>
        <v>0</v>
      </c>
    </row>
    <row r="3274" spans="1:22" x14ac:dyDescent="0.45">
      <c r="A3274" t="s">
        <v>4131</v>
      </c>
      <c r="B3274" t="s">
        <v>343</v>
      </c>
      <c r="C3274" t="s">
        <v>31</v>
      </c>
      <c r="D3274" t="s">
        <v>64</v>
      </c>
      <c r="E3274" t="s">
        <v>18</v>
      </c>
      <c r="F3274">
        <v>175</v>
      </c>
      <c r="G3274">
        <v>36295</v>
      </c>
      <c r="H3274">
        <v>6351625</v>
      </c>
      <c r="I3274" t="s">
        <v>1767</v>
      </c>
      <c r="J3274" t="s">
        <v>705</v>
      </c>
      <c r="K3274">
        <v>175</v>
      </c>
      <c r="L3274">
        <v>0</v>
      </c>
      <c r="M3274" t="s">
        <v>115</v>
      </c>
      <c r="N3274" t="str">
        <f t="shared" si="306"/>
        <v>PO-103273</v>
      </c>
      <c r="O3274" t="str">
        <f t="shared" si="307"/>
        <v>Delivered</v>
      </c>
      <c r="P3274" t="str">
        <f t="shared" si="308"/>
        <v>WH-PUN</v>
      </c>
      <c r="Q3274" t="str">
        <f>VLOOKUP(C3274, Lookups!$A$2:$D$10, 2, FALSE())</f>
        <v>Global Networks</v>
      </c>
      <c r="R3274" t="str">
        <f>_xlfn.XLOOKUP(D3274, Lookups!$A$12:$A$51, Lookups!$C$12:$C$51, "Unknown")</f>
        <v>Networking</v>
      </c>
      <c r="S3274" t="str">
        <f>IF(ISBLANK(I3274), B3274+VLOOKUP(C3274, Lookups!$A$2:$D$10, 4, FALSE()), I3274)</f>
        <v>2026-02-25</v>
      </c>
      <c r="T3274">
        <f t="shared" si="309"/>
        <v>22</v>
      </c>
      <c r="U3274" t="str">
        <f t="shared" si="310"/>
        <v>Late</v>
      </c>
      <c r="V3274">
        <f t="shared" si="311"/>
        <v>0</v>
      </c>
    </row>
    <row r="3275" spans="1:22" x14ac:dyDescent="0.45">
      <c r="A3275" t="s">
        <v>4132</v>
      </c>
      <c r="B3275" t="s">
        <v>795</v>
      </c>
      <c r="C3275" t="s">
        <v>30</v>
      </c>
      <c r="D3275" t="s">
        <v>61</v>
      </c>
      <c r="E3275" t="s">
        <v>16</v>
      </c>
      <c r="F3275">
        <v>250</v>
      </c>
      <c r="G3275">
        <v>111237</v>
      </c>
      <c r="H3275">
        <v>27809250</v>
      </c>
      <c r="I3275" t="s">
        <v>659</v>
      </c>
      <c r="J3275" t="s">
        <v>1338</v>
      </c>
      <c r="K3275">
        <v>250</v>
      </c>
      <c r="L3275">
        <v>0</v>
      </c>
      <c r="M3275" t="s">
        <v>115</v>
      </c>
      <c r="N3275" t="str">
        <f t="shared" si="306"/>
        <v>PO-103274</v>
      </c>
      <c r="O3275" t="str">
        <f t="shared" si="307"/>
        <v>Delivered</v>
      </c>
      <c r="P3275" t="str">
        <f t="shared" si="308"/>
        <v>WH-DEL</v>
      </c>
      <c r="Q3275" t="str">
        <f>VLOOKUP(C3275, Lookups!$A$2:$D$10, 2, FALSE())</f>
        <v>TechSupply Corp</v>
      </c>
      <c r="R3275" t="str">
        <f>_xlfn.XLOOKUP(D3275, Lookups!$A$12:$A$51, Lookups!$C$12:$C$51, "Unknown")</f>
        <v>Electronics</v>
      </c>
      <c r="S3275" t="str">
        <f>IF(ISBLANK(I3275), B3275+VLOOKUP(C3275, Lookups!$A$2:$D$10, 4, FALSE()), I3275)</f>
        <v>2026-10-01</v>
      </c>
      <c r="T3275">
        <f t="shared" si="309"/>
        <v>15</v>
      </c>
      <c r="U3275" t="str">
        <f t="shared" si="310"/>
        <v>Late</v>
      </c>
      <c r="V3275">
        <f t="shared" si="311"/>
        <v>0</v>
      </c>
    </row>
    <row r="3276" spans="1:22" x14ac:dyDescent="0.45">
      <c r="A3276" t="s">
        <v>4133</v>
      </c>
      <c r="B3276" t="s">
        <v>444</v>
      </c>
      <c r="C3276" t="s">
        <v>30</v>
      </c>
      <c r="D3276" t="s">
        <v>61</v>
      </c>
      <c r="E3276" t="s">
        <v>16</v>
      </c>
      <c r="F3276">
        <v>77</v>
      </c>
      <c r="G3276">
        <v>111237</v>
      </c>
      <c r="H3276">
        <v>8565249</v>
      </c>
      <c r="I3276" t="s">
        <v>1002</v>
      </c>
      <c r="J3276" t="s">
        <v>1002</v>
      </c>
      <c r="K3276">
        <v>77</v>
      </c>
      <c r="L3276">
        <v>0</v>
      </c>
      <c r="M3276" t="s">
        <v>115</v>
      </c>
      <c r="N3276" t="str">
        <f t="shared" si="306"/>
        <v>PO-103275</v>
      </c>
      <c r="O3276" t="str">
        <f t="shared" si="307"/>
        <v>Delivered</v>
      </c>
      <c r="P3276" t="str">
        <f t="shared" si="308"/>
        <v>WH-DEL</v>
      </c>
      <c r="Q3276" t="str">
        <f>VLOOKUP(C3276, Lookups!$A$2:$D$10, 2, FALSE())</f>
        <v>TechSupply Corp</v>
      </c>
      <c r="R3276" t="str">
        <f>_xlfn.XLOOKUP(D3276, Lookups!$A$12:$A$51, Lookups!$C$12:$C$51, "Unknown")</f>
        <v>Electronics</v>
      </c>
      <c r="S3276" t="str">
        <f>IF(ISBLANK(I3276), B3276+VLOOKUP(C3276, Lookups!$A$2:$D$10, 4, FALSE()), I3276)</f>
        <v>2026-04-26</v>
      </c>
      <c r="T3276">
        <f t="shared" si="309"/>
        <v>14</v>
      </c>
      <c r="U3276" t="str">
        <f t="shared" si="310"/>
        <v>On-Time</v>
      </c>
      <c r="V3276">
        <f t="shared" si="311"/>
        <v>0</v>
      </c>
    </row>
    <row r="3277" spans="1:22" x14ac:dyDescent="0.45">
      <c r="A3277" t="s">
        <v>4134</v>
      </c>
      <c r="B3277" t="s">
        <v>1165</v>
      </c>
      <c r="C3277" t="s">
        <v>37</v>
      </c>
      <c r="D3277" t="s">
        <v>79</v>
      </c>
      <c r="E3277" t="s">
        <v>15</v>
      </c>
      <c r="F3277">
        <v>179</v>
      </c>
      <c r="G3277">
        <v>23054</v>
      </c>
      <c r="H3277">
        <v>4126666</v>
      </c>
      <c r="I3277" t="s">
        <v>1082</v>
      </c>
      <c r="J3277" t="s">
        <v>960</v>
      </c>
      <c r="K3277">
        <v>179</v>
      </c>
      <c r="L3277">
        <v>0</v>
      </c>
      <c r="M3277" t="s">
        <v>115</v>
      </c>
      <c r="N3277" t="str">
        <f t="shared" si="306"/>
        <v>PO-103276</v>
      </c>
      <c r="O3277" t="str">
        <f t="shared" si="307"/>
        <v>Delivered</v>
      </c>
      <c r="P3277" t="str">
        <f t="shared" si="308"/>
        <v>WH-BOM</v>
      </c>
      <c r="Q3277" t="str">
        <f>VLOOKUP(C3277, Lookups!$A$2:$D$10, 2, FALSE())</f>
        <v>Premium Desks Ltd</v>
      </c>
      <c r="R3277" t="str">
        <f>_xlfn.XLOOKUP(D3277, Lookups!$A$12:$A$51, Lookups!$C$12:$C$51, "Unknown")</f>
        <v>Office Furniture</v>
      </c>
      <c r="S3277" t="str">
        <f>IF(ISBLANK(I3277), B3277+VLOOKUP(C3277, Lookups!$A$2:$D$10, 4, FALSE()), I3277)</f>
        <v>2025-04-22</v>
      </c>
      <c r="T3277">
        <f t="shared" si="309"/>
        <v>13</v>
      </c>
      <c r="U3277" t="str">
        <f t="shared" si="310"/>
        <v>Late</v>
      </c>
      <c r="V3277">
        <f t="shared" si="311"/>
        <v>0</v>
      </c>
    </row>
    <row r="3278" spans="1:22" x14ac:dyDescent="0.45">
      <c r="A3278" t="s">
        <v>4135</v>
      </c>
      <c r="B3278" t="s">
        <v>798</v>
      </c>
      <c r="C3278" t="s">
        <v>35</v>
      </c>
      <c r="D3278" t="s">
        <v>75</v>
      </c>
      <c r="E3278" t="s">
        <v>16</v>
      </c>
      <c r="F3278">
        <v>14</v>
      </c>
      <c r="G3278">
        <v>4440</v>
      </c>
      <c r="H3278">
        <v>62160</v>
      </c>
      <c r="I3278" t="s">
        <v>724</v>
      </c>
      <c r="J3278" t="s">
        <v>724</v>
      </c>
      <c r="K3278">
        <v>14</v>
      </c>
      <c r="L3278">
        <v>0</v>
      </c>
      <c r="M3278" t="s">
        <v>115</v>
      </c>
      <c r="N3278" t="str">
        <f t="shared" si="306"/>
        <v>PO-103277</v>
      </c>
      <c r="O3278" t="str">
        <f t="shared" si="307"/>
        <v>Delivered</v>
      </c>
      <c r="P3278" t="str">
        <f t="shared" si="308"/>
        <v>WH-DEL</v>
      </c>
      <c r="Q3278" t="str">
        <f>VLOOKUP(C3278, Lookups!$A$2:$D$10, 2, FALSE())</f>
        <v>Peripheral Source</v>
      </c>
      <c r="R3278" t="str">
        <f>_xlfn.XLOOKUP(D3278, Lookups!$A$12:$A$51, Lookups!$C$12:$C$51, "Unknown")</f>
        <v>Peripherals</v>
      </c>
      <c r="S3278" t="str">
        <f>IF(ISBLANK(I3278), B3278+VLOOKUP(C3278, Lookups!$A$2:$D$10, 4, FALSE()), I3278)</f>
        <v>2026-05-25</v>
      </c>
      <c r="T3278">
        <f t="shared" si="309"/>
        <v>10</v>
      </c>
      <c r="U3278" t="str">
        <f t="shared" si="310"/>
        <v>On-Time</v>
      </c>
      <c r="V3278">
        <f t="shared" si="311"/>
        <v>0</v>
      </c>
    </row>
    <row r="3279" spans="1:22" x14ac:dyDescent="0.45">
      <c r="A3279" t="s">
        <v>4136</v>
      </c>
      <c r="B3279" t="s">
        <v>348</v>
      </c>
      <c r="C3279" t="s">
        <v>36</v>
      </c>
      <c r="D3279" t="s">
        <v>90</v>
      </c>
      <c r="E3279" t="s">
        <v>15</v>
      </c>
      <c r="F3279">
        <v>212</v>
      </c>
      <c r="G3279">
        <v>81434</v>
      </c>
      <c r="H3279">
        <v>17264008</v>
      </c>
      <c r="I3279" t="s">
        <v>521</v>
      </c>
      <c r="J3279" t="s">
        <v>795</v>
      </c>
      <c r="K3279">
        <v>165</v>
      </c>
      <c r="L3279">
        <v>0</v>
      </c>
      <c r="M3279" t="s">
        <v>115</v>
      </c>
      <c r="N3279" t="str">
        <f t="shared" si="306"/>
        <v>PO-103278</v>
      </c>
      <c r="O3279" t="str">
        <f t="shared" si="307"/>
        <v>Delivered</v>
      </c>
      <c r="P3279" t="str">
        <f t="shared" si="308"/>
        <v>WH-BOM</v>
      </c>
      <c r="Q3279" t="str">
        <f>VLOOKUP(C3279, Lookups!$A$2:$D$10, 2, FALSE())</f>
        <v>NextGen Hardware</v>
      </c>
      <c r="R3279" t="str">
        <f>_xlfn.XLOOKUP(D3279, Lookups!$A$12:$A$51, Lookups!$C$12:$C$51, "Unknown")</f>
        <v>Electronics</v>
      </c>
      <c r="S3279" t="str">
        <f>IF(ISBLANK(I3279), B3279+VLOOKUP(C3279, Lookups!$A$2:$D$10, 4, FALSE()), I3279)</f>
        <v>2026-09-16</v>
      </c>
      <c r="T3279">
        <f t="shared" si="309"/>
        <v>25</v>
      </c>
      <c r="U3279" t="str">
        <f t="shared" si="310"/>
        <v>Late</v>
      </c>
      <c r="V3279">
        <f t="shared" si="311"/>
        <v>0</v>
      </c>
    </row>
    <row r="3280" spans="1:22" x14ac:dyDescent="0.45">
      <c r="A3280" t="s">
        <v>4137</v>
      </c>
      <c r="B3280" t="s">
        <v>662</v>
      </c>
      <c r="C3280" t="s">
        <v>36</v>
      </c>
      <c r="D3280" t="s">
        <v>62</v>
      </c>
      <c r="E3280" t="s">
        <v>15</v>
      </c>
      <c r="F3280">
        <v>57</v>
      </c>
      <c r="G3280">
        <v>48478</v>
      </c>
      <c r="H3280">
        <v>2763246</v>
      </c>
      <c r="I3280" t="s">
        <v>692</v>
      </c>
      <c r="J3280" t="s">
        <v>692</v>
      </c>
      <c r="K3280">
        <v>57</v>
      </c>
      <c r="L3280">
        <v>0</v>
      </c>
      <c r="M3280" t="s">
        <v>115</v>
      </c>
      <c r="N3280" t="str">
        <f t="shared" si="306"/>
        <v>PO-103279</v>
      </c>
      <c r="O3280" t="str">
        <f t="shared" si="307"/>
        <v>Delivered</v>
      </c>
      <c r="P3280" t="str">
        <f t="shared" si="308"/>
        <v>WH-BOM</v>
      </c>
      <c r="Q3280" t="str">
        <f>VLOOKUP(C3280, Lookups!$A$2:$D$10, 2, FALSE())</f>
        <v>NextGen Hardware</v>
      </c>
      <c r="R3280" t="str">
        <f>_xlfn.XLOOKUP(D3280, Lookups!$A$12:$A$51, Lookups!$C$12:$C$51, "Unknown")</f>
        <v>Electronics</v>
      </c>
      <c r="S3280" t="str">
        <f>IF(ISBLANK(I3280), B3280+VLOOKUP(C3280, Lookups!$A$2:$D$10, 4, FALSE()), I3280)</f>
        <v>2026-10-29</v>
      </c>
      <c r="T3280">
        <f t="shared" si="309"/>
        <v>24</v>
      </c>
      <c r="U3280" t="str">
        <f t="shared" si="310"/>
        <v>On-Time</v>
      </c>
      <c r="V3280">
        <f t="shared" si="311"/>
        <v>0</v>
      </c>
    </row>
    <row r="3281" spans="1:22" x14ac:dyDescent="0.45">
      <c r="A3281" t="s">
        <v>4138</v>
      </c>
      <c r="B3281" t="s">
        <v>289</v>
      </c>
      <c r="C3281" t="s">
        <v>35</v>
      </c>
      <c r="D3281" t="s">
        <v>57</v>
      </c>
      <c r="E3281" t="s">
        <v>15</v>
      </c>
      <c r="F3281">
        <v>153</v>
      </c>
      <c r="G3281">
        <v>2212</v>
      </c>
      <c r="H3281">
        <v>338436</v>
      </c>
      <c r="I3281" t="s">
        <v>2065</v>
      </c>
      <c r="J3281" t="s">
        <v>2065</v>
      </c>
      <c r="K3281">
        <v>153</v>
      </c>
      <c r="L3281">
        <v>0</v>
      </c>
      <c r="M3281" t="s">
        <v>115</v>
      </c>
      <c r="N3281" t="str">
        <f t="shared" si="306"/>
        <v>PO-103280</v>
      </c>
      <c r="O3281" t="str">
        <f t="shared" si="307"/>
        <v>Delivered</v>
      </c>
      <c r="P3281" t="str">
        <f t="shared" si="308"/>
        <v>WH-BOM</v>
      </c>
      <c r="Q3281" t="str">
        <f>VLOOKUP(C3281, Lookups!$A$2:$D$10, 2, FALSE())</f>
        <v>Peripheral Source</v>
      </c>
      <c r="R3281" t="str">
        <f>_xlfn.XLOOKUP(D3281, Lookups!$A$12:$A$51, Lookups!$C$12:$C$51, "Unknown")</f>
        <v>Peripherals</v>
      </c>
      <c r="S3281" t="str">
        <f>IF(ISBLANK(I3281), B3281+VLOOKUP(C3281, Lookups!$A$2:$D$10, 4, FALSE()), I3281)</f>
        <v>2026-07-19</v>
      </c>
      <c r="T3281">
        <f t="shared" si="309"/>
        <v>10</v>
      </c>
      <c r="U3281" t="str">
        <f t="shared" si="310"/>
        <v>On-Time</v>
      </c>
      <c r="V3281">
        <f t="shared" si="311"/>
        <v>0</v>
      </c>
    </row>
    <row r="3282" spans="1:22" x14ac:dyDescent="0.45">
      <c r="A3282" t="s">
        <v>4139</v>
      </c>
      <c r="B3282" t="s">
        <v>319</v>
      </c>
      <c r="C3282" t="s">
        <v>34</v>
      </c>
      <c r="D3282" t="s">
        <v>73</v>
      </c>
      <c r="E3282" t="s">
        <v>17</v>
      </c>
      <c r="F3282">
        <v>147</v>
      </c>
      <c r="G3282">
        <v>58396</v>
      </c>
      <c r="H3282">
        <v>8584212</v>
      </c>
      <c r="I3282" t="s">
        <v>898</v>
      </c>
      <c r="J3282" t="s">
        <v>247</v>
      </c>
      <c r="K3282">
        <v>147</v>
      </c>
      <c r="L3282">
        <v>2</v>
      </c>
      <c r="M3282" t="s">
        <v>115</v>
      </c>
      <c r="N3282" t="str">
        <f t="shared" si="306"/>
        <v>PO-103281</v>
      </c>
      <c r="O3282" t="str">
        <f t="shared" si="307"/>
        <v>Delivered</v>
      </c>
      <c r="P3282" t="str">
        <f t="shared" si="308"/>
        <v>WH-BLR</v>
      </c>
      <c r="Q3282" t="str">
        <f>VLOOKUP(C3282, Lookups!$A$2:$D$10, 2, FALSE())</f>
        <v>FastElectronics</v>
      </c>
      <c r="R3282" t="str">
        <f>_xlfn.XLOOKUP(D3282, Lookups!$A$12:$A$51, Lookups!$C$12:$C$51, "Unknown")</f>
        <v>Electronics</v>
      </c>
      <c r="S3282" t="str">
        <f>IF(ISBLANK(I3282), B3282+VLOOKUP(C3282, Lookups!$A$2:$D$10, 4, FALSE()), I3282)</f>
        <v>2025-11-01</v>
      </c>
      <c r="T3282">
        <f t="shared" si="309"/>
        <v>19</v>
      </c>
      <c r="U3282" t="str">
        <f t="shared" si="310"/>
        <v>Late</v>
      </c>
      <c r="V3282">
        <f t="shared" si="311"/>
        <v>1.3605442176870748E-2</v>
      </c>
    </row>
    <row r="3283" spans="1:22" x14ac:dyDescent="0.45">
      <c r="A3283" t="s">
        <v>4140</v>
      </c>
      <c r="B3283" t="s">
        <v>1122</v>
      </c>
      <c r="C3283" t="s">
        <v>36</v>
      </c>
      <c r="D3283" t="s">
        <v>63</v>
      </c>
      <c r="E3283" t="s">
        <v>18</v>
      </c>
      <c r="F3283">
        <v>57</v>
      </c>
      <c r="G3283">
        <v>71062</v>
      </c>
      <c r="H3283">
        <v>4050534</v>
      </c>
      <c r="I3283" t="s">
        <v>794</v>
      </c>
      <c r="J3283" t="s">
        <v>493</v>
      </c>
      <c r="K3283">
        <v>57</v>
      </c>
      <c r="L3283">
        <v>0</v>
      </c>
      <c r="M3283" t="s">
        <v>115</v>
      </c>
      <c r="N3283" t="str">
        <f t="shared" si="306"/>
        <v>PO-103282</v>
      </c>
      <c r="O3283" t="str">
        <f t="shared" si="307"/>
        <v>Delivered</v>
      </c>
      <c r="P3283" t="str">
        <f t="shared" si="308"/>
        <v>WH-PUN</v>
      </c>
      <c r="Q3283" t="str">
        <f>VLOOKUP(C3283, Lookups!$A$2:$D$10, 2, FALSE())</f>
        <v>NextGen Hardware</v>
      </c>
      <c r="R3283" t="str">
        <f>_xlfn.XLOOKUP(D3283, Lookups!$A$12:$A$51, Lookups!$C$12:$C$51, "Unknown")</f>
        <v>Electronics</v>
      </c>
      <c r="S3283" t="str">
        <f>IF(ISBLANK(I3283), B3283+VLOOKUP(C3283, Lookups!$A$2:$D$10, 4, FALSE()), I3283)</f>
        <v>2026-09-07</v>
      </c>
      <c r="T3283">
        <f t="shared" si="309"/>
        <v>25</v>
      </c>
      <c r="U3283" t="str">
        <f t="shared" si="310"/>
        <v>Late</v>
      </c>
      <c r="V3283">
        <f t="shared" si="311"/>
        <v>0</v>
      </c>
    </row>
    <row r="3284" spans="1:22" x14ac:dyDescent="0.45">
      <c r="A3284" t="s">
        <v>4141</v>
      </c>
      <c r="B3284" t="s">
        <v>466</v>
      </c>
      <c r="C3284" t="s">
        <v>37</v>
      </c>
      <c r="D3284" t="s">
        <v>83</v>
      </c>
      <c r="E3284" t="s">
        <v>16</v>
      </c>
      <c r="F3284">
        <v>15</v>
      </c>
      <c r="G3284">
        <v>19850</v>
      </c>
      <c r="H3284">
        <v>297750</v>
      </c>
      <c r="I3284" t="s">
        <v>612</v>
      </c>
      <c r="J3284" t="s">
        <v>612</v>
      </c>
      <c r="K3284">
        <v>15</v>
      </c>
      <c r="L3284">
        <v>0</v>
      </c>
      <c r="M3284" t="s">
        <v>115</v>
      </c>
      <c r="N3284" t="str">
        <f t="shared" si="306"/>
        <v>PO-103283</v>
      </c>
      <c r="O3284" t="str">
        <f t="shared" si="307"/>
        <v>Delivered</v>
      </c>
      <c r="P3284" t="str">
        <f t="shared" si="308"/>
        <v>WH-DEL</v>
      </c>
      <c r="Q3284" t="str">
        <f>VLOOKUP(C3284, Lookups!$A$2:$D$10, 2, FALSE())</f>
        <v>Premium Desks Ltd</v>
      </c>
      <c r="R3284" t="str">
        <f>_xlfn.XLOOKUP(D3284, Lookups!$A$12:$A$51, Lookups!$C$12:$C$51, "Unknown")</f>
        <v>Office Furniture</v>
      </c>
      <c r="S3284" t="str">
        <f>IF(ISBLANK(I3284), B3284+VLOOKUP(C3284, Lookups!$A$2:$D$10, 4, FALSE()), I3284)</f>
        <v>2025-02-04</v>
      </c>
      <c r="T3284">
        <f t="shared" si="309"/>
        <v>12</v>
      </c>
      <c r="U3284" t="str">
        <f t="shared" si="310"/>
        <v>On-Time</v>
      </c>
      <c r="V3284">
        <f t="shared" si="311"/>
        <v>0</v>
      </c>
    </row>
    <row r="3285" spans="1:22" x14ac:dyDescent="0.45">
      <c r="A3285" t="s">
        <v>4142</v>
      </c>
      <c r="B3285" t="s">
        <v>516</v>
      </c>
      <c r="C3285" t="s">
        <v>30</v>
      </c>
      <c r="D3285" t="s">
        <v>88</v>
      </c>
      <c r="E3285" t="s">
        <v>18</v>
      </c>
      <c r="F3285">
        <v>83</v>
      </c>
      <c r="G3285">
        <v>75512</v>
      </c>
      <c r="H3285">
        <v>6267496</v>
      </c>
      <c r="I3285" t="s">
        <v>1265</v>
      </c>
      <c r="J3285" t="s">
        <v>910</v>
      </c>
      <c r="K3285">
        <v>83</v>
      </c>
      <c r="L3285">
        <v>0</v>
      </c>
      <c r="M3285" t="s">
        <v>115</v>
      </c>
      <c r="N3285" t="str">
        <f t="shared" si="306"/>
        <v>PO-103284</v>
      </c>
      <c r="O3285" t="str">
        <f t="shared" si="307"/>
        <v>Delivered</v>
      </c>
      <c r="P3285" t="str">
        <f t="shared" si="308"/>
        <v>WH-PUN</v>
      </c>
      <c r="Q3285" t="str">
        <f>VLOOKUP(C3285, Lookups!$A$2:$D$10, 2, FALSE())</f>
        <v>TechSupply Corp</v>
      </c>
      <c r="R3285" t="str">
        <f>_xlfn.XLOOKUP(D3285, Lookups!$A$12:$A$51, Lookups!$C$12:$C$51, "Unknown")</f>
        <v>Electronics</v>
      </c>
      <c r="S3285" t="str">
        <f>IF(ISBLANK(I3285), B3285+VLOOKUP(C3285, Lookups!$A$2:$D$10, 4, FALSE()), I3285)</f>
        <v>2025-04-07</v>
      </c>
      <c r="T3285">
        <f t="shared" si="309"/>
        <v>15</v>
      </c>
      <c r="U3285" t="str">
        <f t="shared" si="310"/>
        <v>Late</v>
      </c>
      <c r="V3285">
        <f t="shared" si="311"/>
        <v>0</v>
      </c>
    </row>
    <row r="3286" spans="1:22" x14ac:dyDescent="0.45">
      <c r="A3286" t="s">
        <v>4143</v>
      </c>
      <c r="B3286" t="s">
        <v>158</v>
      </c>
      <c r="C3286" t="s">
        <v>35</v>
      </c>
      <c r="D3286" t="s">
        <v>91</v>
      </c>
      <c r="E3286" t="s">
        <v>16</v>
      </c>
      <c r="F3286">
        <v>94</v>
      </c>
      <c r="G3286">
        <v>6707</v>
      </c>
      <c r="H3286">
        <v>630458</v>
      </c>
      <c r="I3286" t="s">
        <v>743</v>
      </c>
      <c r="J3286" t="s">
        <v>954</v>
      </c>
      <c r="K3286">
        <v>94</v>
      </c>
      <c r="L3286">
        <v>0</v>
      </c>
      <c r="M3286" t="s">
        <v>115</v>
      </c>
      <c r="N3286" t="str">
        <f t="shared" si="306"/>
        <v>PO-103285</v>
      </c>
      <c r="O3286" t="str">
        <f t="shared" si="307"/>
        <v>Delivered</v>
      </c>
      <c r="P3286" t="str">
        <f t="shared" si="308"/>
        <v>WH-DEL</v>
      </c>
      <c r="Q3286" t="str">
        <f>VLOOKUP(C3286, Lookups!$A$2:$D$10, 2, FALSE())</f>
        <v>Peripheral Source</v>
      </c>
      <c r="R3286" t="str">
        <f>_xlfn.XLOOKUP(D3286, Lookups!$A$12:$A$51, Lookups!$C$12:$C$51, "Unknown")</f>
        <v>Peripherals</v>
      </c>
      <c r="S3286" t="str">
        <f>IF(ISBLANK(I3286), B3286+VLOOKUP(C3286, Lookups!$A$2:$D$10, 4, FALSE()), I3286)</f>
        <v>2026-11-15</v>
      </c>
      <c r="T3286">
        <f t="shared" si="309"/>
        <v>11</v>
      </c>
      <c r="U3286" t="str">
        <f t="shared" si="310"/>
        <v>Late</v>
      </c>
      <c r="V3286">
        <f t="shared" si="311"/>
        <v>0</v>
      </c>
    </row>
    <row r="3287" spans="1:22" x14ac:dyDescent="0.45">
      <c r="A3287" t="s">
        <v>4144</v>
      </c>
      <c r="B3287" t="s">
        <v>1202</v>
      </c>
      <c r="C3287" t="s">
        <v>36</v>
      </c>
      <c r="D3287" t="s">
        <v>87</v>
      </c>
      <c r="E3287" t="s">
        <v>17</v>
      </c>
      <c r="F3287">
        <v>118</v>
      </c>
      <c r="G3287">
        <v>82930</v>
      </c>
      <c r="H3287">
        <v>9785740</v>
      </c>
      <c r="I3287" t="s">
        <v>764</v>
      </c>
      <c r="J3287" t="s">
        <v>764</v>
      </c>
      <c r="K3287">
        <v>80</v>
      </c>
      <c r="L3287">
        <v>0</v>
      </c>
      <c r="M3287" t="s">
        <v>115</v>
      </c>
      <c r="N3287" t="str">
        <f t="shared" si="306"/>
        <v>PO-103286</v>
      </c>
      <c r="O3287" t="str">
        <f t="shared" si="307"/>
        <v>Delivered</v>
      </c>
      <c r="P3287" t="str">
        <f t="shared" si="308"/>
        <v>WH-BLR</v>
      </c>
      <c r="Q3287" t="str">
        <f>VLOOKUP(C3287, Lookups!$A$2:$D$10, 2, FALSE())</f>
        <v>NextGen Hardware</v>
      </c>
      <c r="R3287" t="str">
        <f>_xlfn.XLOOKUP(D3287, Lookups!$A$12:$A$51, Lookups!$C$12:$C$51, "Unknown")</f>
        <v>Electronics</v>
      </c>
      <c r="S3287" t="str">
        <f>IF(ISBLANK(I3287), B3287+VLOOKUP(C3287, Lookups!$A$2:$D$10, 4, FALSE()), I3287)</f>
        <v>2025-02-19</v>
      </c>
      <c r="T3287">
        <f t="shared" si="309"/>
        <v>24</v>
      </c>
      <c r="U3287" t="str">
        <f t="shared" si="310"/>
        <v>On-Time</v>
      </c>
      <c r="V3287">
        <f t="shared" si="311"/>
        <v>0</v>
      </c>
    </row>
    <row r="3288" spans="1:22" x14ac:dyDescent="0.45">
      <c r="A3288" t="s">
        <v>4145</v>
      </c>
      <c r="B3288" t="s">
        <v>1562</v>
      </c>
      <c r="C3288" t="s">
        <v>30</v>
      </c>
      <c r="D3288" t="s">
        <v>59</v>
      </c>
      <c r="E3288" t="s">
        <v>16</v>
      </c>
      <c r="F3288">
        <v>209</v>
      </c>
      <c r="G3288">
        <v>48905</v>
      </c>
      <c r="H3288">
        <v>10221145</v>
      </c>
      <c r="I3288" t="s">
        <v>455</v>
      </c>
      <c r="J3288" t="s">
        <v>1044</v>
      </c>
      <c r="K3288">
        <v>209</v>
      </c>
      <c r="L3288">
        <v>0</v>
      </c>
      <c r="M3288" t="s">
        <v>115</v>
      </c>
      <c r="N3288" t="str">
        <f t="shared" si="306"/>
        <v>PO-103287</v>
      </c>
      <c r="O3288" t="str">
        <f t="shared" si="307"/>
        <v>Delivered</v>
      </c>
      <c r="P3288" t="str">
        <f t="shared" si="308"/>
        <v>WH-DEL</v>
      </c>
      <c r="Q3288" t="str">
        <f>VLOOKUP(C3288, Lookups!$A$2:$D$10, 2, FALSE())</f>
        <v>TechSupply Corp</v>
      </c>
      <c r="R3288" t="str">
        <f>_xlfn.XLOOKUP(D3288, Lookups!$A$12:$A$51, Lookups!$C$12:$C$51, "Unknown")</f>
        <v>Electronics</v>
      </c>
      <c r="S3288" t="str">
        <f>IF(ISBLANK(I3288), B3288+VLOOKUP(C3288, Lookups!$A$2:$D$10, 4, FALSE()), I3288)</f>
        <v>2026-08-13</v>
      </c>
      <c r="T3288">
        <f t="shared" si="309"/>
        <v>11</v>
      </c>
      <c r="U3288" t="str">
        <f t="shared" si="310"/>
        <v>On-Time</v>
      </c>
      <c r="V3288">
        <f t="shared" si="311"/>
        <v>0</v>
      </c>
    </row>
    <row r="3289" spans="1:22" x14ac:dyDescent="0.45">
      <c r="A3289" t="s">
        <v>4146</v>
      </c>
      <c r="B3289" t="s">
        <v>1428</v>
      </c>
      <c r="C3289" t="s">
        <v>35</v>
      </c>
      <c r="D3289" t="s">
        <v>70</v>
      </c>
      <c r="E3289" t="s">
        <v>18</v>
      </c>
      <c r="F3289">
        <v>183</v>
      </c>
      <c r="G3289">
        <v>4287</v>
      </c>
      <c r="H3289">
        <v>784521</v>
      </c>
      <c r="I3289" t="s">
        <v>280</v>
      </c>
      <c r="J3289" t="s">
        <v>980</v>
      </c>
      <c r="K3289">
        <v>183</v>
      </c>
      <c r="L3289">
        <v>0</v>
      </c>
      <c r="M3289" t="s">
        <v>115</v>
      </c>
      <c r="N3289" t="str">
        <f t="shared" si="306"/>
        <v>PO-103288</v>
      </c>
      <c r="O3289" t="str">
        <f t="shared" si="307"/>
        <v>Delivered</v>
      </c>
      <c r="P3289" t="str">
        <f t="shared" si="308"/>
        <v>WH-PUN</v>
      </c>
      <c r="Q3289" t="str">
        <f>VLOOKUP(C3289, Lookups!$A$2:$D$10, 2, FALSE())</f>
        <v>Peripheral Source</v>
      </c>
      <c r="R3289" t="str">
        <f>_xlfn.XLOOKUP(D3289, Lookups!$A$12:$A$51, Lookups!$C$12:$C$51, "Unknown")</f>
        <v>Peripherals</v>
      </c>
      <c r="S3289" t="str">
        <f>IF(ISBLANK(I3289), B3289+VLOOKUP(C3289, Lookups!$A$2:$D$10, 4, FALSE()), I3289)</f>
        <v>2026-10-08</v>
      </c>
      <c r="T3289">
        <f t="shared" si="309"/>
        <v>14</v>
      </c>
      <c r="U3289" t="str">
        <f t="shared" si="310"/>
        <v>Late</v>
      </c>
      <c r="V3289">
        <f t="shared" si="311"/>
        <v>0</v>
      </c>
    </row>
    <row r="3290" spans="1:22" x14ac:dyDescent="0.45">
      <c r="A3290" t="s">
        <v>4147</v>
      </c>
      <c r="B3290" t="s">
        <v>1347</v>
      </c>
      <c r="C3290" t="s">
        <v>34</v>
      </c>
      <c r="D3290" t="s">
        <v>54</v>
      </c>
      <c r="E3290" t="s">
        <v>18</v>
      </c>
      <c r="F3290">
        <v>239</v>
      </c>
      <c r="G3290">
        <v>22314</v>
      </c>
      <c r="H3290">
        <v>5333046</v>
      </c>
      <c r="I3290" t="s">
        <v>133</v>
      </c>
      <c r="J3290" t="s">
        <v>133</v>
      </c>
      <c r="K3290">
        <v>239</v>
      </c>
      <c r="L3290">
        <v>0</v>
      </c>
      <c r="M3290" t="s">
        <v>115</v>
      </c>
      <c r="N3290" t="str">
        <f t="shared" si="306"/>
        <v>PO-103289</v>
      </c>
      <c r="O3290" t="str">
        <f t="shared" si="307"/>
        <v>Delivered</v>
      </c>
      <c r="P3290" t="str">
        <f t="shared" si="308"/>
        <v>WH-PUN</v>
      </c>
      <c r="Q3290" t="str">
        <f>VLOOKUP(C3290, Lookups!$A$2:$D$10, 2, FALSE())</f>
        <v>FastElectronics</v>
      </c>
      <c r="R3290" t="str">
        <f>_xlfn.XLOOKUP(D3290, Lookups!$A$12:$A$51, Lookups!$C$12:$C$51, "Unknown")</f>
        <v>Networking</v>
      </c>
      <c r="S3290" t="str">
        <f>IF(ISBLANK(I3290), B3290+VLOOKUP(C3290, Lookups!$A$2:$D$10, 4, FALSE()), I3290)</f>
        <v>2026-08-27</v>
      </c>
      <c r="T3290">
        <f t="shared" si="309"/>
        <v>18</v>
      </c>
      <c r="U3290" t="str">
        <f t="shared" si="310"/>
        <v>On-Time</v>
      </c>
      <c r="V3290">
        <f t="shared" si="311"/>
        <v>0</v>
      </c>
    </row>
    <row r="3291" spans="1:22" x14ac:dyDescent="0.45">
      <c r="A3291" t="s">
        <v>4148</v>
      </c>
      <c r="B3291" t="s">
        <v>337</v>
      </c>
      <c r="C3291" t="s">
        <v>36</v>
      </c>
      <c r="D3291" t="s">
        <v>55</v>
      </c>
      <c r="E3291" t="s">
        <v>17</v>
      </c>
      <c r="F3291">
        <v>217</v>
      </c>
      <c r="G3291">
        <v>58434</v>
      </c>
      <c r="H3291">
        <v>12680178</v>
      </c>
      <c r="I3291" t="s">
        <v>338</v>
      </c>
      <c r="J3291" t="s">
        <v>389</v>
      </c>
      <c r="K3291">
        <v>217</v>
      </c>
      <c r="L3291">
        <v>0</v>
      </c>
      <c r="M3291" t="s">
        <v>115</v>
      </c>
      <c r="N3291" t="str">
        <f t="shared" si="306"/>
        <v>PO-103290</v>
      </c>
      <c r="O3291" t="str">
        <f t="shared" si="307"/>
        <v>Delivered</v>
      </c>
      <c r="P3291" t="str">
        <f t="shared" si="308"/>
        <v>WH-BLR</v>
      </c>
      <c r="Q3291" t="str">
        <f>VLOOKUP(C3291, Lookups!$A$2:$D$10, 2, FALSE())</f>
        <v>NextGen Hardware</v>
      </c>
      <c r="R3291" t="str">
        <f>_xlfn.XLOOKUP(D3291, Lookups!$A$12:$A$51, Lookups!$C$12:$C$51, "Unknown")</f>
        <v>Electronics</v>
      </c>
      <c r="S3291" t="str">
        <f>IF(ISBLANK(I3291), B3291+VLOOKUP(C3291, Lookups!$A$2:$D$10, 4, FALSE()), I3291)</f>
        <v>2026-04-05</v>
      </c>
      <c r="T3291">
        <f t="shared" si="309"/>
        <v>25</v>
      </c>
      <c r="U3291" t="str">
        <f t="shared" si="310"/>
        <v>Late</v>
      </c>
      <c r="V3291">
        <f t="shared" si="311"/>
        <v>0</v>
      </c>
    </row>
    <row r="3292" spans="1:22" x14ac:dyDescent="0.45">
      <c r="A3292" t="s">
        <v>4149</v>
      </c>
      <c r="B3292" t="s">
        <v>194</v>
      </c>
      <c r="C3292" t="s">
        <v>30</v>
      </c>
      <c r="D3292" t="s">
        <v>82</v>
      </c>
      <c r="E3292" t="s">
        <v>18</v>
      </c>
      <c r="F3292">
        <v>83</v>
      </c>
      <c r="G3292">
        <v>83427</v>
      </c>
      <c r="H3292">
        <v>6924441</v>
      </c>
      <c r="I3292" t="s">
        <v>514</v>
      </c>
      <c r="J3292" t="s">
        <v>514</v>
      </c>
      <c r="K3292">
        <v>83</v>
      </c>
      <c r="L3292">
        <v>0</v>
      </c>
      <c r="M3292" t="s">
        <v>115</v>
      </c>
      <c r="N3292" t="str">
        <f t="shared" si="306"/>
        <v>PO-103291</v>
      </c>
      <c r="O3292" t="str">
        <f t="shared" si="307"/>
        <v>Delivered</v>
      </c>
      <c r="P3292" t="str">
        <f t="shared" si="308"/>
        <v>WH-PUN</v>
      </c>
      <c r="Q3292" t="str">
        <f>VLOOKUP(C3292, Lookups!$A$2:$D$10, 2, FALSE())</f>
        <v>TechSupply Corp</v>
      </c>
      <c r="R3292" t="str">
        <f>_xlfn.XLOOKUP(D3292, Lookups!$A$12:$A$51, Lookups!$C$12:$C$51, "Unknown")</f>
        <v>Electronics</v>
      </c>
      <c r="S3292" t="str">
        <f>IF(ISBLANK(I3292), B3292+VLOOKUP(C3292, Lookups!$A$2:$D$10, 4, FALSE()), I3292)</f>
        <v>2026-07-14</v>
      </c>
      <c r="T3292">
        <f t="shared" si="309"/>
        <v>14</v>
      </c>
      <c r="U3292" t="str">
        <f t="shared" si="310"/>
        <v>On-Time</v>
      </c>
      <c r="V3292">
        <f t="shared" si="311"/>
        <v>0</v>
      </c>
    </row>
    <row r="3293" spans="1:22" x14ac:dyDescent="0.45">
      <c r="A3293" t="s">
        <v>4150</v>
      </c>
      <c r="B3293" t="s">
        <v>877</v>
      </c>
      <c r="C3293" t="s">
        <v>30</v>
      </c>
      <c r="D3293" t="s">
        <v>86</v>
      </c>
      <c r="E3293" t="s">
        <v>16</v>
      </c>
      <c r="F3293">
        <v>95</v>
      </c>
      <c r="G3293">
        <v>74871</v>
      </c>
      <c r="H3293">
        <v>7112745</v>
      </c>
      <c r="I3293" t="s">
        <v>2791</v>
      </c>
      <c r="J3293" t="s">
        <v>2791</v>
      </c>
      <c r="K3293">
        <v>90</v>
      </c>
      <c r="L3293">
        <v>12</v>
      </c>
      <c r="M3293" t="s">
        <v>115</v>
      </c>
      <c r="N3293" t="str">
        <f t="shared" si="306"/>
        <v>PO-103292</v>
      </c>
      <c r="O3293" t="str">
        <f t="shared" si="307"/>
        <v>Delivered</v>
      </c>
      <c r="P3293" t="str">
        <f t="shared" si="308"/>
        <v>WH-DEL</v>
      </c>
      <c r="Q3293" t="str">
        <f>VLOOKUP(C3293, Lookups!$A$2:$D$10, 2, FALSE())</f>
        <v>TechSupply Corp</v>
      </c>
      <c r="R3293" t="str">
        <f>_xlfn.XLOOKUP(D3293, Lookups!$A$12:$A$51, Lookups!$C$12:$C$51, "Unknown")</f>
        <v>Electronics</v>
      </c>
      <c r="S3293" t="str">
        <f>IF(ISBLANK(I3293), B3293+VLOOKUP(C3293, Lookups!$A$2:$D$10, 4, FALSE()), I3293)</f>
        <v>2026-12-18</v>
      </c>
      <c r="T3293">
        <f t="shared" si="309"/>
        <v>14</v>
      </c>
      <c r="U3293" t="str">
        <f t="shared" si="310"/>
        <v>On-Time</v>
      </c>
      <c r="V3293">
        <f t="shared" si="311"/>
        <v>0.13333333333333333</v>
      </c>
    </row>
    <row r="3294" spans="1:22" x14ac:dyDescent="0.45">
      <c r="A3294" t="s">
        <v>4151</v>
      </c>
      <c r="B3294" t="s">
        <v>1010</v>
      </c>
      <c r="C3294" t="s">
        <v>37</v>
      </c>
      <c r="D3294" t="s">
        <v>78</v>
      </c>
      <c r="E3294" t="s">
        <v>16</v>
      </c>
      <c r="F3294">
        <v>78</v>
      </c>
      <c r="G3294">
        <v>9423</v>
      </c>
      <c r="H3294">
        <v>734994</v>
      </c>
      <c r="I3294" t="s">
        <v>1357</v>
      </c>
      <c r="J3294" t="s">
        <v>1848</v>
      </c>
      <c r="K3294">
        <v>78</v>
      </c>
      <c r="L3294">
        <v>0</v>
      </c>
      <c r="M3294" t="s">
        <v>115</v>
      </c>
      <c r="N3294" t="str">
        <f t="shared" si="306"/>
        <v>PO-103293</v>
      </c>
      <c r="O3294" t="str">
        <f t="shared" si="307"/>
        <v>Delivered</v>
      </c>
      <c r="P3294" t="str">
        <f t="shared" si="308"/>
        <v>WH-DEL</v>
      </c>
      <c r="Q3294" t="str">
        <f>VLOOKUP(C3294, Lookups!$A$2:$D$10, 2, FALSE())</f>
        <v>Premium Desks Ltd</v>
      </c>
      <c r="R3294" t="str">
        <f>_xlfn.XLOOKUP(D3294, Lookups!$A$12:$A$51, Lookups!$C$12:$C$51, "Unknown")</f>
        <v>Office Furniture</v>
      </c>
      <c r="S3294" t="str">
        <f>IF(ISBLANK(I3294), B3294+VLOOKUP(C3294, Lookups!$A$2:$D$10, 4, FALSE()), I3294)</f>
        <v>2026-12-21</v>
      </c>
      <c r="T3294">
        <f t="shared" si="309"/>
        <v>13</v>
      </c>
      <c r="U3294" t="str">
        <f t="shared" si="310"/>
        <v>Late</v>
      </c>
      <c r="V3294">
        <f t="shared" si="311"/>
        <v>0</v>
      </c>
    </row>
    <row r="3295" spans="1:22" x14ac:dyDescent="0.45">
      <c r="A3295" t="s">
        <v>4152</v>
      </c>
      <c r="B3295" t="s">
        <v>729</v>
      </c>
      <c r="C3295" t="s">
        <v>35</v>
      </c>
      <c r="D3295" t="s">
        <v>60</v>
      </c>
      <c r="E3295" t="s">
        <v>15</v>
      </c>
      <c r="F3295">
        <v>183</v>
      </c>
      <c r="G3295">
        <v>3291</v>
      </c>
      <c r="H3295">
        <v>602253</v>
      </c>
      <c r="I3295" t="s">
        <v>146</v>
      </c>
      <c r="J3295" t="s">
        <v>2110</v>
      </c>
      <c r="K3295">
        <v>163</v>
      </c>
      <c r="L3295">
        <v>0</v>
      </c>
      <c r="M3295" t="s">
        <v>115</v>
      </c>
      <c r="N3295" t="str">
        <f t="shared" si="306"/>
        <v>PO-103294</v>
      </c>
      <c r="O3295" t="str">
        <f t="shared" si="307"/>
        <v>Delivered</v>
      </c>
      <c r="P3295" t="str">
        <f t="shared" si="308"/>
        <v>WH-BOM</v>
      </c>
      <c r="Q3295" t="str">
        <f>VLOOKUP(C3295, Lookups!$A$2:$D$10, 2, FALSE())</f>
        <v>Peripheral Source</v>
      </c>
      <c r="R3295" t="str">
        <f>_xlfn.XLOOKUP(D3295, Lookups!$A$12:$A$51, Lookups!$C$12:$C$51, "Unknown")</f>
        <v>Peripherals</v>
      </c>
      <c r="S3295" t="str">
        <f>IF(ISBLANK(I3295), B3295+VLOOKUP(C3295, Lookups!$A$2:$D$10, 4, FALSE()), I3295)</f>
        <v>2025-10-08</v>
      </c>
      <c r="T3295">
        <f t="shared" si="309"/>
        <v>15</v>
      </c>
      <c r="U3295" t="str">
        <f t="shared" si="310"/>
        <v>Late</v>
      </c>
      <c r="V3295">
        <f t="shared" si="311"/>
        <v>0</v>
      </c>
    </row>
    <row r="3296" spans="1:22" x14ac:dyDescent="0.45">
      <c r="A3296" t="s">
        <v>4153</v>
      </c>
      <c r="B3296" t="s">
        <v>1260</v>
      </c>
      <c r="C3296" t="s">
        <v>34</v>
      </c>
      <c r="D3296" t="s">
        <v>81</v>
      </c>
      <c r="E3296" t="s">
        <v>16</v>
      </c>
      <c r="F3296">
        <v>64</v>
      </c>
      <c r="G3296">
        <v>55328</v>
      </c>
      <c r="H3296">
        <v>3540992</v>
      </c>
      <c r="I3296" t="s">
        <v>590</v>
      </c>
      <c r="J3296" t="s">
        <v>549</v>
      </c>
      <c r="K3296">
        <v>64</v>
      </c>
      <c r="L3296">
        <v>0</v>
      </c>
      <c r="M3296" t="s">
        <v>115</v>
      </c>
      <c r="N3296" t="str">
        <f t="shared" si="306"/>
        <v>PO-103295</v>
      </c>
      <c r="O3296" t="str">
        <f t="shared" si="307"/>
        <v>Delivered</v>
      </c>
      <c r="P3296" t="str">
        <f t="shared" si="308"/>
        <v>WH-DEL</v>
      </c>
      <c r="Q3296" t="str">
        <f>VLOOKUP(C3296, Lookups!$A$2:$D$10, 2, FALSE())</f>
        <v>FastElectronics</v>
      </c>
      <c r="R3296" t="str">
        <f>_xlfn.XLOOKUP(D3296, Lookups!$A$12:$A$51, Lookups!$C$12:$C$51, "Unknown")</f>
        <v>Electronics</v>
      </c>
      <c r="S3296" t="str">
        <f>IF(ISBLANK(I3296), B3296+VLOOKUP(C3296, Lookups!$A$2:$D$10, 4, FALSE()), I3296)</f>
        <v>2026-01-06</v>
      </c>
      <c r="T3296">
        <f t="shared" si="309"/>
        <v>19</v>
      </c>
      <c r="U3296" t="str">
        <f t="shared" si="310"/>
        <v>Late</v>
      </c>
      <c r="V3296">
        <f t="shared" si="311"/>
        <v>0</v>
      </c>
    </row>
    <row r="3297" spans="1:22" x14ac:dyDescent="0.45">
      <c r="A3297" t="s">
        <v>4154</v>
      </c>
      <c r="B3297" t="s">
        <v>1145</v>
      </c>
      <c r="C3297" t="s">
        <v>32</v>
      </c>
      <c r="D3297" t="s">
        <v>84</v>
      </c>
      <c r="E3297" t="s">
        <v>18</v>
      </c>
      <c r="F3297">
        <v>106</v>
      </c>
      <c r="G3297">
        <v>7271</v>
      </c>
      <c r="H3297">
        <v>770726</v>
      </c>
      <c r="I3297" t="s">
        <v>760</v>
      </c>
      <c r="J3297" t="s">
        <v>468</v>
      </c>
      <c r="K3297">
        <v>106</v>
      </c>
      <c r="L3297">
        <v>0</v>
      </c>
      <c r="M3297" t="s">
        <v>115</v>
      </c>
      <c r="N3297" t="str">
        <f t="shared" si="306"/>
        <v>PO-103296</v>
      </c>
      <c r="O3297" t="str">
        <f t="shared" si="307"/>
        <v>Delivered</v>
      </c>
      <c r="P3297" t="str">
        <f t="shared" si="308"/>
        <v>WH-PUN</v>
      </c>
      <c r="Q3297" t="str">
        <f>VLOOKUP(C3297, Lookups!$A$2:$D$10, 2, FALSE())</f>
        <v>OfficeDepot Pro</v>
      </c>
      <c r="R3297" t="str">
        <f>_xlfn.XLOOKUP(D3297, Lookups!$A$12:$A$51, Lookups!$C$12:$C$51, "Unknown")</f>
        <v>Peripherals</v>
      </c>
      <c r="S3297" t="str">
        <f>IF(ISBLANK(I3297), B3297+VLOOKUP(C3297, Lookups!$A$2:$D$10, 4, FALSE()), I3297)</f>
        <v>2025-07-18</v>
      </c>
      <c r="T3297">
        <f t="shared" si="309"/>
        <v>8</v>
      </c>
      <c r="U3297" t="str">
        <f t="shared" si="310"/>
        <v>Late</v>
      </c>
      <c r="V3297">
        <f t="shared" si="311"/>
        <v>0</v>
      </c>
    </row>
    <row r="3298" spans="1:22" x14ac:dyDescent="0.45">
      <c r="A3298" t="s">
        <v>4155</v>
      </c>
      <c r="B3298" t="s">
        <v>518</v>
      </c>
      <c r="C3298" t="s">
        <v>34</v>
      </c>
      <c r="D3298" t="s">
        <v>73</v>
      </c>
      <c r="E3298" t="s">
        <v>18</v>
      </c>
      <c r="F3298">
        <v>152</v>
      </c>
      <c r="G3298">
        <v>58396</v>
      </c>
      <c r="H3298">
        <v>8876192</v>
      </c>
      <c r="I3298" t="s">
        <v>473</v>
      </c>
      <c r="J3298" t="s">
        <v>791</v>
      </c>
      <c r="K3298">
        <v>152</v>
      </c>
      <c r="L3298">
        <v>0</v>
      </c>
      <c r="M3298" t="s">
        <v>115</v>
      </c>
      <c r="N3298" t="str">
        <f t="shared" si="306"/>
        <v>PO-103297</v>
      </c>
      <c r="O3298" t="str">
        <f t="shared" si="307"/>
        <v>Delivered</v>
      </c>
      <c r="P3298" t="str">
        <f t="shared" si="308"/>
        <v>WH-PUN</v>
      </c>
      <c r="Q3298" t="str">
        <f>VLOOKUP(C3298, Lookups!$A$2:$D$10, 2, FALSE())</f>
        <v>FastElectronics</v>
      </c>
      <c r="R3298" t="str">
        <f>_xlfn.XLOOKUP(D3298, Lookups!$A$12:$A$51, Lookups!$C$12:$C$51, "Unknown")</f>
        <v>Electronics</v>
      </c>
      <c r="S3298" t="str">
        <f>IF(ISBLANK(I3298), B3298+VLOOKUP(C3298, Lookups!$A$2:$D$10, 4, FALSE()), I3298)</f>
        <v>2025-06-10</v>
      </c>
      <c r="T3298">
        <f t="shared" si="309"/>
        <v>19</v>
      </c>
      <c r="U3298" t="str">
        <f t="shared" si="310"/>
        <v>Late</v>
      </c>
      <c r="V3298">
        <f t="shared" si="311"/>
        <v>0</v>
      </c>
    </row>
    <row r="3299" spans="1:22" x14ac:dyDescent="0.45">
      <c r="A3299" t="s">
        <v>4156</v>
      </c>
      <c r="B3299" t="s">
        <v>1979</v>
      </c>
      <c r="C3299" t="s">
        <v>34</v>
      </c>
      <c r="D3299" t="s">
        <v>76</v>
      </c>
      <c r="E3299" t="s">
        <v>17</v>
      </c>
      <c r="F3299">
        <v>138</v>
      </c>
      <c r="G3299">
        <v>26270</v>
      </c>
      <c r="H3299">
        <v>3625260</v>
      </c>
      <c r="I3299" t="s">
        <v>443</v>
      </c>
      <c r="J3299" t="s">
        <v>443</v>
      </c>
      <c r="K3299">
        <v>138</v>
      </c>
      <c r="L3299">
        <v>0</v>
      </c>
      <c r="M3299" t="s">
        <v>115</v>
      </c>
      <c r="N3299" t="str">
        <f t="shared" si="306"/>
        <v>PO-103298</v>
      </c>
      <c r="O3299" t="str">
        <f t="shared" si="307"/>
        <v>Delivered</v>
      </c>
      <c r="P3299" t="str">
        <f t="shared" si="308"/>
        <v>WH-BLR</v>
      </c>
      <c r="Q3299" t="str">
        <f>VLOOKUP(C3299, Lookups!$A$2:$D$10, 2, FALSE())</f>
        <v>FastElectronics</v>
      </c>
      <c r="R3299" t="str">
        <f>_xlfn.XLOOKUP(D3299, Lookups!$A$12:$A$51, Lookups!$C$12:$C$51, "Unknown")</f>
        <v>Networking</v>
      </c>
      <c r="S3299" t="str">
        <f>IF(ISBLANK(I3299), B3299+VLOOKUP(C3299, Lookups!$A$2:$D$10, 4, FALSE()), I3299)</f>
        <v>2026-03-31</v>
      </c>
      <c r="T3299">
        <f t="shared" si="309"/>
        <v>18</v>
      </c>
      <c r="U3299" t="str">
        <f t="shared" si="310"/>
        <v>On-Time</v>
      </c>
      <c r="V3299">
        <f t="shared" si="311"/>
        <v>0</v>
      </c>
    </row>
    <row r="3300" spans="1:22" x14ac:dyDescent="0.45">
      <c r="A3300" t="s">
        <v>4157</v>
      </c>
      <c r="B3300" t="s">
        <v>530</v>
      </c>
      <c r="C3300" t="s">
        <v>30</v>
      </c>
      <c r="D3300" t="s">
        <v>82</v>
      </c>
      <c r="E3300" t="s">
        <v>15</v>
      </c>
      <c r="F3300">
        <v>67</v>
      </c>
      <c r="G3300">
        <v>83427</v>
      </c>
      <c r="H3300">
        <v>5589609</v>
      </c>
      <c r="I3300" t="s">
        <v>288</v>
      </c>
      <c r="J3300" t="s">
        <v>304</v>
      </c>
      <c r="K3300">
        <v>67</v>
      </c>
      <c r="L3300">
        <v>0</v>
      </c>
      <c r="M3300" t="s">
        <v>115</v>
      </c>
      <c r="N3300" t="str">
        <f t="shared" si="306"/>
        <v>PO-103299</v>
      </c>
      <c r="O3300" t="str">
        <f t="shared" si="307"/>
        <v>Delivered</v>
      </c>
      <c r="P3300" t="str">
        <f t="shared" si="308"/>
        <v>WH-BOM</v>
      </c>
      <c r="Q3300" t="str">
        <f>VLOOKUP(C3300, Lookups!$A$2:$D$10, 2, FALSE())</f>
        <v>TechSupply Corp</v>
      </c>
      <c r="R3300" t="str">
        <f>_xlfn.XLOOKUP(D3300, Lookups!$A$12:$A$51, Lookups!$C$12:$C$51, "Unknown")</f>
        <v>Electronics</v>
      </c>
      <c r="S3300" t="str">
        <f>IF(ISBLANK(I3300), B3300+VLOOKUP(C3300, Lookups!$A$2:$D$10, 4, FALSE()), I3300)</f>
        <v>2026-06-21</v>
      </c>
      <c r="T3300">
        <f t="shared" si="309"/>
        <v>16</v>
      </c>
      <c r="U3300" t="str">
        <f t="shared" si="310"/>
        <v>Late</v>
      </c>
      <c r="V3300">
        <f t="shared" si="311"/>
        <v>0</v>
      </c>
    </row>
    <row r="3301" spans="1:22" x14ac:dyDescent="0.45">
      <c r="A3301" t="s">
        <v>4158</v>
      </c>
      <c r="B3301" t="s">
        <v>165</v>
      </c>
      <c r="C3301" t="s">
        <v>34</v>
      </c>
      <c r="D3301" t="s">
        <v>68</v>
      </c>
      <c r="E3301" t="s">
        <v>17</v>
      </c>
      <c r="F3301">
        <v>227</v>
      </c>
      <c r="G3301">
        <v>41405</v>
      </c>
      <c r="H3301">
        <v>9398935</v>
      </c>
      <c r="I3301" t="s">
        <v>1395</v>
      </c>
      <c r="J3301" t="s">
        <v>685</v>
      </c>
      <c r="K3301">
        <v>227</v>
      </c>
      <c r="L3301">
        <v>0</v>
      </c>
      <c r="M3301" t="s">
        <v>115</v>
      </c>
      <c r="N3301" t="str">
        <f t="shared" si="306"/>
        <v>PO-103300</v>
      </c>
      <c r="O3301" t="str">
        <f t="shared" si="307"/>
        <v>Delivered</v>
      </c>
      <c r="P3301" t="str">
        <f t="shared" si="308"/>
        <v>WH-BLR</v>
      </c>
      <c r="Q3301" t="str">
        <f>VLOOKUP(C3301, Lookups!$A$2:$D$10, 2, FALSE())</f>
        <v>FastElectronics</v>
      </c>
      <c r="R3301" t="str">
        <f>_xlfn.XLOOKUP(D3301, Lookups!$A$12:$A$51, Lookups!$C$12:$C$51, "Unknown")</f>
        <v>Networking</v>
      </c>
      <c r="S3301" t="str">
        <f>IF(ISBLANK(I3301), B3301+VLOOKUP(C3301, Lookups!$A$2:$D$10, 4, FALSE()), I3301)</f>
        <v>2026-03-09</v>
      </c>
      <c r="T3301">
        <f t="shared" si="309"/>
        <v>19</v>
      </c>
      <c r="U3301" t="str">
        <f t="shared" si="310"/>
        <v>Late</v>
      </c>
      <c r="V3301">
        <f t="shared" si="311"/>
        <v>0</v>
      </c>
    </row>
    <row r="3302" spans="1:22" x14ac:dyDescent="0.45">
      <c r="A3302" t="s">
        <v>4159</v>
      </c>
      <c r="B3302" t="s">
        <v>168</v>
      </c>
      <c r="C3302" t="s">
        <v>33</v>
      </c>
      <c r="D3302" t="s">
        <v>89</v>
      </c>
      <c r="E3302" t="s">
        <v>17</v>
      </c>
      <c r="F3302">
        <v>172</v>
      </c>
      <c r="G3302">
        <v>11309</v>
      </c>
      <c r="H3302">
        <v>1945148</v>
      </c>
      <c r="I3302" t="s">
        <v>1288</v>
      </c>
      <c r="J3302" t="s">
        <v>210</v>
      </c>
      <c r="K3302">
        <v>172</v>
      </c>
      <c r="L3302">
        <v>4</v>
      </c>
      <c r="M3302" t="s">
        <v>115</v>
      </c>
      <c r="N3302" t="str">
        <f t="shared" si="306"/>
        <v>PO-103301</v>
      </c>
      <c r="O3302" t="str">
        <f t="shared" si="307"/>
        <v>Delivered</v>
      </c>
      <c r="P3302" t="str">
        <f t="shared" si="308"/>
        <v>WH-BLR</v>
      </c>
      <c r="Q3302" t="str">
        <f>VLOOKUP(C3302, Lookups!$A$2:$D$10, 2, FALSE())</f>
        <v>MegaFurnish</v>
      </c>
      <c r="R3302" t="str">
        <f>_xlfn.XLOOKUP(D3302, Lookups!$A$12:$A$51, Lookups!$C$12:$C$51, "Unknown")</f>
        <v>Office Furniture</v>
      </c>
      <c r="S3302" t="str">
        <f>IF(ISBLANK(I3302), B3302+VLOOKUP(C3302, Lookups!$A$2:$D$10, 4, FALSE()), I3302)</f>
        <v>2025-06-19</v>
      </c>
      <c r="T3302">
        <f t="shared" si="309"/>
        <v>31</v>
      </c>
      <c r="U3302" t="str">
        <f t="shared" si="310"/>
        <v>Late</v>
      </c>
      <c r="V3302">
        <f t="shared" si="311"/>
        <v>2.3255813953488372E-2</v>
      </c>
    </row>
    <row r="3303" spans="1:22" x14ac:dyDescent="0.45">
      <c r="A3303" t="s">
        <v>4160</v>
      </c>
      <c r="B3303" t="s">
        <v>824</v>
      </c>
      <c r="C3303" t="s">
        <v>36</v>
      </c>
      <c r="D3303" t="s">
        <v>71</v>
      </c>
      <c r="E3303" t="s">
        <v>17</v>
      </c>
      <c r="F3303">
        <v>19</v>
      </c>
      <c r="G3303">
        <v>65379</v>
      </c>
      <c r="H3303">
        <v>1242201</v>
      </c>
      <c r="I3303" t="s">
        <v>4161</v>
      </c>
      <c r="K3303">
        <v>0</v>
      </c>
      <c r="L3303">
        <v>0</v>
      </c>
      <c r="M3303" t="s">
        <v>297</v>
      </c>
      <c r="N3303" t="str">
        <f t="shared" si="306"/>
        <v>PO-103302</v>
      </c>
      <c r="O3303" t="str">
        <f t="shared" si="307"/>
        <v>Open</v>
      </c>
      <c r="P3303" t="str">
        <f t="shared" si="308"/>
        <v>WH-BLR</v>
      </c>
      <c r="Q3303" t="str">
        <f>VLOOKUP(C3303, Lookups!$A$2:$D$10, 2, FALSE())</f>
        <v>NextGen Hardware</v>
      </c>
      <c r="R3303" t="str">
        <f>_xlfn.XLOOKUP(D3303, Lookups!$A$12:$A$51, Lookups!$C$12:$C$51, "Unknown")</f>
        <v>Electronics</v>
      </c>
      <c r="S3303" t="str">
        <f>IF(ISBLANK(I3303), B3303+VLOOKUP(C3303, Lookups!$A$2:$D$10, 4, FALSE()), I3303)</f>
        <v>2026-12-31</v>
      </c>
      <c r="T3303" t="str">
        <f t="shared" si="309"/>
        <v/>
      </c>
      <c r="U3303" t="str">
        <f t="shared" si="310"/>
        <v>Open</v>
      </c>
      <c r="V3303">
        <f t="shared" si="311"/>
        <v>0</v>
      </c>
    </row>
    <row r="3304" spans="1:22" x14ac:dyDescent="0.45">
      <c r="A3304" t="s">
        <v>4162</v>
      </c>
      <c r="B3304" t="s">
        <v>249</v>
      </c>
      <c r="C3304" t="s">
        <v>30</v>
      </c>
      <c r="D3304" t="s">
        <v>82</v>
      </c>
      <c r="E3304" t="s">
        <v>15</v>
      </c>
      <c r="F3304">
        <v>119</v>
      </c>
      <c r="G3304">
        <v>83427</v>
      </c>
      <c r="H3304">
        <v>9927813</v>
      </c>
      <c r="I3304" t="s">
        <v>234</v>
      </c>
      <c r="J3304" t="s">
        <v>192</v>
      </c>
      <c r="K3304">
        <v>119</v>
      </c>
      <c r="L3304">
        <v>0</v>
      </c>
      <c r="M3304" t="s">
        <v>115</v>
      </c>
      <c r="N3304" t="str">
        <f t="shared" si="306"/>
        <v>PO-103303</v>
      </c>
      <c r="O3304" t="str">
        <f t="shared" si="307"/>
        <v>Delivered</v>
      </c>
      <c r="P3304" t="str">
        <f t="shared" si="308"/>
        <v>WH-BOM</v>
      </c>
      <c r="Q3304" t="str">
        <f>VLOOKUP(C3304, Lookups!$A$2:$D$10, 2, FALSE())</f>
        <v>TechSupply Corp</v>
      </c>
      <c r="R3304" t="str">
        <f>_xlfn.XLOOKUP(D3304, Lookups!$A$12:$A$51, Lookups!$C$12:$C$51, "Unknown")</f>
        <v>Electronics</v>
      </c>
      <c r="S3304" t="str">
        <f>IF(ISBLANK(I3304), B3304+VLOOKUP(C3304, Lookups!$A$2:$D$10, 4, FALSE()), I3304)</f>
        <v>2025-08-03</v>
      </c>
      <c r="T3304">
        <f t="shared" si="309"/>
        <v>15</v>
      </c>
      <c r="U3304" t="str">
        <f t="shared" si="310"/>
        <v>Late</v>
      </c>
      <c r="V3304">
        <f t="shared" si="311"/>
        <v>0</v>
      </c>
    </row>
    <row r="3305" spans="1:22" x14ac:dyDescent="0.45">
      <c r="A3305" t="s">
        <v>4163</v>
      </c>
      <c r="B3305" t="s">
        <v>907</v>
      </c>
      <c r="C3305" t="s">
        <v>34</v>
      </c>
      <c r="D3305" t="s">
        <v>58</v>
      </c>
      <c r="E3305" t="s">
        <v>18</v>
      </c>
      <c r="F3305">
        <v>175</v>
      </c>
      <c r="G3305">
        <v>100302</v>
      </c>
      <c r="H3305">
        <v>17552850</v>
      </c>
      <c r="I3305" t="s">
        <v>623</v>
      </c>
      <c r="J3305" t="s">
        <v>1279</v>
      </c>
      <c r="K3305">
        <v>175</v>
      </c>
      <c r="L3305">
        <v>0</v>
      </c>
      <c r="M3305" t="s">
        <v>115</v>
      </c>
      <c r="N3305" t="str">
        <f t="shared" si="306"/>
        <v>PO-103304</v>
      </c>
      <c r="O3305" t="str">
        <f t="shared" si="307"/>
        <v>Delivered</v>
      </c>
      <c r="P3305" t="str">
        <f t="shared" si="308"/>
        <v>WH-PUN</v>
      </c>
      <c r="Q3305" t="str">
        <f>VLOOKUP(C3305, Lookups!$A$2:$D$10, 2, FALSE())</f>
        <v>FastElectronics</v>
      </c>
      <c r="R3305" t="str">
        <f>_xlfn.XLOOKUP(D3305, Lookups!$A$12:$A$51, Lookups!$C$12:$C$51, "Unknown")</f>
        <v>Electronics</v>
      </c>
      <c r="S3305" t="str">
        <f>IF(ISBLANK(I3305), B3305+VLOOKUP(C3305, Lookups!$A$2:$D$10, 4, FALSE()), I3305)</f>
        <v>2026-07-08</v>
      </c>
      <c r="T3305">
        <f t="shared" si="309"/>
        <v>28</v>
      </c>
      <c r="U3305" t="str">
        <f t="shared" si="310"/>
        <v>Late</v>
      </c>
      <c r="V3305">
        <f t="shared" si="311"/>
        <v>0</v>
      </c>
    </row>
    <row r="3306" spans="1:22" x14ac:dyDescent="0.45">
      <c r="A3306" t="s">
        <v>4164</v>
      </c>
      <c r="B3306" t="s">
        <v>548</v>
      </c>
      <c r="C3306" t="s">
        <v>35</v>
      </c>
      <c r="D3306" t="s">
        <v>91</v>
      </c>
      <c r="E3306" t="s">
        <v>17</v>
      </c>
      <c r="F3306">
        <v>93</v>
      </c>
      <c r="G3306">
        <v>6707</v>
      </c>
      <c r="H3306">
        <v>623751</v>
      </c>
      <c r="I3306" t="s">
        <v>1079</v>
      </c>
      <c r="J3306" t="s">
        <v>1079</v>
      </c>
      <c r="K3306">
        <v>93</v>
      </c>
      <c r="L3306">
        <v>0</v>
      </c>
      <c r="M3306" t="s">
        <v>115</v>
      </c>
      <c r="N3306" t="str">
        <f t="shared" si="306"/>
        <v>PO-103305</v>
      </c>
      <c r="O3306" t="str">
        <f t="shared" si="307"/>
        <v>Delivered</v>
      </c>
      <c r="P3306" t="str">
        <f t="shared" si="308"/>
        <v>WH-BLR</v>
      </c>
      <c r="Q3306" t="str">
        <f>VLOOKUP(C3306, Lookups!$A$2:$D$10, 2, FALSE())</f>
        <v>Peripheral Source</v>
      </c>
      <c r="R3306" t="str">
        <f>_xlfn.XLOOKUP(D3306, Lookups!$A$12:$A$51, Lookups!$C$12:$C$51, "Unknown")</f>
        <v>Peripherals</v>
      </c>
      <c r="S3306" t="str">
        <f>IF(ISBLANK(I3306), B3306+VLOOKUP(C3306, Lookups!$A$2:$D$10, 4, FALSE()), I3306)</f>
        <v>2026-01-18</v>
      </c>
      <c r="T3306">
        <f t="shared" si="309"/>
        <v>10</v>
      </c>
      <c r="U3306" t="str">
        <f t="shared" si="310"/>
        <v>On-Time</v>
      </c>
      <c r="V3306">
        <f t="shared" si="311"/>
        <v>0</v>
      </c>
    </row>
    <row r="3307" spans="1:22" x14ac:dyDescent="0.45">
      <c r="A3307" t="s">
        <v>4165</v>
      </c>
      <c r="B3307" t="s">
        <v>571</v>
      </c>
      <c r="C3307" t="s">
        <v>31</v>
      </c>
      <c r="D3307" t="s">
        <v>64</v>
      </c>
      <c r="E3307" t="s">
        <v>16</v>
      </c>
      <c r="F3307">
        <v>236</v>
      </c>
      <c r="G3307">
        <v>36295</v>
      </c>
      <c r="H3307">
        <v>8565620</v>
      </c>
      <c r="I3307" t="s">
        <v>481</v>
      </c>
      <c r="J3307" t="s">
        <v>481</v>
      </c>
      <c r="K3307">
        <v>236</v>
      </c>
      <c r="L3307">
        <v>0</v>
      </c>
      <c r="M3307" t="s">
        <v>115</v>
      </c>
      <c r="N3307" t="str">
        <f t="shared" si="306"/>
        <v>PO-103306</v>
      </c>
      <c r="O3307" t="str">
        <f t="shared" si="307"/>
        <v>Delivered</v>
      </c>
      <c r="P3307" t="str">
        <f t="shared" si="308"/>
        <v>WH-DEL</v>
      </c>
      <c r="Q3307" t="str">
        <f>VLOOKUP(C3307, Lookups!$A$2:$D$10, 2, FALSE())</f>
        <v>Global Networks</v>
      </c>
      <c r="R3307" t="str">
        <f>_xlfn.XLOOKUP(D3307, Lookups!$A$12:$A$51, Lookups!$C$12:$C$51, "Unknown")</f>
        <v>Networking</v>
      </c>
      <c r="S3307" t="str">
        <f>IF(ISBLANK(I3307), B3307+VLOOKUP(C3307, Lookups!$A$2:$D$10, 4, FALSE()), I3307)</f>
        <v>2025-05-07</v>
      </c>
      <c r="T3307">
        <f t="shared" si="309"/>
        <v>21</v>
      </c>
      <c r="U3307" t="str">
        <f t="shared" si="310"/>
        <v>On-Time</v>
      </c>
      <c r="V3307">
        <f t="shared" si="311"/>
        <v>0</v>
      </c>
    </row>
    <row r="3308" spans="1:22" x14ac:dyDescent="0.45">
      <c r="A3308" t="s">
        <v>4166</v>
      </c>
      <c r="B3308" t="s">
        <v>1337</v>
      </c>
      <c r="C3308" t="s">
        <v>34</v>
      </c>
      <c r="D3308" t="s">
        <v>81</v>
      </c>
      <c r="E3308" t="s">
        <v>18</v>
      </c>
      <c r="F3308">
        <v>194</v>
      </c>
      <c r="G3308">
        <v>55328</v>
      </c>
      <c r="H3308">
        <v>10733632</v>
      </c>
      <c r="I3308" t="s">
        <v>1254</v>
      </c>
      <c r="J3308" t="s">
        <v>750</v>
      </c>
      <c r="K3308">
        <v>110</v>
      </c>
      <c r="L3308">
        <v>0</v>
      </c>
      <c r="M3308" t="s">
        <v>115</v>
      </c>
      <c r="N3308" t="str">
        <f t="shared" si="306"/>
        <v>PO-103307</v>
      </c>
      <c r="O3308" t="str">
        <f t="shared" si="307"/>
        <v>Delivered</v>
      </c>
      <c r="P3308" t="str">
        <f t="shared" si="308"/>
        <v>WH-PUN</v>
      </c>
      <c r="Q3308" t="str">
        <f>VLOOKUP(C3308, Lookups!$A$2:$D$10, 2, FALSE())</f>
        <v>FastElectronics</v>
      </c>
      <c r="R3308" t="str">
        <f>_xlfn.XLOOKUP(D3308, Lookups!$A$12:$A$51, Lookups!$C$12:$C$51, "Unknown")</f>
        <v>Electronics</v>
      </c>
      <c r="S3308" t="str">
        <f>IF(ISBLANK(I3308), B3308+VLOOKUP(C3308, Lookups!$A$2:$D$10, 4, FALSE()), I3308)</f>
        <v>2026-10-10</v>
      </c>
      <c r="T3308">
        <f t="shared" si="309"/>
        <v>28</v>
      </c>
      <c r="U3308" t="str">
        <f t="shared" si="310"/>
        <v>Late</v>
      </c>
      <c r="V3308">
        <f t="shared" si="311"/>
        <v>0</v>
      </c>
    </row>
    <row r="3309" spans="1:22" x14ac:dyDescent="0.45">
      <c r="A3309" t="s">
        <v>4167</v>
      </c>
      <c r="B3309" t="s">
        <v>720</v>
      </c>
      <c r="C3309" t="s">
        <v>34</v>
      </c>
      <c r="D3309" t="s">
        <v>80</v>
      </c>
      <c r="E3309" t="s">
        <v>18</v>
      </c>
      <c r="F3309">
        <v>85</v>
      </c>
      <c r="G3309">
        <v>19090</v>
      </c>
      <c r="H3309">
        <v>1622650</v>
      </c>
      <c r="I3309" t="s">
        <v>873</v>
      </c>
      <c r="J3309" t="s">
        <v>873</v>
      </c>
      <c r="K3309">
        <v>85</v>
      </c>
      <c r="L3309">
        <v>0</v>
      </c>
      <c r="M3309" t="s">
        <v>115</v>
      </c>
      <c r="N3309" t="str">
        <f t="shared" si="306"/>
        <v>PO-103308</v>
      </c>
      <c r="O3309" t="str">
        <f t="shared" si="307"/>
        <v>Delivered</v>
      </c>
      <c r="P3309" t="str">
        <f t="shared" si="308"/>
        <v>WH-PUN</v>
      </c>
      <c r="Q3309" t="str">
        <f>VLOOKUP(C3309, Lookups!$A$2:$D$10, 2, FALSE())</f>
        <v>FastElectronics</v>
      </c>
      <c r="R3309" t="str">
        <f>_xlfn.XLOOKUP(D3309, Lookups!$A$12:$A$51, Lookups!$C$12:$C$51, "Unknown")</f>
        <v>Networking</v>
      </c>
      <c r="S3309" t="str">
        <f>IF(ISBLANK(I3309), B3309+VLOOKUP(C3309, Lookups!$A$2:$D$10, 4, FALSE()), I3309)</f>
        <v>2026-02-09</v>
      </c>
      <c r="T3309">
        <f t="shared" si="309"/>
        <v>18</v>
      </c>
      <c r="U3309" t="str">
        <f t="shared" si="310"/>
        <v>On-Time</v>
      </c>
      <c r="V3309">
        <f t="shared" si="311"/>
        <v>0</v>
      </c>
    </row>
    <row r="3310" spans="1:22" x14ac:dyDescent="0.45">
      <c r="A3310" t="s">
        <v>4168</v>
      </c>
      <c r="B3310" t="s">
        <v>224</v>
      </c>
      <c r="C3310" t="s">
        <v>35</v>
      </c>
      <c r="D3310" t="s">
        <v>91</v>
      </c>
      <c r="E3310" t="s">
        <v>15</v>
      </c>
      <c r="F3310">
        <v>231</v>
      </c>
      <c r="G3310">
        <v>6707</v>
      </c>
      <c r="H3310">
        <v>1549317</v>
      </c>
      <c r="I3310" t="s">
        <v>141</v>
      </c>
      <c r="J3310" t="s">
        <v>952</v>
      </c>
      <c r="K3310">
        <v>231</v>
      </c>
      <c r="L3310">
        <v>0</v>
      </c>
      <c r="M3310" t="s">
        <v>115</v>
      </c>
      <c r="N3310" t="str">
        <f t="shared" si="306"/>
        <v>PO-103309</v>
      </c>
      <c r="O3310" t="str">
        <f t="shared" si="307"/>
        <v>Delivered</v>
      </c>
      <c r="P3310" t="str">
        <f t="shared" si="308"/>
        <v>WH-BOM</v>
      </c>
      <c r="Q3310" t="str">
        <f>VLOOKUP(C3310, Lookups!$A$2:$D$10, 2, FALSE())</f>
        <v>Peripheral Source</v>
      </c>
      <c r="R3310" t="str">
        <f>_xlfn.XLOOKUP(D3310, Lookups!$A$12:$A$51, Lookups!$C$12:$C$51, "Unknown")</f>
        <v>Peripherals</v>
      </c>
      <c r="S3310" t="str">
        <f>IF(ISBLANK(I3310), B3310+VLOOKUP(C3310, Lookups!$A$2:$D$10, 4, FALSE()), I3310)</f>
        <v>2026-07-23</v>
      </c>
      <c r="T3310">
        <f t="shared" si="309"/>
        <v>11</v>
      </c>
      <c r="U3310" t="str">
        <f t="shared" si="310"/>
        <v>Late</v>
      </c>
      <c r="V3310">
        <f t="shared" si="311"/>
        <v>0</v>
      </c>
    </row>
    <row r="3311" spans="1:22" x14ac:dyDescent="0.45">
      <c r="A3311" t="s">
        <v>4169</v>
      </c>
      <c r="B3311" t="s">
        <v>198</v>
      </c>
      <c r="C3311" t="s">
        <v>31</v>
      </c>
      <c r="D3311" t="s">
        <v>66</v>
      </c>
      <c r="E3311" t="s">
        <v>18</v>
      </c>
      <c r="F3311">
        <v>156</v>
      </c>
      <c r="G3311">
        <v>29719</v>
      </c>
      <c r="H3311">
        <v>4636164</v>
      </c>
      <c r="I3311" t="s">
        <v>2110</v>
      </c>
      <c r="J3311" t="s">
        <v>319</v>
      </c>
      <c r="K3311">
        <v>156</v>
      </c>
      <c r="L3311">
        <v>0</v>
      </c>
      <c r="M3311" t="s">
        <v>115</v>
      </c>
      <c r="N3311" t="str">
        <f t="shared" si="306"/>
        <v>PO-103310</v>
      </c>
      <c r="O3311" t="str">
        <f t="shared" si="307"/>
        <v>Delivered</v>
      </c>
      <c r="P3311" t="str">
        <f t="shared" si="308"/>
        <v>WH-PUN</v>
      </c>
      <c r="Q3311" t="str">
        <f>VLOOKUP(C3311, Lookups!$A$2:$D$10, 2, FALSE())</f>
        <v>Global Networks</v>
      </c>
      <c r="R3311" t="str">
        <f>_xlfn.XLOOKUP(D3311, Lookups!$A$12:$A$51, Lookups!$C$12:$C$51, "Unknown")</f>
        <v>Networking</v>
      </c>
      <c r="S3311" t="str">
        <f>IF(ISBLANK(I3311), B3311+VLOOKUP(C3311, Lookups!$A$2:$D$10, 4, FALSE()), I3311)</f>
        <v>2025-10-13</v>
      </c>
      <c r="T3311">
        <f t="shared" si="309"/>
        <v>22</v>
      </c>
      <c r="U3311" t="str">
        <f t="shared" si="310"/>
        <v>Late</v>
      </c>
      <c r="V3311">
        <f t="shared" si="311"/>
        <v>0</v>
      </c>
    </row>
    <row r="3312" spans="1:22" x14ac:dyDescent="0.45">
      <c r="A3312" t="s">
        <v>4170</v>
      </c>
      <c r="B3312" t="s">
        <v>1111</v>
      </c>
      <c r="C3312" t="s">
        <v>36</v>
      </c>
      <c r="D3312" t="s">
        <v>71</v>
      </c>
      <c r="E3312" t="s">
        <v>18</v>
      </c>
      <c r="F3312">
        <v>109</v>
      </c>
      <c r="G3312">
        <v>65379</v>
      </c>
      <c r="H3312">
        <v>7126311</v>
      </c>
      <c r="I3312" t="s">
        <v>615</v>
      </c>
      <c r="J3312" t="s">
        <v>615</v>
      </c>
      <c r="K3312">
        <v>109</v>
      </c>
      <c r="L3312">
        <v>0</v>
      </c>
      <c r="M3312" t="s">
        <v>115</v>
      </c>
      <c r="N3312" t="str">
        <f t="shared" si="306"/>
        <v>PO-103311</v>
      </c>
      <c r="O3312" t="str">
        <f t="shared" si="307"/>
        <v>Delivered</v>
      </c>
      <c r="P3312" t="str">
        <f t="shared" si="308"/>
        <v>WH-PUN</v>
      </c>
      <c r="Q3312" t="str">
        <f>VLOOKUP(C3312, Lookups!$A$2:$D$10, 2, FALSE())</f>
        <v>NextGen Hardware</v>
      </c>
      <c r="R3312" t="str">
        <f>_xlfn.XLOOKUP(D3312, Lookups!$A$12:$A$51, Lookups!$C$12:$C$51, "Unknown")</f>
        <v>Electronics</v>
      </c>
      <c r="S3312" t="str">
        <f>IF(ISBLANK(I3312), B3312+VLOOKUP(C3312, Lookups!$A$2:$D$10, 4, FALSE()), I3312)</f>
        <v>2026-11-07</v>
      </c>
      <c r="T3312">
        <f t="shared" si="309"/>
        <v>24</v>
      </c>
      <c r="U3312" t="str">
        <f t="shared" si="310"/>
        <v>On-Time</v>
      </c>
      <c r="V3312">
        <f t="shared" si="311"/>
        <v>0</v>
      </c>
    </row>
    <row r="3313" spans="1:22" x14ac:dyDescent="0.45">
      <c r="A3313" t="s">
        <v>4171</v>
      </c>
      <c r="B3313" t="s">
        <v>164</v>
      </c>
      <c r="C3313" t="s">
        <v>35</v>
      </c>
      <c r="D3313" t="s">
        <v>57</v>
      </c>
      <c r="E3313" t="s">
        <v>18</v>
      </c>
      <c r="F3313">
        <v>216</v>
      </c>
      <c r="G3313">
        <v>2212</v>
      </c>
      <c r="H3313">
        <v>477792</v>
      </c>
      <c r="I3313" t="s">
        <v>385</v>
      </c>
      <c r="J3313" t="s">
        <v>128</v>
      </c>
      <c r="K3313">
        <v>216</v>
      </c>
      <c r="L3313">
        <v>0</v>
      </c>
      <c r="M3313" t="s">
        <v>178</v>
      </c>
      <c r="N3313" t="str">
        <f t="shared" si="306"/>
        <v>PO-103312</v>
      </c>
      <c r="O3313" t="str">
        <f t="shared" si="307"/>
        <v>Delivered</v>
      </c>
      <c r="P3313" t="str">
        <f t="shared" si="308"/>
        <v>WH-PUN</v>
      </c>
      <c r="Q3313" t="str">
        <f>VLOOKUP(C3313, Lookups!$A$2:$D$10, 2, FALSE())</f>
        <v>Peripheral Source</v>
      </c>
      <c r="R3313" t="str">
        <f>_xlfn.XLOOKUP(D3313, Lookups!$A$12:$A$51, Lookups!$C$12:$C$51, "Unknown")</f>
        <v>Peripherals</v>
      </c>
      <c r="S3313" t="str">
        <f>IF(ISBLANK(I3313), B3313+VLOOKUP(C3313, Lookups!$A$2:$D$10, 4, FALSE()), I3313)</f>
        <v>2026-02-15</v>
      </c>
      <c r="T3313">
        <f t="shared" si="309"/>
        <v>11</v>
      </c>
      <c r="U3313" t="str">
        <f t="shared" si="310"/>
        <v>Late</v>
      </c>
      <c r="V3313">
        <f t="shared" si="311"/>
        <v>0</v>
      </c>
    </row>
    <row r="3314" spans="1:22" x14ac:dyDescent="0.45">
      <c r="A3314" t="s">
        <v>4172</v>
      </c>
      <c r="B3314" t="s">
        <v>693</v>
      </c>
      <c r="C3314" t="s">
        <v>36</v>
      </c>
      <c r="D3314" t="s">
        <v>55</v>
      </c>
      <c r="E3314" t="s">
        <v>17</v>
      </c>
      <c r="F3314">
        <v>58</v>
      </c>
      <c r="G3314">
        <v>58434</v>
      </c>
      <c r="H3314">
        <v>3389172</v>
      </c>
      <c r="K3314">
        <v>0</v>
      </c>
      <c r="L3314">
        <v>0</v>
      </c>
      <c r="M3314" t="s">
        <v>297</v>
      </c>
      <c r="N3314" t="str">
        <f t="shared" si="306"/>
        <v>PO-103313</v>
      </c>
      <c r="O3314" t="str">
        <f t="shared" si="307"/>
        <v>Open</v>
      </c>
      <c r="P3314" t="str">
        <f t="shared" si="308"/>
        <v>WH-BLR</v>
      </c>
      <c r="Q3314" t="str">
        <f>VLOOKUP(C3314, Lookups!$A$2:$D$10, 2, FALSE())</f>
        <v>NextGen Hardware</v>
      </c>
      <c r="R3314" t="str">
        <f>_xlfn.XLOOKUP(D3314, Lookups!$A$12:$A$51, Lookups!$C$12:$C$51, "Unknown")</f>
        <v>Electronics</v>
      </c>
      <c r="S3314">
        <f>IF(ISBLANK(I3314), B3314+VLOOKUP(C3314, Lookups!$A$2:$D$10, 4, FALSE()), I3314)</f>
        <v>46372</v>
      </c>
      <c r="T3314" t="str">
        <f t="shared" si="309"/>
        <v/>
      </c>
      <c r="U3314" t="str">
        <f t="shared" si="310"/>
        <v>Open</v>
      </c>
      <c r="V3314">
        <f t="shared" si="311"/>
        <v>0</v>
      </c>
    </row>
    <row r="3315" spans="1:22" x14ac:dyDescent="0.45">
      <c r="A3315" t="s">
        <v>4173</v>
      </c>
      <c r="B3315" t="s">
        <v>552</v>
      </c>
      <c r="C3315" t="s">
        <v>36</v>
      </c>
      <c r="D3315" t="s">
        <v>62</v>
      </c>
      <c r="E3315" t="s">
        <v>15</v>
      </c>
      <c r="F3315">
        <v>241</v>
      </c>
      <c r="G3315">
        <v>48478</v>
      </c>
      <c r="H3315">
        <v>11683198</v>
      </c>
      <c r="I3315" t="s">
        <v>1770</v>
      </c>
      <c r="J3315" t="s">
        <v>1770</v>
      </c>
      <c r="K3315">
        <v>241</v>
      </c>
      <c r="L3315">
        <v>21</v>
      </c>
      <c r="M3315" t="s">
        <v>115</v>
      </c>
      <c r="N3315" t="str">
        <f t="shared" si="306"/>
        <v>PO-103314</v>
      </c>
      <c r="O3315" t="str">
        <f t="shared" si="307"/>
        <v>Delivered</v>
      </c>
      <c r="P3315" t="str">
        <f t="shared" si="308"/>
        <v>WH-BOM</v>
      </c>
      <c r="Q3315" t="str">
        <f>VLOOKUP(C3315, Lookups!$A$2:$D$10, 2, FALSE())</f>
        <v>NextGen Hardware</v>
      </c>
      <c r="R3315" t="str">
        <f>_xlfn.XLOOKUP(D3315, Lookups!$A$12:$A$51, Lookups!$C$12:$C$51, "Unknown")</f>
        <v>Electronics</v>
      </c>
      <c r="S3315" t="str">
        <f>IF(ISBLANK(I3315), B3315+VLOOKUP(C3315, Lookups!$A$2:$D$10, 4, FALSE()), I3315)</f>
        <v>2025-12-16</v>
      </c>
      <c r="T3315">
        <f t="shared" si="309"/>
        <v>24</v>
      </c>
      <c r="U3315" t="str">
        <f t="shared" si="310"/>
        <v>On-Time</v>
      </c>
      <c r="V3315">
        <f t="shared" si="311"/>
        <v>8.7136929460580909E-2</v>
      </c>
    </row>
    <row r="3316" spans="1:22" x14ac:dyDescent="0.45">
      <c r="A3316" t="s">
        <v>4174</v>
      </c>
      <c r="B3316" t="s">
        <v>760</v>
      </c>
      <c r="C3316" t="s">
        <v>31</v>
      </c>
      <c r="D3316" t="s">
        <v>56</v>
      </c>
      <c r="E3316" t="s">
        <v>16</v>
      </c>
      <c r="F3316">
        <v>117</v>
      </c>
      <c r="G3316">
        <v>39270</v>
      </c>
      <c r="H3316">
        <v>4594590</v>
      </c>
      <c r="I3316" t="s">
        <v>250</v>
      </c>
      <c r="J3316" t="s">
        <v>1070</v>
      </c>
      <c r="K3316">
        <v>117</v>
      </c>
      <c r="L3316">
        <v>0</v>
      </c>
      <c r="M3316" t="s">
        <v>115</v>
      </c>
      <c r="N3316" t="str">
        <f t="shared" si="306"/>
        <v>PO-103315</v>
      </c>
      <c r="O3316" t="str">
        <f t="shared" si="307"/>
        <v>Delivered</v>
      </c>
      <c r="P3316" t="str">
        <f t="shared" si="308"/>
        <v>WH-DEL</v>
      </c>
      <c r="Q3316" t="str">
        <f>VLOOKUP(C3316, Lookups!$A$2:$D$10, 2, FALSE())</f>
        <v>Global Networks</v>
      </c>
      <c r="R3316" t="str">
        <f>_xlfn.XLOOKUP(D3316, Lookups!$A$12:$A$51, Lookups!$C$12:$C$51, "Unknown")</f>
        <v>Networking</v>
      </c>
      <c r="S3316" t="str">
        <f>IF(ISBLANK(I3316), B3316+VLOOKUP(C3316, Lookups!$A$2:$D$10, 4, FALSE()), I3316)</f>
        <v>2025-08-08</v>
      </c>
      <c r="T3316">
        <f t="shared" si="309"/>
        <v>28</v>
      </c>
      <c r="U3316" t="str">
        <f t="shared" si="310"/>
        <v>Late</v>
      </c>
      <c r="V3316">
        <f t="shared" si="311"/>
        <v>0</v>
      </c>
    </row>
    <row r="3317" spans="1:22" x14ac:dyDescent="0.45">
      <c r="A3317" t="s">
        <v>4175</v>
      </c>
      <c r="B3317" t="s">
        <v>741</v>
      </c>
      <c r="C3317" t="s">
        <v>35</v>
      </c>
      <c r="D3317" t="s">
        <v>60</v>
      </c>
      <c r="E3317" t="s">
        <v>17</v>
      </c>
      <c r="F3317">
        <v>247</v>
      </c>
      <c r="G3317">
        <v>3291</v>
      </c>
      <c r="H3317">
        <v>812877</v>
      </c>
      <c r="I3317" t="s">
        <v>1090</v>
      </c>
      <c r="J3317" t="s">
        <v>431</v>
      </c>
      <c r="K3317">
        <v>247</v>
      </c>
      <c r="L3317">
        <v>0</v>
      </c>
      <c r="M3317" t="s">
        <v>115</v>
      </c>
      <c r="N3317" t="str">
        <f t="shared" si="306"/>
        <v>PO-103316</v>
      </c>
      <c r="O3317" t="str">
        <f t="shared" si="307"/>
        <v>Delivered</v>
      </c>
      <c r="P3317" t="str">
        <f t="shared" si="308"/>
        <v>WH-BLR</v>
      </c>
      <c r="Q3317" t="str">
        <f>VLOOKUP(C3317, Lookups!$A$2:$D$10, 2, FALSE())</f>
        <v>Peripheral Source</v>
      </c>
      <c r="R3317" t="str">
        <f>_xlfn.XLOOKUP(D3317, Lookups!$A$12:$A$51, Lookups!$C$12:$C$51, "Unknown")</f>
        <v>Peripherals</v>
      </c>
      <c r="S3317" t="str">
        <f>IF(ISBLANK(I3317), B3317+VLOOKUP(C3317, Lookups!$A$2:$D$10, 4, FALSE()), I3317)</f>
        <v>2025-03-15</v>
      </c>
      <c r="T3317">
        <f t="shared" si="309"/>
        <v>11</v>
      </c>
      <c r="U3317" t="str">
        <f t="shared" si="310"/>
        <v>Late</v>
      </c>
      <c r="V3317">
        <f t="shared" si="311"/>
        <v>0</v>
      </c>
    </row>
    <row r="3318" spans="1:22" x14ac:dyDescent="0.45">
      <c r="A3318" t="s">
        <v>4176</v>
      </c>
      <c r="B3318" t="s">
        <v>365</v>
      </c>
      <c r="C3318" t="s">
        <v>37</v>
      </c>
      <c r="D3318" t="s">
        <v>79</v>
      </c>
      <c r="E3318" t="s">
        <v>17</v>
      </c>
      <c r="F3318">
        <v>105</v>
      </c>
      <c r="G3318">
        <v>23054</v>
      </c>
      <c r="H3318">
        <v>2420670</v>
      </c>
      <c r="I3318" t="s">
        <v>686</v>
      </c>
      <c r="J3318" t="s">
        <v>686</v>
      </c>
      <c r="K3318">
        <v>105</v>
      </c>
      <c r="L3318">
        <v>0</v>
      </c>
      <c r="M3318" t="s">
        <v>115</v>
      </c>
      <c r="N3318" t="str">
        <f t="shared" si="306"/>
        <v>PO-103317</v>
      </c>
      <c r="O3318" t="str">
        <f t="shared" si="307"/>
        <v>Delivered</v>
      </c>
      <c r="P3318" t="str">
        <f t="shared" si="308"/>
        <v>WH-BLR</v>
      </c>
      <c r="Q3318" t="str">
        <f>VLOOKUP(C3318, Lookups!$A$2:$D$10, 2, FALSE())</f>
        <v>Premium Desks Ltd</v>
      </c>
      <c r="R3318" t="str">
        <f>_xlfn.XLOOKUP(D3318, Lookups!$A$12:$A$51, Lookups!$C$12:$C$51, "Unknown")</f>
        <v>Office Furniture</v>
      </c>
      <c r="S3318" t="str">
        <f>IF(ISBLANK(I3318), B3318+VLOOKUP(C3318, Lookups!$A$2:$D$10, 4, FALSE()), I3318)</f>
        <v>2026-04-10</v>
      </c>
      <c r="T3318">
        <f t="shared" si="309"/>
        <v>12</v>
      </c>
      <c r="U3318" t="str">
        <f t="shared" si="310"/>
        <v>On-Time</v>
      </c>
      <c r="V3318">
        <f t="shared" si="311"/>
        <v>0</v>
      </c>
    </row>
    <row r="3319" spans="1:22" x14ac:dyDescent="0.45">
      <c r="A3319" t="s">
        <v>4177</v>
      </c>
      <c r="B3319" t="s">
        <v>499</v>
      </c>
      <c r="C3319" t="s">
        <v>31</v>
      </c>
      <c r="D3319" t="s">
        <v>66</v>
      </c>
      <c r="E3319" t="s">
        <v>15</v>
      </c>
      <c r="F3319">
        <v>136</v>
      </c>
      <c r="G3319">
        <v>29719</v>
      </c>
      <c r="H3319">
        <v>4041784</v>
      </c>
      <c r="I3319" t="s">
        <v>352</v>
      </c>
      <c r="J3319" t="s">
        <v>805</v>
      </c>
      <c r="K3319">
        <v>136</v>
      </c>
      <c r="L3319">
        <v>0</v>
      </c>
      <c r="M3319" t="s">
        <v>115</v>
      </c>
      <c r="N3319" t="str">
        <f t="shared" si="306"/>
        <v>PO-103318</v>
      </c>
      <c r="O3319" t="str">
        <f t="shared" si="307"/>
        <v>Delivered</v>
      </c>
      <c r="P3319" t="str">
        <f t="shared" si="308"/>
        <v>WH-BOM</v>
      </c>
      <c r="Q3319" t="str">
        <f>VLOOKUP(C3319, Lookups!$A$2:$D$10, 2, FALSE())</f>
        <v>Global Networks</v>
      </c>
      <c r="R3319" t="str">
        <f>_xlfn.XLOOKUP(D3319, Lookups!$A$12:$A$51, Lookups!$C$12:$C$51, "Unknown")</f>
        <v>Networking</v>
      </c>
      <c r="S3319" t="str">
        <f>IF(ISBLANK(I3319), B3319+VLOOKUP(C3319, Lookups!$A$2:$D$10, 4, FALSE()), I3319)</f>
        <v>2025-04-24</v>
      </c>
      <c r="T3319">
        <f t="shared" si="309"/>
        <v>22</v>
      </c>
      <c r="U3319" t="str">
        <f t="shared" si="310"/>
        <v>Late</v>
      </c>
      <c r="V3319">
        <f t="shared" si="311"/>
        <v>0</v>
      </c>
    </row>
    <row r="3320" spans="1:22" x14ac:dyDescent="0.45">
      <c r="A3320" t="s">
        <v>4178</v>
      </c>
      <c r="B3320" t="s">
        <v>2281</v>
      </c>
      <c r="C3320" t="s">
        <v>32</v>
      </c>
      <c r="D3320" t="s">
        <v>67</v>
      </c>
      <c r="E3320" t="s">
        <v>17</v>
      </c>
      <c r="F3320">
        <v>158</v>
      </c>
      <c r="G3320">
        <v>1553</v>
      </c>
      <c r="H3320">
        <v>245374</v>
      </c>
      <c r="I3320" t="s">
        <v>406</v>
      </c>
      <c r="J3320" t="s">
        <v>406</v>
      </c>
      <c r="K3320">
        <v>158</v>
      </c>
      <c r="L3320">
        <v>0</v>
      </c>
      <c r="M3320" t="s">
        <v>115</v>
      </c>
      <c r="N3320" t="str">
        <f t="shared" si="306"/>
        <v>PO-103319</v>
      </c>
      <c r="O3320" t="str">
        <f t="shared" si="307"/>
        <v>Delivered</v>
      </c>
      <c r="P3320" t="str">
        <f t="shared" si="308"/>
        <v>WH-BLR</v>
      </c>
      <c r="Q3320" t="str">
        <f>VLOOKUP(C3320, Lookups!$A$2:$D$10, 2, FALSE())</f>
        <v>OfficeDepot Pro</v>
      </c>
      <c r="R3320" t="str">
        <f>_xlfn.XLOOKUP(D3320, Lookups!$A$12:$A$51, Lookups!$C$12:$C$51, "Unknown")</f>
        <v>Peripherals</v>
      </c>
      <c r="S3320" t="str">
        <f>IF(ISBLANK(I3320), B3320+VLOOKUP(C3320, Lookups!$A$2:$D$10, 4, FALSE()), I3320)</f>
        <v>2026-06-24</v>
      </c>
      <c r="T3320">
        <f t="shared" si="309"/>
        <v>7</v>
      </c>
      <c r="U3320" t="str">
        <f t="shared" si="310"/>
        <v>On-Time</v>
      </c>
      <c r="V3320">
        <f t="shared" si="311"/>
        <v>0</v>
      </c>
    </row>
    <row r="3321" spans="1:22" x14ac:dyDescent="0.45">
      <c r="A3321" t="s">
        <v>4179</v>
      </c>
      <c r="B3321" t="s">
        <v>1129</v>
      </c>
      <c r="C3321" t="s">
        <v>35</v>
      </c>
      <c r="D3321" t="s">
        <v>72</v>
      </c>
      <c r="E3321" t="s">
        <v>16</v>
      </c>
      <c r="F3321">
        <v>61</v>
      </c>
      <c r="G3321">
        <v>7754</v>
      </c>
      <c r="H3321">
        <v>472994</v>
      </c>
      <c r="I3321" t="s">
        <v>147</v>
      </c>
      <c r="J3321" t="s">
        <v>332</v>
      </c>
      <c r="K3321">
        <v>61</v>
      </c>
      <c r="L3321">
        <v>3</v>
      </c>
      <c r="M3321" t="s">
        <v>115</v>
      </c>
      <c r="N3321" t="str">
        <f t="shared" si="306"/>
        <v>PO-103320</v>
      </c>
      <c r="O3321" t="str">
        <f t="shared" si="307"/>
        <v>Delivered</v>
      </c>
      <c r="P3321" t="str">
        <f t="shared" si="308"/>
        <v>WH-DEL</v>
      </c>
      <c r="Q3321" t="str">
        <f>VLOOKUP(C3321, Lookups!$A$2:$D$10, 2, FALSE())</f>
        <v>Peripheral Source</v>
      </c>
      <c r="R3321" t="str">
        <f>_xlfn.XLOOKUP(D3321, Lookups!$A$12:$A$51, Lookups!$C$12:$C$51, "Unknown")</f>
        <v>Peripherals</v>
      </c>
      <c r="S3321" t="str">
        <f>IF(ISBLANK(I3321), B3321+VLOOKUP(C3321, Lookups!$A$2:$D$10, 4, FALSE()), I3321)</f>
        <v>2025-10-05</v>
      </c>
      <c r="T3321">
        <f t="shared" si="309"/>
        <v>17</v>
      </c>
      <c r="U3321" t="str">
        <f t="shared" si="310"/>
        <v>Late</v>
      </c>
      <c r="V3321">
        <f t="shared" si="311"/>
        <v>4.9180327868852458E-2</v>
      </c>
    </row>
    <row r="3322" spans="1:22" x14ac:dyDescent="0.45">
      <c r="A3322" t="s">
        <v>4180</v>
      </c>
      <c r="B3322" t="s">
        <v>1046</v>
      </c>
      <c r="C3322" t="s">
        <v>34</v>
      </c>
      <c r="D3322" t="s">
        <v>74</v>
      </c>
      <c r="E3322" t="s">
        <v>17</v>
      </c>
      <c r="F3322">
        <v>224</v>
      </c>
      <c r="G3322">
        <v>94797</v>
      </c>
      <c r="H3322">
        <v>21234528</v>
      </c>
      <c r="I3322" t="s">
        <v>254</v>
      </c>
      <c r="J3322" t="s">
        <v>254</v>
      </c>
      <c r="K3322">
        <v>224</v>
      </c>
      <c r="L3322">
        <v>0</v>
      </c>
      <c r="M3322" t="s">
        <v>115</v>
      </c>
      <c r="N3322" t="str">
        <f t="shared" si="306"/>
        <v>PO-103321</v>
      </c>
      <c r="O3322" t="str">
        <f t="shared" si="307"/>
        <v>Delivered</v>
      </c>
      <c r="P3322" t="str">
        <f t="shared" si="308"/>
        <v>WH-BLR</v>
      </c>
      <c r="Q3322" t="str">
        <f>VLOOKUP(C3322, Lookups!$A$2:$D$10, 2, FALSE())</f>
        <v>FastElectronics</v>
      </c>
      <c r="R3322" t="str">
        <f>_xlfn.XLOOKUP(D3322, Lookups!$A$12:$A$51, Lookups!$C$12:$C$51, "Unknown")</f>
        <v>Electronics</v>
      </c>
      <c r="S3322" t="str">
        <f>IF(ISBLANK(I3322), B3322+VLOOKUP(C3322, Lookups!$A$2:$D$10, 4, FALSE()), I3322)</f>
        <v>2025-11-10</v>
      </c>
      <c r="T3322">
        <f t="shared" si="309"/>
        <v>18</v>
      </c>
      <c r="U3322" t="str">
        <f t="shared" si="310"/>
        <v>On-Time</v>
      </c>
      <c r="V3322">
        <f t="shared" si="311"/>
        <v>0</v>
      </c>
    </row>
    <row r="3323" spans="1:22" x14ac:dyDescent="0.45">
      <c r="A3323" t="s">
        <v>4181</v>
      </c>
      <c r="B3323" t="s">
        <v>1221</v>
      </c>
      <c r="C3323" t="s">
        <v>37</v>
      </c>
      <c r="D3323" t="s">
        <v>69</v>
      </c>
      <c r="E3323" t="s">
        <v>16</v>
      </c>
      <c r="F3323">
        <v>95</v>
      </c>
      <c r="G3323">
        <v>13231</v>
      </c>
      <c r="H3323">
        <v>1256945</v>
      </c>
      <c r="I3323" t="s">
        <v>723</v>
      </c>
      <c r="J3323" t="s">
        <v>1459</v>
      </c>
      <c r="K3323">
        <v>95</v>
      </c>
      <c r="L3323">
        <v>0</v>
      </c>
      <c r="M3323" t="s">
        <v>115</v>
      </c>
      <c r="N3323" t="str">
        <f t="shared" si="306"/>
        <v>PO-103322</v>
      </c>
      <c r="O3323" t="str">
        <f t="shared" si="307"/>
        <v>Delivered</v>
      </c>
      <c r="P3323" t="str">
        <f t="shared" si="308"/>
        <v>WH-DEL</v>
      </c>
      <c r="Q3323" t="str">
        <f>VLOOKUP(C3323, Lookups!$A$2:$D$10, 2, FALSE())</f>
        <v>Premium Desks Ltd</v>
      </c>
      <c r="R3323" t="str">
        <f>_xlfn.XLOOKUP(D3323, Lookups!$A$12:$A$51, Lookups!$C$12:$C$51, "Unknown")</f>
        <v>Office Furniture</v>
      </c>
      <c r="S3323" t="str">
        <f>IF(ISBLANK(I3323), B3323+VLOOKUP(C3323, Lookups!$A$2:$D$10, 4, FALSE()), I3323)</f>
        <v>2026-05-04</v>
      </c>
      <c r="T3323">
        <f t="shared" si="309"/>
        <v>26</v>
      </c>
      <c r="U3323" t="str">
        <f t="shared" si="310"/>
        <v>Late</v>
      </c>
      <c r="V3323">
        <f t="shared" si="311"/>
        <v>0</v>
      </c>
    </row>
    <row r="3324" spans="1:22" x14ac:dyDescent="0.45">
      <c r="A3324" t="s">
        <v>4182</v>
      </c>
      <c r="B3324" t="s">
        <v>705</v>
      </c>
      <c r="C3324" t="s">
        <v>31</v>
      </c>
      <c r="D3324" t="s">
        <v>64</v>
      </c>
      <c r="E3324" t="s">
        <v>16</v>
      </c>
      <c r="F3324">
        <v>136</v>
      </c>
      <c r="G3324">
        <v>36295</v>
      </c>
      <c r="H3324">
        <v>4936120</v>
      </c>
      <c r="I3324" t="s">
        <v>619</v>
      </c>
      <c r="J3324" t="s">
        <v>619</v>
      </c>
      <c r="K3324">
        <v>136</v>
      </c>
      <c r="L3324">
        <v>0</v>
      </c>
      <c r="M3324" t="s">
        <v>115</v>
      </c>
      <c r="N3324" t="str">
        <f t="shared" si="306"/>
        <v>PO-103323</v>
      </c>
      <c r="O3324" t="str">
        <f t="shared" si="307"/>
        <v>Delivered</v>
      </c>
      <c r="P3324" t="str">
        <f t="shared" si="308"/>
        <v>WH-DEL</v>
      </c>
      <c r="Q3324" t="str">
        <f>VLOOKUP(C3324, Lookups!$A$2:$D$10, 2, FALSE())</f>
        <v>Global Networks</v>
      </c>
      <c r="R3324" t="str">
        <f>_xlfn.XLOOKUP(D3324, Lookups!$A$12:$A$51, Lookups!$C$12:$C$51, "Unknown")</f>
        <v>Networking</v>
      </c>
      <c r="S3324" t="str">
        <f>IF(ISBLANK(I3324), B3324+VLOOKUP(C3324, Lookups!$A$2:$D$10, 4, FALSE()), I3324)</f>
        <v>2026-03-19</v>
      </c>
      <c r="T3324">
        <f t="shared" si="309"/>
        <v>21</v>
      </c>
      <c r="U3324" t="str">
        <f t="shared" si="310"/>
        <v>On-Time</v>
      </c>
      <c r="V3324">
        <f t="shared" si="311"/>
        <v>0</v>
      </c>
    </row>
    <row r="3325" spans="1:22" x14ac:dyDescent="0.45">
      <c r="A3325" t="s">
        <v>4183</v>
      </c>
      <c r="B3325" t="s">
        <v>980</v>
      </c>
      <c r="C3325" t="s">
        <v>34</v>
      </c>
      <c r="D3325" t="s">
        <v>54</v>
      </c>
      <c r="E3325" t="s">
        <v>16</v>
      </c>
      <c r="F3325">
        <v>144</v>
      </c>
      <c r="G3325">
        <v>22314</v>
      </c>
      <c r="H3325">
        <v>3213216</v>
      </c>
      <c r="I3325" t="s">
        <v>736</v>
      </c>
      <c r="J3325" t="s">
        <v>736</v>
      </c>
      <c r="K3325">
        <v>144</v>
      </c>
      <c r="L3325">
        <v>21</v>
      </c>
      <c r="M3325" t="s">
        <v>115</v>
      </c>
      <c r="N3325" t="str">
        <f t="shared" si="306"/>
        <v>PO-103324</v>
      </c>
      <c r="O3325" t="str">
        <f t="shared" si="307"/>
        <v>Delivered</v>
      </c>
      <c r="P3325" t="str">
        <f t="shared" si="308"/>
        <v>WH-DEL</v>
      </c>
      <c r="Q3325" t="str">
        <f>VLOOKUP(C3325, Lookups!$A$2:$D$10, 2, FALSE())</f>
        <v>FastElectronics</v>
      </c>
      <c r="R3325" t="str">
        <f>_xlfn.XLOOKUP(D3325, Lookups!$A$12:$A$51, Lookups!$C$12:$C$51, "Unknown")</f>
        <v>Networking</v>
      </c>
      <c r="S3325" t="str">
        <f>IF(ISBLANK(I3325), B3325+VLOOKUP(C3325, Lookups!$A$2:$D$10, 4, FALSE()), I3325)</f>
        <v>2026-10-30</v>
      </c>
      <c r="T3325">
        <f t="shared" si="309"/>
        <v>18</v>
      </c>
      <c r="U3325" t="str">
        <f t="shared" si="310"/>
        <v>On-Time</v>
      </c>
      <c r="V3325">
        <f t="shared" si="311"/>
        <v>0.14583333333333334</v>
      </c>
    </row>
    <row r="3326" spans="1:22" x14ac:dyDescent="0.45">
      <c r="A3326" t="s">
        <v>4184</v>
      </c>
      <c r="B3326" t="s">
        <v>957</v>
      </c>
      <c r="C3326" t="s">
        <v>34</v>
      </c>
      <c r="D3326" t="s">
        <v>76</v>
      </c>
      <c r="E3326" t="s">
        <v>16</v>
      </c>
      <c r="F3326">
        <v>222</v>
      </c>
      <c r="G3326">
        <v>26270</v>
      </c>
      <c r="H3326">
        <v>5831940</v>
      </c>
      <c r="I3326" t="s">
        <v>1661</v>
      </c>
      <c r="J3326" t="s">
        <v>1661</v>
      </c>
      <c r="K3326">
        <v>222</v>
      </c>
      <c r="L3326">
        <v>0</v>
      </c>
      <c r="M3326" t="s">
        <v>115</v>
      </c>
      <c r="N3326" t="str">
        <f t="shared" si="306"/>
        <v>PO-103325</v>
      </c>
      <c r="O3326" t="str">
        <f t="shared" si="307"/>
        <v>Delivered</v>
      </c>
      <c r="P3326" t="str">
        <f t="shared" si="308"/>
        <v>WH-DEL</v>
      </c>
      <c r="Q3326" t="str">
        <f>VLOOKUP(C3326, Lookups!$A$2:$D$10, 2, FALSE())</f>
        <v>FastElectronics</v>
      </c>
      <c r="R3326" t="str">
        <f>_xlfn.XLOOKUP(D3326, Lookups!$A$12:$A$51, Lookups!$C$12:$C$51, "Unknown")</f>
        <v>Networking</v>
      </c>
      <c r="S3326" t="str">
        <f>IF(ISBLANK(I3326), B3326+VLOOKUP(C3326, Lookups!$A$2:$D$10, 4, FALSE()), I3326)</f>
        <v>2026-05-30</v>
      </c>
      <c r="T3326">
        <f t="shared" si="309"/>
        <v>18</v>
      </c>
      <c r="U3326" t="str">
        <f t="shared" si="310"/>
        <v>On-Time</v>
      </c>
      <c r="V3326">
        <f t="shared" si="311"/>
        <v>0</v>
      </c>
    </row>
    <row r="3327" spans="1:22" x14ac:dyDescent="0.45">
      <c r="A3327" t="s">
        <v>4185</v>
      </c>
      <c r="B3327" t="s">
        <v>120</v>
      </c>
      <c r="C3327" t="s">
        <v>36</v>
      </c>
      <c r="D3327" t="s">
        <v>63</v>
      </c>
      <c r="E3327" t="s">
        <v>18</v>
      </c>
      <c r="F3327">
        <v>63</v>
      </c>
      <c r="G3327">
        <v>71062</v>
      </c>
      <c r="H3327">
        <v>4476906</v>
      </c>
      <c r="I3327" t="s">
        <v>763</v>
      </c>
      <c r="J3327" t="s">
        <v>489</v>
      </c>
      <c r="K3327">
        <v>63</v>
      </c>
      <c r="L3327">
        <v>7</v>
      </c>
      <c r="M3327" t="s">
        <v>115</v>
      </c>
      <c r="N3327" t="str">
        <f t="shared" si="306"/>
        <v>PO-103326</v>
      </c>
      <c r="O3327" t="str">
        <f t="shared" si="307"/>
        <v>Delivered</v>
      </c>
      <c r="P3327" t="str">
        <f t="shared" si="308"/>
        <v>WH-PUN</v>
      </c>
      <c r="Q3327" t="str">
        <f>VLOOKUP(C3327, Lookups!$A$2:$D$10, 2, FALSE())</f>
        <v>NextGen Hardware</v>
      </c>
      <c r="R3327" t="str">
        <f>_xlfn.XLOOKUP(D3327, Lookups!$A$12:$A$51, Lookups!$C$12:$C$51, "Unknown")</f>
        <v>Electronics</v>
      </c>
      <c r="S3327" t="str">
        <f>IF(ISBLANK(I3327), B3327+VLOOKUP(C3327, Lookups!$A$2:$D$10, 4, FALSE()), I3327)</f>
        <v>2025-01-27</v>
      </c>
      <c r="T3327">
        <f t="shared" si="309"/>
        <v>25</v>
      </c>
      <c r="U3327" t="str">
        <f t="shared" si="310"/>
        <v>Late</v>
      </c>
      <c r="V3327">
        <f t="shared" si="311"/>
        <v>0.1111111111111111</v>
      </c>
    </row>
    <row r="3328" spans="1:22" x14ac:dyDescent="0.45">
      <c r="A3328" t="s">
        <v>4186</v>
      </c>
      <c r="B3328" t="s">
        <v>1198</v>
      </c>
      <c r="C3328" t="s">
        <v>36</v>
      </c>
      <c r="D3328" t="s">
        <v>63</v>
      </c>
      <c r="E3328" t="s">
        <v>18</v>
      </c>
      <c r="F3328">
        <v>19</v>
      </c>
      <c r="G3328">
        <v>71062</v>
      </c>
      <c r="H3328">
        <v>1350178</v>
      </c>
      <c r="I3328" t="s">
        <v>922</v>
      </c>
      <c r="J3328" t="s">
        <v>903</v>
      </c>
      <c r="K3328">
        <v>19</v>
      </c>
      <c r="L3328">
        <v>0</v>
      </c>
      <c r="M3328" t="s">
        <v>115</v>
      </c>
      <c r="N3328" t="str">
        <f t="shared" si="306"/>
        <v>PO-103327</v>
      </c>
      <c r="O3328" t="str">
        <f t="shared" si="307"/>
        <v>Delivered</v>
      </c>
      <c r="P3328" t="str">
        <f t="shared" si="308"/>
        <v>WH-PUN</v>
      </c>
      <c r="Q3328" t="str">
        <f>VLOOKUP(C3328, Lookups!$A$2:$D$10, 2, FALSE())</f>
        <v>NextGen Hardware</v>
      </c>
      <c r="R3328" t="str">
        <f>_xlfn.XLOOKUP(D3328, Lookups!$A$12:$A$51, Lookups!$C$12:$C$51, "Unknown")</f>
        <v>Electronics</v>
      </c>
      <c r="S3328" t="str">
        <f>IF(ISBLANK(I3328), B3328+VLOOKUP(C3328, Lookups!$A$2:$D$10, 4, FALSE()), I3328)</f>
        <v>2026-11-09</v>
      </c>
      <c r="T3328">
        <f t="shared" si="309"/>
        <v>25</v>
      </c>
      <c r="U3328" t="str">
        <f t="shared" si="310"/>
        <v>Late</v>
      </c>
      <c r="V3328">
        <f t="shared" si="311"/>
        <v>0</v>
      </c>
    </row>
    <row r="3329" spans="1:22" x14ac:dyDescent="0.45">
      <c r="A3329" t="s">
        <v>4187</v>
      </c>
      <c r="B3329" t="s">
        <v>1142</v>
      </c>
      <c r="C3329" t="s">
        <v>37</v>
      </c>
      <c r="D3329" t="s">
        <v>69</v>
      </c>
      <c r="E3329" t="s">
        <v>16</v>
      </c>
      <c r="F3329">
        <v>99</v>
      </c>
      <c r="G3329">
        <v>13231</v>
      </c>
      <c r="H3329">
        <v>1309869</v>
      </c>
      <c r="I3329" t="s">
        <v>268</v>
      </c>
      <c r="J3329" t="s">
        <v>268</v>
      </c>
      <c r="K3329">
        <v>99</v>
      </c>
      <c r="L3329">
        <v>0</v>
      </c>
      <c r="M3329" t="s">
        <v>115</v>
      </c>
      <c r="N3329" t="str">
        <f t="shared" si="306"/>
        <v>PO-103328</v>
      </c>
      <c r="O3329" t="str">
        <f t="shared" si="307"/>
        <v>Delivered</v>
      </c>
      <c r="P3329" t="str">
        <f t="shared" si="308"/>
        <v>WH-DEL</v>
      </c>
      <c r="Q3329" t="str">
        <f>VLOOKUP(C3329, Lookups!$A$2:$D$10, 2, FALSE())</f>
        <v>Premium Desks Ltd</v>
      </c>
      <c r="R3329" t="str">
        <f>_xlfn.XLOOKUP(D3329, Lookups!$A$12:$A$51, Lookups!$C$12:$C$51, "Unknown")</f>
        <v>Office Furniture</v>
      </c>
      <c r="S3329" t="str">
        <f>IF(ISBLANK(I3329), B3329+VLOOKUP(C3329, Lookups!$A$2:$D$10, 4, FALSE()), I3329)</f>
        <v>2025-04-13</v>
      </c>
      <c r="T3329">
        <f t="shared" si="309"/>
        <v>12</v>
      </c>
      <c r="U3329" t="str">
        <f t="shared" si="310"/>
        <v>On-Time</v>
      </c>
      <c r="V3329">
        <f t="shared" si="311"/>
        <v>0</v>
      </c>
    </row>
    <row r="3330" spans="1:22" x14ac:dyDescent="0.45">
      <c r="A3330" t="s">
        <v>4188</v>
      </c>
      <c r="B3330" t="s">
        <v>954</v>
      </c>
      <c r="C3330" t="s">
        <v>34</v>
      </c>
      <c r="D3330" t="s">
        <v>76</v>
      </c>
      <c r="E3330" t="s">
        <v>17</v>
      </c>
      <c r="F3330">
        <v>21</v>
      </c>
      <c r="G3330">
        <v>26270</v>
      </c>
      <c r="H3330">
        <v>551670</v>
      </c>
      <c r="I3330" t="s">
        <v>877</v>
      </c>
      <c r="J3330" t="s">
        <v>1102</v>
      </c>
      <c r="K3330">
        <v>21</v>
      </c>
      <c r="L3330">
        <v>0</v>
      </c>
      <c r="M3330" t="s">
        <v>115</v>
      </c>
      <c r="N3330" t="str">
        <f t="shared" ref="N3330:N3393" si="312">TRIM(A3330)</f>
        <v>PO-103329</v>
      </c>
      <c r="O3330" t="str">
        <f t="shared" ref="O3330:O3393" si="313">PROPER(TRIM(M3330))</f>
        <v>Delivered</v>
      </c>
      <c r="P3330" t="str">
        <f t="shared" ref="P3330:P3393" si="314">TRIM(E3330)</f>
        <v>WH-BLR</v>
      </c>
      <c r="Q3330" t="str">
        <f>VLOOKUP(C3330, Lookups!$A$2:$D$10, 2, FALSE())</f>
        <v>FastElectronics</v>
      </c>
      <c r="R3330" t="str">
        <f>_xlfn.XLOOKUP(D3330, Lookups!$A$12:$A$51, Lookups!$C$12:$C$51, "Unknown")</f>
        <v>Networking</v>
      </c>
      <c r="S3330" t="str">
        <f>IF(ISBLANK(I3330), B3330+VLOOKUP(C3330, Lookups!$A$2:$D$10, 4, FALSE()), I3330)</f>
        <v>2026-12-04</v>
      </c>
      <c r="T3330">
        <f t="shared" ref="T3330:T3393" si="315">IF(ISBLANK(J3330), "", J3330-B3330)</f>
        <v>19</v>
      </c>
      <c r="U3330" t="str">
        <f t="shared" ref="U3330:U3393" si="316">IF(O3330="Open", "Open", IF(J3330&gt;S3330, "Late", "On-Time"))</f>
        <v>Late</v>
      </c>
      <c r="V3330">
        <f t="shared" ref="V3330:V3393" si="317">IF(K3330&gt;0, L3330/K3330, 0)</f>
        <v>0</v>
      </c>
    </row>
    <row r="3331" spans="1:22" x14ac:dyDescent="0.45">
      <c r="A3331" t="s">
        <v>4189</v>
      </c>
      <c r="B3331" t="s">
        <v>284</v>
      </c>
      <c r="C3331" t="s">
        <v>30</v>
      </c>
      <c r="D3331" t="s">
        <v>61</v>
      </c>
      <c r="E3331" t="s">
        <v>16</v>
      </c>
      <c r="F3331">
        <v>95</v>
      </c>
      <c r="G3331">
        <v>111237</v>
      </c>
      <c r="H3331">
        <v>10567515</v>
      </c>
      <c r="I3331" t="s">
        <v>926</v>
      </c>
      <c r="J3331" t="s">
        <v>566</v>
      </c>
      <c r="K3331">
        <v>95</v>
      </c>
      <c r="L3331">
        <v>0</v>
      </c>
      <c r="M3331" t="s">
        <v>115</v>
      </c>
      <c r="N3331" t="str">
        <f t="shared" si="312"/>
        <v>PO-103330</v>
      </c>
      <c r="O3331" t="str">
        <f t="shared" si="313"/>
        <v>Delivered</v>
      </c>
      <c r="P3331" t="str">
        <f t="shared" si="314"/>
        <v>WH-DEL</v>
      </c>
      <c r="Q3331" t="str">
        <f>VLOOKUP(C3331, Lookups!$A$2:$D$10, 2, FALSE())</f>
        <v>TechSupply Corp</v>
      </c>
      <c r="R3331" t="str">
        <f>_xlfn.XLOOKUP(D3331, Lookups!$A$12:$A$51, Lookups!$C$12:$C$51, "Unknown")</f>
        <v>Electronics</v>
      </c>
      <c r="S3331" t="str">
        <f>IF(ISBLANK(I3331), B3331+VLOOKUP(C3331, Lookups!$A$2:$D$10, 4, FALSE()), I3331)</f>
        <v>2025-03-08</v>
      </c>
      <c r="T3331">
        <f t="shared" si="315"/>
        <v>15</v>
      </c>
      <c r="U3331" t="str">
        <f t="shared" si="316"/>
        <v>Late</v>
      </c>
      <c r="V3331">
        <f t="shared" si="317"/>
        <v>0</v>
      </c>
    </row>
    <row r="3332" spans="1:22" x14ac:dyDescent="0.45">
      <c r="A3332" t="s">
        <v>4190</v>
      </c>
      <c r="B3332" t="s">
        <v>258</v>
      </c>
      <c r="C3332" t="s">
        <v>35</v>
      </c>
      <c r="D3332" t="s">
        <v>72</v>
      </c>
      <c r="E3332" t="s">
        <v>17</v>
      </c>
      <c r="F3332">
        <v>215</v>
      </c>
      <c r="G3332">
        <v>7754</v>
      </c>
      <c r="H3332">
        <v>1667110</v>
      </c>
      <c r="I3332" t="s">
        <v>379</v>
      </c>
      <c r="J3332" t="s">
        <v>379</v>
      </c>
      <c r="K3332">
        <v>158</v>
      </c>
      <c r="L3332">
        <v>0</v>
      </c>
      <c r="M3332" t="s">
        <v>115</v>
      </c>
      <c r="N3332" t="str">
        <f t="shared" si="312"/>
        <v>PO-103331</v>
      </c>
      <c r="O3332" t="str">
        <f t="shared" si="313"/>
        <v>Delivered</v>
      </c>
      <c r="P3332" t="str">
        <f t="shared" si="314"/>
        <v>WH-BLR</v>
      </c>
      <c r="Q3332" t="str">
        <f>VLOOKUP(C3332, Lookups!$A$2:$D$10, 2, FALSE())</f>
        <v>Peripheral Source</v>
      </c>
      <c r="R3332" t="str">
        <f>_xlfn.XLOOKUP(D3332, Lookups!$A$12:$A$51, Lookups!$C$12:$C$51, "Unknown")</f>
        <v>Peripherals</v>
      </c>
      <c r="S3332" t="str">
        <f>IF(ISBLANK(I3332), B3332+VLOOKUP(C3332, Lookups!$A$2:$D$10, 4, FALSE()), I3332)</f>
        <v>2025-02-16</v>
      </c>
      <c r="T3332">
        <f t="shared" si="315"/>
        <v>10</v>
      </c>
      <c r="U3332" t="str">
        <f t="shared" si="316"/>
        <v>On-Time</v>
      </c>
      <c r="V3332">
        <f t="shared" si="317"/>
        <v>0</v>
      </c>
    </row>
    <row r="3333" spans="1:22" x14ac:dyDescent="0.45">
      <c r="A3333" t="s">
        <v>4191</v>
      </c>
      <c r="B3333" t="s">
        <v>1190</v>
      </c>
      <c r="C3333" t="s">
        <v>31</v>
      </c>
      <c r="D3333" t="s">
        <v>66</v>
      </c>
      <c r="E3333" t="s">
        <v>15</v>
      </c>
      <c r="F3333">
        <v>11</v>
      </c>
      <c r="G3333">
        <v>29719</v>
      </c>
      <c r="H3333">
        <v>326909</v>
      </c>
      <c r="I3333" t="s">
        <v>168</v>
      </c>
      <c r="J3333" t="s">
        <v>168</v>
      </c>
      <c r="K3333">
        <v>11</v>
      </c>
      <c r="L3333">
        <v>0</v>
      </c>
      <c r="M3333" t="s">
        <v>115</v>
      </c>
      <c r="N3333" t="str">
        <f t="shared" si="312"/>
        <v>PO-103332</v>
      </c>
      <c r="O3333" t="str">
        <f t="shared" si="313"/>
        <v>Delivered</v>
      </c>
      <c r="P3333" t="str">
        <f t="shared" si="314"/>
        <v>WH-BOM</v>
      </c>
      <c r="Q3333" t="str">
        <f>VLOOKUP(C3333, Lookups!$A$2:$D$10, 2, FALSE())</f>
        <v>Global Networks</v>
      </c>
      <c r="R3333" t="str">
        <f>_xlfn.XLOOKUP(D3333, Lookups!$A$12:$A$51, Lookups!$C$12:$C$51, "Unknown")</f>
        <v>Networking</v>
      </c>
      <c r="S3333" t="str">
        <f>IF(ISBLANK(I3333), B3333+VLOOKUP(C3333, Lookups!$A$2:$D$10, 4, FALSE()), I3333)</f>
        <v>2025-05-20</v>
      </c>
      <c r="T3333">
        <f t="shared" si="315"/>
        <v>21</v>
      </c>
      <c r="U3333" t="str">
        <f t="shared" si="316"/>
        <v>On-Time</v>
      </c>
      <c r="V3333">
        <f t="shared" si="317"/>
        <v>0</v>
      </c>
    </row>
    <row r="3334" spans="1:22" x14ac:dyDescent="0.45">
      <c r="A3334" t="s">
        <v>4192</v>
      </c>
      <c r="B3334" t="s">
        <v>1288</v>
      </c>
      <c r="C3334" t="s">
        <v>31</v>
      </c>
      <c r="D3334" t="s">
        <v>64</v>
      </c>
      <c r="E3334" t="s">
        <v>17</v>
      </c>
      <c r="F3334">
        <v>23</v>
      </c>
      <c r="G3334">
        <v>36295</v>
      </c>
      <c r="H3334">
        <v>834785</v>
      </c>
      <c r="I3334" t="s">
        <v>715</v>
      </c>
      <c r="J3334" t="s">
        <v>715</v>
      </c>
      <c r="K3334">
        <v>23</v>
      </c>
      <c r="L3334">
        <v>0</v>
      </c>
      <c r="M3334" t="s">
        <v>115</v>
      </c>
      <c r="N3334" t="str">
        <f t="shared" si="312"/>
        <v>PO-103333</v>
      </c>
      <c r="O3334" t="str">
        <f t="shared" si="313"/>
        <v>Delivered</v>
      </c>
      <c r="P3334" t="str">
        <f t="shared" si="314"/>
        <v>WH-BLR</v>
      </c>
      <c r="Q3334" t="str">
        <f>VLOOKUP(C3334, Lookups!$A$2:$D$10, 2, FALSE())</f>
        <v>Global Networks</v>
      </c>
      <c r="R3334" t="str">
        <f>_xlfn.XLOOKUP(D3334, Lookups!$A$12:$A$51, Lookups!$C$12:$C$51, "Unknown")</f>
        <v>Networking</v>
      </c>
      <c r="S3334" t="str">
        <f>IF(ISBLANK(I3334), B3334+VLOOKUP(C3334, Lookups!$A$2:$D$10, 4, FALSE()), I3334)</f>
        <v>2025-07-10</v>
      </c>
      <c r="T3334">
        <f t="shared" si="315"/>
        <v>21</v>
      </c>
      <c r="U3334" t="str">
        <f t="shared" si="316"/>
        <v>On-Time</v>
      </c>
      <c r="V3334">
        <f t="shared" si="317"/>
        <v>0</v>
      </c>
    </row>
    <row r="3335" spans="1:22" x14ac:dyDescent="0.45">
      <c r="A3335" t="s">
        <v>4193</v>
      </c>
      <c r="B3335" t="s">
        <v>1368</v>
      </c>
      <c r="C3335" t="s">
        <v>31</v>
      </c>
      <c r="D3335" t="s">
        <v>66</v>
      </c>
      <c r="E3335" t="s">
        <v>16</v>
      </c>
      <c r="F3335">
        <v>95</v>
      </c>
      <c r="G3335">
        <v>29719</v>
      </c>
      <c r="H3335">
        <v>2823305</v>
      </c>
      <c r="I3335" t="s">
        <v>1170</v>
      </c>
      <c r="J3335" t="s">
        <v>877</v>
      </c>
      <c r="K3335">
        <v>95</v>
      </c>
      <c r="L3335">
        <v>0</v>
      </c>
      <c r="M3335" t="s">
        <v>115</v>
      </c>
      <c r="N3335" t="str">
        <f t="shared" si="312"/>
        <v>PO-103334</v>
      </c>
      <c r="O3335" t="str">
        <f t="shared" si="313"/>
        <v>Delivered</v>
      </c>
      <c r="P3335" t="str">
        <f t="shared" si="314"/>
        <v>WH-DEL</v>
      </c>
      <c r="Q3335" t="str">
        <f>VLOOKUP(C3335, Lookups!$A$2:$D$10, 2, FALSE())</f>
        <v>Global Networks</v>
      </c>
      <c r="R3335" t="str">
        <f>_xlfn.XLOOKUP(D3335, Lookups!$A$12:$A$51, Lookups!$C$12:$C$51, "Unknown")</f>
        <v>Networking</v>
      </c>
      <c r="S3335" t="str">
        <f>IF(ISBLANK(I3335), B3335+VLOOKUP(C3335, Lookups!$A$2:$D$10, 4, FALSE()), I3335)</f>
        <v>2026-12-03</v>
      </c>
      <c r="T3335">
        <f t="shared" si="315"/>
        <v>22</v>
      </c>
      <c r="U3335" t="str">
        <f t="shared" si="316"/>
        <v>Late</v>
      </c>
      <c r="V3335">
        <f t="shared" si="317"/>
        <v>0</v>
      </c>
    </row>
    <row r="3336" spans="1:22" x14ac:dyDescent="0.45">
      <c r="A3336" t="s">
        <v>4194</v>
      </c>
      <c r="B3336" t="s">
        <v>999</v>
      </c>
      <c r="C3336" t="s">
        <v>36</v>
      </c>
      <c r="D3336" t="s">
        <v>87</v>
      </c>
      <c r="E3336" t="s">
        <v>15</v>
      </c>
      <c r="F3336">
        <v>144</v>
      </c>
      <c r="G3336">
        <v>82930</v>
      </c>
      <c r="H3336">
        <v>11941920</v>
      </c>
      <c r="I3336" t="s">
        <v>1480</v>
      </c>
      <c r="J3336" t="s">
        <v>1337</v>
      </c>
      <c r="K3336">
        <v>144</v>
      </c>
      <c r="L3336">
        <v>0</v>
      </c>
      <c r="M3336" t="s">
        <v>115</v>
      </c>
      <c r="N3336" t="str">
        <f t="shared" si="312"/>
        <v>PO-103335</v>
      </c>
      <c r="O3336" t="str">
        <f t="shared" si="313"/>
        <v>Delivered</v>
      </c>
      <c r="P3336" t="str">
        <f t="shared" si="314"/>
        <v>WH-BOM</v>
      </c>
      <c r="Q3336" t="str">
        <f>VLOOKUP(C3336, Lookups!$A$2:$D$10, 2, FALSE())</f>
        <v>NextGen Hardware</v>
      </c>
      <c r="R3336" t="str">
        <f>_xlfn.XLOOKUP(D3336, Lookups!$A$12:$A$51, Lookups!$C$12:$C$51, "Unknown")</f>
        <v>Electronics</v>
      </c>
      <c r="S3336" t="str">
        <f>IF(ISBLANK(I3336), B3336+VLOOKUP(C3336, Lookups!$A$2:$D$10, 4, FALSE()), I3336)</f>
        <v>2026-09-21</v>
      </c>
      <c r="T3336">
        <f t="shared" si="315"/>
        <v>25</v>
      </c>
      <c r="U3336" t="str">
        <f t="shared" si="316"/>
        <v>Late</v>
      </c>
      <c r="V3336">
        <f t="shared" si="317"/>
        <v>0</v>
      </c>
    </row>
    <row r="3337" spans="1:22" x14ac:dyDescent="0.45">
      <c r="A3337" t="s">
        <v>4195</v>
      </c>
      <c r="B3337" t="s">
        <v>512</v>
      </c>
      <c r="C3337" t="s">
        <v>36</v>
      </c>
      <c r="D3337" t="s">
        <v>71</v>
      </c>
      <c r="E3337" t="s">
        <v>18</v>
      </c>
      <c r="F3337">
        <v>158</v>
      </c>
      <c r="G3337">
        <v>65379</v>
      </c>
      <c r="H3337">
        <v>10329882</v>
      </c>
      <c r="I3337" t="s">
        <v>559</v>
      </c>
      <c r="J3337" t="s">
        <v>559</v>
      </c>
      <c r="K3337">
        <v>158</v>
      </c>
      <c r="L3337">
        <v>0</v>
      </c>
      <c r="M3337" t="s">
        <v>115</v>
      </c>
      <c r="N3337" t="str">
        <f t="shared" si="312"/>
        <v>PO-103336</v>
      </c>
      <c r="O3337" t="str">
        <f t="shared" si="313"/>
        <v>Delivered</v>
      </c>
      <c r="P3337" t="str">
        <f t="shared" si="314"/>
        <v>WH-PUN</v>
      </c>
      <c r="Q3337" t="str">
        <f>VLOOKUP(C3337, Lookups!$A$2:$D$10, 2, FALSE())</f>
        <v>NextGen Hardware</v>
      </c>
      <c r="R3337" t="str">
        <f>_xlfn.XLOOKUP(D3337, Lookups!$A$12:$A$51, Lookups!$C$12:$C$51, "Unknown")</f>
        <v>Electronics</v>
      </c>
      <c r="S3337" t="str">
        <f>IF(ISBLANK(I3337), B3337+VLOOKUP(C3337, Lookups!$A$2:$D$10, 4, FALSE()), I3337)</f>
        <v>2026-04-19</v>
      </c>
      <c r="T3337">
        <f t="shared" si="315"/>
        <v>24</v>
      </c>
      <c r="U3337" t="str">
        <f t="shared" si="316"/>
        <v>On-Time</v>
      </c>
      <c r="V3337">
        <f t="shared" si="317"/>
        <v>0</v>
      </c>
    </row>
    <row r="3338" spans="1:22" x14ac:dyDescent="0.45">
      <c r="A3338" t="s">
        <v>4196</v>
      </c>
      <c r="B3338" t="s">
        <v>1463</v>
      </c>
      <c r="C3338" t="s">
        <v>35</v>
      </c>
      <c r="D3338" t="s">
        <v>65</v>
      </c>
      <c r="E3338" t="s">
        <v>16</v>
      </c>
      <c r="F3338">
        <v>242</v>
      </c>
      <c r="G3338">
        <v>4936</v>
      </c>
      <c r="H3338">
        <v>1194512</v>
      </c>
      <c r="I3338" t="s">
        <v>958</v>
      </c>
      <c r="J3338" t="s">
        <v>412</v>
      </c>
      <c r="K3338">
        <v>242</v>
      </c>
      <c r="L3338">
        <v>0</v>
      </c>
      <c r="M3338" t="s">
        <v>115</v>
      </c>
      <c r="N3338" t="str">
        <f t="shared" si="312"/>
        <v>PO-103337</v>
      </c>
      <c r="O3338" t="str">
        <f t="shared" si="313"/>
        <v>Delivered</v>
      </c>
      <c r="P3338" t="str">
        <f t="shared" si="314"/>
        <v>WH-DEL</v>
      </c>
      <c r="Q3338" t="str">
        <f>VLOOKUP(C3338, Lookups!$A$2:$D$10, 2, FALSE())</f>
        <v>Peripheral Source</v>
      </c>
      <c r="R3338" t="str">
        <f>_xlfn.XLOOKUP(D3338, Lookups!$A$12:$A$51, Lookups!$C$12:$C$51, "Unknown")</f>
        <v>Peripherals</v>
      </c>
      <c r="S3338" t="str">
        <f>IF(ISBLANK(I3338), B3338+VLOOKUP(C3338, Lookups!$A$2:$D$10, 4, FALSE()), I3338)</f>
        <v>2026-05-26</v>
      </c>
      <c r="T3338">
        <f t="shared" si="315"/>
        <v>11</v>
      </c>
      <c r="U3338" t="str">
        <f t="shared" si="316"/>
        <v>Late</v>
      </c>
      <c r="V3338">
        <f t="shared" si="317"/>
        <v>0</v>
      </c>
    </row>
    <row r="3339" spans="1:22" x14ac:dyDescent="0.45">
      <c r="A3339" t="s">
        <v>4197</v>
      </c>
      <c r="B3339" t="s">
        <v>1019</v>
      </c>
      <c r="C3339" t="s">
        <v>31</v>
      </c>
      <c r="D3339" t="s">
        <v>77</v>
      </c>
      <c r="E3339" t="s">
        <v>18</v>
      </c>
      <c r="F3339">
        <v>10</v>
      </c>
      <c r="G3339">
        <v>23667</v>
      </c>
      <c r="H3339">
        <v>236670</v>
      </c>
      <c r="I3339" t="s">
        <v>525</v>
      </c>
      <c r="J3339" t="s">
        <v>1281</v>
      </c>
      <c r="K3339">
        <v>7</v>
      </c>
      <c r="L3339">
        <v>0</v>
      </c>
      <c r="M3339" t="s">
        <v>115</v>
      </c>
      <c r="N3339" t="str">
        <f t="shared" si="312"/>
        <v>PO-103338</v>
      </c>
      <c r="O3339" t="str">
        <f t="shared" si="313"/>
        <v>Delivered</v>
      </c>
      <c r="P3339" t="str">
        <f t="shared" si="314"/>
        <v>WH-PUN</v>
      </c>
      <c r="Q3339" t="str">
        <f>VLOOKUP(C3339, Lookups!$A$2:$D$10, 2, FALSE())</f>
        <v>Global Networks</v>
      </c>
      <c r="R3339" t="str">
        <f>_xlfn.XLOOKUP(D3339, Lookups!$A$12:$A$51, Lookups!$C$12:$C$51, "Unknown")</f>
        <v>Networking</v>
      </c>
      <c r="S3339" t="str">
        <f>IF(ISBLANK(I3339), B3339+VLOOKUP(C3339, Lookups!$A$2:$D$10, 4, FALSE()), I3339)</f>
        <v>2025-05-30</v>
      </c>
      <c r="T3339">
        <f t="shared" si="315"/>
        <v>22</v>
      </c>
      <c r="U3339" t="str">
        <f t="shared" si="316"/>
        <v>Late</v>
      </c>
      <c r="V3339">
        <f t="shared" si="317"/>
        <v>0</v>
      </c>
    </row>
    <row r="3340" spans="1:22" x14ac:dyDescent="0.45">
      <c r="A3340" t="s">
        <v>4198</v>
      </c>
      <c r="B3340" t="s">
        <v>261</v>
      </c>
      <c r="C3340" t="s">
        <v>30</v>
      </c>
      <c r="D3340" t="s">
        <v>53</v>
      </c>
      <c r="E3340" t="s">
        <v>15</v>
      </c>
      <c r="F3340">
        <v>126</v>
      </c>
      <c r="G3340">
        <v>81048</v>
      </c>
      <c r="H3340">
        <v>10212048</v>
      </c>
      <c r="I3340" t="s">
        <v>501</v>
      </c>
      <c r="J3340" t="s">
        <v>501</v>
      </c>
      <c r="K3340">
        <v>126</v>
      </c>
      <c r="L3340">
        <v>0</v>
      </c>
      <c r="M3340" t="s">
        <v>115</v>
      </c>
      <c r="N3340" t="str">
        <f t="shared" si="312"/>
        <v>PO-103339</v>
      </c>
      <c r="O3340" t="str">
        <f t="shared" si="313"/>
        <v>Delivered</v>
      </c>
      <c r="P3340" t="str">
        <f t="shared" si="314"/>
        <v>WH-BOM</v>
      </c>
      <c r="Q3340" t="str">
        <f>VLOOKUP(C3340, Lookups!$A$2:$D$10, 2, FALSE())</f>
        <v>TechSupply Corp</v>
      </c>
      <c r="R3340" t="str">
        <f>_xlfn.XLOOKUP(D3340, Lookups!$A$12:$A$51, Lookups!$C$12:$C$51, "Unknown")</f>
        <v>Electronics</v>
      </c>
      <c r="S3340" t="str">
        <f>IF(ISBLANK(I3340), B3340+VLOOKUP(C3340, Lookups!$A$2:$D$10, 4, FALSE()), I3340)</f>
        <v>2026-01-29</v>
      </c>
      <c r="T3340">
        <f t="shared" si="315"/>
        <v>14</v>
      </c>
      <c r="U3340" t="str">
        <f t="shared" si="316"/>
        <v>On-Time</v>
      </c>
      <c r="V3340">
        <f t="shared" si="317"/>
        <v>0</v>
      </c>
    </row>
    <row r="3341" spans="1:22" x14ac:dyDescent="0.45">
      <c r="A3341" t="s">
        <v>4199</v>
      </c>
      <c r="B3341" t="s">
        <v>861</v>
      </c>
      <c r="C3341" t="s">
        <v>34</v>
      </c>
      <c r="D3341" t="s">
        <v>74</v>
      </c>
      <c r="E3341" t="s">
        <v>17</v>
      </c>
      <c r="F3341">
        <v>142</v>
      </c>
      <c r="G3341">
        <v>94797</v>
      </c>
      <c r="H3341">
        <v>13461174</v>
      </c>
      <c r="I3341" t="s">
        <v>1216</v>
      </c>
      <c r="J3341" t="s">
        <v>1216</v>
      </c>
      <c r="K3341">
        <v>142</v>
      </c>
      <c r="L3341">
        <v>0</v>
      </c>
      <c r="M3341" t="s">
        <v>115</v>
      </c>
      <c r="N3341" t="str">
        <f t="shared" si="312"/>
        <v>PO-103340</v>
      </c>
      <c r="O3341" t="str">
        <f t="shared" si="313"/>
        <v>Delivered</v>
      </c>
      <c r="P3341" t="str">
        <f t="shared" si="314"/>
        <v>WH-BLR</v>
      </c>
      <c r="Q3341" t="str">
        <f>VLOOKUP(C3341, Lookups!$A$2:$D$10, 2, FALSE())</f>
        <v>FastElectronics</v>
      </c>
      <c r="R3341" t="str">
        <f>_xlfn.XLOOKUP(D3341, Lookups!$A$12:$A$51, Lookups!$C$12:$C$51, "Unknown")</f>
        <v>Electronics</v>
      </c>
      <c r="S3341" t="str">
        <f>IF(ISBLANK(I3341), B3341+VLOOKUP(C3341, Lookups!$A$2:$D$10, 4, FALSE()), I3341)</f>
        <v>2026-02-24</v>
      </c>
      <c r="T3341">
        <f t="shared" si="315"/>
        <v>18</v>
      </c>
      <c r="U3341" t="str">
        <f t="shared" si="316"/>
        <v>On-Time</v>
      </c>
      <c r="V3341">
        <f t="shared" si="317"/>
        <v>0</v>
      </c>
    </row>
    <row r="3342" spans="1:22" x14ac:dyDescent="0.45">
      <c r="A3342" t="s">
        <v>4200</v>
      </c>
      <c r="B3342" t="s">
        <v>718</v>
      </c>
      <c r="C3342" t="s">
        <v>33</v>
      </c>
      <c r="D3342" t="s">
        <v>89</v>
      </c>
      <c r="E3342" t="s">
        <v>18</v>
      </c>
      <c r="F3342">
        <v>231</v>
      </c>
      <c r="G3342">
        <v>11309</v>
      </c>
      <c r="H3342">
        <v>2612379</v>
      </c>
      <c r="I3342" t="s">
        <v>1979</v>
      </c>
      <c r="J3342" t="s">
        <v>1979</v>
      </c>
      <c r="K3342">
        <v>231</v>
      </c>
      <c r="L3342">
        <v>0</v>
      </c>
      <c r="M3342" t="s">
        <v>115</v>
      </c>
      <c r="N3342" t="str">
        <f t="shared" si="312"/>
        <v>PO-103341</v>
      </c>
      <c r="O3342" t="str">
        <f t="shared" si="313"/>
        <v>Delivered</v>
      </c>
      <c r="P3342" t="str">
        <f t="shared" si="314"/>
        <v>WH-PUN</v>
      </c>
      <c r="Q3342" t="str">
        <f>VLOOKUP(C3342, Lookups!$A$2:$D$10, 2, FALSE())</f>
        <v>MegaFurnish</v>
      </c>
      <c r="R3342" t="str">
        <f>_xlfn.XLOOKUP(D3342, Lookups!$A$12:$A$51, Lookups!$C$12:$C$51, "Unknown")</f>
        <v>Office Furniture</v>
      </c>
      <c r="S3342" t="str">
        <f>IF(ISBLANK(I3342), B3342+VLOOKUP(C3342, Lookups!$A$2:$D$10, 4, FALSE()), I3342)</f>
        <v>2026-03-13</v>
      </c>
      <c r="T3342">
        <f t="shared" si="315"/>
        <v>30</v>
      </c>
      <c r="U3342" t="str">
        <f t="shared" si="316"/>
        <v>On-Time</v>
      </c>
      <c r="V3342">
        <f t="shared" si="317"/>
        <v>0</v>
      </c>
    </row>
    <row r="3343" spans="1:22" x14ac:dyDescent="0.45">
      <c r="A3343" t="s">
        <v>4201</v>
      </c>
      <c r="B3343" t="s">
        <v>792</v>
      </c>
      <c r="C3343" t="s">
        <v>34</v>
      </c>
      <c r="D3343" t="s">
        <v>54</v>
      </c>
      <c r="E3343" t="s">
        <v>17</v>
      </c>
      <c r="F3343">
        <v>71</v>
      </c>
      <c r="G3343">
        <v>22314</v>
      </c>
      <c r="H3343">
        <v>1584294</v>
      </c>
      <c r="I3343" t="s">
        <v>533</v>
      </c>
      <c r="J3343" t="s">
        <v>894</v>
      </c>
      <c r="K3343">
        <v>71</v>
      </c>
      <c r="L3343">
        <v>2</v>
      </c>
      <c r="M3343" t="s">
        <v>115</v>
      </c>
      <c r="N3343" t="str">
        <f t="shared" si="312"/>
        <v>PO-103342</v>
      </c>
      <c r="O3343" t="str">
        <f t="shared" si="313"/>
        <v>Delivered</v>
      </c>
      <c r="P3343" t="str">
        <f t="shared" si="314"/>
        <v>WH-BLR</v>
      </c>
      <c r="Q3343" t="str">
        <f>VLOOKUP(C3343, Lookups!$A$2:$D$10, 2, FALSE())</f>
        <v>FastElectronics</v>
      </c>
      <c r="R3343" t="str">
        <f>_xlfn.XLOOKUP(D3343, Lookups!$A$12:$A$51, Lookups!$C$12:$C$51, "Unknown")</f>
        <v>Networking</v>
      </c>
      <c r="S3343" t="str">
        <f>IF(ISBLANK(I3343), B3343+VLOOKUP(C3343, Lookups!$A$2:$D$10, 4, FALSE()), I3343)</f>
        <v>2025-07-24</v>
      </c>
      <c r="T3343">
        <f t="shared" si="315"/>
        <v>26</v>
      </c>
      <c r="U3343" t="str">
        <f t="shared" si="316"/>
        <v>Late</v>
      </c>
      <c r="V3343">
        <f t="shared" si="317"/>
        <v>2.8169014084507043E-2</v>
      </c>
    </row>
    <row r="3344" spans="1:22" x14ac:dyDescent="0.45">
      <c r="A3344" t="s">
        <v>4202</v>
      </c>
      <c r="B3344" t="s">
        <v>259</v>
      </c>
      <c r="C3344" t="s">
        <v>37</v>
      </c>
      <c r="D3344" t="s">
        <v>79</v>
      </c>
      <c r="E3344" t="s">
        <v>532</v>
      </c>
      <c r="F3344">
        <v>224</v>
      </c>
      <c r="G3344">
        <v>23054</v>
      </c>
      <c r="H3344">
        <v>5164096</v>
      </c>
      <c r="I3344" t="s">
        <v>925</v>
      </c>
      <c r="J3344" t="s">
        <v>925</v>
      </c>
      <c r="K3344">
        <v>224</v>
      </c>
      <c r="L3344">
        <v>0</v>
      </c>
      <c r="M3344" t="s">
        <v>115</v>
      </c>
      <c r="N3344" t="str">
        <f t="shared" si="312"/>
        <v>PO-103343</v>
      </c>
      <c r="O3344" t="str">
        <f t="shared" si="313"/>
        <v>Delivered</v>
      </c>
      <c r="P3344" t="str">
        <f t="shared" si="314"/>
        <v>WH-PUN</v>
      </c>
      <c r="Q3344" t="str">
        <f>VLOOKUP(C3344, Lookups!$A$2:$D$10, 2, FALSE())</f>
        <v>Premium Desks Ltd</v>
      </c>
      <c r="R3344" t="str">
        <f>_xlfn.XLOOKUP(D3344, Lookups!$A$12:$A$51, Lookups!$C$12:$C$51, "Unknown")</f>
        <v>Office Furniture</v>
      </c>
      <c r="S3344" t="str">
        <f>IF(ISBLANK(I3344), B3344+VLOOKUP(C3344, Lookups!$A$2:$D$10, 4, FALSE()), I3344)</f>
        <v>2025-02-20</v>
      </c>
      <c r="T3344">
        <f t="shared" si="315"/>
        <v>12</v>
      </c>
      <c r="U3344" t="str">
        <f t="shared" si="316"/>
        <v>On-Time</v>
      </c>
      <c r="V3344">
        <f t="shared" si="317"/>
        <v>0</v>
      </c>
    </row>
    <row r="3345" spans="1:22" x14ac:dyDescent="0.45">
      <c r="A3345" t="s">
        <v>4203</v>
      </c>
      <c r="B3345" t="s">
        <v>520</v>
      </c>
      <c r="C3345" t="s">
        <v>35</v>
      </c>
      <c r="D3345" t="s">
        <v>57</v>
      </c>
      <c r="E3345" t="s">
        <v>15</v>
      </c>
      <c r="F3345">
        <v>226</v>
      </c>
      <c r="G3345">
        <v>2212</v>
      </c>
      <c r="H3345">
        <v>499912</v>
      </c>
      <c r="I3345" t="s">
        <v>493</v>
      </c>
      <c r="J3345" t="s">
        <v>493</v>
      </c>
      <c r="K3345">
        <v>226</v>
      </c>
      <c r="L3345">
        <v>0</v>
      </c>
      <c r="M3345" t="s">
        <v>115</v>
      </c>
      <c r="N3345" t="str">
        <f t="shared" si="312"/>
        <v>PO-103344</v>
      </c>
      <c r="O3345" t="str">
        <f t="shared" si="313"/>
        <v>Delivered</v>
      </c>
      <c r="P3345" t="str">
        <f t="shared" si="314"/>
        <v>WH-BOM</v>
      </c>
      <c r="Q3345" t="str">
        <f>VLOOKUP(C3345, Lookups!$A$2:$D$10, 2, FALSE())</f>
        <v>Peripheral Source</v>
      </c>
      <c r="R3345" t="str">
        <f>_xlfn.XLOOKUP(D3345, Lookups!$A$12:$A$51, Lookups!$C$12:$C$51, "Unknown")</f>
        <v>Peripherals</v>
      </c>
      <c r="S3345" t="str">
        <f>IF(ISBLANK(I3345), B3345+VLOOKUP(C3345, Lookups!$A$2:$D$10, 4, FALSE()), I3345)</f>
        <v>2026-09-08</v>
      </c>
      <c r="T3345">
        <f t="shared" si="315"/>
        <v>10</v>
      </c>
      <c r="U3345" t="str">
        <f t="shared" si="316"/>
        <v>On-Time</v>
      </c>
      <c r="V3345">
        <f t="shared" si="317"/>
        <v>0</v>
      </c>
    </row>
    <row r="3346" spans="1:22" x14ac:dyDescent="0.45">
      <c r="A3346" t="s">
        <v>4204</v>
      </c>
      <c r="B3346" t="s">
        <v>169</v>
      </c>
      <c r="C3346" t="s">
        <v>36</v>
      </c>
      <c r="D3346" t="s">
        <v>87</v>
      </c>
      <c r="E3346" t="s">
        <v>18</v>
      </c>
      <c r="F3346">
        <v>37</v>
      </c>
      <c r="G3346">
        <v>82930</v>
      </c>
      <c r="H3346">
        <v>3068410</v>
      </c>
      <c r="I3346" t="s">
        <v>1187</v>
      </c>
      <c r="J3346" t="s">
        <v>242</v>
      </c>
      <c r="K3346">
        <v>37</v>
      </c>
      <c r="L3346">
        <v>0</v>
      </c>
      <c r="M3346" t="s">
        <v>115</v>
      </c>
      <c r="N3346" t="str">
        <f t="shared" si="312"/>
        <v>PO-103345</v>
      </c>
      <c r="O3346" t="str">
        <f t="shared" si="313"/>
        <v>Delivered</v>
      </c>
      <c r="P3346" t="str">
        <f t="shared" si="314"/>
        <v>WH-PUN</v>
      </c>
      <c r="Q3346" t="str">
        <f>VLOOKUP(C3346, Lookups!$A$2:$D$10, 2, FALSE())</f>
        <v>NextGen Hardware</v>
      </c>
      <c r="R3346" t="str">
        <f>_xlfn.XLOOKUP(D3346, Lookups!$A$12:$A$51, Lookups!$C$12:$C$51, "Unknown")</f>
        <v>Electronics</v>
      </c>
      <c r="S3346" t="str">
        <f>IF(ISBLANK(I3346), B3346+VLOOKUP(C3346, Lookups!$A$2:$D$10, 4, FALSE()), I3346)</f>
        <v>2025-07-01</v>
      </c>
      <c r="T3346">
        <f t="shared" si="315"/>
        <v>28</v>
      </c>
      <c r="U3346" t="str">
        <f t="shared" si="316"/>
        <v>Late</v>
      </c>
      <c r="V3346">
        <f t="shared" si="317"/>
        <v>0</v>
      </c>
    </row>
    <row r="3347" spans="1:22" x14ac:dyDescent="0.45">
      <c r="A3347" t="s">
        <v>4205</v>
      </c>
      <c r="B3347" t="s">
        <v>811</v>
      </c>
      <c r="C3347" t="s">
        <v>30</v>
      </c>
      <c r="D3347" t="s">
        <v>59</v>
      </c>
      <c r="E3347" t="s">
        <v>17</v>
      </c>
      <c r="F3347">
        <v>10</v>
      </c>
      <c r="G3347">
        <v>48905</v>
      </c>
      <c r="H3347">
        <v>489050</v>
      </c>
      <c r="I3347" t="s">
        <v>383</v>
      </c>
      <c r="J3347" t="s">
        <v>383</v>
      </c>
      <c r="K3347">
        <v>10</v>
      </c>
      <c r="L3347">
        <v>0</v>
      </c>
      <c r="M3347" t="s">
        <v>115</v>
      </c>
      <c r="N3347" t="str">
        <f t="shared" si="312"/>
        <v>PO-103346</v>
      </c>
      <c r="O3347" t="str">
        <f t="shared" si="313"/>
        <v>Delivered</v>
      </c>
      <c r="P3347" t="str">
        <f t="shared" si="314"/>
        <v>WH-BLR</v>
      </c>
      <c r="Q3347" t="str">
        <f>VLOOKUP(C3347, Lookups!$A$2:$D$10, 2, FALSE())</f>
        <v>TechSupply Corp</v>
      </c>
      <c r="R3347" t="str">
        <f>_xlfn.XLOOKUP(D3347, Lookups!$A$12:$A$51, Lookups!$C$12:$C$51, "Unknown")</f>
        <v>Electronics</v>
      </c>
      <c r="S3347" t="str">
        <f>IF(ISBLANK(I3347), B3347+VLOOKUP(C3347, Lookups!$A$2:$D$10, 4, FALSE()), I3347)</f>
        <v>2026-12-11</v>
      </c>
      <c r="T3347">
        <f t="shared" si="315"/>
        <v>14</v>
      </c>
      <c r="U3347" t="str">
        <f t="shared" si="316"/>
        <v>On-Time</v>
      </c>
      <c r="V3347">
        <f t="shared" si="317"/>
        <v>0</v>
      </c>
    </row>
    <row r="3348" spans="1:22" x14ac:dyDescent="0.45">
      <c r="A3348" t="s">
        <v>4206</v>
      </c>
      <c r="B3348" t="s">
        <v>525</v>
      </c>
      <c r="C3348" t="s">
        <v>34</v>
      </c>
      <c r="D3348" t="s">
        <v>68</v>
      </c>
      <c r="E3348" t="s">
        <v>16</v>
      </c>
      <c r="F3348">
        <v>53</v>
      </c>
      <c r="G3348">
        <v>41405</v>
      </c>
      <c r="H3348">
        <v>2194465</v>
      </c>
      <c r="I3348" t="s">
        <v>213</v>
      </c>
      <c r="J3348" t="s">
        <v>213</v>
      </c>
      <c r="K3348">
        <v>53</v>
      </c>
      <c r="L3348">
        <v>0</v>
      </c>
      <c r="M3348" t="s">
        <v>166</v>
      </c>
      <c r="N3348" t="str">
        <f t="shared" si="312"/>
        <v>PO-103347</v>
      </c>
      <c r="O3348" t="str">
        <f t="shared" si="313"/>
        <v>Delivered</v>
      </c>
      <c r="P3348" t="str">
        <f t="shared" si="314"/>
        <v>WH-DEL</v>
      </c>
      <c r="Q3348" t="str">
        <f>VLOOKUP(C3348, Lookups!$A$2:$D$10, 2, FALSE())</f>
        <v>FastElectronics</v>
      </c>
      <c r="R3348" t="str">
        <f>_xlfn.XLOOKUP(D3348, Lookups!$A$12:$A$51, Lookups!$C$12:$C$51, "Unknown")</f>
        <v>Networking</v>
      </c>
      <c r="S3348" t="str">
        <f>IF(ISBLANK(I3348), B3348+VLOOKUP(C3348, Lookups!$A$2:$D$10, 4, FALSE()), I3348)</f>
        <v>2025-06-17</v>
      </c>
      <c r="T3348">
        <f t="shared" si="315"/>
        <v>18</v>
      </c>
      <c r="U3348" t="str">
        <f t="shared" si="316"/>
        <v>On-Time</v>
      </c>
      <c r="V3348">
        <f t="shared" si="317"/>
        <v>0</v>
      </c>
    </row>
    <row r="3349" spans="1:22" x14ac:dyDescent="0.45">
      <c r="A3349" t="s">
        <v>4207</v>
      </c>
      <c r="B3349" t="s">
        <v>299</v>
      </c>
      <c r="C3349" t="s">
        <v>30</v>
      </c>
      <c r="D3349" t="s">
        <v>52</v>
      </c>
      <c r="E3349" t="s">
        <v>15</v>
      </c>
      <c r="F3349">
        <v>34</v>
      </c>
      <c r="G3349">
        <v>59592</v>
      </c>
      <c r="H3349">
        <v>2026128</v>
      </c>
      <c r="I3349" t="s">
        <v>595</v>
      </c>
      <c r="J3349" t="s">
        <v>1345</v>
      </c>
      <c r="K3349">
        <v>34</v>
      </c>
      <c r="L3349">
        <v>0</v>
      </c>
      <c r="M3349" t="s">
        <v>115</v>
      </c>
      <c r="N3349" t="str">
        <f t="shared" si="312"/>
        <v>PO-103348</v>
      </c>
      <c r="O3349" t="str">
        <f t="shared" si="313"/>
        <v>Delivered</v>
      </c>
      <c r="P3349" t="str">
        <f t="shared" si="314"/>
        <v>WH-BOM</v>
      </c>
      <c r="Q3349" t="str">
        <f>VLOOKUP(C3349, Lookups!$A$2:$D$10, 2, FALSE())</f>
        <v>TechSupply Corp</v>
      </c>
      <c r="R3349" t="str">
        <f>_xlfn.XLOOKUP(D3349, Lookups!$A$12:$A$51, Lookups!$C$12:$C$51, "Unknown")</f>
        <v>Electronics</v>
      </c>
      <c r="S3349" t="str">
        <f>IF(ISBLANK(I3349), B3349+VLOOKUP(C3349, Lookups!$A$2:$D$10, 4, FALSE()), I3349)</f>
        <v>2025-03-13</v>
      </c>
      <c r="T3349">
        <f t="shared" si="315"/>
        <v>13</v>
      </c>
      <c r="U3349" t="str">
        <f t="shared" si="316"/>
        <v>On-Time</v>
      </c>
      <c r="V3349">
        <f t="shared" si="317"/>
        <v>0</v>
      </c>
    </row>
    <row r="3350" spans="1:22" x14ac:dyDescent="0.45">
      <c r="A3350" t="s">
        <v>4208</v>
      </c>
      <c r="B3350" t="s">
        <v>290</v>
      </c>
      <c r="C3350" t="s">
        <v>36</v>
      </c>
      <c r="D3350" t="s">
        <v>62</v>
      </c>
      <c r="E3350" t="s">
        <v>17</v>
      </c>
      <c r="F3350">
        <v>179</v>
      </c>
      <c r="G3350">
        <v>48478</v>
      </c>
      <c r="H3350">
        <v>8677562</v>
      </c>
      <c r="I3350" t="s">
        <v>1740</v>
      </c>
      <c r="J3350" t="s">
        <v>1740</v>
      </c>
      <c r="K3350">
        <v>179</v>
      </c>
      <c r="L3350">
        <v>0</v>
      </c>
      <c r="M3350" t="s">
        <v>115</v>
      </c>
      <c r="N3350" t="str">
        <f t="shared" si="312"/>
        <v>PO-103349</v>
      </c>
      <c r="O3350" t="str">
        <f t="shared" si="313"/>
        <v>Delivered</v>
      </c>
      <c r="P3350" t="str">
        <f t="shared" si="314"/>
        <v>WH-BLR</v>
      </c>
      <c r="Q3350" t="str">
        <f>VLOOKUP(C3350, Lookups!$A$2:$D$10, 2, FALSE())</f>
        <v>NextGen Hardware</v>
      </c>
      <c r="R3350" t="str">
        <f>_xlfn.XLOOKUP(D3350, Lookups!$A$12:$A$51, Lookups!$C$12:$C$51, "Unknown")</f>
        <v>Electronics</v>
      </c>
      <c r="S3350" t="str">
        <f>IF(ISBLANK(I3350), B3350+VLOOKUP(C3350, Lookups!$A$2:$D$10, 4, FALSE()), I3350)</f>
        <v>2026-08-05</v>
      </c>
      <c r="T3350">
        <f t="shared" si="315"/>
        <v>24</v>
      </c>
      <c r="U3350" t="str">
        <f t="shared" si="316"/>
        <v>On-Time</v>
      </c>
      <c r="V3350">
        <f t="shared" si="317"/>
        <v>0</v>
      </c>
    </row>
    <row r="3351" spans="1:22" x14ac:dyDescent="0.45">
      <c r="A3351" t="s">
        <v>4209</v>
      </c>
      <c r="B3351" t="s">
        <v>680</v>
      </c>
      <c r="C3351" t="s">
        <v>34</v>
      </c>
      <c r="D3351" t="s">
        <v>58</v>
      </c>
      <c r="E3351" t="s">
        <v>16</v>
      </c>
      <c r="F3351">
        <v>95</v>
      </c>
      <c r="G3351">
        <v>100302</v>
      </c>
      <c r="H3351">
        <v>9528690</v>
      </c>
      <c r="I3351" t="s">
        <v>1610</v>
      </c>
      <c r="J3351" t="s">
        <v>1610</v>
      </c>
      <c r="K3351">
        <v>95</v>
      </c>
      <c r="L3351">
        <v>0</v>
      </c>
      <c r="M3351" t="s">
        <v>115</v>
      </c>
      <c r="N3351" t="str">
        <f t="shared" si="312"/>
        <v>PO-103350</v>
      </c>
      <c r="O3351" t="str">
        <f t="shared" si="313"/>
        <v>Delivered</v>
      </c>
      <c r="P3351" t="str">
        <f t="shared" si="314"/>
        <v>WH-DEL</v>
      </c>
      <c r="Q3351" t="str">
        <f>VLOOKUP(C3351, Lookups!$A$2:$D$10, 2, FALSE())</f>
        <v>FastElectronics</v>
      </c>
      <c r="R3351" t="str">
        <f>_xlfn.XLOOKUP(D3351, Lookups!$A$12:$A$51, Lookups!$C$12:$C$51, "Unknown")</f>
        <v>Electronics</v>
      </c>
      <c r="S3351" t="str">
        <f>IF(ISBLANK(I3351), B3351+VLOOKUP(C3351, Lookups!$A$2:$D$10, 4, FALSE()), I3351)</f>
        <v>2026-08-22</v>
      </c>
      <c r="T3351">
        <f t="shared" si="315"/>
        <v>18</v>
      </c>
      <c r="U3351" t="str">
        <f t="shared" si="316"/>
        <v>On-Time</v>
      </c>
      <c r="V3351">
        <f t="shared" si="317"/>
        <v>0</v>
      </c>
    </row>
    <row r="3352" spans="1:22" x14ac:dyDescent="0.45">
      <c r="A3352" t="s">
        <v>4210</v>
      </c>
      <c r="B3352" t="s">
        <v>983</v>
      </c>
      <c r="C3352" t="s">
        <v>37</v>
      </c>
      <c r="D3352" t="s">
        <v>83</v>
      </c>
      <c r="E3352" t="s">
        <v>18</v>
      </c>
      <c r="F3352">
        <v>57</v>
      </c>
      <c r="G3352">
        <v>19850</v>
      </c>
      <c r="H3352">
        <v>1131450</v>
      </c>
      <c r="I3352" t="s">
        <v>277</v>
      </c>
      <c r="J3352" t="s">
        <v>278</v>
      </c>
      <c r="K3352">
        <v>57</v>
      </c>
      <c r="L3352">
        <v>0</v>
      </c>
      <c r="M3352" t="s">
        <v>115</v>
      </c>
      <c r="N3352" t="str">
        <f t="shared" si="312"/>
        <v>PO-103351</v>
      </c>
      <c r="O3352" t="str">
        <f t="shared" si="313"/>
        <v>Delivered</v>
      </c>
      <c r="P3352" t="str">
        <f t="shared" si="314"/>
        <v>WH-PUN</v>
      </c>
      <c r="Q3352" t="str">
        <f>VLOOKUP(C3352, Lookups!$A$2:$D$10, 2, FALSE())</f>
        <v>Premium Desks Ltd</v>
      </c>
      <c r="R3352" t="str">
        <f>_xlfn.XLOOKUP(D3352, Lookups!$A$12:$A$51, Lookups!$C$12:$C$51, "Unknown")</f>
        <v>Office Furniture</v>
      </c>
      <c r="S3352" t="str">
        <f>IF(ISBLANK(I3352), B3352+VLOOKUP(C3352, Lookups!$A$2:$D$10, 4, FALSE()), I3352)</f>
        <v>2025-05-12</v>
      </c>
      <c r="T3352">
        <f t="shared" si="315"/>
        <v>13</v>
      </c>
      <c r="U3352" t="str">
        <f t="shared" si="316"/>
        <v>Late</v>
      </c>
      <c r="V3352">
        <f t="shared" si="317"/>
        <v>0</v>
      </c>
    </row>
    <row r="3353" spans="1:22" x14ac:dyDescent="0.45">
      <c r="A3353" t="s">
        <v>4211</v>
      </c>
      <c r="B3353" t="s">
        <v>591</v>
      </c>
      <c r="C3353" t="s">
        <v>35</v>
      </c>
      <c r="D3353" t="s">
        <v>70</v>
      </c>
      <c r="E3353" t="s">
        <v>15</v>
      </c>
      <c r="F3353">
        <v>240</v>
      </c>
      <c r="G3353">
        <v>4287</v>
      </c>
      <c r="H3353">
        <v>1028880</v>
      </c>
      <c r="I3353" t="s">
        <v>1416</v>
      </c>
      <c r="J3353" t="s">
        <v>709</v>
      </c>
      <c r="K3353">
        <v>240</v>
      </c>
      <c r="L3353">
        <v>0</v>
      </c>
      <c r="M3353" t="s">
        <v>115</v>
      </c>
      <c r="N3353" t="str">
        <f t="shared" si="312"/>
        <v>PO-103352</v>
      </c>
      <c r="O3353" t="str">
        <f t="shared" si="313"/>
        <v>Delivered</v>
      </c>
      <c r="P3353" t="str">
        <f t="shared" si="314"/>
        <v>WH-BOM</v>
      </c>
      <c r="Q3353" t="str">
        <f>VLOOKUP(C3353, Lookups!$A$2:$D$10, 2, FALSE())</f>
        <v>Peripheral Source</v>
      </c>
      <c r="R3353" t="str">
        <f>_xlfn.XLOOKUP(D3353, Lookups!$A$12:$A$51, Lookups!$C$12:$C$51, "Unknown")</f>
        <v>Peripherals</v>
      </c>
      <c r="S3353" t="str">
        <f>IF(ISBLANK(I3353), B3353+VLOOKUP(C3353, Lookups!$A$2:$D$10, 4, FALSE()), I3353)</f>
        <v>2026-01-30</v>
      </c>
      <c r="T3353">
        <f t="shared" si="315"/>
        <v>11</v>
      </c>
      <c r="U3353" t="str">
        <f t="shared" si="316"/>
        <v>Late</v>
      </c>
      <c r="V3353">
        <f t="shared" si="317"/>
        <v>0</v>
      </c>
    </row>
    <row r="3354" spans="1:22" x14ac:dyDescent="0.45">
      <c r="A3354" t="s">
        <v>4212</v>
      </c>
      <c r="B3354" t="s">
        <v>1235</v>
      </c>
      <c r="C3354" t="s">
        <v>34</v>
      </c>
      <c r="D3354" t="s">
        <v>76</v>
      </c>
      <c r="E3354" t="s">
        <v>15</v>
      </c>
      <c r="F3354">
        <v>241</v>
      </c>
      <c r="G3354">
        <v>26270</v>
      </c>
      <c r="H3354">
        <v>6331070</v>
      </c>
      <c r="I3354" t="s">
        <v>235</v>
      </c>
      <c r="J3354" t="s">
        <v>235</v>
      </c>
      <c r="K3354">
        <v>179</v>
      </c>
      <c r="L3354">
        <v>2</v>
      </c>
      <c r="M3354" t="s">
        <v>115</v>
      </c>
      <c r="N3354" t="str">
        <f t="shared" si="312"/>
        <v>PO-103353</v>
      </c>
      <c r="O3354" t="str">
        <f t="shared" si="313"/>
        <v>Delivered</v>
      </c>
      <c r="P3354" t="str">
        <f t="shared" si="314"/>
        <v>WH-BOM</v>
      </c>
      <c r="Q3354" t="str">
        <f>VLOOKUP(C3354, Lookups!$A$2:$D$10, 2, FALSE())</f>
        <v>FastElectronics</v>
      </c>
      <c r="R3354" t="str">
        <f>_xlfn.XLOOKUP(D3354, Lookups!$A$12:$A$51, Lookups!$C$12:$C$51, "Unknown")</f>
        <v>Networking</v>
      </c>
      <c r="S3354" t="str">
        <f>IF(ISBLANK(I3354), B3354+VLOOKUP(C3354, Lookups!$A$2:$D$10, 4, FALSE()), I3354)</f>
        <v>2025-08-27</v>
      </c>
      <c r="T3354">
        <f t="shared" si="315"/>
        <v>18</v>
      </c>
      <c r="U3354" t="str">
        <f t="shared" si="316"/>
        <v>On-Time</v>
      </c>
      <c r="V3354">
        <f t="shared" si="317"/>
        <v>1.11731843575419E-2</v>
      </c>
    </row>
    <row r="3355" spans="1:22" x14ac:dyDescent="0.45">
      <c r="A3355" t="s">
        <v>4213</v>
      </c>
      <c r="B3355" t="s">
        <v>861</v>
      </c>
      <c r="C3355" t="s">
        <v>32</v>
      </c>
      <c r="D3355" t="s">
        <v>67</v>
      </c>
      <c r="E3355" t="s">
        <v>16</v>
      </c>
      <c r="F3355">
        <v>106</v>
      </c>
      <c r="G3355">
        <v>1553</v>
      </c>
      <c r="H3355">
        <v>164618</v>
      </c>
      <c r="I3355" t="s">
        <v>815</v>
      </c>
      <c r="J3355" t="s">
        <v>502</v>
      </c>
      <c r="K3355">
        <v>106</v>
      </c>
      <c r="L3355">
        <v>0</v>
      </c>
      <c r="M3355" t="s">
        <v>115</v>
      </c>
      <c r="N3355" t="str">
        <f t="shared" si="312"/>
        <v>PO-103354</v>
      </c>
      <c r="O3355" t="str">
        <f t="shared" si="313"/>
        <v>Delivered</v>
      </c>
      <c r="P3355" t="str">
        <f t="shared" si="314"/>
        <v>WH-DEL</v>
      </c>
      <c r="Q3355" t="str">
        <f>VLOOKUP(C3355, Lookups!$A$2:$D$10, 2, FALSE())</f>
        <v>OfficeDepot Pro</v>
      </c>
      <c r="R3355" t="str">
        <f>_xlfn.XLOOKUP(D3355, Lookups!$A$12:$A$51, Lookups!$C$12:$C$51, "Unknown")</f>
        <v>Peripherals</v>
      </c>
      <c r="S3355" t="str">
        <f>IF(ISBLANK(I3355), B3355+VLOOKUP(C3355, Lookups!$A$2:$D$10, 4, FALSE()), I3355)</f>
        <v>2026-02-13</v>
      </c>
      <c r="T3355">
        <f t="shared" si="315"/>
        <v>16</v>
      </c>
      <c r="U3355" t="str">
        <f t="shared" si="316"/>
        <v>Late</v>
      </c>
      <c r="V3355">
        <f t="shared" si="317"/>
        <v>0</v>
      </c>
    </row>
    <row r="3356" spans="1:22" x14ac:dyDescent="0.45">
      <c r="A3356" t="s">
        <v>4214</v>
      </c>
      <c r="B3356" t="s">
        <v>401</v>
      </c>
      <c r="C3356" t="s">
        <v>37</v>
      </c>
      <c r="D3356" t="s">
        <v>79</v>
      </c>
      <c r="E3356" t="s">
        <v>18</v>
      </c>
      <c r="F3356">
        <v>224</v>
      </c>
      <c r="G3356">
        <v>23054</v>
      </c>
      <c r="H3356">
        <v>5164096</v>
      </c>
      <c r="I3356" t="s">
        <v>859</v>
      </c>
      <c r="J3356" t="s">
        <v>752</v>
      </c>
      <c r="K3356">
        <v>207</v>
      </c>
      <c r="L3356">
        <v>0</v>
      </c>
      <c r="M3356" t="s">
        <v>115</v>
      </c>
      <c r="N3356" t="str">
        <f t="shared" si="312"/>
        <v>PO-103355</v>
      </c>
      <c r="O3356" t="str">
        <f t="shared" si="313"/>
        <v>Delivered</v>
      </c>
      <c r="P3356" t="str">
        <f t="shared" si="314"/>
        <v>WH-PUN</v>
      </c>
      <c r="Q3356" t="str">
        <f>VLOOKUP(C3356, Lookups!$A$2:$D$10, 2, FALSE())</f>
        <v>Premium Desks Ltd</v>
      </c>
      <c r="R3356" t="str">
        <f>_xlfn.XLOOKUP(D3356, Lookups!$A$12:$A$51, Lookups!$C$12:$C$51, "Unknown")</f>
        <v>Office Furniture</v>
      </c>
      <c r="S3356" t="str">
        <f>IF(ISBLANK(I3356), B3356+VLOOKUP(C3356, Lookups!$A$2:$D$10, 4, FALSE()), I3356)</f>
        <v>2025-12-21</v>
      </c>
      <c r="T3356">
        <f t="shared" si="315"/>
        <v>13</v>
      </c>
      <c r="U3356" t="str">
        <f t="shared" si="316"/>
        <v>Late</v>
      </c>
      <c r="V3356">
        <f t="shared" si="317"/>
        <v>0</v>
      </c>
    </row>
    <row r="3357" spans="1:22" x14ac:dyDescent="0.45">
      <c r="A3357" t="s">
        <v>4215</v>
      </c>
      <c r="B3357" t="s">
        <v>585</v>
      </c>
      <c r="C3357" t="s">
        <v>37</v>
      </c>
      <c r="D3357" t="s">
        <v>79</v>
      </c>
      <c r="E3357" t="s">
        <v>16</v>
      </c>
      <c r="F3357">
        <v>160</v>
      </c>
      <c r="G3357">
        <v>23054</v>
      </c>
      <c r="H3357">
        <v>3688640</v>
      </c>
      <c r="I3357" t="s">
        <v>234</v>
      </c>
      <c r="J3357" t="s">
        <v>434</v>
      </c>
      <c r="K3357">
        <v>160</v>
      </c>
      <c r="L3357">
        <v>0</v>
      </c>
      <c r="M3357" t="s">
        <v>115</v>
      </c>
      <c r="N3357" t="str">
        <f t="shared" si="312"/>
        <v>PO-103356</v>
      </c>
      <c r="O3357" t="str">
        <f t="shared" si="313"/>
        <v>Delivered</v>
      </c>
      <c r="P3357" t="str">
        <f t="shared" si="314"/>
        <v>WH-DEL</v>
      </c>
      <c r="Q3357" t="str">
        <f>VLOOKUP(C3357, Lookups!$A$2:$D$10, 2, FALSE())</f>
        <v>Premium Desks Ltd</v>
      </c>
      <c r="R3357" t="str">
        <f>_xlfn.XLOOKUP(D3357, Lookups!$A$12:$A$51, Lookups!$C$12:$C$51, "Unknown")</f>
        <v>Office Furniture</v>
      </c>
      <c r="S3357" t="str">
        <f>IF(ISBLANK(I3357), B3357+VLOOKUP(C3357, Lookups!$A$2:$D$10, 4, FALSE()), I3357)</f>
        <v>2025-08-03</v>
      </c>
      <c r="T3357">
        <f t="shared" si="315"/>
        <v>19</v>
      </c>
      <c r="U3357" t="str">
        <f t="shared" si="316"/>
        <v>Late</v>
      </c>
      <c r="V3357">
        <f t="shared" si="317"/>
        <v>0</v>
      </c>
    </row>
    <row r="3358" spans="1:22" x14ac:dyDescent="0.45">
      <c r="A3358" t="s">
        <v>4216</v>
      </c>
      <c r="B3358" t="s">
        <v>1347</v>
      </c>
      <c r="C3358" t="s">
        <v>30</v>
      </c>
      <c r="D3358" t="s">
        <v>82</v>
      </c>
      <c r="E3358" t="s">
        <v>18</v>
      </c>
      <c r="F3358">
        <v>231</v>
      </c>
      <c r="G3358">
        <v>83427</v>
      </c>
      <c r="H3358">
        <v>19271637</v>
      </c>
      <c r="I3358" t="s">
        <v>348</v>
      </c>
      <c r="J3358" t="s">
        <v>348</v>
      </c>
      <c r="K3358">
        <v>231</v>
      </c>
      <c r="L3358">
        <v>0</v>
      </c>
      <c r="M3358" t="s">
        <v>115</v>
      </c>
      <c r="N3358" t="str">
        <f t="shared" si="312"/>
        <v>PO-103357</v>
      </c>
      <c r="O3358" t="str">
        <f t="shared" si="313"/>
        <v>Delivered</v>
      </c>
      <c r="P3358" t="str">
        <f t="shared" si="314"/>
        <v>WH-PUN</v>
      </c>
      <c r="Q3358" t="str">
        <f>VLOOKUP(C3358, Lookups!$A$2:$D$10, 2, FALSE())</f>
        <v>TechSupply Corp</v>
      </c>
      <c r="R3358" t="str">
        <f>_xlfn.XLOOKUP(D3358, Lookups!$A$12:$A$51, Lookups!$C$12:$C$51, "Unknown")</f>
        <v>Electronics</v>
      </c>
      <c r="S3358" t="str">
        <f>IF(ISBLANK(I3358), B3358+VLOOKUP(C3358, Lookups!$A$2:$D$10, 4, FALSE()), I3358)</f>
        <v>2026-08-23</v>
      </c>
      <c r="T3358">
        <f t="shared" si="315"/>
        <v>14</v>
      </c>
      <c r="U3358" t="str">
        <f t="shared" si="316"/>
        <v>On-Time</v>
      </c>
      <c r="V3358">
        <f t="shared" si="317"/>
        <v>0</v>
      </c>
    </row>
    <row r="3359" spans="1:22" x14ac:dyDescent="0.45">
      <c r="A3359" t="s">
        <v>4217</v>
      </c>
      <c r="B3359" t="s">
        <v>1661</v>
      </c>
      <c r="C3359" t="s">
        <v>30</v>
      </c>
      <c r="D3359" t="s">
        <v>61</v>
      </c>
      <c r="E3359" t="s">
        <v>15</v>
      </c>
      <c r="F3359">
        <v>81</v>
      </c>
      <c r="G3359">
        <v>111237</v>
      </c>
      <c r="H3359">
        <v>9010197</v>
      </c>
      <c r="I3359" t="s">
        <v>125</v>
      </c>
      <c r="J3359" t="s">
        <v>125</v>
      </c>
      <c r="K3359">
        <v>81</v>
      </c>
      <c r="L3359">
        <v>0</v>
      </c>
      <c r="M3359" t="s">
        <v>115</v>
      </c>
      <c r="N3359" t="str">
        <f t="shared" si="312"/>
        <v>PO-103358</v>
      </c>
      <c r="O3359" t="str">
        <f t="shared" si="313"/>
        <v>Delivered</v>
      </c>
      <c r="P3359" t="str">
        <f t="shared" si="314"/>
        <v>WH-BOM</v>
      </c>
      <c r="Q3359" t="str">
        <f>VLOOKUP(C3359, Lookups!$A$2:$D$10, 2, FALSE())</f>
        <v>TechSupply Corp</v>
      </c>
      <c r="R3359" t="str">
        <f>_xlfn.XLOOKUP(D3359, Lookups!$A$12:$A$51, Lookups!$C$12:$C$51, "Unknown")</f>
        <v>Electronics</v>
      </c>
      <c r="S3359" t="str">
        <f>IF(ISBLANK(I3359), B3359+VLOOKUP(C3359, Lookups!$A$2:$D$10, 4, FALSE()), I3359)</f>
        <v>2026-06-13</v>
      </c>
      <c r="T3359">
        <f t="shared" si="315"/>
        <v>14</v>
      </c>
      <c r="U3359" t="str">
        <f t="shared" si="316"/>
        <v>On-Time</v>
      </c>
      <c r="V3359">
        <f t="shared" si="317"/>
        <v>0</v>
      </c>
    </row>
    <row r="3360" spans="1:22" x14ac:dyDescent="0.45">
      <c r="A3360" t="s">
        <v>4218</v>
      </c>
      <c r="B3360" t="s">
        <v>631</v>
      </c>
      <c r="C3360" t="s">
        <v>31</v>
      </c>
      <c r="D3360" t="s">
        <v>66</v>
      </c>
      <c r="E3360" t="s">
        <v>16</v>
      </c>
      <c r="F3360">
        <v>143</v>
      </c>
      <c r="G3360">
        <v>29719</v>
      </c>
      <c r="H3360">
        <v>4249817</v>
      </c>
      <c r="I3360" t="s">
        <v>1279</v>
      </c>
      <c r="J3360" t="s">
        <v>1279</v>
      </c>
      <c r="K3360">
        <v>143</v>
      </c>
      <c r="L3360">
        <v>0</v>
      </c>
      <c r="M3360" t="s">
        <v>115</v>
      </c>
      <c r="N3360" t="str">
        <f t="shared" si="312"/>
        <v>PO-103359</v>
      </c>
      <c r="O3360" t="str">
        <f t="shared" si="313"/>
        <v>Delivered</v>
      </c>
      <c r="P3360" t="str">
        <f t="shared" si="314"/>
        <v>WH-DEL</v>
      </c>
      <c r="Q3360" t="str">
        <f>VLOOKUP(C3360, Lookups!$A$2:$D$10, 2, FALSE())</f>
        <v>Global Networks</v>
      </c>
      <c r="R3360" t="str">
        <f>_xlfn.XLOOKUP(D3360, Lookups!$A$12:$A$51, Lookups!$C$12:$C$51, "Unknown")</f>
        <v>Networking</v>
      </c>
      <c r="S3360" t="str">
        <f>IF(ISBLANK(I3360), B3360+VLOOKUP(C3360, Lookups!$A$2:$D$10, 4, FALSE()), I3360)</f>
        <v>2026-07-18</v>
      </c>
      <c r="T3360">
        <f t="shared" si="315"/>
        <v>21</v>
      </c>
      <c r="U3360" t="str">
        <f t="shared" si="316"/>
        <v>On-Time</v>
      </c>
      <c r="V3360">
        <f t="shared" si="317"/>
        <v>0</v>
      </c>
    </row>
    <row r="3361" spans="1:22" x14ac:dyDescent="0.45">
      <c r="A3361" t="s">
        <v>4219</v>
      </c>
      <c r="B3361" t="s">
        <v>1574</v>
      </c>
      <c r="C3361" t="s">
        <v>36</v>
      </c>
      <c r="D3361" t="s">
        <v>63</v>
      </c>
      <c r="E3361" t="s">
        <v>16</v>
      </c>
      <c r="F3361">
        <v>65</v>
      </c>
      <c r="G3361">
        <v>71062</v>
      </c>
      <c r="H3361">
        <v>4619030</v>
      </c>
      <c r="I3361" t="s">
        <v>829</v>
      </c>
      <c r="J3361" t="s">
        <v>829</v>
      </c>
      <c r="K3361">
        <v>65</v>
      </c>
      <c r="L3361">
        <v>0</v>
      </c>
      <c r="M3361" t="s">
        <v>115</v>
      </c>
      <c r="N3361" t="str">
        <f t="shared" si="312"/>
        <v>PO-103360</v>
      </c>
      <c r="O3361" t="str">
        <f t="shared" si="313"/>
        <v>Delivered</v>
      </c>
      <c r="P3361" t="str">
        <f t="shared" si="314"/>
        <v>WH-DEL</v>
      </c>
      <c r="Q3361" t="str">
        <f>VLOOKUP(C3361, Lookups!$A$2:$D$10, 2, FALSE())</f>
        <v>NextGen Hardware</v>
      </c>
      <c r="R3361" t="str">
        <f>_xlfn.XLOOKUP(D3361, Lookups!$A$12:$A$51, Lookups!$C$12:$C$51, "Unknown")</f>
        <v>Electronics</v>
      </c>
      <c r="S3361" t="str">
        <f>IF(ISBLANK(I3361), B3361+VLOOKUP(C3361, Lookups!$A$2:$D$10, 4, FALSE()), I3361)</f>
        <v>2025-12-24</v>
      </c>
      <c r="T3361">
        <f t="shared" si="315"/>
        <v>24</v>
      </c>
      <c r="U3361" t="str">
        <f t="shared" si="316"/>
        <v>On-Time</v>
      </c>
      <c r="V3361">
        <f t="shared" si="317"/>
        <v>0</v>
      </c>
    </row>
    <row r="3362" spans="1:22" x14ac:dyDescent="0.45">
      <c r="A3362" t="s">
        <v>4220</v>
      </c>
      <c r="B3362" t="s">
        <v>607</v>
      </c>
      <c r="C3362" t="s">
        <v>33</v>
      </c>
      <c r="D3362" t="s">
        <v>89</v>
      </c>
      <c r="E3362" t="s">
        <v>17</v>
      </c>
      <c r="F3362">
        <v>245</v>
      </c>
      <c r="G3362">
        <v>11309</v>
      </c>
      <c r="H3362">
        <v>2770705</v>
      </c>
      <c r="I3362" t="s">
        <v>186</v>
      </c>
      <c r="J3362" t="s">
        <v>186</v>
      </c>
      <c r="K3362">
        <v>245</v>
      </c>
      <c r="L3362">
        <v>0</v>
      </c>
      <c r="M3362" t="s">
        <v>115</v>
      </c>
      <c r="N3362" t="str">
        <f t="shared" si="312"/>
        <v>PO-103361</v>
      </c>
      <c r="O3362" t="str">
        <f t="shared" si="313"/>
        <v>Delivered</v>
      </c>
      <c r="P3362" t="str">
        <f t="shared" si="314"/>
        <v>WH-BLR</v>
      </c>
      <c r="Q3362" t="str">
        <f>VLOOKUP(C3362, Lookups!$A$2:$D$10, 2, FALSE())</f>
        <v>MegaFurnish</v>
      </c>
      <c r="R3362" t="str">
        <f>_xlfn.XLOOKUP(D3362, Lookups!$A$12:$A$51, Lookups!$C$12:$C$51, "Unknown")</f>
        <v>Office Furniture</v>
      </c>
      <c r="S3362" t="str">
        <f>IF(ISBLANK(I3362), B3362+VLOOKUP(C3362, Lookups!$A$2:$D$10, 4, FALSE()), I3362)</f>
        <v>2025-02-28</v>
      </c>
      <c r="T3362">
        <f t="shared" si="315"/>
        <v>30</v>
      </c>
      <c r="U3362" t="str">
        <f t="shared" si="316"/>
        <v>On-Time</v>
      </c>
      <c r="V3362">
        <f t="shared" si="317"/>
        <v>0</v>
      </c>
    </row>
    <row r="3363" spans="1:22" x14ac:dyDescent="0.45">
      <c r="A3363" t="s">
        <v>4221</v>
      </c>
      <c r="B3363" t="s">
        <v>332</v>
      </c>
      <c r="C3363" t="s">
        <v>36</v>
      </c>
      <c r="D3363" t="s">
        <v>71</v>
      </c>
      <c r="E3363" t="s">
        <v>15</v>
      </c>
      <c r="F3363">
        <v>53</v>
      </c>
      <c r="G3363">
        <v>65379</v>
      </c>
      <c r="H3363">
        <v>3465087</v>
      </c>
      <c r="I3363" t="s">
        <v>462</v>
      </c>
      <c r="J3363" t="s">
        <v>462</v>
      </c>
      <c r="K3363">
        <v>53</v>
      </c>
      <c r="L3363">
        <v>0</v>
      </c>
      <c r="M3363" t="s">
        <v>115</v>
      </c>
      <c r="N3363" t="str">
        <f t="shared" si="312"/>
        <v>PO-103362</v>
      </c>
      <c r="O3363" t="str">
        <f t="shared" si="313"/>
        <v>Delivered</v>
      </c>
      <c r="P3363" t="str">
        <f t="shared" si="314"/>
        <v>WH-BOM</v>
      </c>
      <c r="Q3363" t="str">
        <f>VLOOKUP(C3363, Lookups!$A$2:$D$10, 2, FALSE())</f>
        <v>NextGen Hardware</v>
      </c>
      <c r="R3363" t="str">
        <f>_xlfn.XLOOKUP(D3363, Lookups!$A$12:$A$51, Lookups!$C$12:$C$51, "Unknown")</f>
        <v>Electronics</v>
      </c>
      <c r="S3363" t="str">
        <f>IF(ISBLANK(I3363), B3363+VLOOKUP(C3363, Lookups!$A$2:$D$10, 4, FALSE()), I3363)</f>
        <v>2025-11-05</v>
      </c>
      <c r="T3363">
        <f t="shared" si="315"/>
        <v>24</v>
      </c>
      <c r="U3363" t="str">
        <f t="shared" si="316"/>
        <v>On-Time</v>
      </c>
      <c r="V3363">
        <f t="shared" si="317"/>
        <v>0</v>
      </c>
    </row>
    <row r="3364" spans="1:22" x14ac:dyDescent="0.45">
      <c r="A3364" t="s">
        <v>4222</v>
      </c>
      <c r="B3364" t="s">
        <v>593</v>
      </c>
      <c r="C3364" t="s">
        <v>35</v>
      </c>
      <c r="D3364" t="s">
        <v>75</v>
      </c>
      <c r="E3364" t="s">
        <v>18</v>
      </c>
      <c r="F3364">
        <v>123</v>
      </c>
      <c r="G3364">
        <v>4440</v>
      </c>
      <c r="H3364">
        <v>546120</v>
      </c>
      <c r="I3364" t="s">
        <v>1129</v>
      </c>
      <c r="J3364" t="s">
        <v>1129</v>
      </c>
      <c r="K3364">
        <v>123</v>
      </c>
      <c r="L3364">
        <v>0</v>
      </c>
      <c r="M3364" t="s">
        <v>115</v>
      </c>
      <c r="N3364" t="str">
        <f t="shared" si="312"/>
        <v>PO-103363</v>
      </c>
      <c r="O3364" t="str">
        <f t="shared" si="313"/>
        <v>Delivered</v>
      </c>
      <c r="P3364" t="str">
        <f t="shared" si="314"/>
        <v>WH-PUN</v>
      </c>
      <c r="Q3364" t="str">
        <f>VLOOKUP(C3364, Lookups!$A$2:$D$10, 2, FALSE())</f>
        <v>Peripheral Source</v>
      </c>
      <c r="R3364" t="str">
        <f>_xlfn.XLOOKUP(D3364, Lookups!$A$12:$A$51, Lookups!$C$12:$C$51, "Unknown")</f>
        <v>Peripherals</v>
      </c>
      <c r="S3364" t="str">
        <f>IF(ISBLANK(I3364), B3364+VLOOKUP(C3364, Lookups!$A$2:$D$10, 4, FALSE()), I3364)</f>
        <v>2025-09-25</v>
      </c>
      <c r="T3364">
        <f t="shared" si="315"/>
        <v>10</v>
      </c>
      <c r="U3364" t="str">
        <f t="shared" si="316"/>
        <v>On-Time</v>
      </c>
      <c r="V3364">
        <f t="shared" si="317"/>
        <v>0</v>
      </c>
    </row>
    <row r="3365" spans="1:22" x14ac:dyDescent="0.45">
      <c r="A3365" t="s">
        <v>4223</v>
      </c>
      <c r="B3365" t="s">
        <v>157</v>
      </c>
      <c r="C3365" t="s">
        <v>34</v>
      </c>
      <c r="D3365" t="s">
        <v>74</v>
      </c>
      <c r="E3365" t="s">
        <v>245</v>
      </c>
      <c r="F3365">
        <v>81</v>
      </c>
      <c r="G3365">
        <v>94797</v>
      </c>
      <c r="H3365">
        <v>7678557</v>
      </c>
      <c r="I3365" t="s">
        <v>922</v>
      </c>
      <c r="J3365" t="s">
        <v>922</v>
      </c>
      <c r="K3365">
        <v>81</v>
      </c>
      <c r="L3365">
        <v>0</v>
      </c>
      <c r="M3365" t="s">
        <v>115</v>
      </c>
      <c r="N3365" t="str">
        <f t="shared" si="312"/>
        <v>PO-103364</v>
      </c>
      <c r="O3365" t="str">
        <f t="shared" si="313"/>
        <v>Delivered</v>
      </c>
      <c r="P3365" t="str">
        <f t="shared" si="314"/>
        <v>WH-BOM</v>
      </c>
      <c r="Q3365" t="str">
        <f>VLOOKUP(C3365, Lookups!$A$2:$D$10, 2, FALSE())</f>
        <v>FastElectronics</v>
      </c>
      <c r="R3365" t="str">
        <f>_xlfn.XLOOKUP(D3365, Lookups!$A$12:$A$51, Lookups!$C$12:$C$51, "Unknown")</f>
        <v>Electronics</v>
      </c>
      <c r="S3365" t="str">
        <f>IF(ISBLANK(I3365), B3365+VLOOKUP(C3365, Lookups!$A$2:$D$10, 4, FALSE()), I3365)</f>
        <v>2026-11-09</v>
      </c>
      <c r="T3365">
        <f t="shared" si="315"/>
        <v>18</v>
      </c>
      <c r="U3365" t="str">
        <f t="shared" si="316"/>
        <v>On-Time</v>
      </c>
      <c r="V3365">
        <f t="shared" si="317"/>
        <v>0</v>
      </c>
    </row>
    <row r="3366" spans="1:22" x14ac:dyDescent="0.45">
      <c r="A3366" t="s">
        <v>4224</v>
      </c>
      <c r="B3366" t="s">
        <v>228</v>
      </c>
      <c r="C3366" t="s">
        <v>31</v>
      </c>
      <c r="D3366" t="s">
        <v>64</v>
      </c>
      <c r="E3366" t="s">
        <v>18</v>
      </c>
      <c r="F3366">
        <v>81</v>
      </c>
      <c r="G3366">
        <v>36295</v>
      </c>
      <c r="H3366">
        <v>2939895</v>
      </c>
      <c r="I3366" t="s">
        <v>234</v>
      </c>
      <c r="J3366" t="s">
        <v>250</v>
      </c>
      <c r="K3366">
        <v>81</v>
      </c>
      <c r="L3366">
        <v>0</v>
      </c>
      <c r="M3366" t="s">
        <v>115</v>
      </c>
      <c r="N3366" t="str">
        <f t="shared" si="312"/>
        <v>PO-103365</v>
      </c>
      <c r="O3366" t="str">
        <f t="shared" si="313"/>
        <v>Delivered</v>
      </c>
      <c r="P3366" t="str">
        <f t="shared" si="314"/>
        <v>WH-PUN</v>
      </c>
      <c r="Q3366" t="str">
        <f>VLOOKUP(C3366, Lookups!$A$2:$D$10, 2, FALSE())</f>
        <v>Global Networks</v>
      </c>
      <c r="R3366" t="str">
        <f>_xlfn.XLOOKUP(D3366, Lookups!$A$12:$A$51, Lookups!$C$12:$C$51, "Unknown")</f>
        <v>Networking</v>
      </c>
      <c r="S3366" t="str">
        <f>IF(ISBLANK(I3366), B3366+VLOOKUP(C3366, Lookups!$A$2:$D$10, 4, FALSE()), I3366)</f>
        <v>2025-08-03</v>
      </c>
      <c r="T3366">
        <f t="shared" si="315"/>
        <v>26</v>
      </c>
      <c r="U3366" t="str">
        <f t="shared" si="316"/>
        <v>Late</v>
      </c>
      <c r="V3366">
        <f t="shared" si="317"/>
        <v>0</v>
      </c>
    </row>
    <row r="3367" spans="1:22" x14ac:dyDescent="0.45">
      <c r="A3367" t="s">
        <v>4225</v>
      </c>
      <c r="B3367" t="s">
        <v>236</v>
      </c>
      <c r="C3367" t="s">
        <v>35</v>
      </c>
      <c r="D3367" t="s">
        <v>65</v>
      </c>
      <c r="E3367" t="s">
        <v>18</v>
      </c>
      <c r="F3367">
        <v>140</v>
      </c>
      <c r="G3367">
        <v>4936</v>
      </c>
      <c r="H3367">
        <v>691040</v>
      </c>
      <c r="I3367" t="s">
        <v>1604</v>
      </c>
      <c r="J3367" t="s">
        <v>137</v>
      </c>
      <c r="K3367">
        <v>140</v>
      </c>
      <c r="L3367">
        <v>20</v>
      </c>
      <c r="M3367" t="s">
        <v>115</v>
      </c>
      <c r="N3367" t="str">
        <f t="shared" si="312"/>
        <v>PO-103366</v>
      </c>
      <c r="O3367" t="str">
        <f t="shared" si="313"/>
        <v>Delivered</v>
      </c>
      <c r="P3367" t="str">
        <f t="shared" si="314"/>
        <v>WH-PUN</v>
      </c>
      <c r="Q3367" t="str">
        <f>VLOOKUP(C3367, Lookups!$A$2:$D$10, 2, FALSE())</f>
        <v>Peripheral Source</v>
      </c>
      <c r="R3367" t="str">
        <f>_xlfn.XLOOKUP(D3367, Lookups!$A$12:$A$51, Lookups!$C$12:$C$51, "Unknown")</f>
        <v>Peripherals</v>
      </c>
      <c r="S3367" t="str">
        <f>IF(ISBLANK(I3367), B3367+VLOOKUP(C3367, Lookups!$A$2:$D$10, 4, FALSE()), I3367)</f>
        <v>2025-09-07</v>
      </c>
      <c r="T3367">
        <f t="shared" si="315"/>
        <v>11</v>
      </c>
      <c r="U3367" t="str">
        <f t="shared" si="316"/>
        <v>Late</v>
      </c>
      <c r="V3367">
        <f t="shared" si="317"/>
        <v>0.14285714285714285</v>
      </c>
    </row>
    <row r="3368" spans="1:22" x14ac:dyDescent="0.45">
      <c r="A3368" t="s">
        <v>4226</v>
      </c>
      <c r="B3368" t="s">
        <v>466</v>
      </c>
      <c r="C3368" t="s">
        <v>34</v>
      </c>
      <c r="D3368" t="s">
        <v>73</v>
      </c>
      <c r="E3368" t="s">
        <v>16</v>
      </c>
      <c r="F3368">
        <v>205</v>
      </c>
      <c r="G3368">
        <v>58396</v>
      </c>
      <c r="H3368">
        <v>11971180</v>
      </c>
      <c r="I3368" t="s">
        <v>564</v>
      </c>
      <c r="J3368" t="s">
        <v>284</v>
      </c>
      <c r="K3368">
        <v>205</v>
      </c>
      <c r="L3368">
        <v>0</v>
      </c>
      <c r="M3368" t="s">
        <v>115</v>
      </c>
      <c r="N3368" t="str">
        <f t="shared" si="312"/>
        <v>PO-103367</v>
      </c>
      <c r="O3368" t="str">
        <f t="shared" si="313"/>
        <v>Delivered</v>
      </c>
      <c r="P3368" t="str">
        <f t="shared" si="314"/>
        <v>WH-DEL</v>
      </c>
      <c r="Q3368" t="str">
        <f>VLOOKUP(C3368, Lookups!$A$2:$D$10, 2, FALSE())</f>
        <v>FastElectronics</v>
      </c>
      <c r="R3368" t="str">
        <f>_xlfn.XLOOKUP(D3368, Lookups!$A$12:$A$51, Lookups!$C$12:$C$51, "Unknown")</f>
        <v>Electronics</v>
      </c>
      <c r="S3368" t="str">
        <f>IF(ISBLANK(I3368), B3368+VLOOKUP(C3368, Lookups!$A$2:$D$10, 4, FALSE()), I3368)</f>
        <v>2025-02-10</v>
      </c>
      <c r="T3368">
        <f t="shared" si="315"/>
        <v>30</v>
      </c>
      <c r="U3368" t="str">
        <f t="shared" si="316"/>
        <v>Late</v>
      </c>
      <c r="V3368">
        <f t="shared" si="317"/>
        <v>0</v>
      </c>
    </row>
    <row r="3369" spans="1:22" x14ac:dyDescent="0.45">
      <c r="A3369" t="s">
        <v>4227</v>
      </c>
      <c r="B3369" t="s">
        <v>411</v>
      </c>
      <c r="C3369" t="s">
        <v>35</v>
      </c>
      <c r="D3369" t="s">
        <v>75</v>
      </c>
      <c r="E3369" t="s">
        <v>17</v>
      </c>
      <c r="F3369">
        <v>25</v>
      </c>
      <c r="G3369">
        <v>4440</v>
      </c>
      <c r="H3369">
        <v>111000</v>
      </c>
      <c r="I3369" t="s">
        <v>542</v>
      </c>
      <c r="J3369" t="s">
        <v>542</v>
      </c>
      <c r="K3369">
        <v>25</v>
      </c>
      <c r="L3369">
        <v>0</v>
      </c>
      <c r="M3369" t="s">
        <v>115</v>
      </c>
      <c r="N3369" t="str">
        <f t="shared" si="312"/>
        <v>PO-103368</v>
      </c>
      <c r="O3369" t="str">
        <f t="shared" si="313"/>
        <v>Delivered</v>
      </c>
      <c r="P3369" t="str">
        <f t="shared" si="314"/>
        <v>WH-BLR</v>
      </c>
      <c r="Q3369" t="str">
        <f>VLOOKUP(C3369, Lookups!$A$2:$D$10, 2, FALSE())</f>
        <v>Peripheral Source</v>
      </c>
      <c r="R3369" t="str">
        <f>_xlfn.XLOOKUP(D3369, Lookups!$A$12:$A$51, Lookups!$C$12:$C$51, "Unknown")</f>
        <v>Peripherals</v>
      </c>
      <c r="S3369" t="str">
        <f>IF(ISBLANK(I3369), B3369+VLOOKUP(C3369, Lookups!$A$2:$D$10, 4, FALSE()), I3369)</f>
        <v>2026-05-19</v>
      </c>
      <c r="T3369">
        <f t="shared" si="315"/>
        <v>10</v>
      </c>
      <c r="U3369" t="str">
        <f t="shared" si="316"/>
        <v>On-Time</v>
      </c>
      <c r="V3369">
        <f t="shared" si="317"/>
        <v>0</v>
      </c>
    </row>
    <row r="3370" spans="1:22" x14ac:dyDescent="0.45">
      <c r="A3370" t="s">
        <v>4228</v>
      </c>
      <c r="B3370" t="s">
        <v>278</v>
      </c>
      <c r="C3370" t="s">
        <v>31</v>
      </c>
      <c r="D3370" t="s">
        <v>66</v>
      </c>
      <c r="E3370" t="s">
        <v>16</v>
      </c>
      <c r="F3370">
        <v>199</v>
      </c>
      <c r="G3370">
        <v>29719</v>
      </c>
      <c r="H3370">
        <v>5914081</v>
      </c>
      <c r="I3370" t="s">
        <v>1440</v>
      </c>
      <c r="J3370" t="s">
        <v>1440</v>
      </c>
      <c r="K3370">
        <v>160</v>
      </c>
      <c r="L3370">
        <v>14</v>
      </c>
      <c r="M3370" t="s">
        <v>115</v>
      </c>
      <c r="N3370" t="str">
        <f t="shared" si="312"/>
        <v>PO-103369</v>
      </c>
      <c r="O3370" t="str">
        <f t="shared" si="313"/>
        <v>Delivered</v>
      </c>
      <c r="P3370" t="str">
        <f t="shared" si="314"/>
        <v>WH-DEL</v>
      </c>
      <c r="Q3370" t="str">
        <f>VLOOKUP(C3370, Lookups!$A$2:$D$10, 2, FALSE())</f>
        <v>Global Networks</v>
      </c>
      <c r="R3370" t="str">
        <f>_xlfn.XLOOKUP(D3370, Lookups!$A$12:$A$51, Lookups!$C$12:$C$51, "Unknown")</f>
        <v>Networking</v>
      </c>
      <c r="S3370" t="str">
        <f>IF(ISBLANK(I3370), B3370+VLOOKUP(C3370, Lookups!$A$2:$D$10, 4, FALSE()), I3370)</f>
        <v>2025-06-03</v>
      </c>
      <c r="T3370">
        <f t="shared" si="315"/>
        <v>21</v>
      </c>
      <c r="U3370" t="str">
        <f t="shared" si="316"/>
        <v>On-Time</v>
      </c>
      <c r="V3370">
        <f t="shared" si="317"/>
        <v>8.7499999999999994E-2</v>
      </c>
    </row>
    <row r="3371" spans="1:22" x14ac:dyDescent="0.45">
      <c r="A3371" t="s">
        <v>4229</v>
      </c>
      <c r="B3371" t="s">
        <v>595</v>
      </c>
      <c r="C3371" t="s">
        <v>36</v>
      </c>
      <c r="D3371" t="s">
        <v>87</v>
      </c>
      <c r="E3371" t="s">
        <v>18</v>
      </c>
      <c r="F3371">
        <v>164</v>
      </c>
      <c r="G3371">
        <v>82930</v>
      </c>
      <c r="H3371">
        <v>13600520</v>
      </c>
      <c r="I3371" t="s">
        <v>397</v>
      </c>
      <c r="J3371" t="s">
        <v>1265</v>
      </c>
      <c r="K3371">
        <v>164</v>
      </c>
      <c r="L3371">
        <v>0</v>
      </c>
      <c r="M3371" t="s">
        <v>115</v>
      </c>
      <c r="N3371" t="str">
        <f t="shared" si="312"/>
        <v>PO-103370</v>
      </c>
      <c r="O3371" t="str">
        <f t="shared" si="313"/>
        <v>Delivered</v>
      </c>
      <c r="P3371" t="str">
        <f t="shared" si="314"/>
        <v>WH-PUN</v>
      </c>
      <c r="Q3371" t="str">
        <f>VLOOKUP(C3371, Lookups!$A$2:$D$10, 2, FALSE())</f>
        <v>NextGen Hardware</v>
      </c>
      <c r="R3371" t="str">
        <f>_xlfn.XLOOKUP(D3371, Lookups!$A$12:$A$51, Lookups!$C$12:$C$51, "Unknown")</f>
        <v>Electronics</v>
      </c>
      <c r="S3371" t="str">
        <f>IF(ISBLANK(I3371), B3371+VLOOKUP(C3371, Lookups!$A$2:$D$10, 4, FALSE()), I3371)</f>
        <v>2025-04-06</v>
      </c>
      <c r="T3371">
        <f t="shared" si="315"/>
        <v>25</v>
      </c>
      <c r="U3371" t="str">
        <f t="shared" si="316"/>
        <v>Late</v>
      </c>
      <c r="V3371">
        <f t="shared" si="317"/>
        <v>0</v>
      </c>
    </row>
    <row r="3372" spans="1:22" x14ac:dyDescent="0.45">
      <c r="A3372" t="s">
        <v>4230</v>
      </c>
      <c r="B3372" t="s">
        <v>217</v>
      </c>
      <c r="C3372" t="s">
        <v>34</v>
      </c>
      <c r="D3372" t="s">
        <v>74</v>
      </c>
      <c r="E3372" t="s">
        <v>16</v>
      </c>
      <c r="F3372">
        <v>200</v>
      </c>
      <c r="G3372">
        <v>94797</v>
      </c>
      <c r="H3372">
        <v>18959400</v>
      </c>
      <c r="I3372" t="s">
        <v>863</v>
      </c>
      <c r="J3372" t="s">
        <v>957</v>
      </c>
      <c r="K3372">
        <v>200</v>
      </c>
      <c r="L3372">
        <v>0</v>
      </c>
      <c r="M3372" t="s">
        <v>115</v>
      </c>
      <c r="N3372" t="str">
        <f t="shared" si="312"/>
        <v>PO-103371</v>
      </c>
      <c r="O3372" t="str">
        <f t="shared" si="313"/>
        <v>Delivered</v>
      </c>
      <c r="P3372" t="str">
        <f t="shared" si="314"/>
        <v>WH-DEL</v>
      </c>
      <c r="Q3372" t="str">
        <f>VLOOKUP(C3372, Lookups!$A$2:$D$10, 2, FALSE())</f>
        <v>FastElectronics</v>
      </c>
      <c r="R3372" t="str">
        <f>_xlfn.XLOOKUP(D3372, Lookups!$A$12:$A$51, Lookups!$C$12:$C$51, "Unknown")</f>
        <v>Electronics</v>
      </c>
      <c r="S3372" t="str">
        <f>IF(ISBLANK(I3372), B3372+VLOOKUP(C3372, Lookups!$A$2:$D$10, 4, FALSE()), I3372)</f>
        <v>2026-05-11</v>
      </c>
      <c r="T3372">
        <f t="shared" si="315"/>
        <v>19</v>
      </c>
      <c r="U3372" t="str">
        <f t="shared" si="316"/>
        <v>Late</v>
      </c>
      <c r="V3372">
        <f t="shared" si="317"/>
        <v>0</v>
      </c>
    </row>
    <row r="3373" spans="1:22" x14ac:dyDescent="0.45">
      <c r="A3373" t="s">
        <v>4231</v>
      </c>
      <c r="B3373" t="s">
        <v>1401</v>
      </c>
      <c r="C3373" t="s">
        <v>34</v>
      </c>
      <c r="D3373" t="s">
        <v>76</v>
      </c>
      <c r="E3373" t="s">
        <v>17</v>
      </c>
      <c r="F3373">
        <v>20</v>
      </c>
      <c r="G3373">
        <v>26270</v>
      </c>
      <c r="H3373">
        <v>525400</v>
      </c>
      <c r="I3373" t="s">
        <v>1100</v>
      </c>
      <c r="J3373" t="s">
        <v>1368</v>
      </c>
      <c r="K3373">
        <v>20</v>
      </c>
      <c r="L3373">
        <v>0</v>
      </c>
      <c r="M3373" t="s">
        <v>115</v>
      </c>
      <c r="N3373" t="str">
        <f t="shared" si="312"/>
        <v>PO-103372</v>
      </c>
      <c r="O3373" t="str">
        <f t="shared" si="313"/>
        <v>Delivered</v>
      </c>
      <c r="P3373" t="str">
        <f t="shared" si="314"/>
        <v>WH-BLR</v>
      </c>
      <c r="Q3373" t="str">
        <f>VLOOKUP(C3373, Lookups!$A$2:$D$10, 2, FALSE())</f>
        <v>FastElectronics</v>
      </c>
      <c r="R3373" t="str">
        <f>_xlfn.XLOOKUP(D3373, Lookups!$A$12:$A$51, Lookups!$C$12:$C$51, "Unknown")</f>
        <v>Networking</v>
      </c>
      <c r="S3373" t="str">
        <f>IF(ISBLANK(I3373), B3373+VLOOKUP(C3373, Lookups!$A$2:$D$10, 4, FALSE()), I3373)</f>
        <v>2026-11-11</v>
      </c>
      <c r="T3373">
        <f t="shared" si="315"/>
        <v>19</v>
      </c>
      <c r="U3373" t="str">
        <f t="shared" si="316"/>
        <v>Late</v>
      </c>
      <c r="V3373">
        <f t="shared" si="317"/>
        <v>0</v>
      </c>
    </row>
    <row r="3374" spans="1:22" x14ac:dyDescent="0.45">
      <c r="A3374" t="s">
        <v>4232</v>
      </c>
      <c r="B3374" t="s">
        <v>518</v>
      </c>
      <c r="C3374" t="s">
        <v>34</v>
      </c>
      <c r="D3374" t="s">
        <v>81</v>
      </c>
      <c r="E3374" t="s">
        <v>15</v>
      </c>
      <c r="F3374">
        <v>201</v>
      </c>
      <c r="G3374">
        <v>55328</v>
      </c>
      <c r="H3374">
        <v>11120928</v>
      </c>
      <c r="I3374" t="s">
        <v>473</v>
      </c>
      <c r="J3374" t="s">
        <v>457</v>
      </c>
      <c r="K3374">
        <v>201</v>
      </c>
      <c r="L3374">
        <v>0</v>
      </c>
      <c r="M3374" t="s">
        <v>115</v>
      </c>
      <c r="N3374" t="str">
        <f t="shared" si="312"/>
        <v>PO-103373</v>
      </c>
      <c r="O3374" t="str">
        <f t="shared" si="313"/>
        <v>Delivered</v>
      </c>
      <c r="P3374" t="str">
        <f t="shared" si="314"/>
        <v>WH-BOM</v>
      </c>
      <c r="Q3374" t="str">
        <f>VLOOKUP(C3374, Lookups!$A$2:$D$10, 2, FALSE())</f>
        <v>FastElectronics</v>
      </c>
      <c r="R3374" t="str">
        <f>_xlfn.XLOOKUP(D3374, Lookups!$A$12:$A$51, Lookups!$C$12:$C$51, "Unknown")</f>
        <v>Electronics</v>
      </c>
      <c r="S3374" t="str">
        <f>IF(ISBLANK(I3374), B3374+VLOOKUP(C3374, Lookups!$A$2:$D$10, 4, FALSE()), I3374)</f>
        <v>2025-06-10</v>
      </c>
      <c r="T3374">
        <f t="shared" si="315"/>
        <v>33</v>
      </c>
      <c r="U3374" t="str">
        <f t="shared" si="316"/>
        <v>Late</v>
      </c>
      <c r="V3374">
        <f t="shared" si="317"/>
        <v>0</v>
      </c>
    </row>
    <row r="3375" spans="1:22" x14ac:dyDescent="0.45">
      <c r="A3375" t="s">
        <v>4233</v>
      </c>
      <c r="B3375" t="s">
        <v>981</v>
      </c>
      <c r="C3375" t="s">
        <v>34</v>
      </c>
      <c r="D3375" t="s">
        <v>68</v>
      </c>
      <c r="E3375" t="s">
        <v>15</v>
      </c>
      <c r="F3375">
        <v>213</v>
      </c>
      <c r="G3375">
        <v>41405</v>
      </c>
      <c r="H3375">
        <v>8819265</v>
      </c>
      <c r="I3375" t="s">
        <v>182</v>
      </c>
      <c r="J3375" t="s">
        <v>1368</v>
      </c>
      <c r="K3375">
        <v>202</v>
      </c>
      <c r="L3375">
        <v>0</v>
      </c>
      <c r="M3375" t="s">
        <v>115</v>
      </c>
      <c r="N3375" t="str">
        <f t="shared" si="312"/>
        <v>PO-103374</v>
      </c>
      <c r="O3375" t="str">
        <f t="shared" si="313"/>
        <v>Delivered</v>
      </c>
      <c r="P3375" t="str">
        <f t="shared" si="314"/>
        <v>WH-BOM</v>
      </c>
      <c r="Q3375" t="str">
        <f>VLOOKUP(C3375, Lookups!$A$2:$D$10, 2, FALSE())</f>
        <v>FastElectronics</v>
      </c>
      <c r="R3375" t="str">
        <f>_xlfn.XLOOKUP(D3375, Lookups!$A$12:$A$51, Lookups!$C$12:$C$51, "Unknown")</f>
        <v>Networking</v>
      </c>
      <c r="S3375" t="str">
        <f>IF(ISBLANK(I3375), B3375+VLOOKUP(C3375, Lookups!$A$2:$D$10, 4, FALSE()), I3375)</f>
        <v>2026-10-31</v>
      </c>
      <c r="T3375">
        <f t="shared" si="315"/>
        <v>30</v>
      </c>
      <c r="U3375" t="str">
        <f t="shared" si="316"/>
        <v>Late</v>
      </c>
      <c r="V3375">
        <f t="shared" si="317"/>
        <v>0</v>
      </c>
    </row>
    <row r="3376" spans="1:22" x14ac:dyDescent="0.45">
      <c r="A3376" t="s">
        <v>4234</v>
      </c>
      <c r="B3376" t="s">
        <v>1621</v>
      </c>
      <c r="C3376" t="s">
        <v>37</v>
      </c>
      <c r="D3376" t="s">
        <v>78</v>
      </c>
      <c r="E3376" t="s">
        <v>16</v>
      </c>
      <c r="F3376">
        <v>177</v>
      </c>
      <c r="G3376">
        <v>9423</v>
      </c>
      <c r="H3376">
        <v>1667871</v>
      </c>
      <c r="I3376" t="s">
        <v>837</v>
      </c>
      <c r="J3376" t="s">
        <v>837</v>
      </c>
      <c r="K3376">
        <v>177</v>
      </c>
      <c r="L3376">
        <v>0</v>
      </c>
      <c r="M3376" t="s">
        <v>115</v>
      </c>
      <c r="N3376" t="str">
        <f t="shared" si="312"/>
        <v>PO-103375</v>
      </c>
      <c r="O3376" t="str">
        <f t="shared" si="313"/>
        <v>Delivered</v>
      </c>
      <c r="P3376" t="str">
        <f t="shared" si="314"/>
        <v>WH-DEL</v>
      </c>
      <c r="Q3376" t="str">
        <f>VLOOKUP(C3376, Lookups!$A$2:$D$10, 2, FALSE())</f>
        <v>Premium Desks Ltd</v>
      </c>
      <c r="R3376" t="str">
        <f>_xlfn.XLOOKUP(D3376, Lookups!$A$12:$A$51, Lookups!$C$12:$C$51, "Unknown")</f>
        <v>Office Furniture</v>
      </c>
      <c r="S3376" t="str">
        <f>IF(ISBLANK(I3376), B3376+VLOOKUP(C3376, Lookups!$A$2:$D$10, 4, FALSE()), I3376)</f>
        <v>2026-01-11</v>
      </c>
      <c r="T3376">
        <f t="shared" si="315"/>
        <v>12</v>
      </c>
      <c r="U3376" t="str">
        <f t="shared" si="316"/>
        <v>On-Time</v>
      </c>
      <c r="V3376">
        <f t="shared" si="317"/>
        <v>0</v>
      </c>
    </row>
    <row r="3377" spans="1:22" x14ac:dyDescent="0.45">
      <c r="A3377" t="s">
        <v>4235</v>
      </c>
      <c r="B3377" t="s">
        <v>363</v>
      </c>
      <c r="C3377" t="s">
        <v>37</v>
      </c>
      <c r="D3377" t="s">
        <v>78</v>
      </c>
      <c r="E3377" t="s">
        <v>15</v>
      </c>
      <c r="F3377">
        <v>211</v>
      </c>
      <c r="G3377">
        <v>9423</v>
      </c>
      <c r="H3377">
        <v>1988253</v>
      </c>
      <c r="I3377" t="s">
        <v>151</v>
      </c>
      <c r="J3377" t="s">
        <v>367</v>
      </c>
      <c r="K3377">
        <v>211</v>
      </c>
      <c r="L3377">
        <v>0</v>
      </c>
      <c r="M3377" t="s">
        <v>115</v>
      </c>
      <c r="N3377" t="str">
        <f t="shared" si="312"/>
        <v>PO-103376</v>
      </c>
      <c r="O3377" t="str">
        <f t="shared" si="313"/>
        <v>Delivered</v>
      </c>
      <c r="P3377" t="str">
        <f t="shared" si="314"/>
        <v>WH-BOM</v>
      </c>
      <c r="Q3377" t="str">
        <f>VLOOKUP(C3377, Lookups!$A$2:$D$10, 2, FALSE())</f>
        <v>Premium Desks Ltd</v>
      </c>
      <c r="R3377" t="str">
        <f>_xlfn.XLOOKUP(D3377, Lookups!$A$12:$A$51, Lookups!$C$12:$C$51, "Unknown")</f>
        <v>Office Furniture</v>
      </c>
      <c r="S3377" t="str">
        <f>IF(ISBLANK(I3377), B3377+VLOOKUP(C3377, Lookups!$A$2:$D$10, 4, FALSE()), I3377)</f>
        <v>2026-04-14</v>
      </c>
      <c r="T3377">
        <f t="shared" si="315"/>
        <v>13</v>
      </c>
      <c r="U3377" t="str">
        <f t="shared" si="316"/>
        <v>Late</v>
      </c>
      <c r="V3377">
        <f t="shared" si="317"/>
        <v>0</v>
      </c>
    </row>
    <row r="3378" spans="1:22" x14ac:dyDescent="0.45">
      <c r="A3378" t="s">
        <v>4236</v>
      </c>
      <c r="B3378" t="s">
        <v>2246</v>
      </c>
      <c r="C3378" t="s">
        <v>31</v>
      </c>
      <c r="D3378" t="s">
        <v>77</v>
      </c>
      <c r="E3378" t="s">
        <v>17</v>
      </c>
      <c r="F3378">
        <v>133</v>
      </c>
      <c r="G3378">
        <v>23667</v>
      </c>
      <c r="H3378">
        <v>3147711</v>
      </c>
      <c r="I3378" t="s">
        <v>133</v>
      </c>
      <c r="J3378" t="s">
        <v>555</v>
      </c>
      <c r="K3378">
        <v>133</v>
      </c>
      <c r="L3378">
        <v>0</v>
      </c>
      <c r="M3378" t="s">
        <v>115</v>
      </c>
      <c r="N3378" t="str">
        <f t="shared" si="312"/>
        <v>PO-103377</v>
      </c>
      <c r="O3378" t="str">
        <f t="shared" si="313"/>
        <v>Delivered</v>
      </c>
      <c r="P3378" t="str">
        <f t="shared" si="314"/>
        <v>WH-BLR</v>
      </c>
      <c r="Q3378" t="str">
        <f>VLOOKUP(C3378, Lookups!$A$2:$D$10, 2, FALSE())</f>
        <v>Global Networks</v>
      </c>
      <c r="R3378" t="str">
        <f>_xlfn.XLOOKUP(D3378, Lookups!$A$12:$A$51, Lookups!$C$12:$C$51, "Unknown")</f>
        <v>Networking</v>
      </c>
      <c r="S3378" t="str">
        <f>IF(ISBLANK(I3378), B3378+VLOOKUP(C3378, Lookups!$A$2:$D$10, 4, FALSE()), I3378)</f>
        <v>2026-08-27</v>
      </c>
      <c r="T3378">
        <f t="shared" si="315"/>
        <v>26</v>
      </c>
      <c r="U3378" t="str">
        <f t="shared" si="316"/>
        <v>Late</v>
      </c>
      <c r="V3378">
        <f t="shared" si="317"/>
        <v>0</v>
      </c>
    </row>
    <row r="3379" spans="1:22" x14ac:dyDescent="0.45">
      <c r="A3379" t="s">
        <v>4237</v>
      </c>
      <c r="B3379" t="s">
        <v>1046</v>
      </c>
      <c r="C3379" t="s">
        <v>35</v>
      </c>
      <c r="D3379" t="s">
        <v>72</v>
      </c>
      <c r="E3379" t="s">
        <v>16</v>
      </c>
      <c r="F3379">
        <v>193</v>
      </c>
      <c r="G3379">
        <v>7754</v>
      </c>
      <c r="H3379">
        <v>1496522</v>
      </c>
      <c r="I3379" t="s">
        <v>247</v>
      </c>
      <c r="J3379" t="s">
        <v>254</v>
      </c>
      <c r="K3379">
        <v>193</v>
      </c>
      <c r="L3379">
        <v>0</v>
      </c>
      <c r="M3379" t="s">
        <v>115</v>
      </c>
      <c r="N3379" t="str">
        <f t="shared" si="312"/>
        <v>PO-103378</v>
      </c>
      <c r="O3379" t="str">
        <f t="shared" si="313"/>
        <v>Delivered</v>
      </c>
      <c r="P3379" t="str">
        <f t="shared" si="314"/>
        <v>WH-DEL</v>
      </c>
      <c r="Q3379" t="str">
        <f>VLOOKUP(C3379, Lookups!$A$2:$D$10, 2, FALSE())</f>
        <v>Peripheral Source</v>
      </c>
      <c r="R3379" t="str">
        <f>_xlfn.XLOOKUP(D3379, Lookups!$A$12:$A$51, Lookups!$C$12:$C$51, "Unknown")</f>
        <v>Peripherals</v>
      </c>
      <c r="S3379" t="str">
        <f>IF(ISBLANK(I3379), B3379+VLOOKUP(C3379, Lookups!$A$2:$D$10, 4, FALSE()), I3379)</f>
        <v>2025-11-02</v>
      </c>
      <c r="T3379">
        <f t="shared" si="315"/>
        <v>18</v>
      </c>
      <c r="U3379" t="str">
        <f t="shared" si="316"/>
        <v>Late</v>
      </c>
      <c r="V3379">
        <f t="shared" si="317"/>
        <v>0</v>
      </c>
    </row>
    <row r="3380" spans="1:22" x14ac:dyDescent="0.45">
      <c r="A3380" t="s">
        <v>4238</v>
      </c>
      <c r="B3380" t="s">
        <v>252</v>
      </c>
      <c r="C3380" t="s">
        <v>35</v>
      </c>
      <c r="D3380" t="s">
        <v>60</v>
      </c>
      <c r="E3380" t="s">
        <v>18</v>
      </c>
      <c r="F3380">
        <v>172</v>
      </c>
      <c r="G3380">
        <v>3291</v>
      </c>
      <c r="H3380">
        <v>566052</v>
      </c>
      <c r="I3380" t="s">
        <v>393</v>
      </c>
      <c r="J3380" t="s">
        <v>172</v>
      </c>
      <c r="K3380">
        <v>172</v>
      </c>
      <c r="L3380">
        <v>22</v>
      </c>
      <c r="M3380" t="s">
        <v>115</v>
      </c>
      <c r="N3380" t="str">
        <f t="shared" si="312"/>
        <v>PO-103379</v>
      </c>
      <c r="O3380" t="str">
        <f t="shared" si="313"/>
        <v>Delivered</v>
      </c>
      <c r="P3380" t="str">
        <f t="shared" si="314"/>
        <v>WH-PUN</v>
      </c>
      <c r="Q3380" t="str">
        <f>VLOOKUP(C3380, Lookups!$A$2:$D$10, 2, FALSE())</f>
        <v>Peripheral Source</v>
      </c>
      <c r="R3380" t="str">
        <f>_xlfn.XLOOKUP(D3380, Lookups!$A$12:$A$51, Lookups!$C$12:$C$51, "Unknown")</f>
        <v>Peripherals</v>
      </c>
      <c r="S3380" t="str">
        <f>IF(ISBLANK(I3380), B3380+VLOOKUP(C3380, Lookups!$A$2:$D$10, 4, FALSE()), I3380)</f>
        <v>2025-08-29</v>
      </c>
      <c r="T3380">
        <f t="shared" si="315"/>
        <v>15</v>
      </c>
      <c r="U3380" t="str">
        <f t="shared" si="316"/>
        <v>Late</v>
      </c>
      <c r="V3380">
        <f t="shared" si="317"/>
        <v>0.12790697674418605</v>
      </c>
    </row>
    <row r="3381" spans="1:22" x14ac:dyDescent="0.45">
      <c r="A3381" t="s">
        <v>4239</v>
      </c>
      <c r="B3381" t="s">
        <v>894</v>
      </c>
      <c r="C3381" t="s">
        <v>30</v>
      </c>
      <c r="D3381" t="s">
        <v>82</v>
      </c>
      <c r="E3381" t="s">
        <v>15</v>
      </c>
      <c r="F3381">
        <v>98</v>
      </c>
      <c r="G3381">
        <v>83427</v>
      </c>
      <c r="H3381">
        <v>8175846</v>
      </c>
      <c r="I3381" t="s">
        <v>1070</v>
      </c>
      <c r="J3381" t="s">
        <v>274</v>
      </c>
      <c r="K3381">
        <v>98</v>
      </c>
      <c r="L3381">
        <v>0</v>
      </c>
      <c r="M3381" t="s">
        <v>115</v>
      </c>
      <c r="N3381" t="str">
        <f t="shared" si="312"/>
        <v>PO-103380</v>
      </c>
      <c r="O3381" t="str">
        <f t="shared" si="313"/>
        <v>Delivered</v>
      </c>
      <c r="P3381" t="str">
        <f t="shared" si="314"/>
        <v>WH-BOM</v>
      </c>
      <c r="Q3381" t="str">
        <f>VLOOKUP(C3381, Lookups!$A$2:$D$10, 2, FALSE())</f>
        <v>TechSupply Corp</v>
      </c>
      <c r="R3381" t="str">
        <f>_xlfn.XLOOKUP(D3381, Lookups!$A$12:$A$51, Lookups!$C$12:$C$51, "Unknown")</f>
        <v>Electronics</v>
      </c>
      <c r="S3381" t="str">
        <f>IF(ISBLANK(I3381), B3381+VLOOKUP(C3381, Lookups!$A$2:$D$10, 4, FALSE()), I3381)</f>
        <v>2025-08-15</v>
      </c>
      <c r="T3381">
        <f t="shared" si="315"/>
        <v>29</v>
      </c>
      <c r="U3381" t="str">
        <f t="shared" si="316"/>
        <v>Late</v>
      </c>
      <c r="V3381">
        <f t="shared" si="317"/>
        <v>0</v>
      </c>
    </row>
    <row r="3382" spans="1:22" x14ac:dyDescent="0.45">
      <c r="A3382" t="s">
        <v>4240</v>
      </c>
      <c r="B3382" t="s">
        <v>961</v>
      </c>
      <c r="C3382" t="s">
        <v>34</v>
      </c>
      <c r="D3382" t="s">
        <v>54</v>
      </c>
      <c r="E3382" t="s">
        <v>15</v>
      </c>
      <c r="F3382">
        <v>95</v>
      </c>
      <c r="G3382">
        <v>22314</v>
      </c>
      <c r="H3382">
        <v>2119830</v>
      </c>
      <c r="I3382" t="s">
        <v>831</v>
      </c>
      <c r="J3382" t="s">
        <v>160</v>
      </c>
      <c r="K3382">
        <v>95</v>
      </c>
      <c r="L3382">
        <v>0</v>
      </c>
      <c r="M3382" t="s">
        <v>115</v>
      </c>
      <c r="N3382" t="str">
        <f t="shared" si="312"/>
        <v>PO-103381</v>
      </c>
      <c r="O3382" t="str">
        <f t="shared" si="313"/>
        <v>Delivered</v>
      </c>
      <c r="P3382" t="str">
        <f t="shared" si="314"/>
        <v>WH-BOM</v>
      </c>
      <c r="Q3382" t="str">
        <f>VLOOKUP(C3382, Lookups!$A$2:$D$10, 2, FALSE())</f>
        <v>FastElectronics</v>
      </c>
      <c r="R3382" t="str">
        <f>_xlfn.XLOOKUP(D3382, Lookups!$A$12:$A$51, Lookups!$C$12:$C$51, "Unknown")</f>
        <v>Networking</v>
      </c>
      <c r="S3382" t="str">
        <f>IF(ISBLANK(I3382), B3382+VLOOKUP(C3382, Lookups!$A$2:$D$10, 4, FALSE()), I3382)</f>
        <v>2025-05-21</v>
      </c>
      <c r="T3382">
        <f t="shared" si="315"/>
        <v>19</v>
      </c>
      <c r="U3382" t="str">
        <f t="shared" si="316"/>
        <v>Late</v>
      </c>
      <c r="V3382">
        <f t="shared" si="317"/>
        <v>0</v>
      </c>
    </row>
    <row r="3383" spans="1:22" x14ac:dyDescent="0.45">
      <c r="A3383" t="s">
        <v>4241</v>
      </c>
      <c r="B3383" t="s">
        <v>264</v>
      </c>
      <c r="C3383" t="s">
        <v>35</v>
      </c>
      <c r="D3383" t="s">
        <v>91</v>
      </c>
      <c r="E3383" t="s">
        <v>17</v>
      </c>
      <c r="F3383">
        <v>71</v>
      </c>
      <c r="G3383">
        <v>6707</v>
      </c>
      <c r="H3383">
        <v>476197</v>
      </c>
      <c r="I3383" t="s">
        <v>564</v>
      </c>
      <c r="J3383" t="s">
        <v>564</v>
      </c>
      <c r="K3383">
        <v>71</v>
      </c>
      <c r="L3383">
        <v>0</v>
      </c>
      <c r="M3383" t="s">
        <v>115</v>
      </c>
      <c r="N3383" t="str">
        <f t="shared" si="312"/>
        <v>PO-103382</v>
      </c>
      <c r="O3383" t="str">
        <f t="shared" si="313"/>
        <v>Delivered</v>
      </c>
      <c r="P3383" t="str">
        <f t="shared" si="314"/>
        <v>WH-BLR</v>
      </c>
      <c r="Q3383" t="str">
        <f>VLOOKUP(C3383, Lookups!$A$2:$D$10, 2, FALSE())</f>
        <v>Peripheral Source</v>
      </c>
      <c r="R3383" t="str">
        <f>_xlfn.XLOOKUP(D3383, Lookups!$A$12:$A$51, Lookups!$C$12:$C$51, "Unknown")</f>
        <v>Peripherals</v>
      </c>
      <c r="S3383" t="str">
        <f>IF(ISBLANK(I3383), B3383+VLOOKUP(C3383, Lookups!$A$2:$D$10, 4, FALSE()), I3383)</f>
        <v>2025-02-10</v>
      </c>
      <c r="T3383">
        <f t="shared" si="315"/>
        <v>10</v>
      </c>
      <c r="U3383" t="str">
        <f t="shared" si="316"/>
        <v>On-Time</v>
      </c>
      <c r="V3383">
        <f t="shared" si="317"/>
        <v>0</v>
      </c>
    </row>
    <row r="3384" spans="1:22" x14ac:dyDescent="0.45">
      <c r="A3384" t="s">
        <v>4242</v>
      </c>
      <c r="B3384" t="s">
        <v>548</v>
      </c>
      <c r="C3384" t="s">
        <v>36</v>
      </c>
      <c r="D3384" t="s">
        <v>62</v>
      </c>
      <c r="E3384" t="s">
        <v>18</v>
      </c>
      <c r="F3384">
        <v>80</v>
      </c>
      <c r="G3384">
        <v>48478</v>
      </c>
      <c r="H3384">
        <v>3878240</v>
      </c>
      <c r="I3384" t="s">
        <v>721</v>
      </c>
      <c r="J3384" t="s">
        <v>127</v>
      </c>
      <c r="K3384">
        <v>80</v>
      </c>
      <c r="L3384">
        <v>0</v>
      </c>
      <c r="M3384" t="s">
        <v>115</v>
      </c>
      <c r="N3384" t="str">
        <f t="shared" si="312"/>
        <v>PO-103383</v>
      </c>
      <c r="O3384" t="str">
        <f t="shared" si="313"/>
        <v>Delivered</v>
      </c>
      <c r="P3384" t="str">
        <f t="shared" si="314"/>
        <v>WH-PUN</v>
      </c>
      <c r="Q3384" t="str">
        <f>VLOOKUP(C3384, Lookups!$A$2:$D$10, 2, FALSE())</f>
        <v>NextGen Hardware</v>
      </c>
      <c r="R3384" t="str">
        <f>_xlfn.XLOOKUP(D3384, Lookups!$A$12:$A$51, Lookups!$C$12:$C$51, "Unknown")</f>
        <v>Electronics</v>
      </c>
      <c r="S3384" t="str">
        <f>IF(ISBLANK(I3384), B3384+VLOOKUP(C3384, Lookups!$A$2:$D$10, 4, FALSE()), I3384)</f>
        <v>2026-02-01</v>
      </c>
      <c r="T3384">
        <f t="shared" si="315"/>
        <v>25</v>
      </c>
      <c r="U3384" t="str">
        <f t="shared" si="316"/>
        <v>Late</v>
      </c>
      <c r="V3384">
        <f t="shared" si="317"/>
        <v>0</v>
      </c>
    </row>
    <row r="3385" spans="1:22" x14ac:dyDescent="0.45">
      <c r="A3385" t="s">
        <v>4243</v>
      </c>
      <c r="B3385" t="s">
        <v>361</v>
      </c>
      <c r="C3385" t="s">
        <v>34</v>
      </c>
      <c r="D3385" t="s">
        <v>80</v>
      </c>
      <c r="E3385" t="s">
        <v>18</v>
      </c>
      <c r="F3385">
        <v>84</v>
      </c>
      <c r="G3385">
        <v>19090</v>
      </c>
      <c r="H3385">
        <v>1603560</v>
      </c>
      <c r="I3385" t="s">
        <v>204</v>
      </c>
      <c r="J3385" t="s">
        <v>686</v>
      </c>
      <c r="K3385">
        <v>84</v>
      </c>
      <c r="L3385">
        <v>0</v>
      </c>
      <c r="M3385" t="s">
        <v>115</v>
      </c>
      <c r="N3385" t="str">
        <f t="shared" si="312"/>
        <v>PO-103384</v>
      </c>
      <c r="O3385" t="str">
        <f t="shared" si="313"/>
        <v>Delivered</v>
      </c>
      <c r="P3385" t="str">
        <f t="shared" si="314"/>
        <v>WH-PUN</v>
      </c>
      <c r="Q3385" t="str">
        <f>VLOOKUP(C3385, Lookups!$A$2:$D$10, 2, FALSE())</f>
        <v>FastElectronics</v>
      </c>
      <c r="R3385" t="str">
        <f>_xlfn.XLOOKUP(D3385, Lookups!$A$12:$A$51, Lookups!$C$12:$C$51, "Unknown")</f>
        <v>Networking</v>
      </c>
      <c r="S3385" t="str">
        <f>IF(ISBLANK(I3385), B3385+VLOOKUP(C3385, Lookups!$A$2:$D$10, 4, FALSE()), I3385)</f>
        <v>2026-04-09</v>
      </c>
      <c r="T3385">
        <f t="shared" si="315"/>
        <v>19</v>
      </c>
      <c r="U3385" t="str">
        <f t="shared" si="316"/>
        <v>Late</v>
      </c>
      <c r="V3385">
        <f t="shared" si="317"/>
        <v>0</v>
      </c>
    </row>
    <row r="3386" spans="1:22" x14ac:dyDescent="0.45">
      <c r="A3386" t="s">
        <v>4244</v>
      </c>
      <c r="B3386" t="s">
        <v>782</v>
      </c>
      <c r="C3386" t="s">
        <v>34</v>
      </c>
      <c r="D3386" t="s">
        <v>81</v>
      </c>
      <c r="E3386" t="s">
        <v>15</v>
      </c>
      <c r="F3386">
        <v>127</v>
      </c>
      <c r="G3386">
        <v>55328</v>
      </c>
      <c r="H3386">
        <v>7026656</v>
      </c>
      <c r="I3386" t="s">
        <v>188</v>
      </c>
      <c r="J3386" t="s">
        <v>188</v>
      </c>
      <c r="K3386">
        <v>127</v>
      </c>
      <c r="L3386">
        <v>0</v>
      </c>
      <c r="M3386" t="s">
        <v>115</v>
      </c>
      <c r="N3386" t="str">
        <f t="shared" si="312"/>
        <v>PO-103385</v>
      </c>
      <c r="O3386" t="str">
        <f t="shared" si="313"/>
        <v>Delivered</v>
      </c>
      <c r="P3386" t="str">
        <f t="shared" si="314"/>
        <v>WH-BOM</v>
      </c>
      <c r="Q3386" t="str">
        <f>VLOOKUP(C3386, Lookups!$A$2:$D$10, 2, FALSE())</f>
        <v>FastElectronics</v>
      </c>
      <c r="R3386" t="str">
        <f>_xlfn.XLOOKUP(D3386, Lookups!$A$12:$A$51, Lookups!$C$12:$C$51, "Unknown")</f>
        <v>Electronics</v>
      </c>
      <c r="S3386" t="str">
        <f>IF(ISBLANK(I3386), B3386+VLOOKUP(C3386, Lookups!$A$2:$D$10, 4, FALSE()), I3386)</f>
        <v>2025-02-25</v>
      </c>
      <c r="T3386">
        <f t="shared" si="315"/>
        <v>18</v>
      </c>
      <c r="U3386" t="str">
        <f t="shared" si="316"/>
        <v>On-Time</v>
      </c>
      <c r="V3386">
        <f t="shared" si="317"/>
        <v>0</v>
      </c>
    </row>
    <row r="3387" spans="1:22" x14ac:dyDescent="0.45">
      <c r="A3387" t="s">
        <v>4245</v>
      </c>
      <c r="B3387" t="s">
        <v>1082</v>
      </c>
      <c r="C3387" t="s">
        <v>35</v>
      </c>
      <c r="D3387" t="s">
        <v>60</v>
      </c>
      <c r="E3387" t="s">
        <v>17</v>
      </c>
      <c r="F3387">
        <v>224</v>
      </c>
      <c r="G3387">
        <v>3291</v>
      </c>
      <c r="H3387">
        <v>737184</v>
      </c>
      <c r="I3387" t="s">
        <v>1247</v>
      </c>
      <c r="J3387" t="s">
        <v>1247</v>
      </c>
      <c r="K3387">
        <v>224</v>
      </c>
      <c r="L3387">
        <v>0</v>
      </c>
      <c r="M3387" t="s">
        <v>115</v>
      </c>
      <c r="N3387" t="str">
        <f t="shared" si="312"/>
        <v>PO-103386</v>
      </c>
      <c r="O3387" t="str">
        <f t="shared" si="313"/>
        <v>Delivered</v>
      </c>
      <c r="P3387" t="str">
        <f t="shared" si="314"/>
        <v>WH-BLR</v>
      </c>
      <c r="Q3387" t="str">
        <f>VLOOKUP(C3387, Lookups!$A$2:$D$10, 2, FALSE())</f>
        <v>Peripheral Source</v>
      </c>
      <c r="R3387" t="str">
        <f>_xlfn.XLOOKUP(D3387, Lookups!$A$12:$A$51, Lookups!$C$12:$C$51, "Unknown")</f>
        <v>Peripherals</v>
      </c>
      <c r="S3387" t="str">
        <f>IF(ISBLANK(I3387), B3387+VLOOKUP(C3387, Lookups!$A$2:$D$10, 4, FALSE()), I3387)</f>
        <v>2025-05-02</v>
      </c>
      <c r="T3387">
        <f t="shared" si="315"/>
        <v>10</v>
      </c>
      <c r="U3387" t="str">
        <f t="shared" si="316"/>
        <v>On-Time</v>
      </c>
      <c r="V3387">
        <f t="shared" si="317"/>
        <v>0</v>
      </c>
    </row>
    <row r="3388" spans="1:22" x14ac:dyDescent="0.45">
      <c r="A3388" t="s">
        <v>4246</v>
      </c>
      <c r="B3388" t="s">
        <v>898</v>
      </c>
      <c r="C3388" t="s">
        <v>35</v>
      </c>
      <c r="D3388" t="s">
        <v>60</v>
      </c>
      <c r="E3388" t="s">
        <v>245</v>
      </c>
      <c r="F3388">
        <v>38</v>
      </c>
      <c r="G3388">
        <v>3291</v>
      </c>
      <c r="H3388">
        <v>125058</v>
      </c>
      <c r="I3388" t="s">
        <v>370</v>
      </c>
      <c r="J3388" t="s">
        <v>651</v>
      </c>
      <c r="K3388">
        <v>38</v>
      </c>
      <c r="L3388">
        <v>0</v>
      </c>
      <c r="M3388" t="s">
        <v>115</v>
      </c>
      <c r="N3388" t="str">
        <f t="shared" si="312"/>
        <v>PO-103387</v>
      </c>
      <c r="O3388" t="str">
        <f t="shared" si="313"/>
        <v>Delivered</v>
      </c>
      <c r="P3388" t="str">
        <f t="shared" si="314"/>
        <v>WH-BOM</v>
      </c>
      <c r="Q3388" t="str">
        <f>VLOOKUP(C3388, Lookups!$A$2:$D$10, 2, FALSE())</f>
        <v>Peripheral Source</v>
      </c>
      <c r="R3388" t="str">
        <f>_xlfn.XLOOKUP(D3388, Lookups!$A$12:$A$51, Lookups!$C$12:$C$51, "Unknown")</f>
        <v>Peripherals</v>
      </c>
      <c r="S3388" t="str">
        <f>IF(ISBLANK(I3388), B3388+VLOOKUP(C3388, Lookups!$A$2:$D$10, 4, FALSE()), I3388)</f>
        <v>2025-11-11</v>
      </c>
      <c r="T3388">
        <f t="shared" si="315"/>
        <v>11</v>
      </c>
      <c r="U3388" t="str">
        <f t="shared" si="316"/>
        <v>Late</v>
      </c>
      <c r="V3388">
        <f t="shared" si="317"/>
        <v>0</v>
      </c>
    </row>
    <row r="3389" spans="1:22" x14ac:dyDescent="0.45">
      <c r="A3389" t="s">
        <v>4247</v>
      </c>
      <c r="B3389" t="s">
        <v>941</v>
      </c>
      <c r="C3389" t="s">
        <v>30</v>
      </c>
      <c r="D3389" t="s">
        <v>53</v>
      </c>
      <c r="E3389" t="s">
        <v>17</v>
      </c>
      <c r="F3389">
        <v>75</v>
      </c>
      <c r="G3389">
        <v>81048</v>
      </c>
      <c r="H3389">
        <v>6078600</v>
      </c>
      <c r="I3389" t="s">
        <v>612</v>
      </c>
      <c r="J3389" t="s">
        <v>612</v>
      </c>
      <c r="K3389">
        <v>75</v>
      </c>
      <c r="L3389">
        <v>0</v>
      </c>
      <c r="M3389" t="s">
        <v>115</v>
      </c>
      <c r="N3389" t="str">
        <f t="shared" si="312"/>
        <v>PO-103388</v>
      </c>
      <c r="O3389" t="str">
        <f t="shared" si="313"/>
        <v>Delivered</v>
      </c>
      <c r="P3389" t="str">
        <f t="shared" si="314"/>
        <v>WH-BLR</v>
      </c>
      <c r="Q3389" t="str">
        <f>VLOOKUP(C3389, Lookups!$A$2:$D$10, 2, FALSE())</f>
        <v>TechSupply Corp</v>
      </c>
      <c r="R3389" t="str">
        <f>_xlfn.XLOOKUP(D3389, Lookups!$A$12:$A$51, Lookups!$C$12:$C$51, "Unknown")</f>
        <v>Electronics</v>
      </c>
      <c r="S3389" t="str">
        <f>IF(ISBLANK(I3389), B3389+VLOOKUP(C3389, Lookups!$A$2:$D$10, 4, FALSE()), I3389)</f>
        <v>2025-02-04</v>
      </c>
      <c r="T3389">
        <f t="shared" si="315"/>
        <v>14</v>
      </c>
      <c r="U3389" t="str">
        <f t="shared" si="316"/>
        <v>On-Time</v>
      </c>
      <c r="V3389">
        <f t="shared" si="317"/>
        <v>0</v>
      </c>
    </row>
    <row r="3390" spans="1:22" x14ac:dyDescent="0.45">
      <c r="A3390" t="s">
        <v>4248</v>
      </c>
      <c r="B3390" t="s">
        <v>741</v>
      </c>
      <c r="C3390" t="s">
        <v>34</v>
      </c>
      <c r="D3390" t="s">
        <v>80</v>
      </c>
      <c r="E3390" t="s">
        <v>16</v>
      </c>
      <c r="F3390">
        <v>188</v>
      </c>
      <c r="G3390">
        <v>19090</v>
      </c>
      <c r="H3390">
        <v>3588920</v>
      </c>
      <c r="I3390" t="s">
        <v>1164</v>
      </c>
      <c r="J3390" t="s">
        <v>497</v>
      </c>
      <c r="K3390">
        <v>188</v>
      </c>
      <c r="L3390">
        <v>0</v>
      </c>
      <c r="M3390" t="s">
        <v>115</v>
      </c>
      <c r="N3390" t="str">
        <f t="shared" si="312"/>
        <v>PO-103389</v>
      </c>
      <c r="O3390" t="str">
        <f t="shared" si="313"/>
        <v>Delivered</v>
      </c>
      <c r="P3390" t="str">
        <f t="shared" si="314"/>
        <v>WH-DEL</v>
      </c>
      <c r="Q3390" t="str">
        <f>VLOOKUP(C3390, Lookups!$A$2:$D$10, 2, FALSE())</f>
        <v>FastElectronics</v>
      </c>
      <c r="R3390" t="str">
        <f>_xlfn.XLOOKUP(D3390, Lookups!$A$12:$A$51, Lookups!$C$12:$C$51, "Unknown")</f>
        <v>Networking</v>
      </c>
      <c r="S3390" t="str">
        <f>IF(ISBLANK(I3390), B3390+VLOOKUP(C3390, Lookups!$A$2:$D$10, 4, FALSE()), I3390)</f>
        <v>2025-03-23</v>
      </c>
      <c r="T3390">
        <f t="shared" si="315"/>
        <v>14</v>
      </c>
      <c r="U3390" t="str">
        <f t="shared" si="316"/>
        <v>On-Time</v>
      </c>
      <c r="V3390">
        <f t="shared" si="317"/>
        <v>0</v>
      </c>
    </row>
    <row r="3391" spans="1:22" x14ac:dyDescent="0.45">
      <c r="A3391" t="s">
        <v>4249</v>
      </c>
      <c r="B3391" t="s">
        <v>176</v>
      </c>
      <c r="C3391" t="s">
        <v>36</v>
      </c>
      <c r="D3391" t="s">
        <v>63</v>
      </c>
      <c r="E3391" t="s">
        <v>15</v>
      </c>
      <c r="F3391">
        <v>82</v>
      </c>
      <c r="G3391">
        <v>71062</v>
      </c>
      <c r="H3391">
        <v>5827084</v>
      </c>
      <c r="I3391" t="s">
        <v>1271</v>
      </c>
      <c r="J3391" t="s">
        <v>1271</v>
      </c>
      <c r="K3391">
        <v>67</v>
      </c>
      <c r="L3391">
        <v>0</v>
      </c>
      <c r="M3391" t="s">
        <v>115</v>
      </c>
      <c r="N3391" t="str">
        <f t="shared" si="312"/>
        <v>PO-103390</v>
      </c>
      <c r="O3391" t="str">
        <f t="shared" si="313"/>
        <v>Delivered</v>
      </c>
      <c r="P3391" t="str">
        <f t="shared" si="314"/>
        <v>WH-BOM</v>
      </c>
      <c r="Q3391" t="str">
        <f>VLOOKUP(C3391, Lookups!$A$2:$D$10, 2, FALSE())</f>
        <v>NextGen Hardware</v>
      </c>
      <c r="R3391" t="str">
        <f>_xlfn.XLOOKUP(D3391, Lookups!$A$12:$A$51, Lookups!$C$12:$C$51, "Unknown")</f>
        <v>Electronics</v>
      </c>
      <c r="S3391" t="str">
        <f>IF(ISBLANK(I3391), B3391+VLOOKUP(C3391, Lookups!$A$2:$D$10, 4, FALSE()), I3391)</f>
        <v>2026-08-31</v>
      </c>
      <c r="T3391">
        <f t="shared" si="315"/>
        <v>24</v>
      </c>
      <c r="U3391" t="str">
        <f t="shared" si="316"/>
        <v>On-Time</v>
      </c>
      <c r="V3391">
        <f t="shared" si="317"/>
        <v>0</v>
      </c>
    </row>
    <row r="3392" spans="1:22" x14ac:dyDescent="0.45">
      <c r="A3392" t="s">
        <v>4250</v>
      </c>
      <c r="B3392" t="s">
        <v>139</v>
      </c>
      <c r="C3392" t="s">
        <v>35</v>
      </c>
      <c r="D3392" t="s">
        <v>57</v>
      </c>
      <c r="E3392" t="s">
        <v>16</v>
      </c>
      <c r="F3392">
        <v>28</v>
      </c>
      <c r="G3392">
        <v>2212</v>
      </c>
      <c r="H3392">
        <v>61936</v>
      </c>
      <c r="I3392" t="s">
        <v>460</v>
      </c>
      <c r="J3392" t="s">
        <v>244</v>
      </c>
      <c r="K3392">
        <v>28</v>
      </c>
      <c r="L3392">
        <v>0</v>
      </c>
      <c r="M3392" t="s">
        <v>115</v>
      </c>
      <c r="N3392" t="str">
        <f t="shared" si="312"/>
        <v>PO-103391</v>
      </c>
      <c r="O3392" t="str">
        <f t="shared" si="313"/>
        <v>Delivered</v>
      </c>
      <c r="P3392" t="str">
        <f t="shared" si="314"/>
        <v>WH-DEL</v>
      </c>
      <c r="Q3392" t="str">
        <f>VLOOKUP(C3392, Lookups!$A$2:$D$10, 2, FALSE())</f>
        <v>Peripheral Source</v>
      </c>
      <c r="R3392" t="str">
        <f>_xlfn.XLOOKUP(D3392, Lookups!$A$12:$A$51, Lookups!$C$12:$C$51, "Unknown")</f>
        <v>Peripherals</v>
      </c>
      <c r="S3392" t="str">
        <f>IF(ISBLANK(I3392), B3392+VLOOKUP(C3392, Lookups!$A$2:$D$10, 4, FALSE()), I3392)</f>
        <v>2025-10-09</v>
      </c>
      <c r="T3392">
        <f t="shared" si="315"/>
        <v>12</v>
      </c>
      <c r="U3392" t="str">
        <f t="shared" si="316"/>
        <v>Late</v>
      </c>
      <c r="V3392">
        <f t="shared" si="317"/>
        <v>0</v>
      </c>
    </row>
    <row r="3393" spans="1:22" x14ac:dyDescent="0.45">
      <c r="A3393" t="s">
        <v>4251</v>
      </c>
      <c r="B3393" t="s">
        <v>2204</v>
      </c>
      <c r="C3393" t="s">
        <v>31</v>
      </c>
      <c r="D3393" t="s">
        <v>56</v>
      </c>
      <c r="E3393" t="s">
        <v>15</v>
      </c>
      <c r="F3393">
        <v>214</v>
      </c>
      <c r="G3393">
        <v>39270</v>
      </c>
      <c r="H3393">
        <v>8403780</v>
      </c>
      <c r="I3393" t="s">
        <v>310</v>
      </c>
      <c r="J3393" t="s">
        <v>310</v>
      </c>
      <c r="K3393">
        <v>214</v>
      </c>
      <c r="L3393">
        <v>0</v>
      </c>
      <c r="M3393" t="s">
        <v>115</v>
      </c>
      <c r="N3393" t="str">
        <f t="shared" si="312"/>
        <v>PO-103392</v>
      </c>
      <c r="O3393" t="str">
        <f t="shared" si="313"/>
        <v>Delivered</v>
      </c>
      <c r="P3393" t="str">
        <f t="shared" si="314"/>
        <v>WH-BOM</v>
      </c>
      <c r="Q3393" t="str">
        <f>VLOOKUP(C3393, Lookups!$A$2:$D$10, 2, FALSE())</f>
        <v>Global Networks</v>
      </c>
      <c r="R3393" t="str">
        <f>_xlfn.XLOOKUP(D3393, Lookups!$A$12:$A$51, Lookups!$C$12:$C$51, "Unknown")</f>
        <v>Networking</v>
      </c>
      <c r="S3393" t="str">
        <f>IF(ISBLANK(I3393), B3393+VLOOKUP(C3393, Lookups!$A$2:$D$10, 4, FALSE()), I3393)</f>
        <v>2025-08-21</v>
      </c>
      <c r="T3393">
        <f t="shared" si="315"/>
        <v>21</v>
      </c>
      <c r="U3393" t="str">
        <f t="shared" si="316"/>
        <v>On-Time</v>
      </c>
      <c r="V3393">
        <f t="shared" si="317"/>
        <v>0</v>
      </c>
    </row>
    <row r="3394" spans="1:22" x14ac:dyDescent="0.45">
      <c r="A3394" t="s">
        <v>4252</v>
      </c>
      <c r="B3394" t="s">
        <v>1218</v>
      </c>
      <c r="C3394" t="s">
        <v>32</v>
      </c>
      <c r="D3394" t="s">
        <v>84</v>
      </c>
      <c r="E3394" t="s">
        <v>18</v>
      </c>
      <c r="F3394">
        <v>150</v>
      </c>
      <c r="G3394">
        <v>7271</v>
      </c>
      <c r="H3394">
        <v>1090650</v>
      </c>
      <c r="I3394" t="s">
        <v>510</v>
      </c>
      <c r="J3394" t="s">
        <v>631</v>
      </c>
      <c r="K3394">
        <v>150</v>
      </c>
      <c r="L3394">
        <v>0</v>
      </c>
      <c r="M3394" t="s">
        <v>115</v>
      </c>
      <c r="N3394" t="str">
        <f t="shared" ref="N3394:N3457" si="318">TRIM(A3394)</f>
        <v>PO-103393</v>
      </c>
      <c r="O3394" t="str">
        <f t="shared" ref="O3394:O3457" si="319">PROPER(TRIM(M3394))</f>
        <v>Delivered</v>
      </c>
      <c r="P3394" t="str">
        <f t="shared" ref="P3394:P3457" si="320">TRIM(E3394)</f>
        <v>WH-PUN</v>
      </c>
      <c r="Q3394" t="str">
        <f>VLOOKUP(C3394, Lookups!$A$2:$D$10, 2, FALSE())</f>
        <v>OfficeDepot Pro</v>
      </c>
      <c r="R3394" t="str">
        <f>_xlfn.XLOOKUP(D3394, Lookups!$A$12:$A$51, Lookups!$C$12:$C$51, "Unknown")</f>
        <v>Peripherals</v>
      </c>
      <c r="S3394" t="str">
        <f>IF(ISBLANK(I3394), B3394+VLOOKUP(C3394, Lookups!$A$2:$D$10, 4, FALSE()), I3394)</f>
        <v>2026-06-26</v>
      </c>
      <c r="T3394">
        <f t="shared" ref="T3394:T3457" si="321">IF(ISBLANK(J3394), "", J3394-B3394)</f>
        <v>8</v>
      </c>
      <c r="U3394" t="str">
        <f t="shared" ref="U3394:U3457" si="322">IF(O3394="Open", "Open", IF(J3394&gt;S3394, "Late", "On-Time"))</f>
        <v>Late</v>
      </c>
      <c r="V3394">
        <f t="shared" ref="V3394:V3457" si="323">IF(K3394&gt;0, L3394/K3394, 0)</f>
        <v>0</v>
      </c>
    </row>
    <row r="3395" spans="1:22" x14ac:dyDescent="0.45">
      <c r="A3395" t="s">
        <v>4253</v>
      </c>
      <c r="B3395" t="s">
        <v>362</v>
      </c>
      <c r="C3395" t="s">
        <v>34</v>
      </c>
      <c r="D3395" t="s">
        <v>74</v>
      </c>
      <c r="E3395" t="s">
        <v>15</v>
      </c>
      <c r="F3395">
        <v>78</v>
      </c>
      <c r="G3395">
        <v>94797</v>
      </c>
      <c r="H3395">
        <v>7394166</v>
      </c>
      <c r="I3395" t="s">
        <v>559</v>
      </c>
      <c r="J3395" t="s">
        <v>688</v>
      </c>
      <c r="K3395">
        <v>78</v>
      </c>
      <c r="L3395">
        <v>0</v>
      </c>
      <c r="M3395" t="s">
        <v>115</v>
      </c>
      <c r="N3395" t="str">
        <f t="shared" si="318"/>
        <v>PO-103394</v>
      </c>
      <c r="O3395" t="str">
        <f t="shared" si="319"/>
        <v>Delivered</v>
      </c>
      <c r="P3395" t="str">
        <f t="shared" si="320"/>
        <v>WH-BOM</v>
      </c>
      <c r="Q3395" t="str">
        <f>VLOOKUP(C3395, Lookups!$A$2:$D$10, 2, FALSE())</f>
        <v>FastElectronics</v>
      </c>
      <c r="R3395" t="str">
        <f>_xlfn.XLOOKUP(D3395, Lookups!$A$12:$A$51, Lookups!$C$12:$C$51, "Unknown")</f>
        <v>Electronics</v>
      </c>
      <c r="S3395" t="str">
        <f>IF(ISBLANK(I3395), B3395+VLOOKUP(C3395, Lookups!$A$2:$D$10, 4, FALSE()), I3395)</f>
        <v>2026-04-19</v>
      </c>
      <c r="T3395">
        <f t="shared" si="321"/>
        <v>28</v>
      </c>
      <c r="U3395" t="str">
        <f t="shared" si="322"/>
        <v>Late</v>
      </c>
      <c r="V3395">
        <f t="shared" si="323"/>
        <v>0</v>
      </c>
    </row>
    <row r="3396" spans="1:22" x14ac:dyDescent="0.45">
      <c r="A3396" t="s">
        <v>4254</v>
      </c>
      <c r="B3396" t="s">
        <v>206</v>
      </c>
      <c r="C3396" t="s">
        <v>31</v>
      </c>
      <c r="D3396" t="s">
        <v>77</v>
      </c>
      <c r="E3396" t="s">
        <v>15</v>
      </c>
      <c r="F3396">
        <v>155</v>
      </c>
      <c r="G3396">
        <v>23667</v>
      </c>
      <c r="H3396">
        <v>3668385</v>
      </c>
      <c r="I3396" t="s">
        <v>1430</v>
      </c>
      <c r="J3396" t="s">
        <v>579</v>
      </c>
      <c r="K3396">
        <v>155</v>
      </c>
      <c r="L3396">
        <v>0</v>
      </c>
      <c r="M3396" t="s">
        <v>115</v>
      </c>
      <c r="N3396" t="str">
        <f t="shared" si="318"/>
        <v>PO-103395</v>
      </c>
      <c r="O3396" t="str">
        <f t="shared" si="319"/>
        <v>Delivered</v>
      </c>
      <c r="P3396" t="str">
        <f t="shared" si="320"/>
        <v>WH-BOM</v>
      </c>
      <c r="Q3396" t="str">
        <f>VLOOKUP(C3396, Lookups!$A$2:$D$10, 2, FALSE())</f>
        <v>Global Networks</v>
      </c>
      <c r="R3396" t="str">
        <f>_xlfn.XLOOKUP(D3396, Lookups!$A$12:$A$51, Lookups!$C$12:$C$51, "Unknown")</f>
        <v>Networking</v>
      </c>
      <c r="S3396" t="str">
        <f>IF(ISBLANK(I3396), B3396+VLOOKUP(C3396, Lookups!$A$2:$D$10, 4, FALSE()), I3396)</f>
        <v>2025-12-28</v>
      </c>
      <c r="T3396">
        <f t="shared" si="321"/>
        <v>22</v>
      </c>
      <c r="U3396" t="str">
        <f t="shared" si="322"/>
        <v>Late</v>
      </c>
      <c r="V3396">
        <f t="shared" si="323"/>
        <v>0</v>
      </c>
    </row>
    <row r="3397" spans="1:22" x14ac:dyDescent="0.45">
      <c r="A3397" t="s">
        <v>4255</v>
      </c>
      <c r="B3397" t="s">
        <v>574</v>
      </c>
      <c r="C3397" t="s">
        <v>36</v>
      </c>
      <c r="D3397" t="s">
        <v>55</v>
      </c>
      <c r="E3397" t="s">
        <v>16</v>
      </c>
      <c r="F3397">
        <v>26</v>
      </c>
      <c r="G3397">
        <v>58434</v>
      </c>
      <c r="H3397">
        <v>1519284</v>
      </c>
      <c r="I3397" t="s">
        <v>724</v>
      </c>
      <c r="J3397" t="s">
        <v>724</v>
      </c>
      <c r="K3397">
        <v>26</v>
      </c>
      <c r="L3397">
        <v>0</v>
      </c>
      <c r="M3397" t="s">
        <v>115</v>
      </c>
      <c r="N3397" t="str">
        <f t="shared" si="318"/>
        <v>PO-103396</v>
      </c>
      <c r="O3397" t="str">
        <f t="shared" si="319"/>
        <v>Delivered</v>
      </c>
      <c r="P3397" t="str">
        <f t="shared" si="320"/>
        <v>WH-DEL</v>
      </c>
      <c r="Q3397" t="str">
        <f>VLOOKUP(C3397, Lookups!$A$2:$D$10, 2, FALSE())</f>
        <v>NextGen Hardware</v>
      </c>
      <c r="R3397" t="str">
        <f>_xlfn.XLOOKUP(D3397, Lookups!$A$12:$A$51, Lookups!$C$12:$C$51, "Unknown")</f>
        <v>Electronics</v>
      </c>
      <c r="S3397" t="str">
        <f>IF(ISBLANK(I3397), B3397+VLOOKUP(C3397, Lookups!$A$2:$D$10, 4, FALSE()), I3397)</f>
        <v>2026-05-25</v>
      </c>
      <c r="T3397">
        <f t="shared" si="321"/>
        <v>24</v>
      </c>
      <c r="U3397" t="str">
        <f t="shared" si="322"/>
        <v>On-Time</v>
      </c>
      <c r="V3397">
        <f t="shared" si="323"/>
        <v>0</v>
      </c>
    </row>
    <row r="3398" spans="1:22" x14ac:dyDescent="0.45">
      <c r="A3398" t="s">
        <v>4256</v>
      </c>
      <c r="B3398" t="s">
        <v>401</v>
      </c>
      <c r="C3398" t="s">
        <v>30</v>
      </c>
      <c r="D3398" t="s">
        <v>59</v>
      </c>
      <c r="E3398" t="s">
        <v>15</v>
      </c>
      <c r="F3398">
        <v>30</v>
      </c>
      <c r="G3398">
        <v>48905</v>
      </c>
      <c r="H3398">
        <v>1467150</v>
      </c>
      <c r="I3398" t="s">
        <v>753</v>
      </c>
      <c r="J3398" t="s">
        <v>829</v>
      </c>
      <c r="K3398">
        <v>30</v>
      </c>
      <c r="L3398">
        <v>0</v>
      </c>
      <c r="M3398" t="s">
        <v>115</v>
      </c>
      <c r="N3398" t="str">
        <f t="shared" si="318"/>
        <v>PO-103397</v>
      </c>
      <c r="O3398" t="str">
        <f t="shared" si="319"/>
        <v>Delivered</v>
      </c>
      <c r="P3398" t="str">
        <f t="shared" si="320"/>
        <v>WH-BOM</v>
      </c>
      <c r="Q3398" t="str">
        <f>VLOOKUP(C3398, Lookups!$A$2:$D$10, 2, FALSE())</f>
        <v>TechSupply Corp</v>
      </c>
      <c r="R3398" t="str">
        <f>_xlfn.XLOOKUP(D3398, Lookups!$A$12:$A$51, Lookups!$C$12:$C$51, "Unknown")</f>
        <v>Electronics</v>
      </c>
      <c r="S3398" t="str">
        <f>IF(ISBLANK(I3398), B3398+VLOOKUP(C3398, Lookups!$A$2:$D$10, 4, FALSE()), I3398)</f>
        <v>2025-12-23</v>
      </c>
      <c r="T3398">
        <f t="shared" si="321"/>
        <v>15</v>
      </c>
      <c r="U3398" t="str">
        <f t="shared" si="322"/>
        <v>Late</v>
      </c>
      <c r="V3398">
        <f t="shared" si="323"/>
        <v>0</v>
      </c>
    </row>
    <row r="3399" spans="1:22" x14ac:dyDescent="0.45">
      <c r="A3399" t="s">
        <v>4257</v>
      </c>
      <c r="B3399" t="s">
        <v>911</v>
      </c>
      <c r="C3399" t="s">
        <v>34</v>
      </c>
      <c r="D3399" t="s">
        <v>68</v>
      </c>
      <c r="E3399" t="s">
        <v>16</v>
      </c>
      <c r="F3399">
        <v>202</v>
      </c>
      <c r="G3399">
        <v>41405</v>
      </c>
      <c r="H3399">
        <v>8363810</v>
      </c>
      <c r="I3399" t="s">
        <v>480</v>
      </c>
      <c r="J3399" t="s">
        <v>480</v>
      </c>
      <c r="K3399">
        <v>202</v>
      </c>
      <c r="L3399">
        <v>4</v>
      </c>
      <c r="M3399" t="s">
        <v>115</v>
      </c>
      <c r="N3399" t="str">
        <f t="shared" si="318"/>
        <v>PO-103398</v>
      </c>
      <c r="O3399" t="str">
        <f t="shared" si="319"/>
        <v>Delivered</v>
      </c>
      <c r="P3399" t="str">
        <f t="shared" si="320"/>
        <v>WH-DEL</v>
      </c>
      <c r="Q3399" t="str">
        <f>VLOOKUP(C3399, Lookups!$A$2:$D$10, 2, FALSE())</f>
        <v>FastElectronics</v>
      </c>
      <c r="R3399" t="str">
        <f>_xlfn.XLOOKUP(D3399, Lookups!$A$12:$A$51, Lookups!$C$12:$C$51, "Unknown")</f>
        <v>Networking</v>
      </c>
      <c r="S3399" t="str">
        <f>IF(ISBLANK(I3399), B3399+VLOOKUP(C3399, Lookups!$A$2:$D$10, 4, FALSE()), I3399)</f>
        <v>2025-04-27</v>
      </c>
      <c r="T3399">
        <f t="shared" si="321"/>
        <v>18</v>
      </c>
      <c r="U3399" t="str">
        <f t="shared" si="322"/>
        <v>On-Time</v>
      </c>
      <c r="V3399">
        <f t="shared" si="323"/>
        <v>1.9801980198019802E-2</v>
      </c>
    </row>
    <row r="3400" spans="1:22" x14ac:dyDescent="0.45">
      <c r="A3400" t="s">
        <v>4258</v>
      </c>
      <c r="B3400" t="s">
        <v>1318</v>
      </c>
      <c r="C3400" t="s">
        <v>37</v>
      </c>
      <c r="D3400" t="s">
        <v>78</v>
      </c>
      <c r="E3400" t="s">
        <v>17</v>
      </c>
      <c r="F3400">
        <v>12</v>
      </c>
      <c r="G3400">
        <v>9423</v>
      </c>
      <c r="H3400">
        <v>113076</v>
      </c>
      <c r="I3400" t="s">
        <v>734</v>
      </c>
      <c r="J3400" t="s">
        <v>615</v>
      </c>
      <c r="K3400">
        <v>12</v>
      </c>
      <c r="L3400">
        <v>0</v>
      </c>
      <c r="M3400" t="s">
        <v>115</v>
      </c>
      <c r="N3400" t="str">
        <f t="shared" si="318"/>
        <v>PO-103399</v>
      </c>
      <c r="O3400" t="str">
        <f t="shared" si="319"/>
        <v>Delivered</v>
      </c>
      <c r="P3400" t="str">
        <f t="shared" si="320"/>
        <v>WH-BLR</v>
      </c>
      <c r="Q3400" t="str">
        <f>VLOOKUP(C3400, Lookups!$A$2:$D$10, 2, FALSE())</f>
        <v>Premium Desks Ltd</v>
      </c>
      <c r="R3400" t="str">
        <f>_xlfn.XLOOKUP(D3400, Lookups!$A$12:$A$51, Lookups!$C$12:$C$51, "Unknown")</f>
        <v>Office Furniture</v>
      </c>
      <c r="S3400" t="str">
        <f>IF(ISBLANK(I3400), B3400+VLOOKUP(C3400, Lookups!$A$2:$D$10, 4, FALSE()), I3400)</f>
        <v>2026-11-06</v>
      </c>
      <c r="T3400">
        <f t="shared" si="321"/>
        <v>13</v>
      </c>
      <c r="U3400" t="str">
        <f t="shared" si="322"/>
        <v>Late</v>
      </c>
      <c r="V3400">
        <f t="shared" si="323"/>
        <v>0</v>
      </c>
    </row>
    <row r="3401" spans="1:22" x14ac:dyDescent="0.45">
      <c r="A3401" t="s">
        <v>4259</v>
      </c>
      <c r="B3401" t="s">
        <v>1235</v>
      </c>
      <c r="C3401" t="s">
        <v>30</v>
      </c>
      <c r="D3401" t="s">
        <v>59</v>
      </c>
      <c r="E3401" t="s">
        <v>15</v>
      </c>
      <c r="F3401">
        <v>137</v>
      </c>
      <c r="G3401">
        <v>48905</v>
      </c>
      <c r="H3401">
        <v>6699985</v>
      </c>
      <c r="I3401" t="s">
        <v>1236</v>
      </c>
      <c r="J3401" t="s">
        <v>252</v>
      </c>
      <c r="K3401">
        <v>137</v>
      </c>
      <c r="L3401">
        <v>5</v>
      </c>
      <c r="M3401" t="s">
        <v>115</v>
      </c>
      <c r="N3401" t="str">
        <f t="shared" si="318"/>
        <v>PO-103400</v>
      </c>
      <c r="O3401" t="str">
        <f t="shared" si="319"/>
        <v>Delivered</v>
      </c>
      <c r="P3401" t="str">
        <f t="shared" si="320"/>
        <v>WH-BOM</v>
      </c>
      <c r="Q3401" t="str">
        <f>VLOOKUP(C3401, Lookups!$A$2:$D$10, 2, FALSE())</f>
        <v>TechSupply Corp</v>
      </c>
      <c r="R3401" t="str">
        <f>_xlfn.XLOOKUP(D3401, Lookups!$A$12:$A$51, Lookups!$C$12:$C$51, "Unknown")</f>
        <v>Electronics</v>
      </c>
      <c r="S3401" t="str">
        <f>IF(ISBLANK(I3401), B3401+VLOOKUP(C3401, Lookups!$A$2:$D$10, 4, FALSE()), I3401)</f>
        <v>2025-08-23</v>
      </c>
      <c r="T3401">
        <f t="shared" si="321"/>
        <v>10</v>
      </c>
      <c r="U3401" t="str">
        <f t="shared" si="322"/>
        <v>On-Time</v>
      </c>
      <c r="V3401">
        <f t="shared" si="323"/>
        <v>3.6496350364963501E-2</v>
      </c>
    </row>
    <row r="3402" spans="1:22" x14ac:dyDescent="0.45">
      <c r="A3402" t="s">
        <v>4260</v>
      </c>
      <c r="B3402" t="s">
        <v>399</v>
      </c>
      <c r="C3402" t="s">
        <v>34</v>
      </c>
      <c r="D3402" t="s">
        <v>54</v>
      </c>
      <c r="E3402" t="s">
        <v>17</v>
      </c>
      <c r="F3402">
        <v>92</v>
      </c>
      <c r="G3402">
        <v>22314</v>
      </c>
      <c r="H3402">
        <v>2052888</v>
      </c>
      <c r="I3402" t="s">
        <v>207</v>
      </c>
      <c r="J3402" t="s">
        <v>207</v>
      </c>
      <c r="K3402">
        <v>92</v>
      </c>
      <c r="L3402">
        <v>9</v>
      </c>
      <c r="M3402" t="s">
        <v>115</v>
      </c>
      <c r="N3402" t="str">
        <f t="shared" si="318"/>
        <v>PO-103401</v>
      </c>
      <c r="O3402" t="str">
        <f t="shared" si="319"/>
        <v>Delivered</v>
      </c>
      <c r="P3402" t="str">
        <f t="shared" si="320"/>
        <v>WH-BLR</v>
      </c>
      <c r="Q3402" t="str">
        <f>VLOOKUP(C3402, Lookups!$A$2:$D$10, 2, FALSE())</f>
        <v>FastElectronics</v>
      </c>
      <c r="R3402" t="str">
        <f>_xlfn.XLOOKUP(D3402, Lookups!$A$12:$A$51, Lookups!$C$12:$C$51, "Unknown")</f>
        <v>Networking</v>
      </c>
      <c r="S3402" t="str">
        <f>IF(ISBLANK(I3402), B3402+VLOOKUP(C3402, Lookups!$A$2:$D$10, 4, FALSE()), I3402)</f>
        <v>2025-12-14</v>
      </c>
      <c r="T3402">
        <f t="shared" si="321"/>
        <v>18</v>
      </c>
      <c r="U3402" t="str">
        <f t="shared" si="322"/>
        <v>On-Time</v>
      </c>
      <c r="V3402">
        <f t="shared" si="323"/>
        <v>9.7826086956521743E-2</v>
      </c>
    </row>
    <row r="3403" spans="1:22" x14ac:dyDescent="0.45">
      <c r="A3403" t="s">
        <v>4261</v>
      </c>
      <c r="B3403" t="s">
        <v>322</v>
      </c>
      <c r="C3403" t="s">
        <v>34</v>
      </c>
      <c r="D3403" t="s">
        <v>54</v>
      </c>
      <c r="E3403" t="s">
        <v>18</v>
      </c>
      <c r="F3403">
        <v>182</v>
      </c>
      <c r="G3403">
        <v>22314</v>
      </c>
      <c r="H3403">
        <v>4061148</v>
      </c>
      <c r="I3403" t="s">
        <v>587</v>
      </c>
      <c r="J3403" t="s">
        <v>444</v>
      </c>
      <c r="K3403">
        <v>182</v>
      </c>
      <c r="L3403">
        <v>0</v>
      </c>
      <c r="M3403" t="s">
        <v>115</v>
      </c>
      <c r="N3403" t="str">
        <f t="shared" si="318"/>
        <v>PO-103402</v>
      </c>
      <c r="O3403" t="str">
        <f t="shared" si="319"/>
        <v>Delivered</v>
      </c>
      <c r="P3403" t="str">
        <f t="shared" si="320"/>
        <v>WH-PUN</v>
      </c>
      <c r="Q3403" t="str">
        <f>VLOOKUP(C3403, Lookups!$A$2:$D$10, 2, FALSE())</f>
        <v>FastElectronics</v>
      </c>
      <c r="R3403" t="str">
        <f>_xlfn.XLOOKUP(D3403, Lookups!$A$12:$A$51, Lookups!$C$12:$C$51, "Unknown")</f>
        <v>Networking</v>
      </c>
      <c r="S3403" t="str">
        <f>IF(ISBLANK(I3403), B3403+VLOOKUP(C3403, Lookups!$A$2:$D$10, 4, FALSE()), I3403)</f>
        <v>2026-04-11</v>
      </c>
      <c r="T3403">
        <f t="shared" si="321"/>
        <v>19</v>
      </c>
      <c r="U3403" t="str">
        <f t="shared" si="322"/>
        <v>Late</v>
      </c>
      <c r="V3403">
        <f t="shared" si="323"/>
        <v>0</v>
      </c>
    </row>
    <row r="3404" spans="1:22" x14ac:dyDescent="0.45">
      <c r="A3404" t="s">
        <v>4262</v>
      </c>
      <c r="B3404" t="s">
        <v>393</v>
      </c>
      <c r="C3404" t="s">
        <v>37</v>
      </c>
      <c r="D3404" t="s">
        <v>78</v>
      </c>
      <c r="E3404" t="s">
        <v>15</v>
      </c>
      <c r="F3404">
        <v>35</v>
      </c>
      <c r="G3404">
        <v>9423</v>
      </c>
      <c r="H3404">
        <v>329805</v>
      </c>
      <c r="I3404" t="s">
        <v>728</v>
      </c>
      <c r="J3404" t="s">
        <v>728</v>
      </c>
      <c r="K3404">
        <v>35</v>
      </c>
      <c r="L3404">
        <v>0</v>
      </c>
      <c r="M3404" t="s">
        <v>115</v>
      </c>
      <c r="N3404" t="str">
        <f t="shared" si="318"/>
        <v>PO-103403</v>
      </c>
      <c r="O3404" t="str">
        <f t="shared" si="319"/>
        <v>Delivered</v>
      </c>
      <c r="P3404" t="str">
        <f t="shared" si="320"/>
        <v>WH-BOM</v>
      </c>
      <c r="Q3404" t="str">
        <f>VLOOKUP(C3404, Lookups!$A$2:$D$10, 2, FALSE())</f>
        <v>Premium Desks Ltd</v>
      </c>
      <c r="R3404" t="str">
        <f>_xlfn.XLOOKUP(D3404, Lookups!$A$12:$A$51, Lookups!$C$12:$C$51, "Unknown")</f>
        <v>Office Furniture</v>
      </c>
      <c r="S3404" t="str">
        <f>IF(ISBLANK(I3404), B3404+VLOOKUP(C3404, Lookups!$A$2:$D$10, 4, FALSE()), I3404)</f>
        <v>2025-09-10</v>
      </c>
      <c r="T3404">
        <f t="shared" si="321"/>
        <v>12</v>
      </c>
      <c r="U3404" t="str">
        <f t="shared" si="322"/>
        <v>On-Time</v>
      </c>
      <c r="V3404">
        <f t="shared" si="323"/>
        <v>0</v>
      </c>
    </row>
    <row r="3405" spans="1:22" x14ac:dyDescent="0.45">
      <c r="A3405" t="s">
        <v>4263</v>
      </c>
      <c r="B3405" t="s">
        <v>999</v>
      </c>
      <c r="C3405" t="s">
        <v>34</v>
      </c>
      <c r="D3405" t="s">
        <v>58</v>
      </c>
      <c r="E3405" t="s">
        <v>17</v>
      </c>
      <c r="F3405">
        <v>207</v>
      </c>
      <c r="G3405">
        <v>100302</v>
      </c>
      <c r="H3405">
        <v>20762514</v>
      </c>
      <c r="I3405" t="s">
        <v>556</v>
      </c>
      <c r="J3405" t="s">
        <v>1211</v>
      </c>
      <c r="K3405">
        <v>207</v>
      </c>
      <c r="L3405">
        <v>0</v>
      </c>
      <c r="M3405" t="s">
        <v>115</v>
      </c>
      <c r="N3405" t="str">
        <f t="shared" si="318"/>
        <v>PO-103404</v>
      </c>
      <c r="O3405" t="str">
        <f t="shared" si="319"/>
        <v>Delivered</v>
      </c>
      <c r="P3405" t="str">
        <f t="shared" si="320"/>
        <v>WH-BLR</v>
      </c>
      <c r="Q3405" t="str">
        <f>VLOOKUP(C3405, Lookups!$A$2:$D$10, 2, FALSE())</f>
        <v>FastElectronics</v>
      </c>
      <c r="R3405" t="str">
        <f>_xlfn.XLOOKUP(D3405, Lookups!$A$12:$A$51, Lookups!$C$12:$C$51, "Unknown")</f>
        <v>Electronics</v>
      </c>
      <c r="S3405" t="str">
        <f>IF(ISBLANK(I3405), B3405+VLOOKUP(C3405, Lookups!$A$2:$D$10, 4, FALSE()), I3405)</f>
        <v>2026-09-15</v>
      </c>
      <c r="T3405">
        <f t="shared" si="321"/>
        <v>32</v>
      </c>
      <c r="U3405" t="str">
        <f t="shared" si="322"/>
        <v>Late</v>
      </c>
      <c r="V3405">
        <f t="shared" si="323"/>
        <v>0</v>
      </c>
    </row>
    <row r="3406" spans="1:22" x14ac:dyDescent="0.45">
      <c r="A3406" t="s">
        <v>4264</v>
      </c>
      <c r="B3406" t="s">
        <v>844</v>
      </c>
      <c r="C3406" t="s">
        <v>36</v>
      </c>
      <c r="D3406" t="s">
        <v>62</v>
      </c>
      <c r="E3406" t="s">
        <v>18</v>
      </c>
      <c r="F3406">
        <v>191</v>
      </c>
      <c r="G3406">
        <v>48478</v>
      </c>
      <c r="H3406">
        <v>9259298</v>
      </c>
      <c r="I3406" t="s">
        <v>160</v>
      </c>
      <c r="J3406" t="s">
        <v>327</v>
      </c>
      <c r="K3406">
        <v>191</v>
      </c>
      <c r="L3406">
        <v>0</v>
      </c>
      <c r="M3406" t="s">
        <v>115</v>
      </c>
      <c r="N3406" t="str">
        <f t="shared" si="318"/>
        <v>PO-103405</v>
      </c>
      <c r="O3406" t="str">
        <f t="shared" si="319"/>
        <v>Delivered</v>
      </c>
      <c r="P3406" t="str">
        <f t="shared" si="320"/>
        <v>WH-PUN</v>
      </c>
      <c r="Q3406" t="str">
        <f>VLOOKUP(C3406, Lookups!$A$2:$D$10, 2, FALSE())</f>
        <v>NextGen Hardware</v>
      </c>
      <c r="R3406" t="str">
        <f>_xlfn.XLOOKUP(D3406, Lookups!$A$12:$A$51, Lookups!$C$12:$C$51, "Unknown")</f>
        <v>Electronics</v>
      </c>
      <c r="S3406" t="str">
        <f>IF(ISBLANK(I3406), B3406+VLOOKUP(C3406, Lookups!$A$2:$D$10, 4, FALSE()), I3406)</f>
        <v>2025-05-22</v>
      </c>
      <c r="T3406">
        <f t="shared" si="321"/>
        <v>38</v>
      </c>
      <c r="U3406" t="str">
        <f t="shared" si="322"/>
        <v>Late</v>
      </c>
      <c r="V3406">
        <f t="shared" si="323"/>
        <v>0</v>
      </c>
    </row>
    <row r="3407" spans="1:22" x14ac:dyDescent="0.45">
      <c r="A3407" t="s">
        <v>4265</v>
      </c>
      <c r="B3407" t="s">
        <v>1370</v>
      </c>
      <c r="C3407" t="s">
        <v>36</v>
      </c>
      <c r="D3407" t="s">
        <v>63</v>
      </c>
      <c r="E3407" t="s">
        <v>18</v>
      </c>
      <c r="F3407">
        <v>229</v>
      </c>
      <c r="G3407">
        <v>71062</v>
      </c>
      <c r="H3407">
        <v>16273198</v>
      </c>
      <c r="I3407" t="s">
        <v>672</v>
      </c>
      <c r="J3407" t="s">
        <v>672</v>
      </c>
      <c r="K3407">
        <v>229</v>
      </c>
      <c r="L3407">
        <v>0</v>
      </c>
      <c r="M3407" t="s">
        <v>115</v>
      </c>
      <c r="N3407" t="str">
        <f t="shared" si="318"/>
        <v>PO-103406</v>
      </c>
      <c r="O3407" t="str">
        <f t="shared" si="319"/>
        <v>Delivered</v>
      </c>
      <c r="P3407" t="str">
        <f t="shared" si="320"/>
        <v>WH-PUN</v>
      </c>
      <c r="Q3407" t="str">
        <f>VLOOKUP(C3407, Lookups!$A$2:$D$10, 2, FALSE())</f>
        <v>NextGen Hardware</v>
      </c>
      <c r="R3407" t="str">
        <f>_xlfn.XLOOKUP(D3407, Lookups!$A$12:$A$51, Lookups!$C$12:$C$51, "Unknown")</f>
        <v>Electronics</v>
      </c>
      <c r="S3407" t="str">
        <f>IF(ISBLANK(I3407), B3407+VLOOKUP(C3407, Lookups!$A$2:$D$10, 4, FALSE()), I3407)</f>
        <v>2026-11-14</v>
      </c>
      <c r="T3407">
        <f t="shared" si="321"/>
        <v>24</v>
      </c>
      <c r="U3407" t="str">
        <f t="shared" si="322"/>
        <v>On-Time</v>
      </c>
      <c r="V3407">
        <f t="shared" si="323"/>
        <v>0</v>
      </c>
    </row>
    <row r="3408" spans="1:22" x14ac:dyDescent="0.45">
      <c r="A3408" t="s">
        <v>4266</v>
      </c>
      <c r="B3408" t="s">
        <v>1584</v>
      </c>
      <c r="C3408" t="s">
        <v>35</v>
      </c>
      <c r="D3408" t="s">
        <v>91</v>
      </c>
      <c r="E3408" t="s">
        <v>16</v>
      </c>
      <c r="F3408">
        <v>214</v>
      </c>
      <c r="G3408">
        <v>6707</v>
      </c>
      <c r="H3408">
        <v>1435298</v>
      </c>
      <c r="I3408" t="s">
        <v>1252</v>
      </c>
      <c r="J3408" t="s">
        <v>1252</v>
      </c>
      <c r="K3408">
        <v>214</v>
      </c>
      <c r="L3408">
        <v>0</v>
      </c>
      <c r="M3408" t="s">
        <v>115</v>
      </c>
      <c r="N3408" t="str">
        <f t="shared" si="318"/>
        <v>PO-103407</v>
      </c>
      <c r="O3408" t="str">
        <f t="shared" si="319"/>
        <v>Delivered</v>
      </c>
      <c r="P3408" t="str">
        <f t="shared" si="320"/>
        <v>WH-DEL</v>
      </c>
      <c r="Q3408" t="str">
        <f>VLOOKUP(C3408, Lookups!$A$2:$D$10, 2, FALSE())</f>
        <v>Peripheral Source</v>
      </c>
      <c r="R3408" t="str">
        <f>_xlfn.XLOOKUP(D3408, Lookups!$A$12:$A$51, Lookups!$C$12:$C$51, "Unknown")</f>
        <v>Peripherals</v>
      </c>
      <c r="S3408" t="str">
        <f>IF(ISBLANK(I3408), B3408+VLOOKUP(C3408, Lookups!$A$2:$D$10, 4, FALSE()), I3408)</f>
        <v>2025-10-01</v>
      </c>
      <c r="T3408">
        <f t="shared" si="321"/>
        <v>10</v>
      </c>
      <c r="U3408" t="str">
        <f t="shared" si="322"/>
        <v>On-Time</v>
      </c>
      <c r="V3408">
        <f t="shared" si="323"/>
        <v>0</v>
      </c>
    </row>
    <row r="3409" spans="1:22" x14ac:dyDescent="0.45">
      <c r="A3409" t="s">
        <v>4267</v>
      </c>
      <c r="B3409" t="s">
        <v>266</v>
      </c>
      <c r="C3409" t="s">
        <v>30</v>
      </c>
      <c r="D3409" t="s">
        <v>61</v>
      </c>
      <c r="E3409" t="s">
        <v>18</v>
      </c>
      <c r="F3409">
        <v>119</v>
      </c>
      <c r="G3409">
        <v>111237</v>
      </c>
      <c r="H3409">
        <v>13237203</v>
      </c>
      <c r="I3409" t="s">
        <v>285</v>
      </c>
      <c r="J3409" t="s">
        <v>285</v>
      </c>
      <c r="K3409">
        <v>119</v>
      </c>
      <c r="L3409">
        <v>0</v>
      </c>
      <c r="M3409" t="s">
        <v>115</v>
      </c>
      <c r="N3409" t="str">
        <f t="shared" si="318"/>
        <v>PO-103408</v>
      </c>
      <c r="O3409" t="str">
        <f t="shared" si="319"/>
        <v>Delivered</v>
      </c>
      <c r="P3409" t="str">
        <f t="shared" si="320"/>
        <v>WH-PUN</v>
      </c>
      <c r="Q3409" t="str">
        <f>VLOOKUP(C3409, Lookups!$A$2:$D$10, 2, FALSE())</f>
        <v>TechSupply Corp</v>
      </c>
      <c r="R3409" t="str">
        <f>_xlfn.XLOOKUP(D3409, Lookups!$A$12:$A$51, Lookups!$C$12:$C$51, "Unknown")</f>
        <v>Electronics</v>
      </c>
      <c r="S3409" t="str">
        <f>IF(ISBLANK(I3409), B3409+VLOOKUP(C3409, Lookups!$A$2:$D$10, 4, FALSE()), I3409)</f>
        <v>2025-03-01</v>
      </c>
      <c r="T3409">
        <f t="shared" si="321"/>
        <v>14</v>
      </c>
      <c r="U3409" t="str">
        <f t="shared" si="322"/>
        <v>On-Time</v>
      </c>
      <c r="V3409">
        <f t="shared" si="323"/>
        <v>0</v>
      </c>
    </row>
    <row r="3410" spans="1:22" x14ac:dyDescent="0.45">
      <c r="A3410" t="s">
        <v>4268</v>
      </c>
      <c r="B3410" t="s">
        <v>1084</v>
      </c>
      <c r="C3410" t="s">
        <v>36</v>
      </c>
      <c r="D3410" t="s">
        <v>90</v>
      </c>
      <c r="E3410" t="s">
        <v>18</v>
      </c>
      <c r="F3410">
        <v>225</v>
      </c>
      <c r="G3410">
        <v>81434</v>
      </c>
      <c r="H3410">
        <v>18322650</v>
      </c>
      <c r="I3410" t="s">
        <v>150</v>
      </c>
      <c r="J3410" t="s">
        <v>151</v>
      </c>
      <c r="K3410">
        <v>225</v>
      </c>
      <c r="L3410">
        <v>0</v>
      </c>
      <c r="M3410" t="s">
        <v>115</v>
      </c>
      <c r="N3410" t="str">
        <f t="shared" si="318"/>
        <v>PO-103409</v>
      </c>
      <c r="O3410" t="str">
        <f t="shared" si="319"/>
        <v>Delivered</v>
      </c>
      <c r="P3410" t="str">
        <f t="shared" si="320"/>
        <v>WH-PUN</v>
      </c>
      <c r="Q3410" t="str">
        <f>VLOOKUP(C3410, Lookups!$A$2:$D$10, 2, FALSE())</f>
        <v>NextGen Hardware</v>
      </c>
      <c r="R3410" t="str">
        <f>_xlfn.XLOOKUP(D3410, Lookups!$A$12:$A$51, Lookups!$C$12:$C$51, "Unknown")</f>
        <v>Electronics</v>
      </c>
      <c r="S3410" t="str">
        <f>IF(ISBLANK(I3410), B3410+VLOOKUP(C3410, Lookups!$A$2:$D$10, 4, FALSE()), I3410)</f>
        <v>2026-04-13</v>
      </c>
      <c r="T3410">
        <f t="shared" si="321"/>
        <v>25</v>
      </c>
      <c r="U3410" t="str">
        <f t="shared" si="322"/>
        <v>Late</v>
      </c>
      <c r="V3410">
        <f t="shared" si="323"/>
        <v>0</v>
      </c>
    </row>
    <row r="3411" spans="1:22" x14ac:dyDescent="0.45">
      <c r="A3411" t="s">
        <v>4269</v>
      </c>
      <c r="B3411" t="s">
        <v>259</v>
      </c>
      <c r="C3411" t="s">
        <v>34</v>
      </c>
      <c r="D3411" t="s">
        <v>73</v>
      </c>
      <c r="E3411" t="s">
        <v>15</v>
      </c>
      <c r="F3411">
        <v>206</v>
      </c>
      <c r="G3411">
        <v>58396</v>
      </c>
      <c r="H3411">
        <v>12029576</v>
      </c>
      <c r="I3411" t="s">
        <v>185</v>
      </c>
      <c r="J3411" t="s">
        <v>476</v>
      </c>
      <c r="K3411">
        <v>206</v>
      </c>
      <c r="L3411">
        <v>0</v>
      </c>
      <c r="M3411" t="s">
        <v>115</v>
      </c>
      <c r="N3411" t="str">
        <f t="shared" si="318"/>
        <v>PO-103410</v>
      </c>
      <c r="O3411" t="str">
        <f t="shared" si="319"/>
        <v>Delivered</v>
      </c>
      <c r="P3411" t="str">
        <f t="shared" si="320"/>
        <v>WH-BOM</v>
      </c>
      <c r="Q3411" t="str">
        <f>VLOOKUP(C3411, Lookups!$A$2:$D$10, 2, FALSE())</f>
        <v>FastElectronics</v>
      </c>
      <c r="R3411" t="str">
        <f>_xlfn.XLOOKUP(D3411, Lookups!$A$12:$A$51, Lookups!$C$12:$C$51, "Unknown")</f>
        <v>Electronics</v>
      </c>
      <c r="S3411" t="str">
        <f>IF(ISBLANK(I3411), B3411+VLOOKUP(C3411, Lookups!$A$2:$D$10, 4, FALSE()), I3411)</f>
        <v>2025-02-26</v>
      </c>
      <c r="T3411">
        <f t="shared" si="321"/>
        <v>30</v>
      </c>
      <c r="U3411" t="str">
        <f t="shared" si="322"/>
        <v>Late</v>
      </c>
      <c r="V3411">
        <f t="shared" si="323"/>
        <v>0</v>
      </c>
    </row>
    <row r="3412" spans="1:22" x14ac:dyDescent="0.45">
      <c r="A3412" t="s">
        <v>4270</v>
      </c>
      <c r="B3412" t="s">
        <v>1058</v>
      </c>
      <c r="C3412" t="s">
        <v>30</v>
      </c>
      <c r="D3412" t="s">
        <v>61</v>
      </c>
      <c r="E3412" t="s">
        <v>17</v>
      </c>
      <c r="F3412">
        <v>58</v>
      </c>
      <c r="G3412">
        <v>111237</v>
      </c>
      <c r="H3412">
        <v>6451746</v>
      </c>
      <c r="I3412" t="s">
        <v>411</v>
      </c>
      <c r="J3412" t="s">
        <v>415</v>
      </c>
      <c r="K3412">
        <v>58</v>
      </c>
      <c r="L3412">
        <v>0</v>
      </c>
      <c r="M3412" t="s">
        <v>115</v>
      </c>
      <c r="N3412" t="str">
        <f t="shared" si="318"/>
        <v>PO-103411</v>
      </c>
      <c r="O3412" t="str">
        <f t="shared" si="319"/>
        <v>Delivered</v>
      </c>
      <c r="P3412" t="str">
        <f t="shared" si="320"/>
        <v>WH-BLR</v>
      </c>
      <c r="Q3412" t="str">
        <f>VLOOKUP(C3412, Lookups!$A$2:$D$10, 2, FALSE())</f>
        <v>TechSupply Corp</v>
      </c>
      <c r="R3412" t="str">
        <f>_xlfn.XLOOKUP(D3412, Lookups!$A$12:$A$51, Lookups!$C$12:$C$51, "Unknown")</f>
        <v>Electronics</v>
      </c>
      <c r="S3412" t="str">
        <f>IF(ISBLANK(I3412), B3412+VLOOKUP(C3412, Lookups!$A$2:$D$10, 4, FALSE()), I3412)</f>
        <v>2026-05-09</v>
      </c>
      <c r="T3412">
        <f t="shared" si="321"/>
        <v>22</v>
      </c>
      <c r="U3412" t="str">
        <f t="shared" si="322"/>
        <v>Late</v>
      </c>
      <c r="V3412">
        <f t="shared" si="323"/>
        <v>0</v>
      </c>
    </row>
    <row r="3413" spans="1:22" x14ac:dyDescent="0.45">
      <c r="A3413" t="s">
        <v>4271</v>
      </c>
      <c r="B3413" t="s">
        <v>391</v>
      </c>
      <c r="C3413" t="s">
        <v>31</v>
      </c>
      <c r="D3413" t="s">
        <v>66</v>
      </c>
      <c r="E3413" t="s">
        <v>18</v>
      </c>
      <c r="F3413">
        <v>126</v>
      </c>
      <c r="G3413">
        <v>29719</v>
      </c>
      <c r="H3413">
        <v>3744594</v>
      </c>
      <c r="I3413" t="s">
        <v>114</v>
      </c>
      <c r="J3413" t="s">
        <v>114</v>
      </c>
      <c r="K3413">
        <v>63</v>
      </c>
      <c r="L3413">
        <v>0</v>
      </c>
      <c r="M3413" t="s">
        <v>115</v>
      </c>
      <c r="N3413" t="str">
        <f t="shared" si="318"/>
        <v>PO-103412</v>
      </c>
      <c r="O3413" t="str">
        <f t="shared" si="319"/>
        <v>Delivered</v>
      </c>
      <c r="P3413" t="str">
        <f t="shared" si="320"/>
        <v>WH-PUN</v>
      </c>
      <c r="Q3413" t="str">
        <f>VLOOKUP(C3413, Lookups!$A$2:$D$10, 2, FALSE())</f>
        <v>Global Networks</v>
      </c>
      <c r="R3413" t="str">
        <f>_xlfn.XLOOKUP(D3413, Lookups!$A$12:$A$51, Lookups!$C$12:$C$51, "Unknown")</f>
        <v>Networking</v>
      </c>
      <c r="S3413" t="str">
        <f>IF(ISBLANK(I3413), B3413+VLOOKUP(C3413, Lookups!$A$2:$D$10, 4, FALSE()), I3413)</f>
        <v>2026-07-05</v>
      </c>
      <c r="T3413">
        <f t="shared" si="321"/>
        <v>21</v>
      </c>
      <c r="U3413" t="str">
        <f t="shared" si="322"/>
        <v>On-Time</v>
      </c>
      <c r="V3413">
        <f t="shared" si="323"/>
        <v>0</v>
      </c>
    </row>
    <row r="3414" spans="1:22" x14ac:dyDescent="0.45">
      <c r="A3414" t="s">
        <v>4272</v>
      </c>
      <c r="B3414" t="s">
        <v>1551</v>
      </c>
      <c r="C3414" t="s">
        <v>34</v>
      </c>
      <c r="D3414" t="s">
        <v>68</v>
      </c>
      <c r="E3414" t="s">
        <v>15</v>
      </c>
      <c r="F3414">
        <v>138</v>
      </c>
      <c r="G3414">
        <v>41405</v>
      </c>
      <c r="H3414">
        <v>5713890</v>
      </c>
      <c r="I3414" t="s">
        <v>327</v>
      </c>
      <c r="J3414" t="s">
        <v>327</v>
      </c>
      <c r="K3414">
        <v>138</v>
      </c>
      <c r="L3414">
        <v>0</v>
      </c>
      <c r="M3414" t="s">
        <v>115</v>
      </c>
      <c r="N3414" t="str">
        <f t="shared" si="318"/>
        <v>PO-103413</v>
      </c>
      <c r="O3414" t="str">
        <f t="shared" si="319"/>
        <v>Delivered</v>
      </c>
      <c r="P3414" t="str">
        <f t="shared" si="320"/>
        <v>WH-BOM</v>
      </c>
      <c r="Q3414" t="str">
        <f>VLOOKUP(C3414, Lookups!$A$2:$D$10, 2, FALSE())</f>
        <v>FastElectronics</v>
      </c>
      <c r="R3414" t="str">
        <f>_xlfn.XLOOKUP(D3414, Lookups!$A$12:$A$51, Lookups!$C$12:$C$51, "Unknown")</f>
        <v>Networking</v>
      </c>
      <c r="S3414" t="str">
        <f>IF(ISBLANK(I3414), B3414+VLOOKUP(C3414, Lookups!$A$2:$D$10, 4, FALSE()), I3414)</f>
        <v>2025-06-05</v>
      </c>
      <c r="T3414">
        <f t="shared" si="321"/>
        <v>18</v>
      </c>
      <c r="U3414" t="str">
        <f t="shared" si="322"/>
        <v>On-Time</v>
      </c>
      <c r="V3414">
        <f t="shared" si="323"/>
        <v>0</v>
      </c>
    </row>
    <row r="3415" spans="1:22" x14ac:dyDescent="0.45">
      <c r="A3415" t="s">
        <v>4273</v>
      </c>
      <c r="B3415" t="s">
        <v>801</v>
      </c>
      <c r="C3415" t="s">
        <v>31</v>
      </c>
      <c r="D3415" t="s">
        <v>66</v>
      </c>
      <c r="E3415" t="s">
        <v>16</v>
      </c>
      <c r="F3415">
        <v>200</v>
      </c>
      <c r="G3415">
        <v>29719</v>
      </c>
      <c r="H3415">
        <v>5943800</v>
      </c>
      <c r="I3415" t="s">
        <v>4274</v>
      </c>
      <c r="K3415">
        <v>0</v>
      </c>
      <c r="L3415">
        <v>0</v>
      </c>
      <c r="M3415" t="s">
        <v>297</v>
      </c>
      <c r="N3415" t="str">
        <f t="shared" si="318"/>
        <v>PO-103414</v>
      </c>
      <c r="O3415" t="str">
        <f t="shared" si="319"/>
        <v>Open</v>
      </c>
      <c r="P3415" t="str">
        <f t="shared" si="320"/>
        <v>WH-DEL</v>
      </c>
      <c r="Q3415" t="str">
        <f>VLOOKUP(C3415, Lookups!$A$2:$D$10, 2, FALSE())</f>
        <v>Global Networks</v>
      </c>
      <c r="R3415" t="str">
        <f>_xlfn.XLOOKUP(D3415, Lookups!$A$12:$A$51, Lookups!$C$12:$C$51, "Unknown")</f>
        <v>Networking</v>
      </c>
      <c r="S3415" t="str">
        <f>IF(ISBLANK(I3415), B3415+VLOOKUP(C3415, Lookups!$A$2:$D$10, 4, FALSE()), I3415)</f>
        <v>2027-01-03</v>
      </c>
      <c r="T3415" t="str">
        <f t="shared" si="321"/>
        <v/>
      </c>
      <c r="U3415" t="str">
        <f t="shared" si="322"/>
        <v>Open</v>
      </c>
      <c r="V3415">
        <f t="shared" si="323"/>
        <v>0</v>
      </c>
    </row>
    <row r="3416" spans="1:22" x14ac:dyDescent="0.45">
      <c r="A3416" t="s">
        <v>4275</v>
      </c>
      <c r="B3416" t="s">
        <v>1442</v>
      </c>
      <c r="C3416" t="s">
        <v>36</v>
      </c>
      <c r="D3416" t="s">
        <v>55</v>
      </c>
      <c r="E3416" t="s">
        <v>16</v>
      </c>
      <c r="F3416">
        <v>181</v>
      </c>
      <c r="G3416">
        <v>58434</v>
      </c>
      <c r="H3416">
        <v>10576554</v>
      </c>
      <c r="I3416" t="s">
        <v>271</v>
      </c>
      <c r="J3416" t="s">
        <v>426</v>
      </c>
      <c r="K3416">
        <v>181</v>
      </c>
      <c r="L3416">
        <v>0</v>
      </c>
      <c r="M3416" t="s">
        <v>115</v>
      </c>
      <c r="N3416" t="str">
        <f t="shared" si="318"/>
        <v>PO-103415</v>
      </c>
      <c r="O3416" t="str">
        <f t="shared" si="319"/>
        <v>Delivered</v>
      </c>
      <c r="P3416" t="str">
        <f t="shared" si="320"/>
        <v>WH-DEL</v>
      </c>
      <c r="Q3416" t="str">
        <f>VLOOKUP(C3416, Lookups!$A$2:$D$10, 2, FALSE())</f>
        <v>NextGen Hardware</v>
      </c>
      <c r="R3416" t="str">
        <f>_xlfn.XLOOKUP(D3416, Lookups!$A$12:$A$51, Lookups!$C$12:$C$51, "Unknown")</f>
        <v>Electronics</v>
      </c>
      <c r="S3416" t="str">
        <f>IF(ISBLANK(I3416), B3416+VLOOKUP(C3416, Lookups!$A$2:$D$10, 4, FALSE()), I3416)</f>
        <v>2025-07-26</v>
      </c>
      <c r="T3416">
        <f t="shared" si="321"/>
        <v>25</v>
      </c>
      <c r="U3416" t="str">
        <f t="shared" si="322"/>
        <v>Late</v>
      </c>
      <c r="V3416">
        <f t="shared" si="323"/>
        <v>0</v>
      </c>
    </row>
    <row r="3417" spans="1:22" x14ac:dyDescent="0.45">
      <c r="A3417" t="s">
        <v>4276</v>
      </c>
      <c r="B3417" t="s">
        <v>721</v>
      </c>
      <c r="C3417" t="s">
        <v>36</v>
      </c>
      <c r="D3417" t="s">
        <v>62</v>
      </c>
      <c r="E3417" t="s">
        <v>15</v>
      </c>
      <c r="F3417">
        <v>31</v>
      </c>
      <c r="G3417">
        <v>48478</v>
      </c>
      <c r="H3417">
        <v>1502818</v>
      </c>
      <c r="I3417" t="s">
        <v>1767</v>
      </c>
      <c r="J3417" t="s">
        <v>1767</v>
      </c>
      <c r="K3417">
        <v>31</v>
      </c>
      <c r="L3417">
        <v>0</v>
      </c>
      <c r="M3417" t="s">
        <v>115</v>
      </c>
      <c r="N3417" t="str">
        <f t="shared" si="318"/>
        <v>PO-103416</v>
      </c>
      <c r="O3417" t="str">
        <f t="shared" si="319"/>
        <v>Delivered</v>
      </c>
      <c r="P3417" t="str">
        <f t="shared" si="320"/>
        <v>WH-BOM</v>
      </c>
      <c r="Q3417" t="str">
        <f>VLOOKUP(C3417, Lookups!$A$2:$D$10, 2, FALSE())</f>
        <v>NextGen Hardware</v>
      </c>
      <c r="R3417" t="str">
        <f>_xlfn.XLOOKUP(D3417, Lookups!$A$12:$A$51, Lookups!$C$12:$C$51, "Unknown")</f>
        <v>Electronics</v>
      </c>
      <c r="S3417" t="str">
        <f>IF(ISBLANK(I3417), B3417+VLOOKUP(C3417, Lookups!$A$2:$D$10, 4, FALSE()), I3417)</f>
        <v>2026-02-25</v>
      </c>
      <c r="T3417">
        <f t="shared" si="321"/>
        <v>24</v>
      </c>
      <c r="U3417" t="str">
        <f t="shared" si="322"/>
        <v>On-Time</v>
      </c>
      <c r="V3417">
        <f t="shared" si="323"/>
        <v>0</v>
      </c>
    </row>
    <row r="3418" spans="1:22" x14ac:dyDescent="0.45">
      <c r="A3418" t="s">
        <v>4277</v>
      </c>
      <c r="B3418" t="s">
        <v>983</v>
      </c>
      <c r="C3418" t="s">
        <v>35</v>
      </c>
      <c r="D3418" t="s">
        <v>60</v>
      </c>
      <c r="E3418" t="s">
        <v>18</v>
      </c>
      <c r="F3418">
        <v>174</v>
      </c>
      <c r="G3418">
        <v>3291</v>
      </c>
      <c r="H3418">
        <v>572634</v>
      </c>
      <c r="I3418" t="s">
        <v>1106</v>
      </c>
      <c r="J3418" t="s">
        <v>506</v>
      </c>
      <c r="K3418">
        <v>174</v>
      </c>
      <c r="L3418">
        <v>0</v>
      </c>
      <c r="M3418" t="s">
        <v>115</v>
      </c>
      <c r="N3418" t="str">
        <f t="shared" si="318"/>
        <v>PO-103417</v>
      </c>
      <c r="O3418" t="str">
        <f t="shared" si="319"/>
        <v>Delivered</v>
      </c>
      <c r="P3418" t="str">
        <f t="shared" si="320"/>
        <v>WH-PUN</v>
      </c>
      <c r="Q3418" t="str">
        <f>VLOOKUP(C3418, Lookups!$A$2:$D$10, 2, FALSE())</f>
        <v>Peripheral Source</v>
      </c>
      <c r="R3418" t="str">
        <f>_xlfn.XLOOKUP(D3418, Lookups!$A$12:$A$51, Lookups!$C$12:$C$51, "Unknown")</f>
        <v>Peripherals</v>
      </c>
      <c r="S3418" t="str">
        <f>IF(ISBLANK(I3418), B3418+VLOOKUP(C3418, Lookups!$A$2:$D$10, 4, FALSE()), I3418)</f>
        <v>2025-05-10</v>
      </c>
      <c r="T3418">
        <f t="shared" si="321"/>
        <v>11</v>
      </c>
      <c r="U3418" t="str">
        <f t="shared" si="322"/>
        <v>Late</v>
      </c>
      <c r="V3418">
        <f t="shared" si="323"/>
        <v>0</v>
      </c>
    </row>
    <row r="3419" spans="1:22" x14ac:dyDescent="0.45">
      <c r="A3419" t="s">
        <v>4278</v>
      </c>
      <c r="B3419" t="s">
        <v>576</v>
      </c>
      <c r="C3419" t="s">
        <v>33</v>
      </c>
      <c r="D3419" t="s">
        <v>89</v>
      </c>
      <c r="E3419" t="s">
        <v>18</v>
      </c>
      <c r="F3419">
        <v>208</v>
      </c>
      <c r="G3419">
        <v>11309</v>
      </c>
      <c r="H3419">
        <v>2352272</v>
      </c>
      <c r="I3419" t="s">
        <v>323</v>
      </c>
      <c r="J3419" t="s">
        <v>540</v>
      </c>
      <c r="K3419">
        <v>208</v>
      </c>
      <c r="L3419">
        <v>9</v>
      </c>
      <c r="M3419" t="s">
        <v>115</v>
      </c>
      <c r="N3419" t="str">
        <f t="shared" si="318"/>
        <v>PO-103418</v>
      </c>
      <c r="O3419" t="str">
        <f t="shared" si="319"/>
        <v>Delivered</v>
      </c>
      <c r="P3419" t="str">
        <f t="shared" si="320"/>
        <v>WH-PUN</v>
      </c>
      <c r="Q3419" t="str">
        <f>VLOOKUP(C3419, Lookups!$A$2:$D$10, 2, FALSE())</f>
        <v>MegaFurnish</v>
      </c>
      <c r="R3419" t="str">
        <f>_xlfn.XLOOKUP(D3419, Lookups!$A$12:$A$51, Lookups!$C$12:$C$51, "Unknown")</f>
        <v>Office Furniture</v>
      </c>
      <c r="S3419" t="str">
        <f>IF(ISBLANK(I3419), B3419+VLOOKUP(C3419, Lookups!$A$2:$D$10, 4, FALSE()), I3419)</f>
        <v>2026-04-04</v>
      </c>
      <c r="T3419">
        <f t="shared" si="321"/>
        <v>33</v>
      </c>
      <c r="U3419" t="str">
        <f t="shared" si="322"/>
        <v>Late</v>
      </c>
      <c r="V3419">
        <f t="shared" si="323"/>
        <v>4.3269230769230768E-2</v>
      </c>
    </row>
    <row r="3420" spans="1:22" x14ac:dyDescent="0.45">
      <c r="A3420" t="s">
        <v>4279</v>
      </c>
      <c r="B3420" t="s">
        <v>2080</v>
      </c>
      <c r="C3420" t="s">
        <v>32</v>
      </c>
      <c r="D3420" t="s">
        <v>67</v>
      </c>
      <c r="E3420" t="s">
        <v>15</v>
      </c>
      <c r="F3420">
        <v>200</v>
      </c>
      <c r="G3420">
        <v>1553</v>
      </c>
      <c r="H3420">
        <v>310600</v>
      </c>
      <c r="I3420" t="s">
        <v>820</v>
      </c>
      <c r="J3420" t="s">
        <v>1514</v>
      </c>
      <c r="K3420">
        <v>200</v>
      </c>
      <c r="L3420">
        <v>0</v>
      </c>
      <c r="M3420" t="s">
        <v>115</v>
      </c>
      <c r="N3420" t="str">
        <f t="shared" si="318"/>
        <v>PO-103419</v>
      </c>
      <c r="O3420" t="str">
        <f t="shared" si="319"/>
        <v>Delivered</v>
      </c>
      <c r="P3420" t="str">
        <f t="shared" si="320"/>
        <v>WH-BOM</v>
      </c>
      <c r="Q3420" t="str">
        <f>VLOOKUP(C3420, Lookups!$A$2:$D$10, 2, FALSE())</f>
        <v>OfficeDepot Pro</v>
      </c>
      <c r="R3420" t="str">
        <f>_xlfn.XLOOKUP(D3420, Lookups!$A$12:$A$51, Lookups!$C$12:$C$51, "Unknown")</f>
        <v>Peripherals</v>
      </c>
      <c r="S3420" t="str">
        <f>IF(ISBLANK(I3420), B3420+VLOOKUP(C3420, Lookups!$A$2:$D$10, 4, FALSE()), I3420)</f>
        <v>2025-01-09</v>
      </c>
      <c r="T3420">
        <f t="shared" si="321"/>
        <v>8</v>
      </c>
      <c r="U3420" t="str">
        <f t="shared" si="322"/>
        <v>Late</v>
      </c>
      <c r="V3420">
        <f t="shared" si="323"/>
        <v>0</v>
      </c>
    </row>
    <row r="3421" spans="1:22" x14ac:dyDescent="0.45">
      <c r="A3421" t="s">
        <v>4280</v>
      </c>
      <c r="B3421" t="s">
        <v>705</v>
      </c>
      <c r="C3421" t="s">
        <v>30</v>
      </c>
      <c r="D3421" t="s">
        <v>53</v>
      </c>
      <c r="E3421" t="s">
        <v>18</v>
      </c>
      <c r="F3421">
        <v>68</v>
      </c>
      <c r="G3421">
        <v>81048</v>
      </c>
      <c r="H3421">
        <v>5511264</v>
      </c>
      <c r="I3421" t="s">
        <v>337</v>
      </c>
      <c r="J3421" t="s">
        <v>337</v>
      </c>
      <c r="K3421">
        <v>68</v>
      </c>
      <c r="L3421">
        <v>0</v>
      </c>
      <c r="M3421" t="s">
        <v>115</v>
      </c>
      <c r="N3421" t="str">
        <f t="shared" si="318"/>
        <v>PO-103420</v>
      </c>
      <c r="O3421" t="str">
        <f t="shared" si="319"/>
        <v>Delivered</v>
      </c>
      <c r="P3421" t="str">
        <f t="shared" si="320"/>
        <v>WH-PUN</v>
      </c>
      <c r="Q3421" t="str">
        <f>VLOOKUP(C3421, Lookups!$A$2:$D$10, 2, FALSE())</f>
        <v>TechSupply Corp</v>
      </c>
      <c r="R3421" t="str">
        <f>_xlfn.XLOOKUP(D3421, Lookups!$A$12:$A$51, Lookups!$C$12:$C$51, "Unknown")</f>
        <v>Electronics</v>
      </c>
      <c r="S3421" t="str">
        <f>IF(ISBLANK(I3421), B3421+VLOOKUP(C3421, Lookups!$A$2:$D$10, 4, FALSE()), I3421)</f>
        <v>2026-03-12</v>
      </c>
      <c r="T3421">
        <f t="shared" si="321"/>
        <v>14</v>
      </c>
      <c r="U3421" t="str">
        <f t="shared" si="322"/>
        <v>On-Time</v>
      </c>
      <c r="V3421">
        <f t="shared" si="323"/>
        <v>0</v>
      </c>
    </row>
    <row r="3422" spans="1:22" x14ac:dyDescent="0.45">
      <c r="A3422" t="s">
        <v>4281</v>
      </c>
      <c r="B3422" t="s">
        <v>281</v>
      </c>
      <c r="C3422" t="s">
        <v>34</v>
      </c>
      <c r="D3422" t="s">
        <v>74</v>
      </c>
      <c r="E3422" t="s">
        <v>15</v>
      </c>
      <c r="F3422">
        <v>110</v>
      </c>
      <c r="G3422">
        <v>94797</v>
      </c>
      <c r="H3422">
        <v>10427670</v>
      </c>
      <c r="I3422" t="s">
        <v>671</v>
      </c>
      <c r="J3422" t="s">
        <v>672</v>
      </c>
      <c r="K3422">
        <v>110</v>
      </c>
      <c r="L3422">
        <v>0</v>
      </c>
      <c r="M3422" t="s">
        <v>115</v>
      </c>
      <c r="N3422" t="str">
        <f t="shared" si="318"/>
        <v>PO-103421</v>
      </c>
      <c r="O3422" t="str">
        <f t="shared" si="319"/>
        <v>Delivered</v>
      </c>
      <c r="P3422" t="str">
        <f t="shared" si="320"/>
        <v>WH-BOM</v>
      </c>
      <c r="Q3422" t="str">
        <f>VLOOKUP(C3422, Lookups!$A$2:$D$10, 2, FALSE())</f>
        <v>FastElectronics</v>
      </c>
      <c r="R3422" t="str">
        <f>_xlfn.XLOOKUP(D3422, Lookups!$A$12:$A$51, Lookups!$C$12:$C$51, "Unknown")</f>
        <v>Electronics</v>
      </c>
      <c r="S3422" t="str">
        <f>IF(ISBLANK(I3422), B3422+VLOOKUP(C3422, Lookups!$A$2:$D$10, 4, FALSE()), I3422)</f>
        <v>2026-11-13</v>
      </c>
      <c r="T3422">
        <f t="shared" si="321"/>
        <v>19</v>
      </c>
      <c r="U3422" t="str">
        <f t="shared" si="322"/>
        <v>Late</v>
      </c>
      <c r="V3422">
        <f t="shared" si="323"/>
        <v>0</v>
      </c>
    </row>
    <row r="3423" spans="1:22" x14ac:dyDescent="0.45">
      <c r="A3423" t="s">
        <v>4282</v>
      </c>
      <c r="B3423" t="s">
        <v>820</v>
      </c>
      <c r="C3423" t="s">
        <v>34</v>
      </c>
      <c r="D3423" t="s">
        <v>73</v>
      </c>
      <c r="E3423" t="s">
        <v>17</v>
      </c>
      <c r="F3423">
        <v>15</v>
      </c>
      <c r="G3423">
        <v>58396</v>
      </c>
      <c r="H3423">
        <v>875940</v>
      </c>
      <c r="I3423" t="s">
        <v>763</v>
      </c>
      <c r="J3423" t="s">
        <v>763</v>
      </c>
      <c r="K3423">
        <v>15</v>
      </c>
      <c r="L3423">
        <v>0</v>
      </c>
      <c r="M3423" t="s">
        <v>115</v>
      </c>
      <c r="N3423" t="str">
        <f t="shared" si="318"/>
        <v>PO-103422</v>
      </c>
      <c r="O3423" t="str">
        <f t="shared" si="319"/>
        <v>Delivered</v>
      </c>
      <c r="P3423" t="str">
        <f t="shared" si="320"/>
        <v>WH-BLR</v>
      </c>
      <c r="Q3423" t="str">
        <f>VLOOKUP(C3423, Lookups!$A$2:$D$10, 2, FALSE())</f>
        <v>FastElectronics</v>
      </c>
      <c r="R3423" t="str">
        <f>_xlfn.XLOOKUP(D3423, Lookups!$A$12:$A$51, Lookups!$C$12:$C$51, "Unknown")</f>
        <v>Electronics</v>
      </c>
      <c r="S3423" t="str">
        <f>IF(ISBLANK(I3423), B3423+VLOOKUP(C3423, Lookups!$A$2:$D$10, 4, FALSE()), I3423)</f>
        <v>2025-01-27</v>
      </c>
      <c r="T3423">
        <f t="shared" si="321"/>
        <v>18</v>
      </c>
      <c r="U3423" t="str">
        <f t="shared" si="322"/>
        <v>On-Time</v>
      </c>
      <c r="V3423">
        <f t="shared" si="323"/>
        <v>0</v>
      </c>
    </row>
    <row r="3424" spans="1:22" x14ac:dyDescent="0.45">
      <c r="A3424" t="s">
        <v>4283</v>
      </c>
      <c r="B3424" t="s">
        <v>764</v>
      </c>
      <c r="C3424" t="s">
        <v>36</v>
      </c>
      <c r="D3424" t="s">
        <v>90</v>
      </c>
      <c r="E3424" t="s">
        <v>15</v>
      </c>
      <c r="F3424">
        <v>150</v>
      </c>
      <c r="G3424">
        <v>81434</v>
      </c>
      <c r="H3424">
        <v>12215100</v>
      </c>
      <c r="I3424" t="s">
        <v>1090</v>
      </c>
      <c r="J3424" t="s">
        <v>1331</v>
      </c>
      <c r="K3424">
        <v>150</v>
      </c>
      <c r="L3424">
        <v>0</v>
      </c>
      <c r="M3424" t="s">
        <v>115</v>
      </c>
      <c r="N3424" t="str">
        <f t="shared" si="318"/>
        <v>PO-103423</v>
      </c>
      <c r="O3424" t="str">
        <f t="shared" si="319"/>
        <v>Delivered</v>
      </c>
      <c r="P3424" t="str">
        <f t="shared" si="320"/>
        <v>WH-BOM</v>
      </c>
      <c r="Q3424" t="str">
        <f>VLOOKUP(C3424, Lookups!$A$2:$D$10, 2, FALSE())</f>
        <v>NextGen Hardware</v>
      </c>
      <c r="R3424" t="str">
        <f>_xlfn.XLOOKUP(D3424, Lookups!$A$12:$A$51, Lookups!$C$12:$C$51, "Unknown")</f>
        <v>Electronics</v>
      </c>
      <c r="S3424" t="str">
        <f>IF(ISBLANK(I3424), B3424+VLOOKUP(C3424, Lookups!$A$2:$D$10, 4, FALSE()), I3424)</f>
        <v>2025-03-15</v>
      </c>
      <c r="T3424">
        <f t="shared" si="321"/>
        <v>23</v>
      </c>
      <c r="U3424" t="str">
        <f t="shared" si="322"/>
        <v>On-Time</v>
      </c>
      <c r="V3424">
        <f t="shared" si="323"/>
        <v>0</v>
      </c>
    </row>
    <row r="3425" spans="1:22" x14ac:dyDescent="0.45">
      <c r="A3425" t="s">
        <v>4284</v>
      </c>
      <c r="B3425" t="s">
        <v>764</v>
      </c>
      <c r="C3425" t="s">
        <v>33</v>
      </c>
      <c r="D3425" t="s">
        <v>89</v>
      </c>
      <c r="E3425" t="s">
        <v>15</v>
      </c>
      <c r="F3425">
        <v>99</v>
      </c>
      <c r="G3425">
        <v>11309</v>
      </c>
      <c r="H3425">
        <v>1119591</v>
      </c>
      <c r="I3425" t="s">
        <v>562</v>
      </c>
      <c r="J3425" t="s">
        <v>1092</v>
      </c>
      <c r="K3425">
        <v>99</v>
      </c>
      <c r="L3425">
        <v>0</v>
      </c>
      <c r="M3425" t="s">
        <v>115</v>
      </c>
      <c r="N3425" t="str">
        <f t="shared" si="318"/>
        <v>PO-103424</v>
      </c>
      <c r="O3425" t="str">
        <f t="shared" si="319"/>
        <v>Delivered</v>
      </c>
      <c r="P3425" t="str">
        <f t="shared" si="320"/>
        <v>WH-BOM</v>
      </c>
      <c r="Q3425" t="str">
        <f>VLOOKUP(C3425, Lookups!$A$2:$D$10, 2, FALSE())</f>
        <v>MegaFurnish</v>
      </c>
      <c r="R3425" t="str">
        <f>_xlfn.XLOOKUP(D3425, Lookups!$A$12:$A$51, Lookups!$C$12:$C$51, "Unknown")</f>
        <v>Office Furniture</v>
      </c>
      <c r="S3425" t="str">
        <f>IF(ISBLANK(I3425), B3425+VLOOKUP(C3425, Lookups!$A$2:$D$10, 4, FALSE()), I3425)</f>
        <v>2025-03-21</v>
      </c>
      <c r="T3425">
        <f t="shared" si="321"/>
        <v>31</v>
      </c>
      <c r="U3425" t="str">
        <f t="shared" si="322"/>
        <v>Late</v>
      </c>
      <c r="V3425">
        <f t="shared" si="323"/>
        <v>0</v>
      </c>
    </row>
    <row r="3426" spans="1:22" x14ac:dyDescent="0.45">
      <c r="A3426" t="s">
        <v>4285</v>
      </c>
      <c r="B3426" t="s">
        <v>1006</v>
      </c>
      <c r="C3426" t="s">
        <v>31</v>
      </c>
      <c r="D3426" t="s">
        <v>56</v>
      </c>
      <c r="E3426" t="s">
        <v>17</v>
      </c>
      <c r="F3426">
        <v>208</v>
      </c>
      <c r="G3426">
        <v>39270</v>
      </c>
      <c r="H3426">
        <v>8168160</v>
      </c>
      <c r="I3426" t="s">
        <v>206</v>
      </c>
      <c r="J3426" t="s">
        <v>639</v>
      </c>
      <c r="K3426">
        <v>208</v>
      </c>
      <c r="L3426">
        <v>0</v>
      </c>
      <c r="M3426" t="s">
        <v>115</v>
      </c>
      <c r="N3426" t="str">
        <f t="shared" si="318"/>
        <v>PO-103425</v>
      </c>
      <c r="O3426" t="str">
        <f t="shared" si="319"/>
        <v>Delivered</v>
      </c>
      <c r="P3426" t="str">
        <f t="shared" si="320"/>
        <v>WH-BLR</v>
      </c>
      <c r="Q3426" t="str">
        <f>VLOOKUP(C3426, Lookups!$A$2:$D$10, 2, FALSE())</f>
        <v>Global Networks</v>
      </c>
      <c r="R3426" t="str">
        <f>_xlfn.XLOOKUP(D3426, Lookups!$A$12:$A$51, Lookups!$C$12:$C$51, "Unknown")</f>
        <v>Networking</v>
      </c>
      <c r="S3426" t="str">
        <f>IF(ISBLANK(I3426), B3426+VLOOKUP(C3426, Lookups!$A$2:$D$10, 4, FALSE()), I3426)</f>
        <v>2025-12-07</v>
      </c>
      <c r="T3426">
        <f t="shared" si="321"/>
        <v>25</v>
      </c>
      <c r="U3426" t="str">
        <f t="shared" si="322"/>
        <v>Late</v>
      </c>
      <c r="V3426">
        <f t="shared" si="323"/>
        <v>0</v>
      </c>
    </row>
    <row r="3427" spans="1:22" x14ac:dyDescent="0.45">
      <c r="A3427" t="s">
        <v>4286</v>
      </c>
      <c r="B3427" t="s">
        <v>861</v>
      </c>
      <c r="C3427" t="s">
        <v>36</v>
      </c>
      <c r="D3427" t="s">
        <v>55</v>
      </c>
      <c r="E3427" t="s">
        <v>17</v>
      </c>
      <c r="F3427">
        <v>13</v>
      </c>
      <c r="G3427">
        <v>58434</v>
      </c>
      <c r="H3427">
        <v>759642</v>
      </c>
      <c r="I3427" t="s">
        <v>1413</v>
      </c>
      <c r="J3427" t="s">
        <v>1413</v>
      </c>
      <c r="K3427">
        <v>13</v>
      </c>
      <c r="L3427">
        <v>0</v>
      </c>
      <c r="M3427" t="s">
        <v>115</v>
      </c>
      <c r="N3427" t="str">
        <f t="shared" si="318"/>
        <v>PO-103426</v>
      </c>
      <c r="O3427" t="str">
        <f t="shared" si="319"/>
        <v>Delivered</v>
      </c>
      <c r="P3427" t="str">
        <f t="shared" si="320"/>
        <v>WH-BLR</v>
      </c>
      <c r="Q3427" t="str">
        <f>VLOOKUP(C3427, Lookups!$A$2:$D$10, 2, FALSE())</f>
        <v>NextGen Hardware</v>
      </c>
      <c r="R3427" t="str">
        <f>_xlfn.XLOOKUP(D3427, Lookups!$A$12:$A$51, Lookups!$C$12:$C$51, "Unknown")</f>
        <v>Electronics</v>
      </c>
      <c r="S3427" t="str">
        <f>IF(ISBLANK(I3427), B3427+VLOOKUP(C3427, Lookups!$A$2:$D$10, 4, FALSE()), I3427)</f>
        <v>2026-03-02</v>
      </c>
      <c r="T3427">
        <f t="shared" si="321"/>
        <v>24</v>
      </c>
      <c r="U3427" t="str">
        <f t="shared" si="322"/>
        <v>On-Time</v>
      </c>
      <c r="V3427">
        <f t="shared" si="323"/>
        <v>0</v>
      </c>
    </row>
    <row r="3428" spans="1:22" x14ac:dyDescent="0.45">
      <c r="A3428" t="s">
        <v>4287</v>
      </c>
      <c r="B3428" t="s">
        <v>1241</v>
      </c>
      <c r="C3428" t="s">
        <v>32</v>
      </c>
      <c r="D3428" t="s">
        <v>84</v>
      </c>
      <c r="E3428" t="s">
        <v>15</v>
      </c>
      <c r="F3428">
        <v>199</v>
      </c>
      <c r="G3428">
        <v>7271</v>
      </c>
      <c r="H3428">
        <v>1446929</v>
      </c>
      <c r="I3428" t="s">
        <v>984</v>
      </c>
      <c r="J3428" t="s">
        <v>1019</v>
      </c>
      <c r="K3428">
        <v>199</v>
      </c>
      <c r="L3428">
        <v>0</v>
      </c>
      <c r="M3428" t="s">
        <v>115</v>
      </c>
      <c r="N3428" t="str">
        <f t="shared" si="318"/>
        <v>PO-103427</v>
      </c>
      <c r="O3428" t="str">
        <f t="shared" si="319"/>
        <v>Delivered</v>
      </c>
      <c r="P3428" t="str">
        <f t="shared" si="320"/>
        <v>WH-BOM</v>
      </c>
      <c r="Q3428" t="str">
        <f>VLOOKUP(C3428, Lookups!$A$2:$D$10, 2, FALSE())</f>
        <v>OfficeDepot Pro</v>
      </c>
      <c r="R3428" t="str">
        <f>_xlfn.XLOOKUP(D3428, Lookups!$A$12:$A$51, Lookups!$C$12:$C$51, "Unknown")</f>
        <v>Peripherals</v>
      </c>
      <c r="S3428" t="str">
        <f>IF(ISBLANK(I3428), B3428+VLOOKUP(C3428, Lookups!$A$2:$D$10, 4, FALSE()), I3428)</f>
        <v>2025-05-08</v>
      </c>
      <c r="T3428">
        <f t="shared" si="321"/>
        <v>8</v>
      </c>
      <c r="U3428" t="str">
        <f t="shared" si="322"/>
        <v>Late</v>
      </c>
      <c r="V3428">
        <f t="shared" si="323"/>
        <v>0</v>
      </c>
    </row>
    <row r="3429" spans="1:22" x14ac:dyDescent="0.45">
      <c r="A3429" t="s">
        <v>4288</v>
      </c>
      <c r="B3429" t="s">
        <v>503</v>
      </c>
      <c r="C3429" t="s">
        <v>37</v>
      </c>
      <c r="D3429" t="s">
        <v>83</v>
      </c>
      <c r="E3429" t="s">
        <v>17</v>
      </c>
      <c r="F3429">
        <v>166</v>
      </c>
      <c r="G3429">
        <v>19850</v>
      </c>
      <c r="H3429">
        <v>3295100</v>
      </c>
      <c r="I3429" t="s">
        <v>1496</v>
      </c>
      <c r="J3429" t="s">
        <v>625</v>
      </c>
      <c r="K3429">
        <v>166</v>
      </c>
      <c r="L3429">
        <v>0</v>
      </c>
      <c r="M3429" t="s">
        <v>115</v>
      </c>
      <c r="N3429" t="str">
        <f t="shared" si="318"/>
        <v>PO-103428</v>
      </c>
      <c r="O3429" t="str">
        <f t="shared" si="319"/>
        <v>Delivered</v>
      </c>
      <c r="P3429" t="str">
        <f t="shared" si="320"/>
        <v>WH-BLR</v>
      </c>
      <c r="Q3429" t="str">
        <f>VLOOKUP(C3429, Lookups!$A$2:$D$10, 2, FALSE())</f>
        <v>Premium Desks Ltd</v>
      </c>
      <c r="R3429" t="str">
        <f>_xlfn.XLOOKUP(D3429, Lookups!$A$12:$A$51, Lookups!$C$12:$C$51, "Unknown")</f>
        <v>Office Furniture</v>
      </c>
      <c r="S3429" t="str">
        <f>IF(ISBLANK(I3429), B3429+VLOOKUP(C3429, Lookups!$A$2:$D$10, 4, FALSE()), I3429)</f>
        <v>2026-03-11</v>
      </c>
      <c r="T3429">
        <f t="shared" si="321"/>
        <v>16</v>
      </c>
      <c r="U3429" t="str">
        <f t="shared" si="322"/>
        <v>Late</v>
      </c>
      <c r="V3429">
        <f t="shared" si="323"/>
        <v>0</v>
      </c>
    </row>
    <row r="3430" spans="1:22" x14ac:dyDescent="0.45">
      <c r="A3430" t="s">
        <v>4289</v>
      </c>
      <c r="B3430" t="s">
        <v>577</v>
      </c>
      <c r="C3430" t="s">
        <v>37</v>
      </c>
      <c r="D3430" t="s">
        <v>69</v>
      </c>
      <c r="E3430" t="s">
        <v>15</v>
      </c>
      <c r="F3430">
        <v>40</v>
      </c>
      <c r="G3430">
        <v>13231</v>
      </c>
      <c r="H3430">
        <v>529240</v>
      </c>
      <c r="I3430" t="s">
        <v>587</v>
      </c>
      <c r="J3430" t="s">
        <v>444</v>
      </c>
      <c r="K3430">
        <v>40</v>
      </c>
      <c r="L3430">
        <v>0</v>
      </c>
      <c r="M3430" t="s">
        <v>115</v>
      </c>
      <c r="N3430" t="str">
        <f t="shared" si="318"/>
        <v>PO-103429</v>
      </c>
      <c r="O3430" t="str">
        <f t="shared" si="319"/>
        <v>Delivered</v>
      </c>
      <c r="P3430" t="str">
        <f t="shared" si="320"/>
        <v>WH-BOM</v>
      </c>
      <c r="Q3430" t="str">
        <f>VLOOKUP(C3430, Lookups!$A$2:$D$10, 2, FALSE())</f>
        <v>Premium Desks Ltd</v>
      </c>
      <c r="R3430" t="str">
        <f>_xlfn.XLOOKUP(D3430, Lookups!$A$12:$A$51, Lookups!$C$12:$C$51, "Unknown")</f>
        <v>Office Furniture</v>
      </c>
      <c r="S3430" t="str">
        <f>IF(ISBLANK(I3430), B3430+VLOOKUP(C3430, Lookups!$A$2:$D$10, 4, FALSE()), I3430)</f>
        <v>2026-04-11</v>
      </c>
      <c r="T3430">
        <f t="shared" si="321"/>
        <v>13</v>
      </c>
      <c r="U3430" t="str">
        <f t="shared" si="322"/>
        <v>Late</v>
      </c>
      <c r="V3430">
        <f t="shared" si="323"/>
        <v>0</v>
      </c>
    </row>
    <row r="3431" spans="1:22" x14ac:dyDescent="0.45">
      <c r="A3431" t="s">
        <v>4290</v>
      </c>
      <c r="B3431" t="s">
        <v>383</v>
      </c>
      <c r="C3431" t="s">
        <v>34</v>
      </c>
      <c r="D3431" t="s">
        <v>54</v>
      </c>
      <c r="E3431" t="s">
        <v>17</v>
      </c>
      <c r="F3431">
        <v>58</v>
      </c>
      <c r="G3431">
        <v>22314</v>
      </c>
      <c r="H3431">
        <v>1294212</v>
      </c>
      <c r="I3431" t="s">
        <v>826</v>
      </c>
      <c r="J3431" t="s">
        <v>770</v>
      </c>
      <c r="K3431">
        <v>58</v>
      </c>
      <c r="L3431">
        <v>0</v>
      </c>
      <c r="M3431" t="s">
        <v>115</v>
      </c>
      <c r="N3431" t="str">
        <f t="shared" si="318"/>
        <v>PO-103430</v>
      </c>
      <c r="O3431" t="str">
        <f t="shared" si="319"/>
        <v>Delivered</v>
      </c>
      <c r="P3431" t="str">
        <f t="shared" si="320"/>
        <v>WH-BLR</v>
      </c>
      <c r="Q3431" t="str">
        <f>VLOOKUP(C3431, Lookups!$A$2:$D$10, 2, FALSE())</f>
        <v>FastElectronics</v>
      </c>
      <c r="R3431" t="str">
        <f>_xlfn.XLOOKUP(D3431, Lookups!$A$12:$A$51, Lookups!$C$12:$C$51, "Unknown")</f>
        <v>Networking</v>
      </c>
      <c r="S3431" t="str">
        <f>IF(ISBLANK(I3431), B3431+VLOOKUP(C3431, Lookups!$A$2:$D$10, 4, FALSE()), I3431)</f>
        <v>2026-12-29</v>
      </c>
      <c r="T3431">
        <f t="shared" si="321"/>
        <v>19</v>
      </c>
      <c r="U3431" t="str">
        <f t="shared" si="322"/>
        <v>Late</v>
      </c>
      <c r="V3431">
        <f t="shared" si="323"/>
        <v>0</v>
      </c>
    </row>
    <row r="3432" spans="1:22" x14ac:dyDescent="0.45">
      <c r="A3432" t="s">
        <v>4291</v>
      </c>
      <c r="B3432" t="s">
        <v>206</v>
      </c>
      <c r="C3432" t="s">
        <v>34</v>
      </c>
      <c r="D3432" t="s">
        <v>80</v>
      </c>
      <c r="E3432" t="s">
        <v>17</v>
      </c>
      <c r="F3432">
        <v>175</v>
      </c>
      <c r="G3432">
        <v>19090</v>
      </c>
      <c r="H3432">
        <v>3340750</v>
      </c>
      <c r="I3432" t="s">
        <v>547</v>
      </c>
      <c r="J3432" t="s">
        <v>547</v>
      </c>
      <c r="K3432">
        <v>175</v>
      </c>
      <c r="L3432">
        <v>0</v>
      </c>
      <c r="M3432" t="s">
        <v>115</v>
      </c>
      <c r="N3432" t="str">
        <f t="shared" si="318"/>
        <v>PO-103431</v>
      </c>
      <c r="O3432" t="str">
        <f t="shared" si="319"/>
        <v>Delivered</v>
      </c>
      <c r="P3432" t="str">
        <f t="shared" si="320"/>
        <v>WH-BLR</v>
      </c>
      <c r="Q3432" t="str">
        <f>VLOOKUP(C3432, Lookups!$A$2:$D$10, 2, FALSE())</f>
        <v>FastElectronics</v>
      </c>
      <c r="R3432" t="str">
        <f>_xlfn.XLOOKUP(D3432, Lookups!$A$12:$A$51, Lookups!$C$12:$C$51, "Unknown")</f>
        <v>Networking</v>
      </c>
      <c r="S3432" t="str">
        <f>IF(ISBLANK(I3432), B3432+VLOOKUP(C3432, Lookups!$A$2:$D$10, 4, FALSE()), I3432)</f>
        <v>2025-12-25</v>
      </c>
      <c r="T3432">
        <f t="shared" si="321"/>
        <v>18</v>
      </c>
      <c r="U3432" t="str">
        <f t="shared" si="322"/>
        <v>On-Time</v>
      </c>
      <c r="V3432">
        <f t="shared" si="323"/>
        <v>0</v>
      </c>
    </row>
    <row r="3433" spans="1:22" x14ac:dyDescent="0.45">
      <c r="A3433" t="s">
        <v>4292</v>
      </c>
      <c r="B3433" t="s">
        <v>561</v>
      </c>
      <c r="C3433" t="s">
        <v>30</v>
      </c>
      <c r="D3433" t="s">
        <v>86</v>
      </c>
      <c r="E3433" t="s">
        <v>16</v>
      </c>
      <c r="F3433">
        <v>220</v>
      </c>
      <c r="G3433">
        <v>74871</v>
      </c>
      <c r="H3433">
        <v>16471620</v>
      </c>
      <c r="I3433" t="s">
        <v>566</v>
      </c>
      <c r="J3433" t="s">
        <v>566</v>
      </c>
      <c r="K3433">
        <v>220</v>
      </c>
      <c r="L3433">
        <v>0</v>
      </c>
      <c r="M3433" t="s">
        <v>115</v>
      </c>
      <c r="N3433" t="str">
        <f t="shared" si="318"/>
        <v>PO-103432</v>
      </c>
      <c r="O3433" t="str">
        <f t="shared" si="319"/>
        <v>Delivered</v>
      </c>
      <c r="P3433" t="str">
        <f t="shared" si="320"/>
        <v>WH-DEL</v>
      </c>
      <c r="Q3433" t="str">
        <f>VLOOKUP(C3433, Lookups!$A$2:$D$10, 2, FALSE())</f>
        <v>TechSupply Corp</v>
      </c>
      <c r="R3433" t="str">
        <f>_xlfn.XLOOKUP(D3433, Lookups!$A$12:$A$51, Lookups!$C$12:$C$51, "Unknown")</f>
        <v>Electronics</v>
      </c>
      <c r="S3433" t="str">
        <f>IF(ISBLANK(I3433), B3433+VLOOKUP(C3433, Lookups!$A$2:$D$10, 4, FALSE()), I3433)</f>
        <v>2025-03-09</v>
      </c>
      <c r="T3433">
        <f t="shared" si="321"/>
        <v>14</v>
      </c>
      <c r="U3433" t="str">
        <f t="shared" si="322"/>
        <v>On-Time</v>
      </c>
      <c r="V3433">
        <f t="shared" si="323"/>
        <v>0</v>
      </c>
    </row>
    <row r="3434" spans="1:22" x14ac:dyDescent="0.45">
      <c r="A3434" t="s">
        <v>4293</v>
      </c>
      <c r="B3434" t="s">
        <v>286</v>
      </c>
      <c r="C3434" t="s">
        <v>35</v>
      </c>
      <c r="D3434" t="s">
        <v>65</v>
      </c>
      <c r="E3434" t="s">
        <v>18</v>
      </c>
      <c r="F3434">
        <v>136</v>
      </c>
      <c r="G3434">
        <v>4936</v>
      </c>
      <c r="H3434">
        <v>671296</v>
      </c>
      <c r="I3434" t="s">
        <v>1345</v>
      </c>
      <c r="J3434" t="s">
        <v>595</v>
      </c>
      <c r="K3434">
        <v>136</v>
      </c>
      <c r="L3434">
        <v>0</v>
      </c>
      <c r="M3434" t="s">
        <v>115</v>
      </c>
      <c r="N3434" t="str">
        <f t="shared" si="318"/>
        <v>PO-103433</v>
      </c>
      <c r="O3434" t="str">
        <f t="shared" si="319"/>
        <v>Delivered</v>
      </c>
      <c r="P3434" t="str">
        <f t="shared" si="320"/>
        <v>WH-PUN</v>
      </c>
      <c r="Q3434" t="str">
        <f>VLOOKUP(C3434, Lookups!$A$2:$D$10, 2, FALSE())</f>
        <v>Peripheral Source</v>
      </c>
      <c r="R3434" t="str">
        <f>_xlfn.XLOOKUP(D3434, Lookups!$A$12:$A$51, Lookups!$C$12:$C$51, "Unknown")</f>
        <v>Peripherals</v>
      </c>
      <c r="S3434" t="str">
        <f>IF(ISBLANK(I3434), B3434+VLOOKUP(C3434, Lookups!$A$2:$D$10, 4, FALSE()), I3434)</f>
        <v>2025-03-12</v>
      </c>
      <c r="T3434">
        <f t="shared" si="321"/>
        <v>11</v>
      </c>
      <c r="U3434" t="str">
        <f t="shared" si="322"/>
        <v>Late</v>
      </c>
      <c r="V3434">
        <f t="shared" si="323"/>
        <v>0</v>
      </c>
    </row>
    <row r="3435" spans="1:22" x14ac:dyDescent="0.45">
      <c r="A3435" t="s">
        <v>4294</v>
      </c>
      <c r="B3435" t="s">
        <v>617</v>
      </c>
      <c r="C3435" t="s">
        <v>30</v>
      </c>
      <c r="D3435" t="s">
        <v>82</v>
      </c>
      <c r="E3435" t="s">
        <v>17</v>
      </c>
      <c r="F3435">
        <v>228</v>
      </c>
      <c r="G3435">
        <v>83427</v>
      </c>
      <c r="H3435">
        <v>19021356</v>
      </c>
      <c r="I3435" t="s">
        <v>1216</v>
      </c>
      <c r="J3435" t="s">
        <v>502</v>
      </c>
      <c r="K3435">
        <v>228</v>
      </c>
      <c r="L3435">
        <v>0</v>
      </c>
      <c r="M3435" t="s">
        <v>115</v>
      </c>
      <c r="N3435" t="str">
        <f t="shared" si="318"/>
        <v>PO-103434</v>
      </c>
      <c r="O3435" t="str">
        <f t="shared" si="319"/>
        <v>Delivered</v>
      </c>
      <c r="P3435" t="str">
        <f t="shared" si="320"/>
        <v>WH-BLR</v>
      </c>
      <c r="Q3435" t="str">
        <f>VLOOKUP(C3435, Lookups!$A$2:$D$10, 2, FALSE())</f>
        <v>TechSupply Corp</v>
      </c>
      <c r="R3435" t="str">
        <f>_xlfn.XLOOKUP(D3435, Lookups!$A$12:$A$51, Lookups!$C$12:$C$51, "Unknown")</f>
        <v>Electronics</v>
      </c>
      <c r="S3435" t="str">
        <f>IF(ISBLANK(I3435), B3435+VLOOKUP(C3435, Lookups!$A$2:$D$10, 4, FALSE()), I3435)</f>
        <v>2026-02-24</v>
      </c>
      <c r="T3435">
        <f t="shared" si="321"/>
        <v>12</v>
      </c>
      <c r="U3435" t="str">
        <f t="shared" si="322"/>
        <v>On-Time</v>
      </c>
      <c r="V3435">
        <f t="shared" si="323"/>
        <v>0</v>
      </c>
    </row>
    <row r="3436" spans="1:22" x14ac:dyDescent="0.45">
      <c r="A3436" t="s">
        <v>4295</v>
      </c>
      <c r="B3436" t="s">
        <v>784</v>
      </c>
      <c r="C3436" t="s">
        <v>34</v>
      </c>
      <c r="D3436" t="s">
        <v>68</v>
      </c>
      <c r="E3436" t="s">
        <v>18</v>
      </c>
      <c r="F3436">
        <v>82</v>
      </c>
      <c r="G3436">
        <v>41405</v>
      </c>
      <c r="H3436">
        <v>3395210</v>
      </c>
      <c r="I3436" t="s">
        <v>978</v>
      </c>
      <c r="J3436" t="s">
        <v>356</v>
      </c>
      <c r="K3436">
        <v>82</v>
      </c>
      <c r="L3436">
        <v>0</v>
      </c>
      <c r="M3436" t="s">
        <v>166</v>
      </c>
      <c r="N3436" t="str">
        <f t="shared" si="318"/>
        <v>PO-103435</v>
      </c>
      <c r="O3436" t="str">
        <f t="shared" si="319"/>
        <v>Delivered</v>
      </c>
      <c r="P3436" t="str">
        <f t="shared" si="320"/>
        <v>WH-PUN</v>
      </c>
      <c r="Q3436" t="str">
        <f>VLOOKUP(C3436, Lookups!$A$2:$D$10, 2, FALSE())</f>
        <v>FastElectronics</v>
      </c>
      <c r="R3436" t="str">
        <f>_xlfn.XLOOKUP(D3436, Lookups!$A$12:$A$51, Lookups!$C$12:$C$51, "Unknown")</f>
        <v>Networking</v>
      </c>
      <c r="S3436" t="str">
        <f>IF(ISBLANK(I3436), B3436+VLOOKUP(C3436, Lookups!$A$2:$D$10, 4, FALSE()), I3436)</f>
        <v>2025-09-30</v>
      </c>
      <c r="T3436">
        <f t="shared" si="321"/>
        <v>15</v>
      </c>
      <c r="U3436" t="str">
        <f t="shared" si="322"/>
        <v>On-Time</v>
      </c>
      <c r="V3436">
        <f t="shared" si="323"/>
        <v>0</v>
      </c>
    </row>
    <row r="3437" spans="1:22" x14ac:dyDescent="0.45">
      <c r="A3437" t="s">
        <v>4296</v>
      </c>
      <c r="B3437" t="s">
        <v>474</v>
      </c>
      <c r="C3437" t="s">
        <v>36</v>
      </c>
      <c r="D3437" t="s">
        <v>55</v>
      </c>
      <c r="E3437" t="s">
        <v>18</v>
      </c>
      <c r="F3437">
        <v>149</v>
      </c>
      <c r="G3437">
        <v>58434</v>
      </c>
      <c r="H3437">
        <v>8706666</v>
      </c>
      <c r="I3437" t="s">
        <v>760</v>
      </c>
      <c r="J3437" t="s">
        <v>1068</v>
      </c>
      <c r="K3437">
        <v>149</v>
      </c>
      <c r="L3437">
        <v>0</v>
      </c>
      <c r="M3437" t="s">
        <v>115</v>
      </c>
      <c r="N3437" t="str">
        <f t="shared" si="318"/>
        <v>PO-103436</v>
      </c>
      <c r="O3437" t="str">
        <f t="shared" si="319"/>
        <v>Delivered</v>
      </c>
      <c r="P3437" t="str">
        <f t="shared" si="320"/>
        <v>WH-PUN</v>
      </c>
      <c r="Q3437" t="str">
        <f>VLOOKUP(C3437, Lookups!$A$2:$D$10, 2, FALSE())</f>
        <v>NextGen Hardware</v>
      </c>
      <c r="R3437" t="str">
        <f>_xlfn.XLOOKUP(D3437, Lookups!$A$12:$A$51, Lookups!$C$12:$C$51, "Unknown")</f>
        <v>Electronics</v>
      </c>
      <c r="S3437" t="str">
        <f>IF(ISBLANK(I3437), B3437+VLOOKUP(C3437, Lookups!$A$2:$D$10, 4, FALSE()), I3437)</f>
        <v>2025-07-18</v>
      </c>
      <c r="T3437">
        <f t="shared" si="321"/>
        <v>39</v>
      </c>
      <c r="U3437" t="str">
        <f t="shared" si="322"/>
        <v>Late</v>
      </c>
      <c r="V3437">
        <f t="shared" si="323"/>
        <v>0</v>
      </c>
    </row>
    <row r="3438" spans="1:22" x14ac:dyDescent="0.45">
      <c r="A3438" t="s">
        <v>4297</v>
      </c>
      <c r="B3438" t="s">
        <v>527</v>
      </c>
      <c r="C3438" t="s">
        <v>35</v>
      </c>
      <c r="D3438" t="s">
        <v>57</v>
      </c>
      <c r="E3438" t="s">
        <v>15</v>
      </c>
      <c r="F3438">
        <v>39</v>
      </c>
      <c r="G3438">
        <v>2212</v>
      </c>
      <c r="H3438">
        <v>86268</v>
      </c>
      <c r="I3438" t="s">
        <v>428</v>
      </c>
      <c r="J3438" t="s">
        <v>312</v>
      </c>
      <c r="K3438">
        <v>39</v>
      </c>
      <c r="L3438">
        <v>0</v>
      </c>
      <c r="M3438" t="s">
        <v>115</v>
      </c>
      <c r="N3438" t="str">
        <f t="shared" si="318"/>
        <v>PO-103437</v>
      </c>
      <c r="O3438" t="str">
        <f t="shared" si="319"/>
        <v>Delivered</v>
      </c>
      <c r="P3438" t="str">
        <f t="shared" si="320"/>
        <v>WH-BOM</v>
      </c>
      <c r="Q3438" t="str">
        <f>VLOOKUP(C3438, Lookups!$A$2:$D$10, 2, FALSE())</f>
        <v>Peripheral Source</v>
      </c>
      <c r="R3438" t="str">
        <f>_xlfn.XLOOKUP(D3438, Lookups!$A$12:$A$51, Lookups!$C$12:$C$51, "Unknown")</f>
        <v>Peripherals</v>
      </c>
      <c r="S3438" t="str">
        <f>IF(ISBLANK(I3438), B3438+VLOOKUP(C3438, Lookups!$A$2:$D$10, 4, FALSE()), I3438)</f>
        <v>2026-07-17</v>
      </c>
      <c r="T3438">
        <f t="shared" si="321"/>
        <v>22</v>
      </c>
      <c r="U3438" t="str">
        <f t="shared" si="322"/>
        <v>Late</v>
      </c>
      <c r="V3438">
        <f t="shared" si="323"/>
        <v>0</v>
      </c>
    </row>
    <row r="3439" spans="1:22" x14ac:dyDescent="0.45">
      <c r="A3439" t="s">
        <v>4298</v>
      </c>
      <c r="B3439" t="s">
        <v>1661</v>
      </c>
      <c r="C3439" t="s">
        <v>30</v>
      </c>
      <c r="D3439" t="s">
        <v>61</v>
      </c>
      <c r="E3439" t="s">
        <v>16</v>
      </c>
      <c r="F3439">
        <v>75</v>
      </c>
      <c r="G3439">
        <v>111237</v>
      </c>
      <c r="H3439">
        <v>8342775</v>
      </c>
      <c r="I3439" t="s">
        <v>125</v>
      </c>
      <c r="J3439" t="s">
        <v>391</v>
      </c>
      <c r="K3439">
        <v>38</v>
      </c>
      <c r="L3439">
        <v>0</v>
      </c>
      <c r="M3439" t="s">
        <v>115</v>
      </c>
      <c r="N3439" t="str">
        <f t="shared" si="318"/>
        <v>PO-103438</v>
      </c>
      <c r="O3439" t="str">
        <f t="shared" si="319"/>
        <v>Delivered</v>
      </c>
      <c r="P3439" t="str">
        <f t="shared" si="320"/>
        <v>WH-DEL</v>
      </c>
      <c r="Q3439" t="str">
        <f>VLOOKUP(C3439, Lookups!$A$2:$D$10, 2, FALSE())</f>
        <v>TechSupply Corp</v>
      </c>
      <c r="R3439" t="str">
        <f>_xlfn.XLOOKUP(D3439, Lookups!$A$12:$A$51, Lookups!$C$12:$C$51, "Unknown")</f>
        <v>Electronics</v>
      </c>
      <c r="S3439" t="str">
        <f>IF(ISBLANK(I3439), B3439+VLOOKUP(C3439, Lookups!$A$2:$D$10, 4, FALSE()), I3439)</f>
        <v>2026-06-13</v>
      </c>
      <c r="T3439">
        <f t="shared" si="321"/>
        <v>15</v>
      </c>
      <c r="U3439" t="str">
        <f t="shared" si="322"/>
        <v>Late</v>
      </c>
      <c r="V3439">
        <f t="shared" si="323"/>
        <v>0</v>
      </c>
    </row>
    <row r="3440" spans="1:22" x14ac:dyDescent="0.45">
      <c r="A3440" t="s">
        <v>4299</v>
      </c>
      <c r="B3440" t="s">
        <v>752</v>
      </c>
      <c r="C3440" t="s">
        <v>37</v>
      </c>
      <c r="D3440" t="s">
        <v>83</v>
      </c>
      <c r="E3440" t="s">
        <v>17</v>
      </c>
      <c r="F3440">
        <v>39</v>
      </c>
      <c r="G3440">
        <v>19850</v>
      </c>
      <c r="H3440">
        <v>774150</v>
      </c>
      <c r="I3440" t="s">
        <v>537</v>
      </c>
      <c r="J3440" t="s">
        <v>917</v>
      </c>
      <c r="K3440">
        <v>19</v>
      </c>
      <c r="L3440">
        <v>0</v>
      </c>
      <c r="M3440" t="s">
        <v>115</v>
      </c>
      <c r="N3440" t="str">
        <f t="shared" si="318"/>
        <v>PO-103439</v>
      </c>
      <c r="O3440" t="str">
        <f t="shared" si="319"/>
        <v>Delivered</v>
      </c>
      <c r="P3440" t="str">
        <f t="shared" si="320"/>
        <v>WH-BLR</v>
      </c>
      <c r="Q3440" t="str">
        <f>VLOOKUP(C3440, Lookups!$A$2:$D$10, 2, FALSE())</f>
        <v>Premium Desks Ltd</v>
      </c>
      <c r="R3440" t="str">
        <f>_xlfn.XLOOKUP(D3440, Lookups!$A$12:$A$51, Lookups!$C$12:$C$51, "Unknown")</f>
        <v>Office Furniture</v>
      </c>
      <c r="S3440" t="str">
        <f>IF(ISBLANK(I3440), B3440+VLOOKUP(C3440, Lookups!$A$2:$D$10, 4, FALSE()), I3440)</f>
        <v>2026-01-03</v>
      </c>
      <c r="T3440">
        <f t="shared" si="321"/>
        <v>13</v>
      </c>
      <c r="U3440" t="str">
        <f t="shared" si="322"/>
        <v>Late</v>
      </c>
      <c r="V3440">
        <f t="shared" si="323"/>
        <v>0</v>
      </c>
    </row>
    <row r="3441" spans="1:22" x14ac:dyDescent="0.45">
      <c r="A3441" t="s">
        <v>4300</v>
      </c>
      <c r="B3441" t="s">
        <v>617</v>
      </c>
      <c r="C3441" t="s">
        <v>34</v>
      </c>
      <c r="D3441" t="s">
        <v>68</v>
      </c>
      <c r="E3441" t="s">
        <v>17</v>
      </c>
      <c r="F3441">
        <v>78</v>
      </c>
      <c r="G3441">
        <v>41405</v>
      </c>
      <c r="H3441">
        <v>3229590</v>
      </c>
      <c r="I3441" t="s">
        <v>221</v>
      </c>
      <c r="J3441" t="s">
        <v>221</v>
      </c>
      <c r="K3441">
        <v>78</v>
      </c>
      <c r="L3441">
        <v>0</v>
      </c>
      <c r="M3441" t="s">
        <v>115</v>
      </c>
      <c r="N3441" t="str">
        <f t="shared" si="318"/>
        <v>PO-103440</v>
      </c>
      <c r="O3441" t="str">
        <f t="shared" si="319"/>
        <v>Delivered</v>
      </c>
      <c r="P3441" t="str">
        <f t="shared" si="320"/>
        <v>WH-BLR</v>
      </c>
      <c r="Q3441" t="str">
        <f>VLOOKUP(C3441, Lookups!$A$2:$D$10, 2, FALSE())</f>
        <v>FastElectronics</v>
      </c>
      <c r="R3441" t="str">
        <f>_xlfn.XLOOKUP(D3441, Lookups!$A$12:$A$51, Lookups!$C$12:$C$51, "Unknown")</f>
        <v>Networking</v>
      </c>
      <c r="S3441" t="str">
        <f>IF(ISBLANK(I3441), B3441+VLOOKUP(C3441, Lookups!$A$2:$D$10, 4, FALSE()), I3441)</f>
        <v>2026-02-28</v>
      </c>
      <c r="T3441">
        <f t="shared" si="321"/>
        <v>18</v>
      </c>
      <c r="U3441" t="str">
        <f t="shared" si="322"/>
        <v>On-Time</v>
      </c>
      <c r="V3441">
        <f t="shared" si="323"/>
        <v>0</v>
      </c>
    </row>
    <row r="3442" spans="1:22" x14ac:dyDescent="0.45">
      <c r="A3442" t="s">
        <v>4301</v>
      </c>
      <c r="B3442" t="s">
        <v>1046</v>
      </c>
      <c r="C3442" t="s">
        <v>31</v>
      </c>
      <c r="D3442" t="s">
        <v>77</v>
      </c>
      <c r="E3442" t="s">
        <v>15</v>
      </c>
      <c r="F3442">
        <v>121</v>
      </c>
      <c r="G3442">
        <v>23667</v>
      </c>
      <c r="H3442">
        <v>2863707</v>
      </c>
      <c r="I3442" t="s">
        <v>989</v>
      </c>
      <c r="J3442" t="s">
        <v>989</v>
      </c>
      <c r="K3442">
        <v>121</v>
      </c>
      <c r="L3442">
        <v>0</v>
      </c>
      <c r="M3442" t="s">
        <v>115</v>
      </c>
      <c r="N3442" t="str">
        <f t="shared" si="318"/>
        <v>PO-103441</v>
      </c>
      <c r="O3442" t="str">
        <f t="shared" si="319"/>
        <v>Delivered</v>
      </c>
      <c r="P3442" t="str">
        <f t="shared" si="320"/>
        <v>WH-BOM</v>
      </c>
      <c r="Q3442" t="str">
        <f>VLOOKUP(C3442, Lookups!$A$2:$D$10, 2, FALSE())</f>
        <v>Global Networks</v>
      </c>
      <c r="R3442" t="str">
        <f>_xlfn.XLOOKUP(D3442, Lookups!$A$12:$A$51, Lookups!$C$12:$C$51, "Unknown")</f>
        <v>Networking</v>
      </c>
      <c r="S3442" t="str">
        <f>IF(ISBLANK(I3442), B3442+VLOOKUP(C3442, Lookups!$A$2:$D$10, 4, FALSE()), I3442)</f>
        <v>2025-11-13</v>
      </c>
      <c r="T3442">
        <f t="shared" si="321"/>
        <v>21</v>
      </c>
      <c r="U3442" t="str">
        <f t="shared" si="322"/>
        <v>On-Time</v>
      </c>
      <c r="V3442">
        <f t="shared" si="323"/>
        <v>0</v>
      </c>
    </row>
    <row r="3443" spans="1:22" x14ac:dyDescent="0.45">
      <c r="A3443" t="s">
        <v>4302</v>
      </c>
      <c r="B3443" t="s">
        <v>217</v>
      </c>
      <c r="C3443" t="s">
        <v>34</v>
      </c>
      <c r="D3443" t="s">
        <v>80</v>
      </c>
      <c r="E3443" t="s">
        <v>16</v>
      </c>
      <c r="F3443">
        <v>120</v>
      </c>
      <c r="G3443">
        <v>19090</v>
      </c>
      <c r="H3443">
        <v>2290800</v>
      </c>
      <c r="I3443" t="s">
        <v>863</v>
      </c>
      <c r="J3443" t="s">
        <v>1459</v>
      </c>
      <c r="K3443">
        <v>120</v>
      </c>
      <c r="L3443">
        <v>0</v>
      </c>
      <c r="M3443" t="s">
        <v>115</v>
      </c>
      <c r="N3443" t="str">
        <f t="shared" si="318"/>
        <v>PO-103442</v>
      </c>
      <c r="O3443" t="str">
        <f t="shared" si="319"/>
        <v>Delivered</v>
      </c>
      <c r="P3443" t="str">
        <f t="shared" si="320"/>
        <v>WH-DEL</v>
      </c>
      <c r="Q3443" t="str">
        <f>VLOOKUP(C3443, Lookups!$A$2:$D$10, 2, FALSE())</f>
        <v>FastElectronics</v>
      </c>
      <c r="R3443" t="str">
        <f>_xlfn.XLOOKUP(D3443, Lookups!$A$12:$A$51, Lookups!$C$12:$C$51, "Unknown")</f>
        <v>Networking</v>
      </c>
      <c r="S3443" t="str">
        <f>IF(ISBLANK(I3443), B3443+VLOOKUP(C3443, Lookups!$A$2:$D$10, 4, FALSE()), I3443)</f>
        <v>2026-05-11</v>
      </c>
      <c r="T3443">
        <f t="shared" si="321"/>
        <v>25</v>
      </c>
      <c r="U3443" t="str">
        <f t="shared" si="322"/>
        <v>Late</v>
      </c>
      <c r="V3443">
        <f t="shared" si="323"/>
        <v>0</v>
      </c>
    </row>
    <row r="3444" spans="1:22" x14ac:dyDescent="0.45">
      <c r="A3444" t="s">
        <v>4303</v>
      </c>
      <c r="B3444" t="s">
        <v>259</v>
      </c>
      <c r="C3444" t="s">
        <v>36</v>
      </c>
      <c r="D3444" t="s">
        <v>62</v>
      </c>
      <c r="E3444" t="s">
        <v>18</v>
      </c>
      <c r="F3444">
        <v>14</v>
      </c>
      <c r="G3444">
        <v>48478</v>
      </c>
      <c r="H3444">
        <v>678692</v>
      </c>
      <c r="I3444" t="s">
        <v>430</v>
      </c>
      <c r="J3444" t="s">
        <v>430</v>
      </c>
      <c r="K3444">
        <v>14</v>
      </c>
      <c r="L3444">
        <v>0</v>
      </c>
      <c r="M3444" t="s">
        <v>115</v>
      </c>
      <c r="N3444" t="str">
        <f t="shared" si="318"/>
        <v>PO-103443</v>
      </c>
      <c r="O3444" t="str">
        <f t="shared" si="319"/>
        <v>Delivered</v>
      </c>
      <c r="P3444" t="str">
        <f t="shared" si="320"/>
        <v>WH-PUN</v>
      </c>
      <c r="Q3444" t="str">
        <f>VLOOKUP(C3444, Lookups!$A$2:$D$10, 2, FALSE())</f>
        <v>NextGen Hardware</v>
      </c>
      <c r="R3444" t="str">
        <f>_xlfn.XLOOKUP(D3444, Lookups!$A$12:$A$51, Lookups!$C$12:$C$51, "Unknown")</f>
        <v>Electronics</v>
      </c>
      <c r="S3444" t="str">
        <f>IF(ISBLANK(I3444), B3444+VLOOKUP(C3444, Lookups!$A$2:$D$10, 4, FALSE()), I3444)</f>
        <v>2025-03-04</v>
      </c>
      <c r="T3444">
        <f t="shared" si="321"/>
        <v>24</v>
      </c>
      <c r="U3444" t="str">
        <f t="shared" si="322"/>
        <v>On-Time</v>
      </c>
      <c r="V3444">
        <f t="shared" si="323"/>
        <v>0</v>
      </c>
    </row>
    <row r="3445" spans="1:22" x14ac:dyDescent="0.45">
      <c r="A3445" t="s">
        <v>4304</v>
      </c>
      <c r="B3445" t="s">
        <v>503</v>
      </c>
      <c r="C3445" t="s">
        <v>34</v>
      </c>
      <c r="D3445" t="s">
        <v>74</v>
      </c>
      <c r="E3445" t="s">
        <v>17</v>
      </c>
      <c r="F3445">
        <v>159</v>
      </c>
      <c r="G3445">
        <v>94797</v>
      </c>
      <c r="H3445">
        <v>15072723</v>
      </c>
      <c r="I3445" t="s">
        <v>840</v>
      </c>
      <c r="J3445" t="s">
        <v>1084</v>
      </c>
      <c r="K3445">
        <v>159</v>
      </c>
      <c r="L3445">
        <v>0</v>
      </c>
      <c r="M3445" t="s">
        <v>115</v>
      </c>
      <c r="N3445" t="str">
        <f t="shared" si="318"/>
        <v>PO-103444</v>
      </c>
      <c r="O3445" t="str">
        <f t="shared" si="319"/>
        <v>Delivered</v>
      </c>
      <c r="P3445" t="str">
        <f t="shared" si="320"/>
        <v>WH-BLR</v>
      </c>
      <c r="Q3445" t="str">
        <f>VLOOKUP(C3445, Lookups!$A$2:$D$10, 2, FALSE())</f>
        <v>FastElectronics</v>
      </c>
      <c r="R3445" t="str">
        <f>_xlfn.XLOOKUP(D3445, Lookups!$A$12:$A$51, Lookups!$C$12:$C$51, "Unknown")</f>
        <v>Electronics</v>
      </c>
      <c r="S3445" t="str">
        <f>IF(ISBLANK(I3445), B3445+VLOOKUP(C3445, Lookups!$A$2:$D$10, 4, FALSE()), I3445)</f>
        <v>2026-03-17</v>
      </c>
      <c r="T3445">
        <f t="shared" si="321"/>
        <v>21</v>
      </c>
      <c r="U3445" t="str">
        <f t="shared" si="322"/>
        <v>Late</v>
      </c>
      <c r="V3445">
        <f t="shared" si="323"/>
        <v>0</v>
      </c>
    </row>
    <row r="3446" spans="1:22" x14ac:dyDescent="0.45">
      <c r="A3446" t="s">
        <v>4305</v>
      </c>
      <c r="B3446" t="s">
        <v>1622</v>
      </c>
      <c r="C3446" t="s">
        <v>30</v>
      </c>
      <c r="D3446" t="s">
        <v>86</v>
      </c>
      <c r="E3446" t="s">
        <v>18</v>
      </c>
      <c r="F3446">
        <v>241</v>
      </c>
      <c r="G3446">
        <v>74871</v>
      </c>
      <c r="H3446">
        <v>18043911</v>
      </c>
      <c r="I3446" t="s">
        <v>718</v>
      </c>
      <c r="J3446" t="s">
        <v>718</v>
      </c>
      <c r="K3446">
        <v>241</v>
      </c>
      <c r="L3446">
        <v>0</v>
      </c>
      <c r="M3446" t="s">
        <v>115</v>
      </c>
      <c r="N3446" t="str">
        <f t="shared" si="318"/>
        <v>PO-103445</v>
      </c>
      <c r="O3446" t="str">
        <f t="shared" si="319"/>
        <v>Delivered</v>
      </c>
      <c r="P3446" t="str">
        <f t="shared" si="320"/>
        <v>WH-PUN</v>
      </c>
      <c r="Q3446" t="str">
        <f>VLOOKUP(C3446, Lookups!$A$2:$D$10, 2, FALSE())</f>
        <v>TechSupply Corp</v>
      </c>
      <c r="R3446" t="str">
        <f>_xlfn.XLOOKUP(D3446, Lookups!$A$12:$A$51, Lookups!$C$12:$C$51, "Unknown")</f>
        <v>Electronics</v>
      </c>
      <c r="S3446" t="str">
        <f>IF(ISBLANK(I3446), B3446+VLOOKUP(C3446, Lookups!$A$2:$D$10, 4, FALSE()), I3446)</f>
        <v>2026-02-11</v>
      </c>
      <c r="T3446">
        <f t="shared" si="321"/>
        <v>14</v>
      </c>
      <c r="U3446" t="str">
        <f t="shared" si="322"/>
        <v>On-Time</v>
      </c>
      <c r="V3446">
        <f t="shared" si="323"/>
        <v>0</v>
      </c>
    </row>
    <row r="3447" spans="1:22" x14ac:dyDescent="0.45">
      <c r="A3447" t="s">
        <v>4306</v>
      </c>
      <c r="B3447" t="s">
        <v>389</v>
      </c>
      <c r="C3447" t="s">
        <v>37</v>
      </c>
      <c r="D3447" t="s">
        <v>69</v>
      </c>
      <c r="E3447" t="s">
        <v>17</v>
      </c>
      <c r="F3447">
        <v>58</v>
      </c>
      <c r="G3447">
        <v>13231</v>
      </c>
      <c r="H3447">
        <v>767398</v>
      </c>
      <c r="I3447" t="s">
        <v>558</v>
      </c>
      <c r="J3447" t="s">
        <v>558</v>
      </c>
      <c r="K3447">
        <v>58</v>
      </c>
      <c r="L3447">
        <v>0</v>
      </c>
      <c r="M3447" t="s">
        <v>115</v>
      </c>
      <c r="N3447" t="str">
        <f t="shared" si="318"/>
        <v>PO-103446</v>
      </c>
      <c r="O3447" t="str">
        <f t="shared" si="319"/>
        <v>Delivered</v>
      </c>
      <c r="P3447" t="str">
        <f t="shared" si="320"/>
        <v>WH-BLR</v>
      </c>
      <c r="Q3447" t="str">
        <f>VLOOKUP(C3447, Lookups!$A$2:$D$10, 2, FALSE())</f>
        <v>Premium Desks Ltd</v>
      </c>
      <c r="R3447" t="str">
        <f>_xlfn.XLOOKUP(D3447, Lookups!$A$12:$A$51, Lookups!$C$12:$C$51, "Unknown")</f>
        <v>Office Furniture</v>
      </c>
      <c r="S3447" t="str">
        <f>IF(ISBLANK(I3447), B3447+VLOOKUP(C3447, Lookups!$A$2:$D$10, 4, FALSE()), I3447)</f>
        <v>2026-04-18</v>
      </c>
      <c r="T3447">
        <f t="shared" si="321"/>
        <v>12</v>
      </c>
      <c r="U3447" t="str">
        <f t="shared" si="322"/>
        <v>On-Time</v>
      </c>
      <c r="V3447">
        <f t="shared" si="323"/>
        <v>0</v>
      </c>
    </row>
    <row r="3448" spans="1:22" x14ac:dyDescent="0.45">
      <c r="A3448" t="s">
        <v>4307</v>
      </c>
      <c r="B3448" t="s">
        <v>289</v>
      </c>
      <c r="C3448" t="s">
        <v>35</v>
      </c>
      <c r="D3448" t="s">
        <v>70</v>
      </c>
      <c r="E3448" t="s">
        <v>18</v>
      </c>
      <c r="F3448">
        <v>115</v>
      </c>
      <c r="G3448">
        <v>4287</v>
      </c>
      <c r="H3448">
        <v>493005</v>
      </c>
      <c r="I3448" t="s">
        <v>2065</v>
      </c>
      <c r="J3448" t="s">
        <v>225</v>
      </c>
      <c r="K3448">
        <v>115</v>
      </c>
      <c r="L3448">
        <v>0</v>
      </c>
      <c r="M3448" t="s">
        <v>115</v>
      </c>
      <c r="N3448" t="str">
        <f t="shared" si="318"/>
        <v>PO-103447</v>
      </c>
      <c r="O3448" t="str">
        <f t="shared" si="319"/>
        <v>Delivered</v>
      </c>
      <c r="P3448" t="str">
        <f t="shared" si="320"/>
        <v>WH-PUN</v>
      </c>
      <c r="Q3448" t="str">
        <f>VLOOKUP(C3448, Lookups!$A$2:$D$10, 2, FALSE())</f>
        <v>Peripheral Source</v>
      </c>
      <c r="R3448" t="str">
        <f>_xlfn.XLOOKUP(D3448, Lookups!$A$12:$A$51, Lookups!$C$12:$C$51, "Unknown")</f>
        <v>Peripherals</v>
      </c>
      <c r="S3448" t="str">
        <f>IF(ISBLANK(I3448), B3448+VLOOKUP(C3448, Lookups!$A$2:$D$10, 4, FALSE()), I3448)</f>
        <v>2026-07-19</v>
      </c>
      <c r="T3448">
        <f t="shared" si="321"/>
        <v>22</v>
      </c>
      <c r="U3448" t="str">
        <f t="shared" si="322"/>
        <v>Late</v>
      </c>
      <c r="V3448">
        <f t="shared" si="323"/>
        <v>0</v>
      </c>
    </row>
    <row r="3449" spans="1:22" x14ac:dyDescent="0.45">
      <c r="A3449" t="s">
        <v>4308</v>
      </c>
      <c r="B3449" t="s">
        <v>649</v>
      </c>
      <c r="C3449" t="s">
        <v>34</v>
      </c>
      <c r="D3449" t="s">
        <v>80</v>
      </c>
      <c r="E3449" t="s">
        <v>16</v>
      </c>
      <c r="F3449">
        <v>106</v>
      </c>
      <c r="G3449">
        <v>19090</v>
      </c>
      <c r="H3449">
        <v>2023540</v>
      </c>
      <c r="I3449" t="s">
        <v>933</v>
      </c>
      <c r="J3449" t="s">
        <v>933</v>
      </c>
      <c r="K3449">
        <v>106</v>
      </c>
      <c r="L3449">
        <v>0</v>
      </c>
      <c r="M3449" t="s">
        <v>115</v>
      </c>
      <c r="N3449" t="str">
        <f t="shared" si="318"/>
        <v>PO-103448</v>
      </c>
      <c r="O3449" t="str">
        <f t="shared" si="319"/>
        <v>Delivered</v>
      </c>
      <c r="P3449" t="str">
        <f t="shared" si="320"/>
        <v>WH-DEL</v>
      </c>
      <c r="Q3449" t="str">
        <f>VLOOKUP(C3449, Lookups!$A$2:$D$10, 2, FALSE())</f>
        <v>FastElectronics</v>
      </c>
      <c r="R3449" t="str">
        <f>_xlfn.XLOOKUP(D3449, Lookups!$A$12:$A$51, Lookups!$C$12:$C$51, "Unknown")</f>
        <v>Networking</v>
      </c>
      <c r="S3449" t="str">
        <f>IF(ISBLANK(I3449), B3449+VLOOKUP(C3449, Lookups!$A$2:$D$10, 4, FALSE()), I3449)</f>
        <v>2025-09-05</v>
      </c>
      <c r="T3449">
        <f t="shared" si="321"/>
        <v>18</v>
      </c>
      <c r="U3449" t="str">
        <f t="shared" si="322"/>
        <v>On-Time</v>
      </c>
      <c r="V3449">
        <f t="shared" si="323"/>
        <v>0</v>
      </c>
    </row>
    <row r="3450" spans="1:22" x14ac:dyDescent="0.45">
      <c r="A3450" t="s">
        <v>4309</v>
      </c>
      <c r="B3450" t="s">
        <v>303</v>
      </c>
      <c r="C3450" t="s">
        <v>34</v>
      </c>
      <c r="D3450" t="s">
        <v>73</v>
      </c>
      <c r="E3450" t="s">
        <v>18</v>
      </c>
      <c r="F3450">
        <v>96</v>
      </c>
      <c r="G3450">
        <v>58396</v>
      </c>
      <c r="H3450">
        <v>5606016</v>
      </c>
      <c r="I3450" t="s">
        <v>631</v>
      </c>
      <c r="J3450" t="s">
        <v>510</v>
      </c>
      <c r="K3450">
        <v>96</v>
      </c>
      <c r="L3450">
        <v>0</v>
      </c>
      <c r="M3450" t="s">
        <v>115</v>
      </c>
      <c r="N3450" t="str">
        <f t="shared" si="318"/>
        <v>PO-103449</v>
      </c>
      <c r="O3450" t="str">
        <f t="shared" si="319"/>
        <v>Delivered</v>
      </c>
      <c r="P3450" t="str">
        <f t="shared" si="320"/>
        <v>WH-PUN</v>
      </c>
      <c r="Q3450" t="str">
        <f>VLOOKUP(C3450, Lookups!$A$2:$D$10, 2, FALSE())</f>
        <v>FastElectronics</v>
      </c>
      <c r="R3450" t="str">
        <f>_xlfn.XLOOKUP(D3450, Lookups!$A$12:$A$51, Lookups!$C$12:$C$51, "Unknown")</f>
        <v>Electronics</v>
      </c>
      <c r="S3450" t="str">
        <f>IF(ISBLANK(I3450), B3450+VLOOKUP(C3450, Lookups!$A$2:$D$10, 4, FALSE()), I3450)</f>
        <v>2026-06-27</v>
      </c>
      <c r="T3450">
        <f t="shared" si="321"/>
        <v>17</v>
      </c>
      <c r="U3450" t="str">
        <f t="shared" si="322"/>
        <v>On-Time</v>
      </c>
      <c r="V3450">
        <f t="shared" si="323"/>
        <v>0</v>
      </c>
    </row>
    <row r="3451" spans="1:22" x14ac:dyDescent="0.45">
      <c r="A3451" t="s">
        <v>4310</v>
      </c>
      <c r="B3451" t="s">
        <v>434</v>
      </c>
      <c r="C3451" t="s">
        <v>34</v>
      </c>
      <c r="D3451" t="s">
        <v>58</v>
      </c>
      <c r="E3451" t="s">
        <v>16</v>
      </c>
      <c r="F3451">
        <v>177</v>
      </c>
      <c r="G3451">
        <v>100302</v>
      </c>
      <c r="H3451">
        <v>17753454</v>
      </c>
      <c r="I3451" t="s">
        <v>236</v>
      </c>
      <c r="J3451" t="s">
        <v>236</v>
      </c>
      <c r="K3451">
        <v>124</v>
      </c>
      <c r="L3451">
        <v>0</v>
      </c>
      <c r="M3451" t="s">
        <v>115</v>
      </c>
      <c r="N3451" t="str">
        <f t="shared" si="318"/>
        <v>PO-103450</v>
      </c>
      <c r="O3451" t="str">
        <f t="shared" si="319"/>
        <v>Delivered</v>
      </c>
      <c r="P3451" t="str">
        <f t="shared" si="320"/>
        <v>WH-DEL</v>
      </c>
      <c r="Q3451" t="str">
        <f>VLOOKUP(C3451, Lookups!$A$2:$D$10, 2, FALSE())</f>
        <v>FastElectronics</v>
      </c>
      <c r="R3451" t="str">
        <f>_xlfn.XLOOKUP(D3451, Lookups!$A$12:$A$51, Lookups!$C$12:$C$51, "Unknown")</f>
        <v>Electronics</v>
      </c>
      <c r="S3451" t="str">
        <f>IF(ISBLANK(I3451), B3451+VLOOKUP(C3451, Lookups!$A$2:$D$10, 4, FALSE()), I3451)</f>
        <v>2025-08-28</v>
      </c>
      <c r="T3451">
        <f t="shared" si="321"/>
        <v>18</v>
      </c>
      <c r="U3451" t="str">
        <f t="shared" si="322"/>
        <v>On-Time</v>
      </c>
      <c r="V3451">
        <f t="shared" si="323"/>
        <v>0</v>
      </c>
    </row>
    <row r="3452" spans="1:22" x14ac:dyDescent="0.45">
      <c r="A3452" t="s">
        <v>4311</v>
      </c>
      <c r="B3452" t="s">
        <v>1288</v>
      </c>
      <c r="C3452" t="s">
        <v>37</v>
      </c>
      <c r="D3452" t="s">
        <v>83</v>
      </c>
      <c r="E3452" t="s">
        <v>17</v>
      </c>
      <c r="F3452">
        <v>50</v>
      </c>
      <c r="G3452">
        <v>19850</v>
      </c>
      <c r="H3452">
        <v>992500</v>
      </c>
      <c r="I3452" t="s">
        <v>1187</v>
      </c>
      <c r="J3452" t="s">
        <v>1442</v>
      </c>
      <c r="K3452">
        <v>50</v>
      </c>
      <c r="L3452">
        <v>0</v>
      </c>
      <c r="M3452" t="s">
        <v>115</v>
      </c>
      <c r="N3452" t="str">
        <f t="shared" si="318"/>
        <v>PO-103451</v>
      </c>
      <c r="O3452" t="str">
        <f t="shared" si="319"/>
        <v>Delivered</v>
      </c>
      <c r="P3452" t="str">
        <f t="shared" si="320"/>
        <v>WH-BLR</v>
      </c>
      <c r="Q3452" t="str">
        <f>VLOOKUP(C3452, Lookups!$A$2:$D$10, 2, FALSE())</f>
        <v>Premium Desks Ltd</v>
      </c>
      <c r="R3452" t="str">
        <f>_xlfn.XLOOKUP(D3452, Lookups!$A$12:$A$51, Lookups!$C$12:$C$51, "Unknown")</f>
        <v>Office Furniture</v>
      </c>
      <c r="S3452" t="str">
        <f>IF(ISBLANK(I3452), B3452+VLOOKUP(C3452, Lookups!$A$2:$D$10, 4, FALSE()), I3452)</f>
        <v>2025-07-01</v>
      </c>
      <c r="T3452">
        <f t="shared" si="321"/>
        <v>13</v>
      </c>
      <c r="U3452" t="str">
        <f t="shared" si="322"/>
        <v>Late</v>
      </c>
      <c r="V3452">
        <f t="shared" si="323"/>
        <v>0</v>
      </c>
    </row>
    <row r="3453" spans="1:22" x14ac:dyDescent="0.45">
      <c r="A3453" t="s">
        <v>4312</v>
      </c>
      <c r="B3453" t="s">
        <v>1092</v>
      </c>
      <c r="C3453" t="s">
        <v>35</v>
      </c>
      <c r="D3453" t="s">
        <v>72</v>
      </c>
      <c r="E3453" t="s">
        <v>15</v>
      </c>
      <c r="F3453">
        <v>212</v>
      </c>
      <c r="G3453">
        <v>7754</v>
      </c>
      <c r="H3453">
        <v>1643848</v>
      </c>
      <c r="I3453" t="s">
        <v>1142</v>
      </c>
      <c r="J3453" t="s">
        <v>1142</v>
      </c>
      <c r="K3453">
        <v>212</v>
      </c>
      <c r="L3453">
        <v>0</v>
      </c>
      <c r="M3453" t="s">
        <v>115</v>
      </c>
      <c r="N3453" t="str">
        <f t="shared" si="318"/>
        <v>PO-103452</v>
      </c>
      <c r="O3453" t="str">
        <f t="shared" si="319"/>
        <v>Delivered</v>
      </c>
      <c r="P3453" t="str">
        <f t="shared" si="320"/>
        <v>WH-BOM</v>
      </c>
      <c r="Q3453" t="str">
        <f>VLOOKUP(C3453, Lookups!$A$2:$D$10, 2, FALSE())</f>
        <v>Peripheral Source</v>
      </c>
      <c r="R3453" t="str">
        <f>_xlfn.XLOOKUP(D3453, Lookups!$A$12:$A$51, Lookups!$C$12:$C$51, "Unknown")</f>
        <v>Peripherals</v>
      </c>
      <c r="S3453" t="str">
        <f>IF(ISBLANK(I3453), B3453+VLOOKUP(C3453, Lookups!$A$2:$D$10, 4, FALSE()), I3453)</f>
        <v>2025-04-01</v>
      </c>
      <c r="T3453">
        <f t="shared" si="321"/>
        <v>10</v>
      </c>
      <c r="U3453" t="str">
        <f t="shared" si="322"/>
        <v>On-Time</v>
      </c>
      <c r="V3453">
        <f t="shared" si="323"/>
        <v>0</v>
      </c>
    </row>
    <row r="3454" spans="1:22" x14ac:dyDescent="0.45">
      <c r="A3454" t="s">
        <v>4313</v>
      </c>
      <c r="B3454" t="s">
        <v>542</v>
      </c>
      <c r="C3454" t="s">
        <v>31</v>
      </c>
      <c r="D3454" t="s">
        <v>77</v>
      </c>
      <c r="E3454" t="s">
        <v>15</v>
      </c>
      <c r="F3454">
        <v>220</v>
      </c>
      <c r="G3454">
        <v>23667</v>
      </c>
      <c r="H3454">
        <v>5206740</v>
      </c>
      <c r="I3454" t="s">
        <v>303</v>
      </c>
      <c r="J3454" t="s">
        <v>375</v>
      </c>
      <c r="K3454">
        <v>112</v>
      </c>
      <c r="L3454">
        <v>0</v>
      </c>
      <c r="M3454" t="s">
        <v>115</v>
      </c>
      <c r="N3454" t="str">
        <f t="shared" si="318"/>
        <v>PO-103453</v>
      </c>
      <c r="O3454" t="str">
        <f t="shared" si="319"/>
        <v>Delivered</v>
      </c>
      <c r="P3454" t="str">
        <f t="shared" si="320"/>
        <v>WH-BOM</v>
      </c>
      <c r="Q3454" t="str">
        <f>VLOOKUP(C3454, Lookups!$A$2:$D$10, 2, FALSE())</f>
        <v>Global Networks</v>
      </c>
      <c r="R3454" t="str">
        <f>_xlfn.XLOOKUP(D3454, Lookups!$A$12:$A$51, Lookups!$C$12:$C$51, "Unknown")</f>
        <v>Networking</v>
      </c>
      <c r="S3454" t="str">
        <f>IF(ISBLANK(I3454), B3454+VLOOKUP(C3454, Lookups!$A$2:$D$10, 4, FALSE()), I3454)</f>
        <v>2026-06-09</v>
      </c>
      <c r="T3454">
        <f t="shared" si="321"/>
        <v>22</v>
      </c>
      <c r="U3454" t="str">
        <f t="shared" si="322"/>
        <v>Late</v>
      </c>
      <c r="V3454">
        <f t="shared" si="323"/>
        <v>0</v>
      </c>
    </row>
    <row r="3455" spans="1:22" x14ac:dyDescent="0.45">
      <c r="A3455" t="s">
        <v>4314</v>
      </c>
      <c r="B3455" t="s">
        <v>935</v>
      </c>
      <c r="C3455" t="s">
        <v>35</v>
      </c>
      <c r="D3455" t="s">
        <v>72</v>
      </c>
      <c r="E3455" t="s">
        <v>18</v>
      </c>
      <c r="F3455">
        <v>138</v>
      </c>
      <c r="G3455">
        <v>7754</v>
      </c>
      <c r="H3455">
        <v>1070052</v>
      </c>
      <c r="I3455" t="s">
        <v>322</v>
      </c>
      <c r="J3455" t="s">
        <v>388</v>
      </c>
      <c r="K3455">
        <v>138</v>
      </c>
      <c r="L3455">
        <v>0</v>
      </c>
      <c r="M3455" t="s">
        <v>115</v>
      </c>
      <c r="N3455" t="str">
        <f t="shared" si="318"/>
        <v>PO-103454</v>
      </c>
      <c r="O3455" t="str">
        <f t="shared" si="319"/>
        <v>Delivered</v>
      </c>
      <c r="P3455" t="str">
        <f t="shared" si="320"/>
        <v>WH-PUN</v>
      </c>
      <c r="Q3455" t="str">
        <f>VLOOKUP(C3455, Lookups!$A$2:$D$10, 2, FALSE())</f>
        <v>Peripheral Source</v>
      </c>
      <c r="R3455" t="str">
        <f>_xlfn.XLOOKUP(D3455, Lookups!$A$12:$A$51, Lookups!$C$12:$C$51, "Unknown")</f>
        <v>Peripherals</v>
      </c>
      <c r="S3455" t="str">
        <f>IF(ISBLANK(I3455), B3455+VLOOKUP(C3455, Lookups!$A$2:$D$10, 4, FALSE()), I3455)</f>
        <v>2026-03-24</v>
      </c>
      <c r="T3455">
        <f t="shared" si="321"/>
        <v>11</v>
      </c>
      <c r="U3455" t="str">
        <f t="shared" si="322"/>
        <v>Late</v>
      </c>
      <c r="V3455">
        <f t="shared" si="323"/>
        <v>0</v>
      </c>
    </row>
    <row r="3456" spans="1:22" x14ac:dyDescent="0.45">
      <c r="A3456" t="s">
        <v>4315</v>
      </c>
      <c r="B3456" t="s">
        <v>316</v>
      </c>
      <c r="C3456" t="s">
        <v>35</v>
      </c>
      <c r="D3456" t="s">
        <v>75</v>
      </c>
      <c r="E3456" t="s">
        <v>16</v>
      </c>
      <c r="F3456">
        <v>203</v>
      </c>
      <c r="G3456">
        <v>4440</v>
      </c>
      <c r="H3456">
        <v>901320</v>
      </c>
      <c r="I3456" t="s">
        <v>387</v>
      </c>
      <c r="J3456" t="s">
        <v>619</v>
      </c>
      <c r="K3456">
        <v>203</v>
      </c>
      <c r="L3456">
        <v>0</v>
      </c>
      <c r="M3456" t="s">
        <v>115</v>
      </c>
      <c r="N3456" t="str">
        <f t="shared" si="318"/>
        <v>PO-103455</v>
      </c>
      <c r="O3456" t="str">
        <f t="shared" si="319"/>
        <v>Delivered</v>
      </c>
      <c r="P3456" t="str">
        <f t="shared" si="320"/>
        <v>WH-DEL</v>
      </c>
      <c r="Q3456" t="str">
        <f>VLOOKUP(C3456, Lookups!$A$2:$D$10, 2, FALSE())</f>
        <v>Peripheral Source</v>
      </c>
      <c r="R3456" t="str">
        <f>_xlfn.XLOOKUP(D3456, Lookups!$A$12:$A$51, Lookups!$C$12:$C$51, "Unknown")</f>
        <v>Peripherals</v>
      </c>
      <c r="S3456" t="str">
        <f>IF(ISBLANK(I3456), B3456+VLOOKUP(C3456, Lookups!$A$2:$D$10, 4, FALSE()), I3456)</f>
        <v>2026-03-18</v>
      </c>
      <c r="T3456">
        <f t="shared" si="321"/>
        <v>11</v>
      </c>
      <c r="U3456" t="str">
        <f t="shared" si="322"/>
        <v>Late</v>
      </c>
      <c r="V3456">
        <f t="shared" si="323"/>
        <v>0</v>
      </c>
    </row>
    <row r="3457" spans="1:22" x14ac:dyDescent="0.45">
      <c r="A3457" t="s">
        <v>4316</v>
      </c>
      <c r="B3457" t="s">
        <v>439</v>
      </c>
      <c r="C3457" t="s">
        <v>36</v>
      </c>
      <c r="D3457" t="s">
        <v>71</v>
      </c>
      <c r="E3457" t="s">
        <v>17</v>
      </c>
      <c r="F3457">
        <v>170</v>
      </c>
      <c r="G3457">
        <v>65379</v>
      </c>
      <c r="H3457">
        <v>11114430</v>
      </c>
      <c r="I3457" t="s">
        <v>926</v>
      </c>
      <c r="J3457" t="s">
        <v>926</v>
      </c>
      <c r="K3457">
        <v>170</v>
      </c>
      <c r="L3457">
        <v>0</v>
      </c>
      <c r="M3457" t="s">
        <v>115</v>
      </c>
      <c r="N3457" t="str">
        <f t="shared" si="318"/>
        <v>PO-103456</v>
      </c>
      <c r="O3457" t="str">
        <f t="shared" si="319"/>
        <v>Delivered</v>
      </c>
      <c r="P3457" t="str">
        <f t="shared" si="320"/>
        <v>WH-BLR</v>
      </c>
      <c r="Q3457" t="str">
        <f>VLOOKUP(C3457, Lookups!$A$2:$D$10, 2, FALSE())</f>
        <v>NextGen Hardware</v>
      </c>
      <c r="R3457" t="str">
        <f>_xlfn.XLOOKUP(D3457, Lookups!$A$12:$A$51, Lookups!$C$12:$C$51, "Unknown")</f>
        <v>Electronics</v>
      </c>
      <c r="S3457" t="str">
        <f>IF(ISBLANK(I3457), B3457+VLOOKUP(C3457, Lookups!$A$2:$D$10, 4, FALSE()), I3457)</f>
        <v>2025-03-08</v>
      </c>
      <c r="T3457">
        <f t="shared" si="321"/>
        <v>24</v>
      </c>
      <c r="U3457" t="str">
        <f t="shared" si="322"/>
        <v>On-Time</v>
      </c>
      <c r="V3457">
        <f t="shared" si="323"/>
        <v>0</v>
      </c>
    </row>
    <row r="3458" spans="1:22" x14ac:dyDescent="0.45">
      <c r="A3458" t="s">
        <v>4317</v>
      </c>
      <c r="B3458" t="s">
        <v>760</v>
      </c>
      <c r="C3458" t="s">
        <v>31</v>
      </c>
      <c r="D3458" t="s">
        <v>85</v>
      </c>
      <c r="E3458" t="s">
        <v>16</v>
      </c>
      <c r="F3458">
        <v>201</v>
      </c>
      <c r="G3458">
        <v>16501</v>
      </c>
      <c r="H3458">
        <v>3316701</v>
      </c>
      <c r="I3458" t="s">
        <v>250</v>
      </c>
      <c r="J3458" t="s">
        <v>1235</v>
      </c>
      <c r="K3458">
        <v>201</v>
      </c>
      <c r="L3458">
        <v>4</v>
      </c>
      <c r="M3458" t="s">
        <v>115</v>
      </c>
      <c r="N3458" t="str">
        <f t="shared" ref="N3458:N3501" si="324">TRIM(A3458)</f>
        <v>PO-103457</v>
      </c>
      <c r="O3458" t="str">
        <f t="shared" ref="O3458:O3501" si="325">PROPER(TRIM(M3458))</f>
        <v>Delivered</v>
      </c>
      <c r="P3458" t="str">
        <f t="shared" ref="P3458:P3501" si="326">TRIM(E3458)</f>
        <v>WH-DEL</v>
      </c>
      <c r="Q3458" t="str">
        <f>VLOOKUP(C3458, Lookups!$A$2:$D$10, 2, FALSE())</f>
        <v>Global Networks</v>
      </c>
      <c r="R3458" t="str">
        <f>_xlfn.XLOOKUP(D3458, Lookups!$A$12:$A$51, Lookups!$C$12:$C$51, "Unknown")</f>
        <v>Networking</v>
      </c>
      <c r="S3458" t="str">
        <f>IF(ISBLANK(I3458), B3458+VLOOKUP(C3458, Lookups!$A$2:$D$10, 4, FALSE()), I3458)</f>
        <v>2025-08-08</v>
      </c>
      <c r="T3458">
        <f t="shared" ref="T3458:T3501" si="327">IF(ISBLANK(J3458), "", J3458-B3458)</f>
        <v>22</v>
      </c>
      <c r="U3458" t="str">
        <f t="shared" ref="U3458:U3501" si="328">IF(O3458="Open", "Open", IF(J3458&gt;S3458, "Late", "On-Time"))</f>
        <v>Late</v>
      </c>
      <c r="V3458">
        <f t="shared" ref="V3458:V3501" si="329">IF(K3458&gt;0, L3458/K3458, 0)</f>
        <v>1.9900497512437811E-2</v>
      </c>
    </row>
    <row r="3459" spans="1:22" x14ac:dyDescent="0.45">
      <c r="A3459" t="s">
        <v>4318</v>
      </c>
      <c r="B3459" t="s">
        <v>1584</v>
      </c>
      <c r="C3459" t="s">
        <v>35</v>
      </c>
      <c r="D3459" t="s">
        <v>70</v>
      </c>
      <c r="E3459" t="s">
        <v>18</v>
      </c>
      <c r="F3459">
        <v>21</v>
      </c>
      <c r="G3459">
        <v>4287</v>
      </c>
      <c r="H3459">
        <v>90027</v>
      </c>
      <c r="I3459" t="s">
        <v>1252</v>
      </c>
      <c r="J3459" t="s">
        <v>319</v>
      </c>
      <c r="K3459">
        <v>21</v>
      </c>
      <c r="L3459">
        <v>0</v>
      </c>
      <c r="M3459" t="s">
        <v>115</v>
      </c>
      <c r="N3459" t="str">
        <f t="shared" si="324"/>
        <v>PO-103458</v>
      </c>
      <c r="O3459" t="str">
        <f t="shared" si="325"/>
        <v>Delivered</v>
      </c>
      <c r="P3459" t="str">
        <f t="shared" si="326"/>
        <v>WH-PUN</v>
      </c>
      <c r="Q3459" t="str">
        <f>VLOOKUP(C3459, Lookups!$A$2:$D$10, 2, FALSE())</f>
        <v>Peripheral Source</v>
      </c>
      <c r="R3459" t="str">
        <f>_xlfn.XLOOKUP(D3459, Lookups!$A$12:$A$51, Lookups!$C$12:$C$51, "Unknown")</f>
        <v>Peripherals</v>
      </c>
      <c r="S3459" t="str">
        <f>IF(ISBLANK(I3459), B3459+VLOOKUP(C3459, Lookups!$A$2:$D$10, 4, FALSE()), I3459)</f>
        <v>2025-10-01</v>
      </c>
      <c r="T3459">
        <f t="shared" si="327"/>
        <v>23</v>
      </c>
      <c r="U3459" t="str">
        <f t="shared" si="328"/>
        <v>Late</v>
      </c>
      <c r="V3459">
        <f t="shared" si="329"/>
        <v>0</v>
      </c>
    </row>
    <row r="3460" spans="1:22" x14ac:dyDescent="0.45">
      <c r="A3460" t="s">
        <v>4319</v>
      </c>
      <c r="B3460" t="s">
        <v>252</v>
      </c>
      <c r="C3460" t="s">
        <v>36</v>
      </c>
      <c r="D3460" t="s">
        <v>63</v>
      </c>
      <c r="E3460" t="s">
        <v>16</v>
      </c>
      <c r="F3460">
        <v>231</v>
      </c>
      <c r="G3460">
        <v>71062</v>
      </c>
      <c r="H3460">
        <v>16415322</v>
      </c>
      <c r="I3460" t="s">
        <v>784</v>
      </c>
      <c r="J3460" t="s">
        <v>145</v>
      </c>
      <c r="K3460">
        <v>231</v>
      </c>
      <c r="L3460">
        <v>2</v>
      </c>
      <c r="M3460" t="s">
        <v>115</v>
      </c>
      <c r="N3460" t="str">
        <f t="shared" si="324"/>
        <v>PO-103459</v>
      </c>
      <c r="O3460" t="str">
        <f t="shared" si="325"/>
        <v>Delivered</v>
      </c>
      <c r="P3460" t="str">
        <f t="shared" si="326"/>
        <v>WH-DEL</v>
      </c>
      <c r="Q3460" t="str">
        <f>VLOOKUP(C3460, Lookups!$A$2:$D$10, 2, FALSE())</f>
        <v>NextGen Hardware</v>
      </c>
      <c r="R3460" t="str">
        <f>_xlfn.XLOOKUP(D3460, Lookups!$A$12:$A$51, Lookups!$C$12:$C$51, "Unknown")</f>
        <v>Electronics</v>
      </c>
      <c r="S3460" t="str">
        <f>IF(ISBLANK(I3460), B3460+VLOOKUP(C3460, Lookups!$A$2:$D$10, 4, FALSE()), I3460)</f>
        <v>2025-09-12</v>
      </c>
      <c r="T3460">
        <f t="shared" si="327"/>
        <v>36</v>
      </c>
      <c r="U3460" t="str">
        <f t="shared" si="328"/>
        <v>Late</v>
      </c>
      <c r="V3460">
        <f t="shared" si="329"/>
        <v>8.658008658008658E-3</v>
      </c>
    </row>
    <row r="3461" spans="1:22" x14ac:dyDescent="0.45">
      <c r="A3461" t="s">
        <v>4320</v>
      </c>
      <c r="B3461" t="s">
        <v>217</v>
      </c>
      <c r="C3461" t="s">
        <v>36</v>
      </c>
      <c r="D3461" t="s">
        <v>90</v>
      </c>
      <c r="E3461" t="s">
        <v>15</v>
      </c>
      <c r="F3461">
        <v>168</v>
      </c>
      <c r="G3461">
        <v>81434</v>
      </c>
      <c r="H3461">
        <v>13680912</v>
      </c>
      <c r="I3461" t="s">
        <v>415</v>
      </c>
      <c r="J3461" t="s">
        <v>1405</v>
      </c>
      <c r="K3461">
        <v>168</v>
      </c>
      <c r="L3461">
        <v>0</v>
      </c>
      <c r="M3461" t="s">
        <v>115</v>
      </c>
      <c r="N3461" t="str">
        <f t="shared" si="324"/>
        <v>PO-103460</v>
      </c>
      <c r="O3461" t="str">
        <f t="shared" si="325"/>
        <v>Delivered</v>
      </c>
      <c r="P3461" t="str">
        <f t="shared" si="326"/>
        <v>WH-BOM</v>
      </c>
      <c r="Q3461" t="str">
        <f>VLOOKUP(C3461, Lookups!$A$2:$D$10, 2, FALSE())</f>
        <v>NextGen Hardware</v>
      </c>
      <c r="R3461" t="str">
        <f>_xlfn.XLOOKUP(D3461, Lookups!$A$12:$A$51, Lookups!$C$12:$C$51, "Unknown")</f>
        <v>Electronics</v>
      </c>
      <c r="S3461" t="str">
        <f>IF(ISBLANK(I3461), B3461+VLOOKUP(C3461, Lookups!$A$2:$D$10, 4, FALSE()), I3461)</f>
        <v>2026-05-17</v>
      </c>
      <c r="T3461">
        <f t="shared" si="327"/>
        <v>30</v>
      </c>
      <c r="U3461" t="str">
        <f t="shared" si="328"/>
        <v>Late</v>
      </c>
      <c r="V3461">
        <f t="shared" si="329"/>
        <v>0</v>
      </c>
    </row>
    <row r="3462" spans="1:22" x14ac:dyDescent="0.45">
      <c r="A3462" t="s">
        <v>4321</v>
      </c>
      <c r="B3462" t="s">
        <v>125</v>
      </c>
      <c r="C3462" t="s">
        <v>37</v>
      </c>
      <c r="D3462" t="s">
        <v>79</v>
      </c>
      <c r="E3462" t="s">
        <v>15</v>
      </c>
      <c r="F3462">
        <v>29</v>
      </c>
      <c r="G3462">
        <v>23054</v>
      </c>
      <c r="H3462">
        <v>668566</v>
      </c>
      <c r="I3462" t="s">
        <v>484</v>
      </c>
      <c r="J3462" t="s">
        <v>484</v>
      </c>
      <c r="K3462">
        <v>29</v>
      </c>
      <c r="L3462">
        <v>0</v>
      </c>
      <c r="M3462" t="s">
        <v>115</v>
      </c>
      <c r="N3462" t="str">
        <f t="shared" si="324"/>
        <v>PO-103461</v>
      </c>
      <c r="O3462" t="str">
        <f t="shared" si="325"/>
        <v>Delivered</v>
      </c>
      <c r="P3462" t="str">
        <f t="shared" si="326"/>
        <v>WH-BOM</v>
      </c>
      <c r="Q3462" t="str">
        <f>VLOOKUP(C3462, Lookups!$A$2:$D$10, 2, FALSE())</f>
        <v>Premium Desks Ltd</v>
      </c>
      <c r="R3462" t="str">
        <f>_xlfn.XLOOKUP(D3462, Lookups!$A$12:$A$51, Lookups!$C$12:$C$51, "Unknown")</f>
        <v>Office Furniture</v>
      </c>
      <c r="S3462" t="str">
        <f>IF(ISBLANK(I3462), B3462+VLOOKUP(C3462, Lookups!$A$2:$D$10, 4, FALSE()), I3462)</f>
        <v>2026-06-25</v>
      </c>
      <c r="T3462">
        <f t="shared" si="327"/>
        <v>12</v>
      </c>
      <c r="U3462" t="str">
        <f t="shared" si="328"/>
        <v>On-Time</v>
      </c>
      <c r="V3462">
        <f t="shared" si="329"/>
        <v>0</v>
      </c>
    </row>
    <row r="3463" spans="1:22" x14ac:dyDescent="0.45">
      <c r="A3463" t="s">
        <v>4322</v>
      </c>
      <c r="B3463" t="s">
        <v>244</v>
      </c>
      <c r="C3463" t="s">
        <v>35</v>
      </c>
      <c r="D3463" t="s">
        <v>72</v>
      </c>
      <c r="E3463" t="s">
        <v>15</v>
      </c>
      <c r="F3463">
        <v>55</v>
      </c>
      <c r="G3463">
        <v>7754</v>
      </c>
      <c r="H3463">
        <v>426470</v>
      </c>
      <c r="I3463" t="s">
        <v>246</v>
      </c>
      <c r="J3463" t="s">
        <v>246</v>
      </c>
      <c r="K3463">
        <v>55</v>
      </c>
      <c r="L3463">
        <v>0</v>
      </c>
      <c r="M3463" t="s">
        <v>115</v>
      </c>
      <c r="N3463" t="str">
        <f t="shared" si="324"/>
        <v>PO-103462</v>
      </c>
      <c r="O3463" t="str">
        <f t="shared" si="325"/>
        <v>Delivered</v>
      </c>
      <c r="P3463" t="str">
        <f t="shared" si="326"/>
        <v>WH-BOM</v>
      </c>
      <c r="Q3463" t="str">
        <f>VLOOKUP(C3463, Lookups!$A$2:$D$10, 2, FALSE())</f>
        <v>Peripheral Source</v>
      </c>
      <c r="R3463" t="str">
        <f>_xlfn.XLOOKUP(D3463, Lookups!$A$12:$A$51, Lookups!$C$12:$C$51, "Unknown")</f>
        <v>Peripherals</v>
      </c>
      <c r="S3463" t="str">
        <f>IF(ISBLANK(I3463), B3463+VLOOKUP(C3463, Lookups!$A$2:$D$10, 4, FALSE()), I3463)</f>
        <v>2025-10-21</v>
      </c>
      <c r="T3463">
        <f t="shared" si="327"/>
        <v>10</v>
      </c>
      <c r="U3463" t="str">
        <f t="shared" si="328"/>
        <v>On-Time</v>
      </c>
      <c r="V3463">
        <f t="shared" si="329"/>
        <v>0</v>
      </c>
    </row>
    <row r="3464" spans="1:22" x14ac:dyDescent="0.45">
      <c r="A3464" t="s">
        <v>4323</v>
      </c>
      <c r="B3464" t="s">
        <v>593</v>
      </c>
      <c r="C3464" t="s">
        <v>34</v>
      </c>
      <c r="D3464" t="s">
        <v>74</v>
      </c>
      <c r="E3464" t="s">
        <v>17</v>
      </c>
      <c r="F3464">
        <v>202</v>
      </c>
      <c r="G3464">
        <v>94797</v>
      </c>
      <c r="H3464">
        <v>19148994</v>
      </c>
      <c r="I3464" t="s">
        <v>600</v>
      </c>
      <c r="J3464" t="s">
        <v>146</v>
      </c>
      <c r="K3464">
        <v>202</v>
      </c>
      <c r="L3464">
        <v>0</v>
      </c>
      <c r="M3464" t="s">
        <v>115</v>
      </c>
      <c r="N3464" t="str">
        <f t="shared" si="324"/>
        <v>PO-103463</v>
      </c>
      <c r="O3464" t="str">
        <f t="shared" si="325"/>
        <v>Delivered</v>
      </c>
      <c r="P3464" t="str">
        <f t="shared" si="326"/>
        <v>WH-BLR</v>
      </c>
      <c r="Q3464" t="str">
        <f>VLOOKUP(C3464, Lookups!$A$2:$D$10, 2, FALSE())</f>
        <v>FastElectronics</v>
      </c>
      <c r="R3464" t="str">
        <f>_xlfn.XLOOKUP(D3464, Lookups!$A$12:$A$51, Lookups!$C$12:$C$51, "Unknown")</f>
        <v>Electronics</v>
      </c>
      <c r="S3464" t="str">
        <f>IF(ISBLANK(I3464), B3464+VLOOKUP(C3464, Lookups!$A$2:$D$10, 4, FALSE()), I3464)</f>
        <v>2025-10-03</v>
      </c>
      <c r="T3464">
        <f t="shared" si="327"/>
        <v>23</v>
      </c>
      <c r="U3464" t="str">
        <f t="shared" si="328"/>
        <v>Late</v>
      </c>
      <c r="V3464">
        <f t="shared" si="329"/>
        <v>0</v>
      </c>
    </row>
    <row r="3465" spans="1:22" x14ac:dyDescent="0.45">
      <c r="A3465" t="s">
        <v>4324</v>
      </c>
      <c r="B3465" t="s">
        <v>2018</v>
      </c>
      <c r="C3465" t="s">
        <v>34</v>
      </c>
      <c r="D3465" t="s">
        <v>58</v>
      </c>
      <c r="E3465" t="s">
        <v>17</v>
      </c>
      <c r="F3465">
        <v>176</v>
      </c>
      <c r="G3465">
        <v>100302</v>
      </c>
      <c r="H3465">
        <v>17653152</v>
      </c>
      <c r="I3465" t="s">
        <v>883</v>
      </c>
      <c r="J3465" t="s">
        <v>527</v>
      </c>
      <c r="K3465">
        <v>176</v>
      </c>
      <c r="L3465">
        <v>0</v>
      </c>
      <c r="M3465" t="s">
        <v>115</v>
      </c>
      <c r="N3465" t="str">
        <f t="shared" si="324"/>
        <v>PO-103464</v>
      </c>
      <c r="O3465" t="str">
        <f t="shared" si="325"/>
        <v>Delivered</v>
      </c>
      <c r="P3465" t="str">
        <f t="shared" si="326"/>
        <v>WH-BLR</v>
      </c>
      <c r="Q3465" t="str">
        <f>VLOOKUP(C3465, Lookups!$A$2:$D$10, 2, FALSE())</f>
        <v>FastElectronics</v>
      </c>
      <c r="R3465" t="str">
        <f>_xlfn.XLOOKUP(D3465, Lookups!$A$12:$A$51, Lookups!$C$12:$C$51, "Unknown")</f>
        <v>Electronics</v>
      </c>
      <c r="S3465" t="str">
        <f>IF(ISBLANK(I3465), B3465+VLOOKUP(C3465, Lookups!$A$2:$D$10, 4, FALSE()), I3465)</f>
        <v>2026-07-06</v>
      </c>
      <c r="T3465">
        <f t="shared" si="327"/>
        <v>19</v>
      </c>
      <c r="U3465" t="str">
        <f t="shared" si="328"/>
        <v>Late</v>
      </c>
      <c r="V3465">
        <f t="shared" si="329"/>
        <v>0</v>
      </c>
    </row>
    <row r="3466" spans="1:22" x14ac:dyDescent="0.45">
      <c r="A3466" t="s">
        <v>4325</v>
      </c>
      <c r="B3466" t="s">
        <v>151</v>
      </c>
      <c r="C3466" t="s">
        <v>36</v>
      </c>
      <c r="D3466" t="s">
        <v>71</v>
      </c>
      <c r="E3466" t="s">
        <v>16</v>
      </c>
      <c r="F3466">
        <v>144</v>
      </c>
      <c r="G3466">
        <v>65379</v>
      </c>
      <c r="H3466">
        <v>9414576</v>
      </c>
      <c r="I3466" t="s">
        <v>535</v>
      </c>
      <c r="J3466" t="s">
        <v>535</v>
      </c>
      <c r="K3466">
        <v>144</v>
      </c>
      <c r="L3466">
        <v>0</v>
      </c>
      <c r="M3466" t="s">
        <v>115</v>
      </c>
      <c r="N3466" t="str">
        <f t="shared" si="324"/>
        <v>PO-103465</v>
      </c>
      <c r="O3466" t="str">
        <f t="shared" si="325"/>
        <v>Delivered</v>
      </c>
      <c r="P3466" t="str">
        <f t="shared" si="326"/>
        <v>WH-DEL</v>
      </c>
      <c r="Q3466" t="str">
        <f>VLOOKUP(C3466, Lookups!$A$2:$D$10, 2, FALSE())</f>
        <v>NextGen Hardware</v>
      </c>
      <c r="R3466" t="str">
        <f>_xlfn.XLOOKUP(D3466, Lookups!$A$12:$A$51, Lookups!$C$12:$C$51, "Unknown")</f>
        <v>Electronics</v>
      </c>
      <c r="S3466" t="str">
        <f>IF(ISBLANK(I3466), B3466+VLOOKUP(C3466, Lookups!$A$2:$D$10, 4, FALSE()), I3466)</f>
        <v>2026-05-08</v>
      </c>
      <c r="T3466">
        <f t="shared" si="327"/>
        <v>24</v>
      </c>
      <c r="U3466" t="str">
        <f t="shared" si="328"/>
        <v>On-Time</v>
      </c>
      <c r="V3466">
        <f t="shared" si="329"/>
        <v>0</v>
      </c>
    </row>
    <row r="3467" spans="1:22" x14ac:dyDescent="0.45">
      <c r="A3467" t="s">
        <v>4326</v>
      </c>
      <c r="B3467" t="s">
        <v>1101</v>
      </c>
      <c r="C3467" t="s">
        <v>36</v>
      </c>
      <c r="D3467" t="s">
        <v>55</v>
      </c>
      <c r="E3467" t="s">
        <v>15</v>
      </c>
      <c r="F3467">
        <v>123</v>
      </c>
      <c r="G3467">
        <v>58434</v>
      </c>
      <c r="H3467">
        <v>7187382</v>
      </c>
      <c r="K3467">
        <v>0</v>
      </c>
      <c r="L3467">
        <v>0</v>
      </c>
      <c r="M3467" t="s">
        <v>297</v>
      </c>
      <c r="N3467" t="str">
        <f t="shared" si="324"/>
        <v>PO-103466</v>
      </c>
      <c r="O3467" t="str">
        <f t="shared" si="325"/>
        <v>Open</v>
      </c>
      <c r="P3467" t="str">
        <f t="shared" si="326"/>
        <v>WH-BOM</v>
      </c>
      <c r="Q3467" t="str">
        <f>VLOOKUP(C3467, Lookups!$A$2:$D$10, 2, FALSE())</f>
        <v>NextGen Hardware</v>
      </c>
      <c r="R3467" t="str">
        <f>_xlfn.XLOOKUP(D3467, Lookups!$A$12:$A$51, Lookups!$C$12:$C$51, "Unknown")</f>
        <v>Electronics</v>
      </c>
      <c r="S3467">
        <f>IF(ISBLANK(I3467), B3467+VLOOKUP(C3467, Lookups!$A$2:$D$10, 4, FALSE()), I3467)</f>
        <v>46371</v>
      </c>
      <c r="T3467" t="str">
        <f t="shared" si="327"/>
        <v/>
      </c>
      <c r="U3467" t="str">
        <f t="shared" si="328"/>
        <v>Open</v>
      </c>
      <c r="V3467">
        <f t="shared" si="329"/>
        <v>0</v>
      </c>
    </row>
    <row r="3468" spans="1:22" x14ac:dyDescent="0.45">
      <c r="A3468" t="s">
        <v>4327</v>
      </c>
      <c r="B3468" t="s">
        <v>206</v>
      </c>
      <c r="C3468" t="s">
        <v>34</v>
      </c>
      <c r="D3468" t="s">
        <v>73</v>
      </c>
      <c r="E3468" t="s">
        <v>15</v>
      </c>
      <c r="F3468">
        <v>18</v>
      </c>
      <c r="G3468">
        <v>58396</v>
      </c>
      <c r="H3468">
        <v>1051128</v>
      </c>
      <c r="I3468" t="s">
        <v>547</v>
      </c>
      <c r="J3468" t="s">
        <v>547</v>
      </c>
      <c r="K3468">
        <v>18</v>
      </c>
      <c r="L3468">
        <v>0</v>
      </c>
      <c r="M3468" t="s">
        <v>115</v>
      </c>
      <c r="N3468" t="str">
        <f t="shared" si="324"/>
        <v>PO-103467</v>
      </c>
      <c r="O3468" t="str">
        <f t="shared" si="325"/>
        <v>Delivered</v>
      </c>
      <c r="P3468" t="str">
        <f t="shared" si="326"/>
        <v>WH-BOM</v>
      </c>
      <c r="Q3468" t="str">
        <f>VLOOKUP(C3468, Lookups!$A$2:$D$10, 2, FALSE())</f>
        <v>FastElectronics</v>
      </c>
      <c r="R3468" t="str">
        <f>_xlfn.XLOOKUP(D3468, Lookups!$A$12:$A$51, Lookups!$C$12:$C$51, "Unknown")</f>
        <v>Electronics</v>
      </c>
      <c r="S3468" t="str">
        <f>IF(ISBLANK(I3468), B3468+VLOOKUP(C3468, Lookups!$A$2:$D$10, 4, FALSE()), I3468)</f>
        <v>2025-12-25</v>
      </c>
      <c r="T3468">
        <f t="shared" si="327"/>
        <v>18</v>
      </c>
      <c r="U3468" t="str">
        <f t="shared" si="328"/>
        <v>On-Time</v>
      </c>
      <c r="V3468">
        <f t="shared" si="329"/>
        <v>0</v>
      </c>
    </row>
    <row r="3469" spans="1:22" x14ac:dyDescent="0.45">
      <c r="A3469" t="s">
        <v>4328</v>
      </c>
      <c r="B3469" t="s">
        <v>920</v>
      </c>
      <c r="C3469" t="s">
        <v>34</v>
      </c>
      <c r="D3469" t="s">
        <v>76</v>
      </c>
      <c r="E3469" t="s">
        <v>15</v>
      </c>
      <c r="F3469">
        <v>176</v>
      </c>
      <c r="G3469">
        <v>26270</v>
      </c>
      <c r="H3469">
        <v>4623520</v>
      </c>
      <c r="I3469" t="s">
        <v>1403</v>
      </c>
      <c r="J3469" t="s">
        <v>847</v>
      </c>
      <c r="K3469">
        <v>176</v>
      </c>
      <c r="L3469">
        <v>0</v>
      </c>
      <c r="M3469" t="s">
        <v>115</v>
      </c>
      <c r="N3469" t="str">
        <f t="shared" si="324"/>
        <v>PO-103468</v>
      </c>
      <c r="O3469" t="str">
        <f t="shared" si="325"/>
        <v>Delivered</v>
      </c>
      <c r="P3469" t="str">
        <f t="shared" si="326"/>
        <v>WH-BOM</v>
      </c>
      <c r="Q3469" t="str">
        <f>VLOOKUP(C3469, Lookups!$A$2:$D$10, 2, FALSE())</f>
        <v>FastElectronics</v>
      </c>
      <c r="R3469" t="str">
        <f>_xlfn.XLOOKUP(D3469, Lookups!$A$12:$A$51, Lookups!$C$12:$C$51, "Unknown")</f>
        <v>Networking</v>
      </c>
      <c r="S3469" t="str">
        <f>IF(ISBLANK(I3469), B3469+VLOOKUP(C3469, Lookups!$A$2:$D$10, 4, FALSE()), I3469)</f>
        <v>2026-11-02</v>
      </c>
      <c r="T3469">
        <f t="shared" si="327"/>
        <v>17</v>
      </c>
      <c r="U3469" t="str">
        <f t="shared" si="328"/>
        <v>On-Time</v>
      </c>
      <c r="V3469">
        <f t="shared" si="329"/>
        <v>0</v>
      </c>
    </row>
    <row r="3470" spans="1:22" x14ac:dyDescent="0.45">
      <c r="A3470" t="s">
        <v>4329</v>
      </c>
      <c r="B3470" t="s">
        <v>665</v>
      </c>
      <c r="C3470" t="s">
        <v>37</v>
      </c>
      <c r="D3470" t="s">
        <v>69</v>
      </c>
      <c r="E3470" t="s">
        <v>16</v>
      </c>
      <c r="F3470">
        <v>74</v>
      </c>
      <c r="G3470">
        <v>13231</v>
      </c>
      <c r="H3470">
        <v>979094</v>
      </c>
      <c r="I3470" t="s">
        <v>1164</v>
      </c>
      <c r="J3470" t="s">
        <v>1164</v>
      </c>
      <c r="K3470">
        <v>74</v>
      </c>
      <c r="L3470">
        <v>0</v>
      </c>
      <c r="M3470" t="s">
        <v>115</v>
      </c>
      <c r="N3470" t="str">
        <f t="shared" si="324"/>
        <v>PO-103469</v>
      </c>
      <c r="O3470" t="str">
        <f t="shared" si="325"/>
        <v>Delivered</v>
      </c>
      <c r="P3470" t="str">
        <f t="shared" si="326"/>
        <v>WH-DEL</v>
      </c>
      <c r="Q3470" t="str">
        <f>VLOOKUP(C3470, Lookups!$A$2:$D$10, 2, FALSE())</f>
        <v>Premium Desks Ltd</v>
      </c>
      <c r="R3470" t="str">
        <f>_xlfn.XLOOKUP(D3470, Lookups!$A$12:$A$51, Lookups!$C$12:$C$51, "Unknown")</f>
        <v>Office Furniture</v>
      </c>
      <c r="S3470" t="str">
        <f>IF(ISBLANK(I3470), B3470+VLOOKUP(C3470, Lookups!$A$2:$D$10, 4, FALSE()), I3470)</f>
        <v>2025-03-23</v>
      </c>
      <c r="T3470">
        <f t="shared" si="327"/>
        <v>12</v>
      </c>
      <c r="U3470" t="str">
        <f t="shared" si="328"/>
        <v>On-Time</v>
      </c>
      <c r="V3470">
        <f t="shared" si="329"/>
        <v>0</v>
      </c>
    </row>
    <row r="3471" spans="1:22" x14ac:dyDescent="0.45">
      <c r="A3471" t="s">
        <v>4330</v>
      </c>
      <c r="B3471" t="s">
        <v>397</v>
      </c>
      <c r="C3471" t="s">
        <v>37</v>
      </c>
      <c r="D3471" t="s">
        <v>79</v>
      </c>
      <c r="E3471" t="s">
        <v>16</v>
      </c>
      <c r="F3471">
        <v>48</v>
      </c>
      <c r="G3471">
        <v>23054</v>
      </c>
      <c r="H3471">
        <v>1106592</v>
      </c>
      <c r="I3471" t="s">
        <v>1537</v>
      </c>
      <c r="J3471" t="s">
        <v>1454</v>
      </c>
      <c r="K3471">
        <v>48</v>
      </c>
      <c r="L3471">
        <v>3</v>
      </c>
      <c r="M3471" t="s">
        <v>115</v>
      </c>
      <c r="N3471" t="str">
        <f t="shared" si="324"/>
        <v>PO-103470</v>
      </c>
      <c r="O3471" t="str">
        <f t="shared" si="325"/>
        <v>Delivered</v>
      </c>
      <c r="P3471" t="str">
        <f t="shared" si="326"/>
        <v>WH-DEL</v>
      </c>
      <c r="Q3471" t="str">
        <f>VLOOKUP(C3471, Lookups!$A$2:$D$10, 2, FALSE())</f>
        <v>Premium Desks Ltd</v>
      </c>
      <c r="R3471" t="str">
        <f>_xlfn.XLOOKUP(D3471, Lookups!$A$12:$A$51, Lookups!$C$12:$C$51, "Unknown")</f>
        <v>Office Furniture</v>
      </c>
      <c r="S3471" t="str">
        <f>IF(ISBLANK(I3471), B3471+VLOOKUP(C3471, Lookups!$A$2:$D$10, 4, FALSE()), I3471)</f>
        <v>2025-04-18</v>
      </c>
      <c r="T3471">
        <f t="shared" si="327"/>
        <v>13</v>
      </c>
      <c r="U3471" t="str">
        <f t="shared" si="328"/>
        <v>Late</v>
      </c>
      <c r="V3471">
        <f t="shared" si="329"/>
        <v>6.25E-2</v>
      </c>
    </row>
    <row r="3472" spans="1:22" x14ac:dyDescent="0.45">
      <c r="A3472" t="s">
        <v>4331</v>
      </c>
      <c r="B3472" t="s">
        <v>413</v>
      </c>
      <c r="C3472" t="s">
        <v>36</v>
      </c>
      <c r="D3472" t="s">
        <v>62</v>
      </c>
      <c r="E3472" t="s">
        <v>17</v>
      </c>
      <c r="F3472">
        <v>177</v>
      </c>
      <c r="G3472">
        <v>48478</v>
      </c>
      <c r="H3472">
        <v>8580606</v>
      </c>
      <c r="I3472" t="s">
        <v>1386</v>
      </c>
      <c r="J3472" t="s">
        <v>194</v>
      </c>
      <c r="K3472">
        <v>177</v>
      </c>
      <c r="L3472">
        <v>17</v>
      </c>
      <c r="M3472" t="s">
        <v>115</v>
      </c>
      <c r="N3472" t="str">
        <f t="shared" si="324"/>
        <v>PO-103471</v>
      </c>
      <c r="O3472" t="str">
        <f t="shared" si="325"/>
        <v>Delivered</v>
      </c>
      <c r="P3472" t="str">
        <f t="shared" si="326"/>
        <v>WH-BLR</v>
      </c>
      <c r="Q3472" t="str">
        <f>VLOOKUP(C3472, Lookups!$A$2:$D$10, 2, FALSE())</f>
        <v>NextGen Hardware</v>
      </c>
      <c r="R3472" t="str">
        <f>_xlfn.XLOOKUP(D3472, Lookups!$A$12:$A$51, Lookups!$C$12:$C$51, "Unknown")</f>
        <v>Electronics</v>
      </c>
      <c r="S3472" t="str">
        <f>IF(ISBLANK(I3472), B3472+VLOOKUP(C3472, Lookups!$A$2:$D$10, 4, FALSE()), I3472)</f>
        <v>2026-06-29</v>
      </c>
      <c r="T3472">
        <f t="shared" si="327"/>
        <v>25</v>
      </c>
      <c r="U3472" t="str">
        <f t="shared" si="328"/>
        <v>Late</v>
      </c>
      <c r="V3472">
        <f t="shared" si="329"/>
        <v>9.6045197740112997E-2</v>
      </c>
    </row>
    <row r="3473" spans="1:22" x14ac:dyDescent="0.45">
      <c r="A3473" t="s">
        <v>4332</v>
      </c>
      <c r="B3473" t="s">
        <v>240</v>
      </c>
      <c r="C3473" t="s">
        <v>34</v>
      </c>
      <c r="D3473" t="s">
        <v>80</v>
      </c>
      <c r="E3473" t="s">
        <v>17</v>
      </c>
      <c r="F3473">
        <v>200</v>
      </c>
      <c r="G3473">
        <v>19090</v>
      </c>
      <c r="H3473">
        <v>3818000</v>
      </c>
      <c r="I3473" t="s">
        <v>425</v>
      </c>
      <c r="J3473" t="s">
        <v>425</v>
      </c>
      <c r="K3473">
        <v>149</v>
      </c>
      <c r="L3473">
        <v>13</v>
      </c>
      <c r="M3473" t="s">
        <v>115</v>
      </c>
      <c r="N3473" t="str">
        <f t="shared" si="324"/>
        <v>PO-103472</v>
      </c>
      <c r="O3473" t="str">
        <f t="shared" si="325"/>
        <v>Delivered</v>
      </c>
      <c r="P3473" t="str">
        <f t="shared" si="326"/>
        <v>WH-BLR</v>
      </c>
      <c r="Q3473" t="str">
        <f>VLOOKUP(C3473, Lookups!$A$2:$D$10, 2, FALSE())</f>
        <v>FastElectronics</v>
      </c>
      <c r="R3473" t="str">
        <f>_xlfn.XLOOKUP(D3473, Lookups!$A$12:$A$51, Lookups!$C$12:$C$51, "Unknown")</f>
        <v>Networking</v>
      </c>
      <c r="S3473" t="str">
        <f>IF(ISBLANK(I3473), B3473+VLOOKUP(C3473, Lookups!$A$2:$D$10, 4, FALSE()), I3473)</f>
        <v>2025-07-03</v>
      </c>
      <c r="T3473">
        <f t="shared" si="327"/>
        <v>18</v>
      </c>
      <c r="U3473" t="str">
        <f t="shared" si="328"/>
        <v>On-Time</v>
      </c>
      <c r="V3473">
        <f t="shared" si="329"/>
        <v>8.7248322147651006E-2</v>
      </c>
    </row>
    <row r="3474" spans="1:22" x14ac:dyDescent="0.45">
      <c r="A3474" t="s">
        <v>4333</v>
      </c>
      <c r="B3474" t="s">
        <v>264</v>
      </c>
      <c r="C3474" t="s">
        <v>35</v>
      </c>
      <c r="D3474" t="s">
        <v>57</v>
      </c>
      <c r="E3474" t="s">
        <v>18</v>
      </c>
      <c r="F3474">
        <v>181</v>
      </c>
      <c r="G3474">
        <v>2212</v>
      </c>
      <c r="H3474">
        <v>400372</v>
      </c>
      <c r="I3474" t="s">
        <v>564</v>
      </c>
      <c r="J3474" t="s">
        <v>564</v>
      </c>
      <c r="K3474">
        <v>181</v>
      </c>
      <c r="L3474">
        <v>0</v>
      </c>
      <c r="M3474" t="s">
        <v>115</v>
      </c>
      <c r="N3474" t="str">
        <f t="shared" si="324"/>
        <v>PO-103473</v>
      </c>
      <c r="O3474" t="str">
        <f t="shared" si="325"/>
        <v>Delivered</v>
      </c>
      <c r="P3474" t="str">
        <f t="shared" si="326"/>
        <v>WH-PUN</v>
      </c>
      <c r="Q3474" t="str">
        <f>VLOOKUP(C3474, Lookups!$A$2:$D$10, 2, FALSE())</f>
        <v>Peripheral Source</v>
      </c>
      <c r="R3474" t="str">
        <f>_xlfn.XLOOKUP(D3474, Lookups!$A$12:$A$51, Lookups!$C$12:$C$51, "Unknown")</f>
        <v>Peripherals</v>
      </c>
      <c r="S3474" t="str">
        <f>IF(ISBLANK(I3474), B3474+VLOOKUP(C3474, Lookups!$A$2:$D$10, 4, FALSE()), I3474)</f>
        <v>2025-02-10</v>
      </c>
      <c r="T3474">
        <f t="shared" si="327"/>
        <v>10</v>
      </c>
      <c r="U3474" t="str">
        <f t="shared" si="328"/>
        <v>On-Time</v>
      </c>
      <c r="V3474">
        <f t="shared" si="329"/>
        <v>0</v>
      </c>
    </row>
    <row r="3475" spans="1:22" x14ac:dyDescent="0.45">
      <c r="A3475" t="s">
        <v>4334</v>
      </c>
      <c r="B3475" t="s">
        <v>2461</v>
      </c>
      <c r="C3475" t="s">
        <v>36</v>
      </c>
      <c r="D3475" t="s">
        <v>55</v>
      </c>
      <c r="E3475" t="s">
        <v>16</v>
      </c>
      <c r="F3475">
        <v>93</v>
      </c>
      <c r="G3475">
        <v>58434</v>
      </c>
      <c r="H3475">
        <v>5434362</v>
      </c>
      <c r="I3475" t="s">
        <v>396</v>
      </c>
      <c r="J3475" t="s">
        <v>396</v>
      </c>
      <c r="K3475">
        <v>93</v>
      </c>
      <c r="L3475">
        <v>0</v>
      </c>
      <c r="M3475" t="s">
        <v>115</v>
      </c>
      <c r="N3475" t="str">
        <f t="shared" si="324"/>
        <v>PO-103474</v>
      </c>
      <c r="O3475" t="str">
        <f t="shared" si="325"/>
        <v>Delivered</v>
      </c>
      <c r="P3475" t="str">
        <f t="shared" si="326"/>
        <v>WH-DEL</v>
      </c>
      <c r="Q3475" t="str">
        <f>VLOOKUP(C3475, Lookups!$A$2:$D$10, 2, FALSE())</f>
        <v>NextGen Hardware</v>
      </c>
      <c r="R3475" t="str">
        <f>_xlfn.XLOOKUP(D3475, Lookups!$A$12:$A$51, Lookups!$C$12:$C$51, "Unknown")</f>
        <v>Electronics</v>
      </c>
      <c r="S3475" t="str">
        <f>IF(ISBLANK(I3475), B3475+VLOOKUP(C3475, Lookups!$A$2:$D$10, 4, FALSE()), I3475)</f>
        <v>2025-03-27</v>
      </c>
      <c r="T3475">
        <f t="shared" si="327"/>
        <v>24</v>
      </c>
      <c r="U3475" t="str">
        <f t="shared" si="328"/>
        <v>On-Time</v>
      </c>
      <c r="V3475">
        <f t="shared" si="329"/>
        <v>0</v>
      </c>
    </row>
    <row r="3476" spans="1:22" x14ac:dyDescent="0.45">
      <c r="A3476" t="s">
        <v>4335</v>
      </c>
      <c r="B3476" t="s">
        <v>794</v>
      </c>
      <c r="C3476" t="s">
        <v>37</v>
      </c>
      <c r="D3476" t="s">
        <v>79</v>
      </c>
      <c r="E3476" t="s">
        <v>16</v>
      </c>
      <c r="F3476">
        <v>124</v>
      </c>
      <c r="G3476">
        <v>23054</v>
      </c>
      <c r="H3476">
        <v>2858696</v>
      </c>
      <c r="I3476" t="s">
        <v>117</v>
      </c>
      <c r="J3476" t="s">
        <v>866</v>
      </c>
      <c r="K3476">
        <v>124</v>
      </c>
      <c r="L3476">
        <v>0</v>
      </c>
      <c r="M3476" t="s">
        <v>115</v>
      </c>
      <c r="N3476" t="str">
        <f t="shared" si="324"/>
        <v>PO-103475</v>
      </c>
      <c r="O3476" t="str">
        <f t="shared" si="325"/>
        <v>Delivered</v>
      </c>
      <c r="P3476" t="str">
        <f t="shared" si="326"/>
        <v>WH-DEL</v>
      </c>
      <c r="Q3476" t="str">
        <f>VLOOKUP(C3476, Lookups!$A$2:$D$10, 2, FALSE())</f>
        <v>Premium Desks Ltd</v>
      </c>
      <c r="R3476" t="str">
        <f>_xlfn.XLOOKUP(D3476, Lookups!$A$12:$A$51, Lookups!$C$12:$C$51, "Unknown")</f>
        <v>Office Furniture</v>
      </c>
      <c r="S3476" t="str">
        <f>IF(ISBLANK(I3476), B3476+VLOOKUP(C3476, Lookups!$A$2:$D$10, 4, FALSE()), I3476)</f>
        <v>2026-09-19</v>
      </c>
      <c r="T3476">
        <f t="shared" si="327"/>
        <v>13</v>
      </c>
      <c r="U3476" t="str">
        <f t="shared" si="328"/>
        <v>Late</v>
      </c>
      <c r="V3476">
        <f t="shared" si="329"/>
        <v>0</v>
      </c>
    </row>
    <row r="3477" spans="1:22" x14ac:dyDescent="0.45">
      <c r="A3477" t="s">
        <v>4336</v>
      </c>
      <c r="B3477" t="s">
        <v>145</v>
      </c>
      <c r="C3477" t="s">
        <v>30</v>
      </c>
      <c r="D3477" t="s">
        <v>52</v>
      </c>
      <c r="E3477" t="s">
        <v>16</v>
      </c>
      <c r="F3477">
        <v>67</v>
      </c>
      <c r="G3477">
        <v>59592</v>
      </c>
      <c r="H3477">
        <v>3992664</v>
      </c>
      <c r="I3477" t="s">
        <v>146</v>
      </c>
      <c r="J3477" t="s">
        <v>460</v>
      </c>
      <c r="K3477">
        <v>67</v>
      </c>
      <c r="L3477">
        <v>0</v>
      </c>
      <c r="M3477" t="s">
        <v>115</v>
      </c>
      <c r="N3477" t="str">
        <f t="shared" si="324"/>
        <v>PO-103476</v>
      </c>
      <c r="O3477" t="str">
        <f t="shared" si="325"/>
        <v>Delivered</v>
      </c>
      <c r="P3477" t="str">
        <f t="shared" si="326"/>
        <v>WH-DEL</v>
      </c>
      <c r="Q3477" t="str">
        <f>VLOOKUP(C3477, Lookups!$A$2:$D$10, 2, FALSE())</f>
        <v>TechSupply Corp</v>
      </c>
      <c r="R3477" t="str">
        <f>_xlfn.XLOOKUP(D3477, Lookups!$A$12:$A$51, Lookups!$C$12:$C$51, "Unknown")</f>
        <v>Electronics</v>
      </c>
      <c r="S3477" t="str">
        <f>IF(ISBLANK(I3477), B3477+VLOOKUP(C3477, Lookups!$A$2:$D$10, 4, FALSE()), I3477)</f>
        <v>2025-10-08</v>
      </c>
      <c r="T3477">
        <f t="shared" si="327"/>
        <v>15</v>
      </c>
      <c r="U3477" t="str">
        <f t="shared" si="328"/>
        <v>Late</v>
      </c>
      <c r="V3477">
        <f t="shared" si="329"/>
        <v>0</v>
      </c>
    </row>
    <row r="3478" spans="1:22" x14ac:dyDescent="0.45">
      <c r="A3478" t="s">
        <v>4337</v>
      </c>
      <c r="B3478" t="s">
        <v>844</v>
      </c>
      <c r="C3478" t="s">
        <v>31</v>
      </c>
      <c r="D3478" t="s">
        <v>64</v>
      </c>
      <c r="E3478" t="s">
        <v>18</v>
      </c>
      <c r="F3478">
        <v>79</v>
      </c>
      <c r="G3478">
        <v>36295</v>
      </c>
      <c r="H3478">
        <v>2867305</v>
      </c>
      <c r="I3478" t="s">
        <v>806</v>
      </c>
      <c r="J3478" t="s">
        <v>806</v>
      </c>
      <c r="K3478">
        <v>79</v>
      </c>
      <c r="L3478">
        <v>0</v>
      </c>
      <c r="M3478" t="s">
        <v>115</v>
      </c>
      <c r="N3478" t="str">
        <f t="shared" si="324"/>
        <v>PO-103477</v>
      </c>
      <c r="O3478" t="str">
        <f t="shared" si="325"/>
        <v>Delivered</v>
      </c>
      <c r="P3478" t="str">
        <f t="shared" si="326"/>
        <v>WH-PUN</v>
      </c>
      <c r="Q3478" t="str">
        <f>VLOOKUP(C3478, Lookups!$A$2:$D$10, 2, FALSE())</f>
        <v>Global Networks</v>
      </c>
      <c r="R3478" t="str">
        <f>_xlfn.XLOOKUP(D3478, Lookups!$A$12:$A$51, Lookups!$C$12:$C$51, "Unknown")</f>
        <v>Networking</v>
      </c>
      <c r="S3478" t="str">
        <f>IF(ISBLANK(I3478), B3478+VLOOKUP(C3478, Lookups!$A$2:$D$10, 4, FALSE()), I3478)</f>
        <v>2025-05-19</v>
      </c>
      <c r="T3478">
        <f t="shared" si="327"/>
        <v>21</v>
      </c>
      <c r="U3478" t="str">
        <f t="shared" si="328"/>
        <v>On-Time</v>
      </c>
      <c r="V3478">
        <f t="shared" si="329"/>
        <v>0</v>
      </c>
    </row>
    <row r="3479" spans="1:22" x14ac:dyDescent="0.45">
      <c r="A3479" t="s">
        <v>4338</v>
      </c>
      <c r="B3479" t="s">
        <v>213</v>
      </c>
      <c r="C3479" t="s">
        <v>37</v>
      </c>
      <c r="D3479" t="s">
        <v>78</v>
      </c>
      <c r="E3479" t="s">
        <v>17</v>
      </c>
      <c r="F3479">
        <v>214</v>
      </c>
      <c r="G3479">
        <v>9423</v>
      </c>
      <c r="H3479">
        <v>2016522</v>
      </c>
      <c r="I3479" t="s">
        <v>880</v>
      </c>
      <c r="J3479" t="s">
        <v>636</v>
      </c>
      <c r="K3479">
        <v>214</v>
      </c>
      <c r="L3479">
        <v>0</v>
      </c>
      <c r="M3479" t="s">
        <v>115</v>
      </c>
      <c r="N3479" t="str">
        <f t="shared" si="324"/>
        <v>PO-103478</v>
      </c>
      <c r="O3479" t="str">
        <f t="shared" si="325"/>
        <v>Delivered</v>
      </c>
      <c r="P3479" t="str">
        <f t="shared" si="326"/>
        <v>WH-BLR</v>
      </c>
      <c r="Q3479" t="str">
        <f>VLOOKUP(C3479, Lookups!$A$2:$D$10, 2, FALSE())</f>
        <v>Premium Desks Ltd</v>
      </c>
      <c r="R3479" t="str">
        <f>_xlfn.XLOOKUP(D3479, Lookups!$A$12:$A$51, Lookups!$C$12:$C$51, "Unknown")</f>
        <v>Office Furniture</v>
      </c>
      <c r="S3479" t="str">
        <f>IF(ISBLANK(I3479), B3479+VLOOKUP(C3479, Lookups!$A$2:$D$10, 4, FALSE()), I3479)</f>
        <v>2025-06-29</v>
      </c>
      <c r="T3479">
        <f t="shared" si="327"/>
        <v>13</v>
      </c>
      <c r="U3479" t="str">
        <f t="shared" si="328"/>
        <v>Late</v>
      </c>
      <c r="V3479">
        <f t="shared" si="329"/>
        <v>0</v>
      </c>
    </row>
    <row r="3480" spans="1:22" x14ac:dyDescent="0.45">
      <c r="A3480" t="s">
        <v>4339</v>
      </c>
      <c r="B3480" t="s">
        <v>292</v>
      </c>
      <c r="C3480" t="s">
        <v>34</v>
      </c>
      <c r="D3480" t="s">
        <v>76</v>
      </c>
      <c r="E3480" t="s">
        <v>18</v>
      </c>
      <c r="F3480">
        <v>102</v>
      </c>
      <c r="G3480">
        <v>26270</v>
      </c>
      <c r="H3480">
        <v>2679540</v>
      </c>
      <c r="I3480" t="s">
        <v>293</v>
      </c>
      <c r="J3480" t="s">
        <v>933</v>
      </c>
      <c r="K3480">
        <v>102</v>
      </c>
      <c r="L3480">
        <v>0</v>
      </c>
      <c r="M3480" t="s">
        <v>115</v>
      </c>
      <c r="N3480" t="str">
        <f t="shared" si="324"/>
        <v>PO-103479</v>
      </c>
      <c r="O3480" t="str">
        <f t="shared" si="325"/>
        <v>Delivered</v>
      </c>
      <c r="P3480" t="str">
        <f t="shared" si="326"/>
        <v>WH-PUN</v>
      </c>
      <c r="Q3480" t="str">
        <f>VLOOKUP(C3480, Lookups!$A$2:$D$10, 2, FALSE())</f>
        <v>FastElectronics</v>
      </c>
      <c r="R3480" t="str">
        <f>_xlfn.XLOOKUP(D3480, Lookups!$A$12:$A$51, Lookups!$C$12:$C$51, "Unknown")</f>
        <v>Networking</v>
      </c>
      <c r="S3480" t="str">
        <f>IF(ISBLANK(I3480), B3480+VLOOKUP(C3480, Lookups!$A$2:$D$10, 4, FALSE()), I3480)</f>
        <v>2025-09-04</v>
      </c>
      <c r="T3480">
        <f t="shared" si="327"/>
        <v>19</v>
      </c>
      <c r="U3480" t="str">
        <f t="shared" si="328"/>
        <v>Late</v>
      </c>
      <c r="V3480">
        <f t="shared" si="329"/>
        <v>0</v>
      </c>
    </row>
    <row r="3481" spans="1:22" x14ac:dyDescent="0.45">
      <c r="A3481" t="s">
        <v>4340</v>
      </c>
      <c r="B3481" t="s">
        <v>693</v>
      </c>
      <c r="C3481" t="s">
        <v>34</v>
      </c>
      <c r="D3481" t="s">
        <v>68</v>
      </c>
      <c r="E3481" t="s">
        <v>15</v>
      </c>
      <c r="F3481">
        <v>69</v>
      </c>
      <c r="G3481">
        <v>41405</v>
      </c>
      <c r="H3481">
        <v>2856945</v>
      </c>
      <c r="I3481" t="s">
        <v>766</v>
      </c>
      <c r="J3481" t="s">
        <v>766</v>
      </c>
      <c r="K3481">
        <v>69</v>
      </c>
      <c r="L3481">
        <v>0</v>
      </c>
      <c r="M3481" t="s">
        <v>115</v>
      </c>
      <c r="N3481" t="str">
        <f t="shared" si="324"/>
        <v>PO-103480</v>
      </c>
      <c r="O3481" t="str">
        <f t="shared" si="325"/>
        <v>Delivered</v>
      </c>
      <c r="P3481" t="str">
        <f t="shared" si="326"/>
        <v>WH-BOM</v>
      </c>
      <c r="Q3481" t="str">
        <f>VLOOKUP(C3481, Lookups!$A$2:$D$10, 2, FALSE())</f>
        <v>FastElectronics</v>
      </c>
      <c r="R3481" t="str">
        <f>_xlfn.XLOOKUP(D3481, Lookups!$A$12:$A$51, Lookups!$C$12:$C$51, "Unknown")</f>
        <v>Networking</v>
      </c>
      <c r="S3481" t="str">
        <f>IF(ISBLANK(I3481), B3481+VLOOKUP(C3481, Lookups!$A$2:$D$10, 4, FALSE()), I3481)</f>
        <v>2026-12-10</v>
      </c>
      <c r="T3481">
        <f t="shared" si="327"/>
        <v>18</v>
      </c>
      <c r="U3481" t="str">
        <f t="shared" si="328"/>
        <v>On-Time</v>
      </c>
      <c r="V3481">
        <f t="shared" si="329"/>
        <v>0</v>
      </c>
    </row>
    <row r="3482" spans="1:22" x14ac:dyDescent="0.45">
      <c r="A3482" t="s">
        <v>4341</v>
      </c>
      <c r="B3482" t="s">
        <v>598</v>
      </c>
      <c r="C3482" t="s">
        <v>31</v>
      </c>
      <c r="D3482" t="s">
        <v>77</v>
      </c>
      <c r="E3482" t="s">
        <v>17</v>
      </c>
      <c r="F3482">
        <v>170</v>
      </c>
      <c r="G3482">
        <v>23667</v>
      </c>
      <c r="H3482">
        <v>4023390</v>
      </c>
      <c r="I3482" t="s">
        <v>1584</v>
      </c>
      <c r="J3482" t="s">
        <v>1584</v>
      </c>
      <c r="K3482">
        <v>170</v>
      </c>
      <c r="L3482">
        <v>0</v>
      </c>
      <c r="M3482" t="s">
        <v>115</v>
      </c>
      <c r="N3482" t="str">
        <f t="shared" si="324"/>
        <v>PO-103481</v>
      </c>
      <c r="O3482" t="str">
        <f t="shared" si="325"/>
        <v>Delivered</v>
      </c>
      <c r="P3482" t="str">
        <f t="shared" si="326"/>
        <v>WH-BLR</v>
      </c>
      <c r="Q3482" t="str">
        <f>VLOOKUP(C3482, Lookups!$A$2:$D$10, 2, FALSE())</f>
        <v>Global Networks</v>
      </c>
      <c r="R3482" t="str">
        <f>_xlfn.XLOOKUP(D3482, Lookups!$A$12:$A$51, Lookups!$C$12:$C$51, "Unknown")</f>
        <v>Networking</v>
      </c>
      <c r="S3482" t="str">
        <f>IF(ISBLANK(I3482), B3482+VLOOKUP(C3482, Lookups!$A$2:$D$10, 4, FALSE()), I3482)</f>
        <v>2025-09-21</v>
      </c>
      <c r="T3482">
        <f t="shared" si="327"/>
        <v>21</v>
      </c>
      <c r="U3482" t="str">
        <f t="shared" si="328"/>
        <v>On-Time</v>
      </c>
      <c r="V3482">
        <f t="shared" si="329"/>
        <v>0</v>
      </c>
    </row>
    <row r="3483" spans="1:22" x14ac:dyDescent="0.45">
      <c r="A3483" t="s">
        <v>4342</v>
      </c>
      <c r="B3483" t="s">
        <v>138</v>
      </c>
      <c r="C3483" t="s">
        <v>34</v>
      </c>
      <c r="D3483" t="s">
        <v>80</v>
      </c>
      <c r="E3483" t="s">
        <v>15</v>
      </c>
      <c r="F3483">
        <v>94</v>
      </c>
      <c r="G3483">
        <v>19090</v>
      </c>
      <c r="H3483">
        <v>1794460</v>
      </c>
      <c r="I3483" t="s">
        <v>319</v>
      </c>
      <c r="J3483" t="s">
        <v>320</v>
      </c>
      <c r="K3483">
        <v>94</v>
      </c>
      <c r="L3483">
        <v>0</v>
      </c>
      <c r="M3483" t="s">
        <v>115</v>
      </c>
      <c r="N3483" t="str">
        <f t="shared" si="324"/>
        <v>PO-103482</v>
      </c>
      <c r="O3483" t="str">
        <f t="shared" si="325"/>
        <v>Delivered</v>
      </c>
      <c r="P3483" t="str">
        <f t="shared" si="326"/>
        <v>WH-BOM</v>
      </c>
      <c r="Q3483" t="str">
        <f>VLOOKUP(C3483, Lookups!$A$2:$D$10, 2, FALSE())</f>
        <v>FastElectronics</v>
      </c>
      <c r="R3483" t="str">
        <f>_xlfn.XLOOKUP(D3483, Lookups!$A$12:$A$51, Lookups!$C$12:$C$51, "Unknown")</f>
        <v>Networking</v>
      </c>
      <c r="S3483" t="str">
        <f>IF(ISBLANK(I3483), B3483+VLOOKUP(C3483, Lookups!$A$2:$D$10, 4, FALSE()), I3483)</f>
        <v>2025-10-14</v>
      </c>
      <c r="T3483">
        <f t="shared" si="327"/>
        <v>19</v>
      </c>
      <c r="U3483" t="str">
        <f t="shared" si="328"/>
        <v>Late</v>
      </c>
      <c r="V3483">
        <f t="shared" si="329"/>
        <v>0</v>
      </c>
    </row>
    <row r="3484" spans="1:22" x14ac:dyDescent="0.45">
      <c r="A3484" t="s">
        <v>4343</v>
      </c>
      <c r="B3484" t="s">
        <v>483</v>
      </c>
      <c r="C3484" t="s">
        <v>31</v>
      </c>
      <c r="D3484" t="s">
        <v>64</v>
      </c>
      <c r="E3484" t="s">
        <v>15</v>
      </c>
      <c r="F3484">
        <v>27</v>
      </c>
      <c r="G3484">
        <v>36295</v>
      </c>
      <c r="H3484">
        <v>979965</v>
      </c>
      <c r="I3484" t="s">
        <v>882</v>
      </c>
      <c r="J3484" t="s">
        <v>304</v>
      </c>
      <c r="K3484">
        <v>27</v>
      </c>
      <c r="L3484">
        <v>0</v>
      </c>
      <c r="M3484" t="s">
        <v>115</v>
      </c>
      <c r="N3484" t="str">
        <f t="shared" si="324"/>
        <v>PO-103483</v>
      </c>
      <c r="O3484" t="str">
        <f t="shared" si="325"/>
        <v>Delivered</v>
      </c>
      <c r="P3484" t="str">
        <f t="shared" si="326"/>
        <v>WH-BOM</v>
      </c>
      <c r="Q3484" t="str">
        <f>VLOOKUP(C3484, Lookups!$A$2:$D$10, 2, FALSE())</f>
        <v>Global Networks</v>
      </c>
      <c r="R3484" t="str">
        <f>_xlfn.XLOOKUP(D3484, Lookups!$A$12:$A$51, Lookups!$C$12:$C$51, "Unknown")</f>
        <v>Networking</v>
      </c>
      <c r="S3484" t="str">
        <f>IF(ISBLANK(I3484), B3484+VLOOKUP(C3484, Lookups!$A$2:$D$10, 4, FALSE()), I3484)</f>
        <v>2026-06-22</v>
      </c>
      <c r="T3484">
        <f t="shared" si="327"/>
        <v>22</v>
      </c>
      <c r="U3484" t="str">
        <f t="shared" si="328"/>
        <v>Late</v>
      </c>
      <c r="V3484">
        <f t="shared" si="329"/>
        <v>0</v>
      </c>
    </row>
    <row r="3485" spans="1:22" x14ac:dyDescent="0.45">
      <c r="A3485" t="s">
        <v>4344</v>
      </c>
      <c r="B3485" t="s">
        <v>661</v>
      </c>
      <c r="C3485" t="s">
        <v>36</v>
      </c>
      <c r="D3485" t="s">
        <v>62</v>
      </c>
      <c r="E3485" t="s">
        <v>18</v>
      </c>
      <c r="F3485">
        <v>25</v>
      </c>
      <c r="G3485">
        <v>48478</v>
      </c>
      <c r="H3485">
        <v>1211950</v>
      </c>
      <c r="I3485" t="s">
        <v>280</v>
      </c>
      <c r="J3485" t="s">
        <v>280</v>
      </c>
      <c r="K3485">
        <v>25</v>
      </c>
      <c r="L3485">
        <v>0</v>
      </c>
      <c r="M3485" t="s">
        <v>115</v>
      </c>
      <c r="N3485" t="str">
        <f t="shared" si="324"/>
        <v>PO-103484</v>
      </c>
      <c r="O3485" t="str">
        <f t="shared" si="325"/>
        <v>Delivered</v>
      </c>
      <c r="P3485" t="str">
        <f t="shared" si="326"/>
        <v>WH-PUN</v>
      </c>
      <c r="Q3485" t="str">
        <f>VLOOKUP(C3485, Lookups!$A$2:$D$10, 2, FALSE())</f>
        <v>NextGen Hardware</v>
      </c>
      <c r="R3485" t="str">
        <f>_xlfn.XLOOKUP(D3485, Lookups!$A$12:$A$51, Lookups!$C$12:$C$51, "Unknown")</f>
        <v>Electronics</v>
      </c>
      <c r="S3485" t="str">
        <f>IF(ISBLANK(I3485), B3485+VLOOKUP(C3485, Lookups!$A$2:$D$10, 4, FALSE()), I3485)</f>
        <v>2026-10-08</v>
      </c>
      <c r="T3485">
        <f t="shared" si="327"/>
        <v>24</v>
      </c>
      <c r="U3485" t="str">
        <f t="shared" si="328"/>
        <v>On-Time</v>
      </c>
      <c r="V3485">
        <f t="shared" si="329"/>
        <v>0</v>
      </c>
    </row>
    <row r="3486" spans="1:22" x14ac:dyDescent="0.45">
      <c r="A3486" t="s">
        <v>4345</v>
      </c>
      <c r="B3486" t="s">
        <v>1281</v>
      </c>
      <c r="C3486" t="s">
        <v>31</v>
      </c>
      <c r="D3486" t="s">
        <v>85</v>
      </c>
      <c r="E3486" t="s">
        <v>18</v>
      </c>
      <c r="F3486">
        <v>26</v>
      </c>
      <c r="G3486">
        <v>16501</v>
      </c>
      <c r="H3486">
        <v>429026</v>
      </c>
      <c r="I3486" t="s">
        <v>211</v>
      </c>
      <c r="J3486" t="s">
        <v>1639</v>
      </c>
      <c r="K3486">
        <v>26</v>
      </c>
      <c r="L3486">
        <v>0</v>
      </c>
      <c r="M3486" t="s">
        <v>115</v>
      </c>
      <c r="N3486" t="str">
        <f t="shared" si="324"/>
        <v>PO-103485</v>
      </c>
      <c r="O3486" t="str">
        <f t="shared" si="325"/>
        <v>Delivered</v>
      </c>
      <c r="P3486" t="str">
        <f t="shared" si="326"/>
        <v>WH-PUN</v>
      </c>
      <c r="Q3486" t="str">
        <f>VLOOKUP(C3486, Lookups!$A$2:$D$10, 2, FALSE())</f>
        <v>Global Networks</v>
      </c>
      <c r="R3486" t="str">
        <f>_xlfn.XLOOKUP(D3486, Lookups!$A$12:$A$51, Lookups!$C$12:$C$51, "Unknown")</f>
        <v>Networking</v>
      </c>
      <c r="S3486" t="str">
        <f>IF(ISBLANK(I3486), B3486+VLOOKUP(C3486, Lookups!$A$2:$D$10, 4, FALSE()), I3486)</f>
        <v>2025-06-21</v>
      </c>
      <c r="T3486">
        <f t="shared" si="327"/>
        <v>22</v>
      </c>
      <c r="U3486" t="str">
        <f t="shared" si="328"/>
        <v>Late</v>
      </c>
      <c r="V3486">
        <f t="shared" si="329"/>
        <v>0</v>
      </c>
    </row>
    <row r="3487" spans="1:22" x14ac:dyDescent="0.45">
      <c r="A3487" t="s">
        <v>4346</v>
      </c>
      <c r="B3487" t="s">
        <v>147</v>
      </c>
      <c r="C3487" t="s">
        <v>37</v>
      </c>
      <c r="D3487" t="s">
        <v>69</v>
      </c>
      <c r="E3487" t="s">
        <v>16</v>
      </c>
      <c r="F3487">
        <v>16</v>
      </c>
      <c r="G3487">
        <v>13231</v>
      </c>
      <c r="H3487">
        <v>211696</v>
      </c>
      <c r="I3487" t="s">
        <v>809</v>
      </c>
      <c r="J3487" t="s">
        <v>154</v>
      </c>
      <c r="K3487">
        <v>16</v>
      </c>
      <c r="L3487">
        <v>0</v>
      </c>
      <c r="M3487" t="s">
        <v>115</v>
      </c>
      <c r="N3487" t="str">
        <f t="shared" si="324"/>
        <v>PO-103486</v>
      </c>
      <c r="O3487" t="str">
        <f t="shared" si="325"/>
        <v>Delivered</v>
      </c>
      <c r="P3487" t="str">
        <f t="shared" si="326"/>
        <v>WH-DEL</v>
      </c>
      <c r="Q3487" t="str">
        <f>VLOOKUP(C3487, Lookups!$A$2:$D$10, 2, FALSE())</f>
        <v>Premium Desks Ltd</v>
      </c>
      <c r="R3487" t="str">
        <f>_xlfn.XLOOKUP(D3487, Lookups!$A$12:$A$51, Lookups!$C$12:$C$51, "Unknown")</f>
        <v>Office Furniture</v>
      </c>
      <c r="S3487" t="str">
        <f>IF(ISBLANK(I3487), B3487+VLOOKUP(C3487, Lookups!$A$2:$D$10, 4, FALSE()), I3487)</f>
        <v>2025-10-17</v>
      </c>
      <c r="T3487">
        <f t="shared" si="327"/>
        <v>23</v>
      </c>
      <c r="U3487" t="str">
        <f t="shared" si="328"/>
        <v>Late</v>
      </c>
      <c r="V3487">
        <f t="shared" si="329"/>
        <v>0</v>
      </c>
    </row>
    <row r="3488" spans="1:22" x14ac:dyDescent="0.45">
      <c r="A3488" t="s">
        <v>4347</v>
      </c>
      <c r="B3488" t="s">
        <v>172</v>
      </c>
      <c r="C3488" t="s">
        <v>36</v>
      </c>
      <c r="D3488" t="s">
        <v>87</v>
      </c>
      <c r="E3488" t="s">
        <v>17</v>
      </c>
      <c r="F3488">
        <v>89</v>
      </c>
      <c r="G3488">
        <v>82930</v>
      </c>
      <c r="H3488">
        <v>7380770</v>
      </c>
      <c r="I3488" t="s">
        <v>356</v>
      </c>
      <c r="J3488" t="s">
        <v>356</v>
      </c>
      <c r="K3488">
        <v>89</v>
      </c>
      <c r="L3488">
        <v>10</v>
      </c>
      <c r="M3488" t="s">
        <v>115</v>
      </c>
      <c r="N3488" t="str">
        <f t="shared" si="324"/>
        <v>PO-103487</v>
      </c>
      <c r="O3488" t="str">
        <f t="shared" si="325"/>
        <v>Delivered</v>
      </c>
      <c r="P3488" t="str">
        <f t="shared" si="326"/>
        <v>WH-BLR</v>
      </c>
      <c r="Q3488" t="str">
        <f>VLOOKUP(C3488, Lookups!$A$2:$D$10, 2, FALSE())</f>
        <v>NextGen Hardware</v>
      </c>
      <c r="R3488" t="str">
        <f>_xlfn.XLOOKUP(D3488, Lookups!$A$12:$A$51, Lookups!$C$12:$C$51, "Unknown")</f>
        <v>Electronics</v>
      </c>
      <c r="S3488" t="str">
        <f>IF(ISBLANK(I3488), B3488+VLOOKUP(C3488, Lookups!$A$2:$D$10, 4, FALSE()), I3488)</f>
        <v>2025-09-27</v>
      </c>
      <c r="T3488">
        <f t="shared" si="327"/>
        <v>24</v>
      </c>
      <c r="U3488" t="str">
        <f t="shared" si="328"/>
        <v>On-Time</v>
      </c>
      <c r="V3488">
        <f t="shared" si="329"/>
        <v>0.11235955056179775</v>
      </c>
    </row>
    <row r="3489" spans="1:22" x14ac:dyDescent="0.45">
      <c r="A3489" t="s">
        <v>4348</v>
      </c>
      <c r="B3489" t="s">
        <v>318</v>
      </c>
      <c r="C3489" t="s">
        <v>30</v>
      </c>
      <c r="D3489" t="s">
        <v>86</v>
      </c>
      <c r="E3489" t="s">
        <v>15</v>
      </c>
      <c r="F3489">
        <v>87</v>
      </c>
      <c r="G3489">
        <v>74871</v>
      </c>
      <c r="H3489">
        <v>6513777</v>
      </c>
      <c r="I3489" t="s">
        <v>153</v>
      </c>
      <c r="J3489" t="s">
        <v>146</v>
      </c>
      <c r="K3489">
        <v>87</v>
      </c>
      <c r="L3489">
        <v>0</v>
      </c>
      <c r="M3489" t="s">
        <v>115</v>
      </c>
      <c r="N3489" t="str">
        <f t="shared" si="324"/>
        <v>PO-103488</v>
      </c>
      <c r="O3489" t="str">
        <f t="shared" si="325"/>
        <v>Delivered</v>
      </c>
      <c r="P3489" t="str">
        <f t="shared" si="326"/>
        <v>WH-BOM</v>
      </c>
      <c r="Q3489" t="str">
        <f>VLOOKUP(C3489, Lookups!$A$2:$D$10, 2, FALSE())</f>
        <v>TechSupply Corp</v>
      </c>
      <c r="R3489" t="str">
        <f>_xlfn.XLOOKUP(D3489, Lookups!$A$12:$A$51, Lookups!$C$12:$C$51, "Unknown")</f>
        <v>Electronics</v>
      </c>
      <c r="S3489" t="str">
        <f>IF(ISBLANK(I3489), B3489+VLOOKUP(C3489, Lookups!$A$2:$D$10, 4, FALSE()), I3489)</f>
        <v>2025-10-07</v>
      </c>
      <c r="T3489">
        <f t="shared" si="327"/>
        <v>15</v>
      </c>
      <c r="U3489" t="str">
        <f t="shared" si="328"/>
        <v>Late</v>
      </c>
      <c r="V3489">
        <f t="shared" si="329"/>
        <v>0</v>
      </c>
    </row>
    <row r="3490" spans="1:22" x14ac:dyDescent="0.45">
      <c r="A3490" t="s">
        <v>4349</v>
      </c>
      <c r="B3490" t="s">
        <v>1519</v>
      </c>
      <c r="C3490" t="s">
        <v>36</v>
      </c>
      <c r="D3490" t="s">
        <v>87</v>
      </c>
      <c r="E3490" t="s">
        <v>15</v>
      </c>
      <c r="F3490">
        <v>148</v>
      </c>
      <c r="G3490">
        <v>82930</v>
      </c>
      <c r="H3490">
        <v>12273640</v>
      </c>
      <c r="I3490" t="s">
        <v>1370</v>
      </c>
      <c r="J3490" t="s">
        <v>157</v>
      </c>
      <c r="K3490">
        <v>148</v>
      </c>
      <c r="L3490">
        <v>0</v>
      </c>
      <c r="M3490" t="s">
        <v>115</v>
      </c>
      <c r="N3490" t="str">
        <f t="shared" si="324"/>
        <v>PO-103489</v>
      </c>
      <c r="O3490" t="str">
        <f t="shared" si="325"/>
        <v>Delivered</v>
      </c>
      <c r="P3490" t="str">
        <f t="shared" si="326"/>
        <v>WH-BOM</v>
      </c>
      <c r="Q3490" t="str">
        <f>VLOOKUP(C3490, Lookups!$A$2:$D$10, 2, FALSE())</f>
        <v>NextGen Hardware</v>
      </c>
      <c r="R3490" t="str">
        <f>_xlfn.XLOOKUP(D3490, Lookups!$A$12:$A$51, Lookups!$C$12:$C$51, "Unknown")</f>
        <v>Electronics</v>
      </c>
      <c r="S3490" t="str">
        <f>IF(ISBLANK(I3490), B3490+VLOOKUP(C3490, Lookups!$A$2:$D$10, 4, FALSE()), I3490)</f>
        <v>2026-10-21</v>
      </c>
      <c r="T3490">
        <f t="shared" si="327"/>
        <v>25</v>
      </c>
      <c r="U3490" t="str">
        <f t="shared" si="328"/>
        <v>Late</v>
      </c>
      <c r="V3490">
        <f t="shared" si="329"/>
        <v>0</v>
      </c>
    </row>
    <row r="3491" spans="1:22" x14ac:dyDescent="0.45">
      <c r="A3491" t="s">
        <v>4350</v>
      </c>
      <c r="B3491" t="s">
        <v>569</v>
      </c>
      <c r="C3491" t="s">
        <v>36</v>
      </c>
      <c r="D3491" t="s">
        <v>63</v>
      </c>
      <c r="E3491" t="s">
        <v>18</v>
      </c>
      <c r="F3491">
        <v>52</v>
      </c>
      <c r="G3491">
        <v>71062</v>
      </c>
      <c r="H3491">
        <v>3695224</v>
      </c>
      <c r="I3491" t="s">
        <v>2110</v>
      </c>
      <c r="J3491" t="s">
        <v>319</v>
      </c>
      <c r="K3491">
        <v>52</v>
      </c>
      <c r="L3491">
        <v>0</v>
      </c>
      <c r="M3491" t="s">
        <v>115</v>
      </c>
      <c r="N3491" t="str">
        <f t="shared" si="324"/>
        <v>PO-103490</v>
      </c>
      <c r="O3491" t="str">
        <f t="shared" si="325"/>
        <v>Delivered</v>
      </c>
      <c r="P3491" t="str">
        <f t="shared" si="326"/>
        <v>WH-PUN</v>
      </c>
      <c r="Q3491" t="str">
        <f>VLOOKUP(C3491, Lookups!$A$2:$D$10, 2, FALSE())</f>
        <v>NextGen Hardware</v>
      </c>
      <c r="R3491" t="str">
        <f>_xlfn.XLOOKUP(D3491, Lookups!$A$12:$A$51, Lookups!$C$12:$C$51, "Unknown")</f>
        <v>Electronics</v>
      </c>
      <c r="S3491" t="str">
        <f>IF(ISBLANK(I3491), B3491+VLOOKUP(C3491, Lookups!$A$2:$D$10, 4, FALSE()), I3491)</f>
        <v>2025-10-13</v>
      </c>
      <c r="T3491">
        <f t="shared" si="327"/>
        <v>25</v>
      </c>
      <c r="U3491" t="str">
        <f t="shared" si="328"/>
        <v>Late</v>
      </c>
      <c r="V3491">
        <f t="shared" si="329"/>
        <v>0</v>
      </c>
    </row>
    <row r="3492" spans="1:22" x14ac:dyDescent="0.45">
      <c r="A3492" t="s">
        <v>4351</v>
      </c>
      <c r="B3492" t="s">
        <v>1279</v>
      </c>
      <c r="C3492" t="s">
        <v>34</v>
      </c>
      <c r="D3492" t="s">
        <v>81</v>
      </c>
      <c r="E3492" t="s">
        <v>16</v>
      </c>
      <c r="F3492">
        <v>132</v>
      </c>
      <c r="G3492">
        <v>55328</v>
      </c>
      <c r="H3492">
        <v>7303296</v>
      </c>
      <c r="I3492" t="s">
        <v>1740</v>
      </c>
      <c r="J3492" t="s">
        <v>1740</v>
      </c>
      <c r="K3492">
        <v>132</v>
      </c>
      <c r="L3492">
        <v>0</v>
      </c>
      <c r="M3492" t="s">
        <v>115</v>
      </c>
      <c r="N3492" t="str">
        <f t="shared" si="324"/>
        <v>PO-103491</v>
      </c>
      <c r="O3492" t="str">
        <f t="shared" si="325"/>
        <v>Delivered</v>
      </c>
      <c r="P3492" t="str">
        <f t="shared" si="326"/>
        <v>WH-DEL</v>
      </c>
      <c r="Q3492" t="str">
        <f>VLOOKUP(C3492, Lookups!$A$2:$D$10, 2, FALSE())</f>
        <v>FastElectronics</v>
      </c>
      <c r="R3492" t="str">
        <f>_xlfn.XLOOKUP(D3492, Lookups!$A$12:$A$51, Lookups!$C$12:$C$51, "Unknown")</f>
        <v>Electronics</v>
      </c>
      <c r="S3492" t="str">
        <f>IF(ISBLANK(I3492), B3492+VLOOKUP(C3492, Lookups!$A$2:$D$10, 4, FALSE()), I3492)</f>
        <v>2026-08-05</v>
      </c>
      <c r="T3492">
        <f t="shared" si="327"/>
        <v>18</v>
      </c>
      <c r="U3492" t="str">
        <f t="shared" si="328"/>
        <v>On-Time</v>
      </c>
      <c r="V3492">
        <f t="shared" si="329"/>
        <v>0</v>
      </c>
    </row>
    <row r="3493" spans="1:22" x14ac:dyDescent="0.45">
      <c r="A3493" t="s">
        <v>4352</v>
      </c>
      <c r="B3493" t="s">
        <v>441</v>
      </c>
      <c r="C3493" t="s">
        <v>36</v>
      </c>
      <c r="D3493" t="s">
        <v>62</v>
      </c>
      <c r="E3493" t="s">
        <v>15</v>
      </c>
      <c r="F3493">
        <v>199</v>
      </c>
      <c r="G3493">
        <v>48478</v>
      </c>
      <c r="H3493">
        <v>9647122</v>
      </c>
      <c r="I3493" t="s">
        <v>935</v>
      </c>
      <c r="J3493" t="s">
        <v>625</v>
      </c>
      <c r="K3493">
        <v>199</v>
      </c>
      <c r="L3493">
        <v>0</v>
      </c>
      <c r="M3493" t="s">
        <v>115</v>
      </c>
      <c r="N3493" t="str">
        <f t="shared" si="324"/>
        <v>PO-103492</v>
      </c>
      <c r="O3493" t="str">
        <f t="shared" si="325"/>
        <v>Delivered</v>
      </c>
      <c r="P3493" t="str">
        <f t="shared" si="326"/>
        <v>WH-BOM</v>
      </c>
      <c r="Q3493" t="str">
        <f>VLOOKUP(C3493, Lookups!$A$2:$D$10, 2, FALSE())</f>
        <v>NextGen Hardware</v>
      </c>
      <c r="R3493" t="str">
        <f>_xlfn.XLOOKUP(D3493, Lookups!$A$12:$A$51, Lookups!$C$12:$C$51, "Unknown")</f>
        <v>Electronics</v>
      </c>
      <c r="S3493" t="str">
        <f>IF(ISBLANK(I3493), B3493+VLOOKUP(C3493, Lookups!$A$2:$D$10, 4, FALSE()), I3493)</f>
        <v>2026-03-14</v>
      </c>
      <c r="T3493">
        <f t="shared" si="327"/>
        <v>25</v>
      </c>
      <c r="U3493" t="str">
        <f t="shared" si="328"/>
        <v>Late</v>
      </c>
      <c r="V3493">
        <f t="shared" si="329"/>
        <v>0</v>
      </c>
    </row>
    <row r="3494" spans="1:22" x14ac:dyDescent="0.45">
      <c r="A3494" t="s">
        <v>4353</v>
      </c>
      <c r="B3494" t="s">
        <v>393</v>
      </c>
      <c r="C3494" t="s">
        <v>31</v>
      </c>
      <c r="D3494" t="s">
        <v>85</v>
      </c>
      <c r="E3494" t="s">
        <v>18</v>
      </c>
      <c r="F3494">
        <v>60</v>
      </c>
      <c r="G3494">
        <v>16501</v>
      </c>
      <c r="H3494">
        <v>990060</v>
      </c>
      <c r="I3494" t="s">
        <v>569</v>
      </c>
      <c r="J3494" t="s">
        <v>1584</v>
      </c>
      <c r="K3494">
        <v>60</v>
      </c>
      <c r="L3494">
        <v>0</v>
      </c>
      <c r="M3494" t="s">
        <v>115</v>
      </c>
      <c r="N3494" t="str">
        <f t="shared" si="324"/>
        <v>PO-103493</v>
      </c>
      <c r="O3494" t="str">
        <f t="shared" si="325"/>
        <v>Delivered</v>
      </c>
      <c r="P3494" t="str">
        <f t="shared" si="326"/>
        <v>WH-PUN</v>
      </c>
      <c r="Q3494" t="str">
        <f>VLOOKUP(C3494, Lookups!$A$2:$D$10, 2, FALSE())</f>
        <v>Global Networks</v>
      </c>
      <c r="R3494" t="str">
        <f>_xlfn.XLOOKUP(D3494, Lookups!$A$12:$A$51, Lookups!$C$12:$C$51, "Unknown")</f>
        <v>Networking</v>
      </c>
      <c r="S3494" t="str">
        <f>IF(ISBLANK(I3494), B3494+VLOOKUP(C3494, Lookups!$A$2:$D$10, 4, FALSE()), I3494)</f>
        <v>2025-09-19</v>
      </c>
      <c r="T3494">
        <f t="shared" si="327"/>
        <v>23</v>
      </c>
      <c r="U3494" t="str">
        <f t="shared" si="328"/>
        <v>Late</v>
      </c>
      <c r="V3494">
        <f t="shared" si="329"/>
        <v>0</v>
      </c>
    </row>
    <row r="3495" spans="1:22" x14ac:dyDescent="0.45">
      <c r="A3495" t="s">
        <v>4354</v>
      </c>
      <c r="B3495" t="s">
        <v>497</v>
      </c>
      <c r="C3495" t="s">
        <v>30</v>
      </c>
      <c r="D3495" t="s">
        <v>88</v>
      </c>
      <c r="E3495" t="s">
        <v>15</v>
      </c>
      <c r="F3495">
        <v>111</v>
      </c>
      <c r="G3495">
        <v>75512</v>
      </c>
      <c r="H3495">
        <v>8381832</v>
      </c>
      <c r="I3495" t="s">
        <v>498</v>
      </c>
      <c r="J3495" t="s">
        <v>498</v>
      </c>
      <c r="K3495">
        <v>111</v>
      </c>
      <c r="L3495">
        <v>0</v>
      </c>
      <c r="M3495" t="s">
        <v>115</v>
      </c>
      <c r="N3495" t="str">
        <f t="shared" si="324"/>
        <v>PO-103494</v>
      </c>
      <c r="O3495" t="str">
        <f t="shared" si="325"/>
        <v>Delivered</v>
      </c>
      <c r="P3495" t="str">
        <f t="shared" si="326"/>
        <v>WH-BOM</v>
      </c>
      <c r="Q3495" t="str">
        <f>VLOOKUP(C3495, Lookups!$A$2:$D$10, 2, FALSE())</f>
        <v>TechSupply Corp</v>
      </c>
      <c r="R3495" t="str">
        <f>_xlfn.XLOOKUP(D3495, Lookups!$A$12:$A$51, Lookups!$C$12:$C$51, "Unknown")</f>
        <v>Electronics</v>
      </c>
      <c r="S3495" t="str">
        <f>IF(ISBLANK(I3495), B3495+VLOOKUP(C3495, Lookups!$A$2:$D$10, 4, FALSE()), I3495)</f>
        <v>2025-04-02</v>
      </c>
      <c r="T3495">
        <f t="shared" si="327"/>
        <v>14</v>
      </c>
      <c r="U3495" t="str">
        <f t="shared" si="328"/>
        <v>On-Time</v>
      </c>
      <c r="V3495">
        <f t="shared" si="329"/>
        <v>0</v>
      </c>
    </row>
    <row r="3496" spans="1:22" x14ac:dyDescent="0.45">
      <c r="A3496" t="s">
        <v>4355</v>
      </c>
      <c r="B3496" t="s">
        <v>693</v>
      </c>
      <c r="C3496" t="s">
        <v>31</v>
      </c>
      <c r="D3496" t="s">
        <v>77</v>
      </c>
      <c r="E3496" t="s">
        <v>18</v>
      </c>
      <c r="F3496">
        <v>132</v>
      </c>
      <c r="G3496">
        <v>23667</v>
      </c>
      <c r="H3496">
        <v>3124044</v>
      </c>
      <c r="K3496">
        <v>0</v>
      </c>
      <c r="L3496">
        <v>0</v>
      </c>
      <c r="M3496" t="s">
        <v>297</v>
      </c>
      <c r="N3496" t="str">
        <f t="shared" si="324"/>
        <v>PO-103495</v>
      </c>
      <c r="O3496" t="str">
        <f t="shared" si="325"/>
        <v>Open</v>
      </c>
      <c r="P3496" t="str">
        <f t="shared" si="326"/>
        <v>WH-PUN</v>
      </c>
      <c r="Q3496" t="str">
        <f>VLOOKUP(C3496, Lookups!$A$2:$D$10, 2, FALSE())</f>
        <v>Global Networks</v>
      </c>
      <c r="R3496" t="str">
        <f>_xlfn.XLOOKUP(D3496, Lookups!$A$12:$A$51, Lookups!$C$12:$C$51, "Unknown")</f>
        <v>Networking</v>
      </c>
      <c r="S3496">
        <f>IF(ISBLANK(I3496), B3496+VLOOKUP(C3496, Lookups!$A$2:$D$10, 4, FALSE()), I3496)</f>
        <v>46369</v>
      </c>
      <c r="T3496" t="str">
        <f t="shared" si="327"/>
        <v/>
      </c>
      <c r="U3496" t="str">
        <f t="shared" si="328"/>
        <v>Open</v>
      </c>
      <c r="V3496">
        <f t="shared" si="329"/>
        <v>0</v>
      </c>
    </row>
    <row r="3497" spans="1:22" x14ac:dyDescent="0.45">
      <c r="A3497" t="s">
        <v>4356</v>
      </c>
      <c r="B3497" t="s">
        <v>497</v>
      </c>
      <c r="C3497" t="s">
        <v>32</v>
      </c>
      <c r="D3497" t="s">
        <v>84</v>
      </c>
      <c r="E3497" t="s">
        <v>16</v>
      </c>
      <c r="F3497">
        <v>56</v>
      </c>
      <c r="G3497">
        <v>7271</v>
      </c>
      <c r="H3497">
        <v>407176</v>
      </c>
      <c r="I3497" t="s">
        <v>1168</v>
      </c>
      <c r="J3497" t="s">
        <v>1168</v>
      </c>
      <c r="K3497">
        <v>56</v>
      </c>
      <c r="L3497">
        <v>0</v>
      </c>
      <c r="M3497" t="s">
        <v>115</v>
      </c>
      <c r="N3497" t="str">
        <f t="shared" si="324"/>
        <v>PO-103496</v>
      </c>
      <c r="O3497" t="str">
        <f t="shared" si="325"/>
        <v>Delivered</v>
      </c>
      <c r="P3497" t="str">
        <f t="shared" si="326"/>
        <v>WH-DEL</v>
      </c>
      <c r="Q3497" t="str">
        <f>VLOOKUP(C3497, Lookups!$A$2:$D$10, 2, FALSE())</f>
        <v>OfficeDepot Pro</v>
      </c>
      <c r="R3497" t="str">
        <f>_xlfn.XLOOKUP(D3497, Lookups!$A$12:$A$51, Lookups!$C$12:$C$51, "Unknown")</f>
        <v>Peripherals</v>
      </c>
      <c r="S3497" t="str">
        <f>IF(ISBLANK(I3497), B3497+VLOOKUP(C3497, Lookups!$A$2:$D$10, 4, FALSE()), I3497)</f>
        <v>2025-03-26</v>
      </c>
      <c r="T3497">
        <f t="shared" si="327"/>
        <v>7</v>
      </c>
      <c r="U3497" t="str">
        <f t="shared" si="328"/>
        <v>On-Time</v>
      </c>
      <c r="V3497">
        <f t="shared" si="329"/>
        <v>0</v>
      </c>
    </row>
    <row r="3498" spans="1:22" x14ac:dyDescent="0.45">
      <c r="A3498" t="s">
        <v>4357</v>
      </c>
      <c r="B3498" t="s">
        <v>736</v>
      </c>
      <c r="C3498" t="s">
        <v>36</v>
      </c>
      <c r="D3498" t="s">
        <v>87</v>
      </c>
      <c r="E3498" t="s">
        <v>18</v>
      </c>
      <c r="F3498">
        <v>122</v>
      </c>
      <c r="G3498">
        <v>82930</v>
      </c>
      <c r="H3498">
        <v>10117460</v>
      </c>
      <c r="I3498" t="s">
        <v>694</v>
      </c>
      <c r="J3498" t="s">
        <v>1102</v>
      </c>
      <c r="K3498">
        <v>122</v>
      </c>
      <c r="L3498">
        <v>0</v>
      </c>
      <c r="M3498" t="s">
        <v>166</v>
      </c>
      <c r="N3498" t="str">
        <f t="shared" si="324"/>
        <v>PO-103497</v>
      </c>
      <c r="O3498" t="str">
        <f t="shared" si="325"/>
        <v>Delivered</v>
      </c>
      <c r="P3498" t="str">
        <f t="shared" si="326"/>
        <v>WH-PUN</v>
      </c>
      <c r="Q3498" t="str">
        <f>VLOOKUP(C3498, Lookups!$A$2:$D$10, 2, FALSE())</f>
        <v>NextGen Hardware</v>
      </c>
      <c r="R3498" t="str">
        <f>_xlfn.XLOOKUP(D3498, Lookups!$A$12:$A$51, Lookups!$C$12:$C$51, "Unknown")</f>
        <v>Electronics</v>
      </c>
      <c r="S3498" t="str">
        <f>IF(ISBLANK(I3498), B3498+VLOOKUP(C3498, Lookups!$A$2:$D$10, 4, FALSE()), I3498)</f>
        <v>2026-11-23</v>
      </c>
      <c r="T3498">
        <f t="shared" si="327"/>
        <v>36</v>
      </c>
      <c r="U3498" t="str">
        <f t="shared" si="328"/>
        <v>Late</v>
      </c>
      <c r="V3498">
        <f t="shared" si="329"/>
        <v>0</v>
      </c>
    </row>
    <row r="3499" spans="1:22" x14ac:dyDescent="0.45">
      <c r="A3499" t="s">
        <v>4358</v>
      </c>
      <c r="B3499" t="s">
        <v>577</v>
      </c>
      <c r="C3499" t="s">
        <v>35</v>
      </c>
      <c r="D3499" t="s">
        <v>57</v>
      </c>
      <c r="E3499" t="s">
        <v>17</v>
      </c>
      <c r="F3499">
        <v>142</v>
      </c>
      <c r="G3499">
        <v>2212</v>
      </c>
      <c r="H3499">
        <v>314104</v>
      </c>
      <c r="I3499" t="s">
        <v>204</v>
      </c>
      <c r="J3499" t="s">
        <v>686</v>
      </c>
      <c r="K3499">
        <v>142</v>
      </c>
      <c r="L3499">
        <v>0</v>
      </c>
      <c r="M3499" t="s">
        <v>115</v>
      </c>
      <c r="N3499" t="str">
        <f t="shared" si="324"/>
        <v>PO-103498</v>
      </c>
      <c r="O3499" t="str">
        <f t="shared" si="325"/>
        <v>Delivered</v>
      </c>
      <c r="P3499" t="str">
        <f t="shared" si="326"/>
        <v>WH-BLR</v>
      </c>
      <c r="Q3499" t="str">
        <f>VLOOKUP(C3499, Lookups!$A$2:$D$10, 2, FALSE())</f>
        <v>Peripheral Source</v>
      </c>
      <c r="R3499" t="str">
        <f>_xlfn.XLOOKUP(D3499, Lookups!$A$12:$A$51, Lookups!$C$12:$C$51, "Unknown")</f>
        <v>Peripherals</v>
      </c>
      <c r="S3499" t="str">
        <f>IF(ISBLANK(I3499), B3499+VLOOKUP(C3499, Lookups!$A$2:$D$10, 4, FALSE()), I3499)</f>
        <v>2026-04-09</v>
      </c>
      <c r="T3499">
        <f t="shared" si="327"/>
        <v>11</v>
      </c>
      <c r="U3499" t="str">
        <f t="shared" si="328"/>
        <v>Late</v>
      </c>
      <c r="V3499">
        <f t="shared" si="329"/>
        <v>0</v>
      </c>
    </row>
    <row r="3500" spans="1:22" x14ac:dyDescent="0.45">
      <c r="A3500" t="s">
        <v>4359</v>
      </c>
      <c r="B3500" t="s">
        <v>150</v>
      </c>
      <c r="C3500" t="s">
        <v>30</v>
      </c>
      <c r="D3500" t="s">
        <v>86</v>
      </c>
      <c r="E3500" t="s">
        <v>17</v>
      </c>
      <c r="F3500">
        <v>187</v>
      </c>
      <c r="G3500">
        <v>74871</v>
      </c>
      <c r="H3500">
        <v>14000877</v>
      </c>
      <c r="I3500" t="s">
        <v>1003</v>
      </c>
      <c r="J3500" t="s">
        <v>723</v>
      </c>
      <c r="K3500">
        <v>187</v>
      </c>
      <c r="L3500">
        <v>0</v>
      </c>
      <c r="M3500" t="s">
        <v>115</v>
      </c>
      <c r="N3500" t="str">
        <f t="shared" si="324"/>
        <v>PO-103499</v>
      </c>
      <c r="O3500" t="str">
        <f t="shared" si="325"/>
        <v>Delivered</v>
      </c>
      <c r="P3500" t="str">
        <f t="shared" si="326"/>
        <v>WH-BLR</v>
      </c>
      <c r="Q3500" t="str">
        <f>VLOOKUP(C3500, Lookups!$A$2:$D$10, 2, FALSE())</f>
        <v>TechSupply Corp</v>
      </c>
      <c r="R3500" t="str">
        <f>_xlfn.XLOOKUP(D3500, Lookups!$A$12:$A$51, Lookups!$C$12:$C$51, "Unknown")</f>
        <v>Electronics</v>
      </c>
      <c r="S3500" t="str">
        <f>IF(ISBLANK(I3500), B3500+VLOOKUP(C3500, Lookups!$A$2:$D$10, 4, FALSE()), I3500)</f>
        <v>2026-04-27</v>
      </c>
      <c r="T3500">
        <f t="shared" si="327"/>
        <v>21</v>
      </c>
      <c r="U3500" t="str">
        <f t="shared" si="328"/>
        <v>Late</v>
      </c>
      <c r="V3500">
        <f t="shared" si="329"/>
        <v>0</v>
      </c>
    </row>
    <row r="3501" spans="1:22" x14ac:dyDescent="0.45">
      <c r="A3501" t="s">
        <v>4360</v>
      </c>
      <c r="B3501" t="s">
        <v>185</v>
      </c>
      <c r="C3501" t="s">
        <v>30</v>
      </c>
      <c r="D3501" t="s">
        <v>53</v>
      </c>
      <c r="E3501" t="s">
        <v>16</v>
      </c>
      <c r="F3501">
        <v>84</v>
      </c>
      <c r="G3501">
        <v>81048</v>
      </c>
      <c r="H3501">
        <v>6808032</v>
      </c>
      <c r="I3501" t="s">
        <v>1345</v>
      </c>
      <c r="J3501" t="s">
        <v>1345</v>
      </c>
      <c r="K3501">
        <v>84</v>
      </c>
      <c r="L3501">
        <v>0</v>
      </c>
      <c r="M3501" t="s">
        <v>115</v>
      </c>
      <c r="N3501" t="str">
        <f t="shared" si="324"/>
        <v>PO-103500</v>
      </c>
      <c r="O3501" t="str">
        <f t="shared" si="325"/>
        <v>Delivered</v>
      </c>
      <c r="P3501" t="str">
        <f t="shared" si="326"/>
        <v>WH-DEL</v>
      </c>
      <c r="Q3501" t="str">
        <f>VLOOKUP(C3501, Lookups!$A$2:$D$10, 2, FALSE())</f>
        <v>TechSupply Corp</v>
      </c>
      <c r="R3501" t="str">
        <f>_xlfn.XLOOKUP(D3501, Lookups!$A$12:$A$51, Lookups!$C$12:$C$51, "Unknown")</f>
        <v>Electronics</v>
      </c>
      <c r="S3501" t="str">
        <f>IF(ISBLANK(I3501), B3501+VLOOKUP(C3501, Lookups!$A$2:$D$10, 4, FALSE()), I3501)</f>
        <v>2025-03-12</v>
      </c>
      <c r="T3501">
        <f t="shared" si="327"/>
        <v>14</v>
      </c>
      <c r="U3501" t="str">
        <f t="shared" si="328"/>
        <v>On-Time</v>
      </c>
      <c r="V3501">
        <f t="shared" si="329"/>
        <v>0</v>
      </c>
    </row>
  </sheetData>
  <autoFilter ref="A1:V35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7"/>
  <sheetViews>
    <sheetView zoomScale="49" zoomScaleNormal="100" workbookViewId="0">
      <selection activeCell="C57" sqref="C57"/>
    </sheetView>
  </sheetViews>
  <sheetFormatPr defaultColWidth="8.6640625" defaultRowHeight="14.25" customHeight="1" x14ac:dyDescent="0.45"/>
  <cols>
    <col min="1" max="1" width="15" customWidth="1"/>
    <col min="2" max="2" width="30" customWidth="1"/>
    <col min="3" max="3" width="15" customWidth="1"/>
    <col min="4" max="5" width="20" customWidth="1"/>
  </cols>
  <sheetData>
    <row r="1" spans="1:5" x14ac:dyDescent="0.45">
      <c r="A1" s="1" t="s">
        <v>19</v>
      </c>
      <c r="B1" s="1" t="s">
        <v>20</v>
      </c>
      <c r="C1" s="1" t="s">
        <v>4361</v>
      </c>
      <c r="D1" s="1" t="s">
        <v>4362</v>
      </c>
      <c r="E1" s="1"/>
    </row>
    <row r="2" spans="1:5" x14ac:dyDescent="0.45">
      <c r="A2" t="s">
        <v>30</v>
      </c>
      <c r="B2" t="s">
        <v>4363</v>
      </c>
      <c r="C2" t="s">
        <v>4364</v>
      </c>
      <c r="D2">
        <v>14</v>
      </c>
    </row>
    <row r="3" spans="1:5" x14ac:dyDescent="0.45">
      <c r="A3" t="s">
        <v>31</v>
      </c>
      <c r="B3" t="s">
        <v>4365</v>
      </c>
      <c r="C3" t="s">
        <v>4366</v>
      </c>
      <c r="D3">
        <v>21</v>
      </c>
    </row>
    <row r="4" spans="1:5" x14ac:dyDescent="0.45">
      <c r="A4" t="s">
        <v>32</v>
      </c>
      <c r="B4" t="s">
        <v>4367</v>
      </c>
      <c r="C4" t="s">
        <v>4364</v>
      </c>
      <c r="D4">
        <v>7</v>
      </c>
    </row>
    <row r="5" spans="1:5" x14ac:dyDescent="0.45">
      <c r="A5" t="s">
        <v>33</v>
      </c>
      <c r="B5" t="s">
        <v>4368</v>
      </c>
      <c r="C5" t="s">
        <v>4369</v>
      </c>
      <c r="D5">
        <v>30</v>
      </c>
    </row>
    <row r="6" spans="1:5" x14ac:dyDescent="0.45">
      <c r="A6" t="s">
        <v>34</v>
      </c>
      <c r="B6" t="s">
        <v>4370</v>
      </c>
      <c r="C6" t="s">
        <v>4371</v>
      </c>
      <c r="D6">
        <v>18</v>
      </c>
    </row>
    <row r="7" spans="1:5" x14ac:dyDescent="0.45">
      <c r="A7" t="s">
        <v>35</v>
      </c>
      <c r="B7" t="s">
        <v>4372</v>
      </c>
      <c r="C7" t="s">
        <v>4364</v>
      </c>
      <c r="D7">
        <v>10</v>
      </c>
    </row>
    <row r="8" spans="1:5" x14ac:dyDescent="0.45">
      <c r="A8" t="s">
        <v>36</v>
      </c>
      <c r="B8" t="s">
        <v>4373</v>
      </c>
      <c r="C8" t="s">
        <v>4366</v>
      </c>
      <c r="D8">
        <v>24</v>
      </c>
    </row>
    <row r="9" spans="1:5" x14ac:dyDescent="0.45">
      <c r="A9" t="s">
        <v>37</v>
      </c>
      <c r="B9" t="s">
        <v>4374</v>
      </c>
      <c r="C9" t="s">
        <v>4364</v>
      </c>
      <c r="D9">
        <v>12</v>
      </c>
    </row>
    <row r="11" spans="1:5" x14ac:dyDescent="0.45">
      <c r="A11" s="1" t="s">
        <v>43</v>
      </c>
      <c r="B11" s="1" t="s">
        <v>47</v>
      </c>
      <c r="C11" s="1" t="s">
        <v>48</v>
      </c>
      <c r="D11" s="1" t="s">
        <v>95</v>
      </c>
      <c r="E11" s="1" t="s">
        <v>4375</v>
      </c>
    </row>
    <row r="12" spans="1:5" x14ac:dyDescent="0.45">
      <c r="A12" t="s">
        <v>52</v>
      </c>
      <c r="B12" t="s">
        <v>4376</v>
      </c>
      <c r="C12" t="s">
        <v>10</v>
      </c>
      <c r="D12">
        <v>59592</v>
      </c>
      <c r="E12" t="s">
        <v>30</v>
      </c>
    </row>
    <row r="13" spans="1:5" x14ac:dyDescent="0.45">
      <c r="A13" t="s">
        <v>53</v>
      </c>
      <c r="B13" t="s">
        <v>4377</v>
      </c>
      <c r="C13" t="s">
        <v>10</v>
      </c>
      <c r="D13">
        <v>81048</v>
      </c>
      <c r="E13" t="s">
        <v>30</v>
      </c>
    </row>
    <row r="14" spans="1:5" x14ac:dyDescent="0.45">
      <c r="A14" t="s">
        <v>54</v>
      </c>
      <c r="B14" t="s">
        <v>4378</v>
      </c>
      <c r="C14" t="s">
        <v>11</v>
      </c>
      <c r="D14">
        <v>22314</v>
      </c>
      <c r="E14" t="s">
        <v>34</v>
      </c>
    </row>
    <row r="15" spans="1:5" x14ac:dyDescent="0.45">
      <c r="A15" t="s">
        <v>55</v>
      </c>
      <c r="B15" t="s">
        <v>4379</v>
      </c>
      <c r="C15" t="s">
        <v>10</v>
      </c>
      <c r="D15">
        <v>58434</v>
      </c>
      <c r="E15" t="s">
        <v>36</v>
      </c>
    </row>
    <row r="16" spans="1:5" x14ac:dyDescent="0.45">
      <c r="A16" t="s">
        <v>56</v>
      </c>
      <c r="B16" t="s">
        <v>4380</v>
      </c>
      <c r="C16" t="s">
        <v>11</v>
      </c>
      <c r="D16">
        <v>39270</v>
      </c>
      <c r="E16" t="s">
        <v>31</v>
      </c>
    </row>
    <row r="17" spans="1:5" x14ac:dyDescent="0.45">
      <c r="A17" t="s">
        <v>57</v>
      </c>
      <c r="B17" t="s">
        <v>4381</v>
      </c>
      <c r="C17" t="s">
        <v>12</v>
      </c>
      <c r="D17">
        <v>2212</v>
      </c>
      <c r="E17" t="s">
        <v>35</v>
      </c>
    </row>
    <row r="18" spans="1:5" x14ac:dyDescent="0.45">
      <c r="A18" t="s">
        <v>58</v>
      </c>
      <c r="B18" t="s">
        <v>4382</v>
      </c>
      <c r="C18" t="s">
        <v>10</v>
      </c>
      <c r="D18">
        <v>100302</v>
      </c>
      <c r="E18" t="s">
        <v>34</v>
      </c>
    </row>
    <row r="19" spans="1:5" x14ac:dyDescent="0.45">
      <c r="A19" t="s">
        <v>59</v>
      </c>
      <c r="B19" t="s">
        <v>4383</v>
      </c>
      <c r="C19" t="s">
        <v>10</v>
      </c>
      <c r="D19">
        <v>48905</v>
      </c>
      <c r="E19" t="s">
        <v>30</v>
      </c>
    </row>
    <row r="20" spans="1:5" x14ac:dyDescent="0.45">
      <c r="A20" t="s">
        <v>60</v>
      </c>
      <c r="B20" t="s">
        <v>4384</v>
      </c>
      <c r="C20" t="s">
        <v>12</v>
      </c>
      <c r="D20">
        <v>3291</v>
      </c>
      <c r="E20" t="s">
        <v>35</v>
      </c>
    </row>
    <row r="21" spans="1:5" x14ac:dyDescent="0.45">
      <c r="A21" t="s">
        <v>61</v>
      </c>
      <c r="B21" t="s">
        <v>4385</v>
      </c>
      <c r="C21" t="s">
        <v>10</v>
      </c>
      <c r="D21">
        <v>111237</v>
      </c>
      <c r="E21" t="s">
        <v>30</v>
      </c>
    </row>
    <row r="22" spans="1:5" x14ac:dyDescent="0.45">
      <c r="A22" t="s">
        <v>62</v>
      </c>
      <c r="B22" t="s">
        <v>4386</v>
      </c>
      <c r="C22" t="s">
        <v>10</v>
      </c>
      <c r="D22">
        <v>48478</v>
      </c>
      <c r="E22" t="s">
        <v>36</v>
      </c>
    </row>
    <row r="23" spans="1:5" x14ac:dyDescent="0.45">
      <c r="A23" t="s">
        <v>63</v>
      </c>
      <c r="B23" t="s">
        <v>4387</v>
      </c>
      <c r="C23" t="s">
        <v>10</v>
      </c>
      <c r="D23">
        <v>71062</v>
      </c>
      <c r="E23" t="s">
        <v>36</v>
      </c>
    </row>
    <row r="24" spans="1:5" x14ac:dyDescent="0.45">
      <c r="A24" t="s">
        <v>64</v>
      </c>
      <c r="B24" t="s">
        <v>4388</v>
      </c>
      <c r="C24" t="s">
        <v>11</v>
      </c>
      <c r="D24">
        <v>36295</v>
      </c>
      <c r="E24" t="s">
        <v>31</v>
      </c>
    </row>
    <row r="25" spans="1:5" x14ac:dyDescent="0.45">
      <c r="A25" t="s">
        <v>65</v>
      </c>
      <c r="B25" t="s">
        <v>4381</v>
      </c>
      <c r="C25" t="s">
        <v>12</v>
      </c>
      <c r="D25">
        <v>4936</v>
      </c>
      <c r="E25" t="s">
        <v>35</v>
      </c>
    </row>
    <row r="26" spans="1:5" x14ac:dyDescent="0.45">
      <c r="A26" t="s">
        <v>66</v>
      </c>
      <c r="B26" t="s">
        <v>4389</v>
      </c>
      <c r="C26" t="s">
        <v>11</v>
      </c>
      <c r="D26">
        <v>29719</v>
      </c>
      <c r="E26" t="s">
        <v>31</v>
      </c>
    </row>
    <row r="27" spans="1:5" x14ac:dyDescent="0.45">
      <c r="A27" t="s">
        <v>67</v>
      </c>
      <c r="B27" t="s">
        <v>4390</v>
      </c>
      <c r="C27" t="s">
        <v>12</v>
      </c>
      <c r="D27">
        <v>1553</v>
      </c>
      <c r="E27" t="s">
        <v>32</v>
      </c>
    </row>
    <row r="28" spans="1:5" x14ac:dyDescent="0.45">
      <c r="A28" t="s">
        <v>68</v>
      </c>
      <c r="B28" t="s">
        <v>4391</v>
      </c>
      <c r="C28" t="s">
        <v>11</v>
      </c>
      <c r="D28">
        <v>41405</v>
      </c>
      <c r="E28" t="s">
        <v>34</v>
      </c>
    </row>
    <row r="29" spans="1:5" x14ac:dyDescent="0.45">
      <c r="A29" t="s">
        <v>69</v>
      </c>
      <c r="B29" t="s">
        <v>4392</v>
      </c>
      <c r="C29" t="s">
        <v>13</v>
      </c>
      <c r="D29">
        <v>13231</v>
      </c>
      <c r="E29" t="s">
        <v>37</v>
      </c>
    </row>
    <row r="30" spans="1:5" x14ac:dyDescent="0.45">
      <c r="A30" t="s">
        <v>70</v>
      </c>
      <c r="B30" t="s">
        <v>4393</v>
      </c>
      <c r="C30" t="s">
        <v>12</v>
      </c>
      <c r="D30">
        <v>4287</v>
      </c>
      <c r="E30" t="s">
        <v>35</v>
      </c>
    </row>
    <row r="31" spans="1:5" x14ac:dyDescent="0.45">
      <c r="A31" t="s">
        <v>71</v>
      </c>
      <c r="B31" t="s">
        <v>4394</v>
      </c>
      <c r="C31" t="s">
        <v>10</v>
      </c>
      <c r="D31">
        <v>65379</v>
      </c>
      <c r="E31" t="s">
        <v>36</v>
      </c>
    </row>
    <row r="32" spans="1:5" x14ac:dyDescent="0.45">
      <c r="A32" t="s">
        <v>72</v>
      </c>
      <c r="B32" t="s">
        <v>4395</v>
      </c>
      <c r="C32" t="s">
        <v>12</v>
      </c>
      <c r="D32">
        <v>7754</v>
      </c>
      <c r="E32" t="s">
        <v>35</v>
      </c>
    </row>
    <row r="33" spans="1:5" x14ac:dyDescent="0.45">
      <c r="A33" t="s">
        <v>73</v>
      </c>
      <c r="B33" t="s">
        <v>4396</v>
      </c>
      <c r="C33" t="s">
        <v>10</v>
      </c>
      <c r="D33">
        <v>58396</v>
      </c>
      <c r="E33" t="s">
        <v>34</v>
      </c>
    </row>
    <row r="34" spans="1:5" x14ac:dyDescent="0.45">
      <c r="A34" t="s">
        <v>74</v>
      </c>
      <c r="B34" t="s">
        <v>4397</v>
      </c>
      <c r="C34" t="s">
        <v>10</v>
      </c>
      <c r="D34">
        <v>94797</v>
      </c>
      <c r="E34" t="s">
        <v>34</v>
      </c>
    </row>
    <row r="35" spans="1:5" x14ac:dyDescent="0.45">
      <c r="A35" t="s">
        <v>75</v>
      </c>
      <c r="B35" t="s">
        <v>4384</v>
      </c>
      <c r="C35" t="s">
        <v>12</v>
      </c>
      <c r="D35">
        <v>4440</v>
      </c>
      <c r="E35" t="s">
        <v>35</v>
      </c>
    </row>
    <row r="36" spans="1:5" x14ac:dyDescent="0.45">
      <c r="A36" t="s">
        <v>76</v>
      </c>
      <c r="B36" t="s">
        <v>4398</v>
      </c>
      <c r="C36" t="s">
        <v>11</v>
      </c>
      <c r="D36">
        <v>26270</v>
      </c>
      <c r="E36" t="s">
        <v>34</v>
      </c>
    </row>
    <row r="37" spans="1:5" x14ac:dyDescent="0.45">
      <c r="A37" t="s">
        <v>77</v>
      </c>
      <c r="B37" t="s">
        <v>4399</v>
      </c>
      <c r="C37" t="s">
        <v>11</v>
      </c>
      <c r="D37">
        <v>23667</v>
      </c>
      <c r="E37" t="s">
        <v>31</v>
      </c>
    </row>
    <row r="38" spans="1:5" x14ac:dyDescent="0.45">
      <c r="A38" t="s">
        <v>78</v>
      </c>
      <c r="B38" t="s">
        <v>4392</v>
      </c>
      <c r="C38" t="s">
        <v>13</v>
      </c>
      <c r="D38">
        <v>9423</v>
      </c>
      <c r="E38" t="s">
        <v>37</v>
      </c>
    </row>
    <row r="39" spans="1:5" x14ac:dyDescent="0.45">
      <c r="A39" t="s">
        <v>79</v>
      </c>
      <c r="B39" t="s">
        <v>4392</v>
      </c>
      <c r="C39" t="s">
        <v>13</v>
      </c>
      <c r="D39">
        <v>23054</v>
      </c>
      <c r="E39" t="s">
        <v>37</v>
      </c>
    </row>
    <row r="40" spans="1:5" x14ac:dyDescent="0.45">
      <c r="A40" t="s">
        <v>80</v>
      </c>
      <c r="B40" t="s">
        <v>4400</v>
      </c>
      <c r="C40" t="s">
        <v>11</v>
      </c>
      <c r="D40">
        <v>19090</v>
      </c>
      <c r="E40" t="s">
        <v>34</v>
      </c>
    </row>
    <row r="41" spans="1:5" x14ac:dyDescent="0.45">
      <c r="A41" t="s">
        <v>81</v>
      </c>
      <c r="B41" t="s">
        <v>4401</v>
      </c>
      <c r="C41" t="s">
        <v>10</v>
      </c>
      <c r="D41">
        <v>55328</v>
      </c>
      <c r="E41" t="s">
        <v>34</v>
      </c>
    </row>
    <row r="42" spans="1:5" x14ac:dyDescent="0.45">
      <c r="A42" t="s">
        <v>82</v>
      </c>
      <c r="B42" t="s">
        <v>4387</v>
      </c>
      <c r="C42" t="s">
        <v>10</v>
      </c>
      <c r="D42">
        <v>83427</v>
      </c>
      <c r="E42" t="s">
        <v>30</v>
      </c>
    </row>
    <row r="43" spans="1:5" x14ac:dyDescent="0.45">
      <c r="A43" t="s">
        <v>83</v>
      </c>
      <c r="B43" t="s">
        <v>4402</v>
      </c>
      <c r="C43" t="s">
        <v>13</v>
      </c>
      <c r="D43">
        <v>19850</v>
      </c>
      <c r="E43" t="s">
        <v>37</v>
      </c>
    </row>
    <row r="44" spans="1:5" x14ac:dyDescent="0.45">
      <c r="A44" t="s">
        <v>84</v>
      </c>
      <c r="B44" t="s">
        <v>4403</v>
      </c>
      <c r="C44" t="s">
        <v>12</v>
      </c>
      <c r="D44">
        <v>7271</v>
      </c>
      <c r="E44" t="s">
        <v>32</v>
      </c>
    </row>
    <row r="45" spans="1:5" x14ac:dyDescent="0.45">
      <c r="A45" t="s">
        <v>85</v>
      </c>
      <c r="B45" t="s">
        <v>4404</v>
      </c>
      <c r="C45" t="s">
        <v>11</v>
      </c>
      <c r="D45">
        <v>16501</v>
      </c>
      <c r="E45" t="s">
        <v>31</v>
      </c>
    </row>
    <row r="46" spans="1:5" x14ac:dyDescent="0.45">
      <c r="A46" t="s">
        <v>86</v>
      </c>
      <c r="B46" t="s">
        <v>4405</v>
      </c>
      <c r="C46" t="s">
        <v>10</v>
      </c>
      <c r="D46">
        <v>74871</v>
      </c>
      <c r="E46" t="s">
        <v>30</v>
      </c>
    </row>
    <row r="47" spans="1:5" x14ac:dyDescent="0.45">
      <c r="A47" t="s">
        <v>87</v>
      </c>
      <c r="B47" t="s">
        <v>4406</v>
      </c>
      <c r="C47" t="s">
        <v>10</v>
      </c>
      <c r="D47">
        <v>82930</v>
      </c>
      <c r="E47" t="s">
        <v>36</v>
      </c>
    </row>
    <row r="48" spans="1:5" x14ac:dyDescent="0.45">
      <c r="A48" t="s">
        <v>88</v>
      </c>
      <c r="B48" t="s">
        <v>4397</v>
      </c>
      <c r="C48" t="s">
        <v>10</v>
      </c>
      <c r="D48">
        <v>75512</v>
      </c>
      <c r="E48" t="s">
        <v>30</v>
      </c>
    </row>
    <row r="49" spans="1:5" x14ac:dyDescent="0.45">
      <c r="A49" t="s">
        <v>89</v>
      </c>
      <c r="B49" t="s">
        <v>4392</v>
      </c>
      <c r="C49" t="s">
        <v>13</v>
      </c>
      <c r="D49">
        <v>11309</v>
      </c>
      <c r="E49" t="s">
        <v>33</v>
      </c>
    </row>
    <row r="50" spans="1:5" x14ac:dyDescent="0.45">
      <c r="A50" t="s">
        <v>90</v>
      </c>
      <c r="B50" t="s">
        <v>4401</v>
      </c>
      <c r="C50" t="s">
        <v>10</v>
      </c>
      <c r="D50">
        <v>81434</v>
      </c>
      <c r="E50" t="s">
        <v>36</v>
      </c>
    </row>
    <row r="51" spans="1:5" x14ac:dyDescent="0.45">
      <c r="A51" t="s">
        <v>91</v>
      </c>
      <c r="B51" t="s">
        <v>4407</v>
      </c>
      <c r="C51" t="s">
        <v>12</v>
      </c>
      <c r="D51">
        <v>6707</v>
      </c>
      <c r="E51" t="s">
        <v>35</v>
      </c>
    </row>
    <row r="53" spans="1:5" x14ac:dyDescent="0.45">
      <c r="A53" s="1" t="s">
        <v>14</v>
      </c>
      <c r="B53" s="1" t="s">
        <v>4408</v>
      </c>
    </row>
    <row r="54" spans="1:5" x14ac:dyDescent="0.45">
      <c r="A54" t="s">
        <v>15</v>
      </c>
      <c r="B54" t="s">
        <v>4409</v>
      </c>
    </row>
    <row r="55" spans="1:5" x14ac:dyDescent="0.45">
      <c r="A55" t="s">
        <v>16</v>
      </c>
      <c r="B55" t="s">
        <v>4410</v>
      </c>
    </row>
    <row r="56" spans="1:5" x14ac:dyDescent="0.45">
      <c r="A56" t="s">
        <v>17</v>
      </c>
      <c r="B56" t="s">
        <v>4411</v>
      </c>
    </row>
    <row r="57" spans="1:5" x14ac:dyDescent="0.45">
      <c r="A57" t="s">
        <v>18</v>
      </c>
      <c r="B57" t="s">
        <v>4412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zoomScaleNormal="100" workbookViewId="0"/>
  </sheetViews>
  <sheetFormatPr defaultColWidth="8.6640625" defaultRowHeight="14.25" customHeight="1" x14ac:dyDescent="0.45"/>
  <cols>
    <col min="1" max="1" width="16.6640625" customWidth="1"/>
    <col min="2" max="2" width="89.33203125" customWidth="1"/>
  </cols>
  <sheetData>
    <row r="1" spans="1:2" x14ac:dyDescent="0.45">
      <c r="A1" s="1" t="s">
        <v>4413</v>
      </c>
      <c r="B1" s="1" t="s">
        <v>4414</v>
      </c>
    </row>
    <row r="2" spans="1:2" x14ac:dyDescent="0.45">
      <c r="A2" t="s">
        <v>4415</v>
      </c>
      <c r="B2" t="s">
        <v>4416</v>
      </c>
    </row>
    <row r="3" spans="1:2" x14ac:dyDescent="0.45">
      <c r="A3" t="s">
        <v>4417</v>
      </c>
      <c r="B3" t="s">
        <v>4418</v>
      </c>
    </row>
    <row r="4" spans="1:2" x14ac:dyDescent="0.45">
      <c r="A4" t="s">
        <v>4419</v>
      </c>
      <c r="B4" t="s">
        <v>4420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KPI_Calculations</vt:lpstr>
      <vt:lpstr>Supplier_Analysis</vt:lpstr>
      <vt:lpstr>Inventory_Analysis</vt:lpstr>
      <vt:lpstr>Cleaned_Inventory</vt:lpstr>
      <vt:lpstr>Cleaned_POs</vt:lpstr>
      <vt:lpstr>Lookups</vt:lpstr>
      <vt:lpstr>Methodology_QA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jaykar</cp:lastModifiedBy>
  <dcterms:modified xsi:type="dcterms:W3CDTF">2026-10-21T03:03:07Z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2026-10-20T03:46:06Z</dcterms:created>
  <dc:creator>openpyxl</dc:creator>
  <dc:description/>
  <dc:language>en-US</dc:language>
  <cp:lastModifiedBy>sarthak jaykar</cp:lastModifiedBy>
  <dcterms:modified xsi:type="dcterms:W3CDTF">2026-10-20T05:35:07Z</dcterms:modified>
  <cp:revision>0</cp:revision>
  <dc:subject/>
  <dc:title/>
</cp:coreProperties>
</file>